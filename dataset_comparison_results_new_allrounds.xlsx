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da71f200965671e6/DIKU/Lærerbøger/Thesis/"/>
    </mc:Choice>
  </mc:AlternateContent>
  <xr:revisionPtr revIDLastSave="6329" documentId="8_{E85C2CA1-A835-894B-B713-88C79AAB580E}" xr6:coauthVersionLast="47" xr6:coauthVersionMax="47" xr10:uidLastSave="{CB6C7700-A2D2-7349-ADB4-472BD37CF2E7}"/>
  <bookViews>
    <workbookView xWindow="0" yWindow="660" windowWidth="29400" windowHeight="18460" activeTab="4" xr2:uid="{00000000-000D-0000-FFFF-FFFF00000000}"/>
  </bookViews>
  <sheets>
    <sheet name="CR-IA" sheetId="7" r:id="rId1"/>
    <sheet name="dataset" sheetId="1" r:id="rId2"/>
    <sheet name="early_stopping" sheetId="6" r:id="rId3"/>
    <sheet name="IR-CA" sheetId="5" r:id="rId4"/>
    <sheet name="malicious" sheetId="3" r:id="rId5"/>
    <sheet name="share-mode" sheetId="4" r:id="rId6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16" i="3" l="1"/>
  <c r="AD213" i="3"/>
  <c r="X216" i="3"/>
  <c r="S216" i="3"/>
  <c r="X205" i="3"/>
  <c r="R81" i="4"/>
  <c r="AE213" i="3"/>
  <c r="U121" i="5"/>
  <c r="P111" i="5"/>
  <c r="P110" i="5"/>
  <c r="P109" i="5"/>
  <c r="K111" i="5"/>
  <c r="K110" i="5"/>
  <c r="K109" i="5"/>
  <c r="F110" i="5"/>
  <c r="F111" i="5"/>
  <c r="F109" i="5"/>
  <c r="R300" i="3"/>
  <c r="R238" i="3"/>
  <c r="R251" i="3"/>
  <c r="P165" i="6"/>
  <c r="K165" i="6"/>
  <c r="F165" i="6"/>
  <c r="P153" i="6"/>
  <c r="K153" i="6"/>
  <c r="F153" i="6"/>
  <c r="F178" i="6"/>
  <c r="F258" i="6"/>
  <c r="F246" i="6"/>
  <c r="K130" i="5"/>
  <c r="E127" i="5"/>
  <c r="D127" i="5"/>
  <c r="C127" i="5"/>
  <c r="B127" i="5"/>
  <c r="P130" i="5"/>
  <c r="F130" i="5"/>
  <c r="P129" i="5"/>
  <c r="P128" i="5"/>
  <c r="P127" i="5"/>
  <c r="K129" i="5"/>
  <c r="K128" i="5"/>
  <c r="K127" i="5"/>
  <c r="F128" i="5"/>
  <c r="F129" i="5"/>
  <c r="F127" i="5"/>
  <c r="AF121" i="5"/>
  <c r="AI193" i="5"/>
  <c r="AI192" i="5"/>
  <c r="AI191" i="5"/>
  <c r="AL189" i="5"/>
  <c r="AF189" i="5"/>
  <c r="AK189" i="5"/>
  <c r="AJ189" i="5"/>
  <c r="AI189" i="5"/>
  <c r="AH189" i="5"/>
  <c r="AB189" i="5"/>
  <c r="R186" i="5"/>
  <c r="R189" i="5"/>
  <c r="AI132" i="5"/>
  <c r="AF122" i="5"/>
  <c r="AF143" i="5"/>
  <c r="Q109" i="5"/>
  <c r="K231" i="6"/>
  <c r="H237" i="6"/>
  <c r="M231" i="6"/>
  <c r="P231" i="6"/>
  <c r="V250" i="6"/>
  <c r="T187" i="6"/>
  <c r="S231" i="6"/>
  <c r="T232" i="6"/>
  <c r="V225" i="6"/>
  <c r="R225" i="6"/>
  <c r="T402" i="3"/>
  <c r="W420" i="3"/>
  <c r="V420" i="3"/>
  <c r="U420" i="3"/>
  <c r="T420" i="3"/>
  <c r="W419" i="3"/>
  <c r="V419" i="3"/>
  <c r="U419" i="3"/>
  <c r="T419" i="3"/>
  <c r="W418" i="3"/>
  <c r="V418" i="3"/>
  <c r="U418" i="3"/>
  <c r="T418" i="3"/>
  <c r="W416" i="3"/>
  <c r="V416" i="3"/>
  <c r="U416" i="3"/>
  <c r="T416" i="3"/>
  <c r="W415" i="3"/>
  <c r="V415" i="3"/>
  <c r="U415" i="3"/>
  <c r="T415" i="3"/>
  <c r="W414" i="3"/>
  <c r="V414" i="3"/>
  <c r="U414" i="3"/>
  <c r="T414" i="3"/>
  <c r="X416" i="3" s="1"/>
  <c r="W412" i="3"/>
  <c r="V412" i="3"/>
  <c r="U412" i="3"/>
  <c r="T412" i="3"/>
  <c r="W411" i="3"/>
  <c r="V411" i="3"/>
  <c r="U411" i="3"/>
  <c r="T411" i="3"/>
  <c r="W410" i="3"/>
  <c r="V410" i="3"/>
  <c r="U410" i="3"/>
  <c r="T410" i="3"/>
  <c r="W408" i="3"/>
  <c r="V408" i="3"/>
  <c r="U408" i="3"/>
  <c r="T408" i="3"/>
  <c r="W407" i="3"/>
  <c r="V407" i="3"/>
  <c r="U407" i="3"/>
  <c r="T407" i="3"/>
  <c r="W406" i="3"/>
  <c r="V406" i="3"/>
  <c r="U406" i="3"/>
  <c r="T406" i="3"/>
  <c r="X408" i="3" s="1"/>
  <c r="W404" i="3"/>
  <c r="V404" i="3"/>
  <c r="U404" i="3"/>
  <c r="T404" i="3"/>
  <c r="W403" i="3"/>
  <c r="V403" i="3"/>
  <c r="U403" i="3"/>
  <c r="T403" i="3"/>
  <c r="W402" i="3"/>
  <c r="V402" i="3"/>
  <c r="U402" i="3"/>
  <c r="E420" i="3"/>
  <c r="D420" i="3"/>
  <c r="E419" i="3"/>
  <c r="D419" i="3"/>
  <c r="E418" i="3"/>
  <c r="D418" i="3"/>
  <c r="E416" i="3"/>
  <c r="D416" i="3"/>
  <c r="E415" i="3"/>
  <c r="D415" i="3"/>
  <c r="E414" i="3"/>
  <c r="D414" i="3"/>
  <c r="F416" i="3" s="1"/>
  <c r="E412" i="3"/>
  <c r="D412" i="3"/>
  <c r="E411" i="3"/>
  <c r="D411" i="3"/>
  <c r="E410" i="3"/>
  <c r="D410" i="3"/>
  <c r="E408" i="3"/>
  <c r="D408" i="3"/>
  <c r="E407" i="3"/>
  <c r="D407" i="3"/>
  <c r="E406" i="3"/>
  <c r="D406" i="3"/>
  <c r="E404" i="3"/>
  <c r="D404" i="3"/>
  <c r="E403" i="3"/>
  <c r="D403" i="3"/>
  <c r="E402" i="3"/>
  <c r="D402" i="3"/>
  <c r="C314" i="3"/>
  <c r="I313" i="3"/>
  <c r="B53" i="1"/>
  <c r="AG420" i="3"/>
  <c r="AF420" i="3"/>
  <c r="AE420" i="3"/>
  <c r="AD420" i="3"/>
  <c r="AB420" i="3"/>
  <c r="AA420" i="3"/>
  <c r="Z420" i="3"/>
  <c r="Y420" i="3"/>
  <c r="AG419" i="3"/>
  <c r="AF419" i="3"/>
  <c r="AE419" i="3"/>
  <c r="AD419" i="3"/>
  <c r="AB419" i="3"/>
  <c r="AA419" i="3"/>
  <c r="Z419" i="3"/>
  <c r="Y419" i="3"/>
  <c r="AG418" i="3"/>
  <c r="AF418" i="3"/>
  <c r="AE418" i="3"/>
  <c r="AD418" i="3"/>
  <c r="AB418" i="3"/>
  <c r="AA418" i="3"/>
  <c r="Z418" i="3"/>
  <c r="Y418" i="3"/>
  <c r="AG416" i="3"/>
  <c r="AF416" i="3"/>
  <c r="AE416" i="3"/>
  <c r="AD416" i="3"/>
  <c r="AB416" i="3"/>
  <c r="AA416" i="3"/>
  <c r="Z416" i="3"/>
  <c r="Y416" i="3"/>
  <c r="AG415" i="3"/>
  <c r="AF415" i="3"/>
  <c r="AE415" i="3"/>
  <c r="AD415" i="3"/>
  <c r="AB415" i="3"/>
  <c r="AA415" i="3"/>
  <c r="Z415" i="3"/>
  <c r="Y415" i="3"/>
  <c r="AG414" i="3"/>
  <c r="AF414" i="3"/>
  <c r="AE414" i="3"/>
  <c r="AD414" i="3"/>
  <c r="AB414" i="3"/>
  <c r="AA414" i="3"/>
  <c r="Z414" i="3"/>
  <c r="Y414" i="3"/>
  <c r="AG412" i="3"/>
  <c r="AF412" i="3"/>
  <c r="AE412" i="3"/>
  <c r="AD412" i="3"/>
  <c r="AB412" i="3"/>
  <c r="AA412" i="3"/>
  <c r="Z412" i="3"/>
  <c r="Y412" i="3"/>
  <c r="AG411" i="3"/>
  <c r="AF411" i="3"/>
  <c r="AE411" i="3"/>
  <c r="AD411" i="3"/>
  <c r="AB411" i="3"/>
  <c r="AA411" i="3"/>
  <c r="Z411" i="3"/>
  <c r="Y411" i="3"/>
  <c r="AG410" i="3"/>
  <c r="AF410" i="3"/>
  <c r="AE410" i="3"/>
  <c r="AD410" i="3"/>
  <c r="AB410" i="3"/>
  <c r="AA410" i="3"/>
  <c r="Z410" i="3"/>
  <c r="Y410" i="3"/>
  <c r="AG408" i="3"/>
  <c r="AF408" i="3"/>
  <c r="AE408" i="3"/>
  <c r="AD408" i="3"/>
  <c r="AB408" i="3"/>
  <c r="AA408" i="3"/>
  <c r="Z408" i="3"/>
  <c r="Y408" i="3"/>
  <c r="AG407" i="3"/>
  <c r="AF407" i="3"/>
  <c r="AE407" i="3"/>
  <c r="AD407" i="3"/>
  <c r="AB407" i="3"/>
  <c r="AA407" i="3"/>
  <c r="Z407" i="3"/>
  <c r="Y407" i="3"/>
  <c r="AG406" i="3"/>
  <c r="AF406" i="3"/>
  <c r="AE406" i="3"/>
  <c r="AD406" i="3"/>
  <c r="AB406" i="3"/>
  <c r="AA406" i="3"/>
  <c r="Z406" i="3"/>
  <c r="Y406" i="3"/>
  <c r="AG404" i="3"/>
  <c r="AF404" i="3"/>
  <c r="AE404" i="3"/>
  <c r="AD404" i="3"/>
  <c r="AB404" i="3"/>
  <c r="AA404" i="3"/>
  <c r="Z404" i="3"/>
  <c r="Y404" i="3"/>
  <c r="AG403" i="3"/>
  <c r="AF403" i="3"/>
  <c r="AE403" i="3"/>
  <c r="AD403" i="3"/>
  <c r="AB403" i="3"/>
  <c r="AA403" i="3"/>
  <c r="Z403" i="3"/>
  <c r="Y403" i="3"/>
  <c r="AG402" i="3"/>
  <c r="AF402" i="3"/>
  <c r="AE402" i="3"/>
  <c r="AD402" i="3"/>
  <c r="AB402" i="3"/>
  <c r="AA402" i="3"/>
  <c r="Z402" i="3"/>
  <c r="Y402" i="3"/>
  <c r="X404" i="3"/>
  <c r="O412" i="3"/>
  <c r="O411" i="3"/>
  <c r="O410" i="3"/>
  <c r="N412" i="3"/>
  <c r="N411" i="3"/>
  <c r="N410" i="3"/>
  <c r="M412" i="3"/>
  <c r="M411" i="3"/>
  <c r="M410" i="3"/>
  <c r="L412" i="3"/>
  <c r="L411" i="3"/>
  <c r="L410" i="3"/>
  <c r="J412" i="3"/>
  <c r="J411" i="3"/>
  <c r="J410" i="3"/>
  <c r="I412" i="3"/>
  <c r="I411" i="3"/>
  <c r="I410" i="3"/>
  <c r="H412" i="3"/>
  <c r="H411" i="3"/>
  <c r="H410" i="3"/>
  <c r="G412" i="3"/>
  <c r="G411" i="3"/>
  <c r="G410" i="3"/>
  <c r="C412" i="3"/>
  <c r="C411" i="3"/>
  <c r="C410" i="3"/>
  <c r="B412" i="3"/>
  <c r="B411" i="3"/>
  <c r="B410" i="3"/>
  <c r="O420" i="3"/>
  <c r="N420" i="3"/>
  <c r="M420" i="3"/>
  <c r="L420" i="3"/>
  <c r="O419" i="3"/>
  <c r="N419" i="3"/>
  <c r="M419" i="3"/>
  <c r="L419" i="3"/>
  <c r="O418" i="3"/>
  <c r="N418" i="3"/>
  <c r="M418" i="3"/>
  <c r="L418" i="3"/>
  <c r="O416" i="3"/>
  <c r="N416" i="3"/>
  <c r="M416" i="3"/>
  <c r="L416" i="3"/>
  <c r="O415" i="3"/>
  <c r="N415" i="3"/>
  <c r="M415" i="3"/>
  <c r="L415" i="3"/>
  <c r="O414" i="3"/>
  <c r="N414" i="3"/>
  <c r="M414" i="3"/>
  <c r="L414" i="3"/>
  <c r="O408" i="3"/>
  <c r="N408" i="3"/>
  <c r="M408" i="3"/>
  <c r="L408" i="3"/>
  <c r="O407" i="3"/>
  <c r="N407" i="3"/>
  <c r="M407" i="3"/>
  <c r="L407" i="3"/>
  <c r="O406" i="3"/>
  <c r="N406" i="3"/>
  <c r="M406" i="3"/>
  <c r="L406" i="3"/>
  <c r="O404" i="3"/>
  <c r="O403" i="3"/>
  <c r="O402" i="3"/>
  <c r="N404" i="3"/>
  <c r="N403" i="3"/>
  <c r="N402" i="3"/>
  <c r="M404" i="3"/>
  <c r="M403" i="3"/>
  <c r="M402" i="3"/>
  <c r="L404" i="3"/>
  <c r="L403" i="3"/>
  <c r="L402" i="3"/>
  <c r="J408" i="3"/>
  <c r="I408" i="3"/>
  <c r="H408" i="3"/>
  <c r="G408" i="3"/>
  <c r="J407" i="3"/>
  <c r="I407" i="3"/>
  <c r="H407" i="3"/>
  <c r="G407" i="3"/>
  <c r="J406" i="3"/>
  <c r="I406" i="3"/>
  <c r="H406" i="3"/>
  <c r="G406" i="3"/>
  <c r="J416" i="3"/>
  <c r="I416" i="3"/>
  <c r="H416" i="3"/>
  <c r="G416" i="3"/>
  <c r="J415" i="3"/>
  <c r="I415" i="3"/>
  <c r="H415" i="3"/>
  <c r="G415" i="3"/>
  <c r="J414" i="3"/>
  <c r="I414" i="3"/>
  <c r="H414" i="3"/>
  <c r="G414" i="3"/>
  <c r="J420" i="3"/>
  <c r="I420" i="3"/>
  <c r="H420" i="3"/>
  <c r="G420" i="3"/>
  <c r="J419" i="3"/>
  <c r="I419" i="3"/>
  <c r="H419" i="3"/>
  <c r="G419" i="3"/>
  <c r="J418" i="3"/>
  <c r="I418" i="3"/>
  <c r="H418" i="3"/>
  <c r="G418" i="3"/>
  <c r="J404" i="3"/>
  <c r="J403" i="3"/>
  <c r="J402" i="3"/>
  <c r="I404" i="3"/>
  <c r="I403" i="3"/>
  <c r="I402" i="3"/>
  <c r="H404" i="3"/>
  <c r="H403" i="3"/>
  <c r="H402" i="3"/>
  <c r="G404" i="3"/>
  <c r="G403" i="3"/>
  <c r="G402" i="3"/>
  <c r="C420" i="3"/>
  <c r="B420" i="3"/>
  <c r="C419" i="3"/>
  <c r="B419" i="3"/>
  <c r="C418" i="3"/>
  <c r="B418" i="3"/>
  <c r="B402" i="3"/>
  <c r="C416" i="3"/>
  <c r="B416" i="3"/>
  <c r="C415" i="3"/>
  <c r="B415" i="3"/>
  <c r="C414" i="3"/>
  <c r="B414" i="3"/>
  <c r="B406" i="3"/>
  <c r="C408" i="3"/>
  <c r="B408" i="3"/>
  <c r="C407" i="3"/>
  <c r="B407" i="3"/>
  <c r="C406" i="3"/>
  <c r="C404" i="3"/>
  <c r="C403" i="3"/>
  <c r="C402" i="3"/>
  <c r="B404" i="3"/>
  <c r="B403" i="3"/>
  <c r="AM94" i="7"/>
  <c r="AL94" i="7"/>
  <c r="AK94" i="7"/>
  <c r="AJ94" i="7"/>
  <c r="AM93" i="7"/>
  <c r="AL93" i="7"/>
  <c r="AK93" i="7"/>
  <c r="AJ93" i="7"/>
  <c r="AM92" i="7"/>
  <c r="AL92" i="7"/>
  <c r="AK92" i="7"/>
  <c r="AJ92" i="7"/>
  <c r="AM90" i="7"/>
  <c r="AL90" i="7"/>
  <c r="AJ90" i="7"/>
  <c r="AM89" i="7"/>
  <c r="AL89" i="7"/>
  <c r="AK89" i="7"/>
  <c r="AJ89" i="7"/>
  <c r="AM88" i="7"/>
  <c r="AL88" i="7"/>
  <c r="AK88" i="7"/>
  <c r="AJ88" i="7"/>
  <c r="AM82" i="7"/>
  <c r="AL82" i="7"/>
  <c r="AK82" i="7"/>
  <c r="AJ82" i="7"/>
  <c r="AM81" i="7"/>
  <c r="AL81" i="7"/>
  <c r="AK81" i="7"/>
  <c r="AJ81" i="7"/>
  <c r="AM80" i="7"/>
  <c r="AL80" i="7"/>
  <c r="AK80" i="7"/>
  <c r="AJ80" i="7"/>
  <c r="AJ78" i="7"/>
  <c r="AJ77" i="7"/>
  <c r="AJ76" i="7"/>
  <c r="AE88" i="7"/>
  <c r="AH94" i="7"/>
  <c r="AG94" i="7"/>
  <c r="AF94" i="7"/>
  <c r="AE94" i="7"/>
  <c r="AH93" i="7"/>
  <c r="AG93" i="7"/>
  <c r="AF93" i="7"/>
  <c r="AE93" i="7"/>
  <c r="AH92" i="7"/>
  <c r="AG92" i="7"/>
  <c r="AF92" i="7"/>
  <c r="AE92" i="7"/>
  <c r="AH90" i="7"/>
  <c r="AG90" i="7"/>
  <c r="AE90" i="7"/>
  <c r="AH89" i="7"/>
  <c r="AG89" i="7"/>
  <c r="AF89" i="7"/>
  <c r="AE89" i="7"/>
  <c r="AH88" i="7"/>
  <c r="AG88" i="7"/>
  <c r="AF88" i="7"/>
  <c r="AH82" i="7"/>
  <c r="AG82" i="7"/>
  <c r="AF82" i="7"/>
  <c r="AE82" i="7"/>
  <c r="AH81" i="7"/>
  <c r="AG81" i="7"/>
  <c r="AF81" i="7"/>
  <c r="AE81" i="7"/>
  <c r="AH80" i="7"/>
  <c r="AG80" i="7"/>
  <c r="AF80" i="7"/>
  <c r="AE80" i="7"/>
  <c r="AH78" i="7"/>
  <c r="AG78" i="7"/>
  <c r="AF78" i="7"/>
  <c r="AE78" i="7"/>
  <c r="AH77" i="7"/>
  <c r="AG77" i="7"/>
  <c r="AF77" i="7"/>
  <c r="AE77" i="7"/>
  <c r="AH76" i="7"/>
  <c r="AG76" i="7"/>
  <c r="AF76" i="7"/>
  <c r="AE76" i="7"/>
  <c r="AM85" i="7"/>
  <c r="AL84" i="7"/>
  <c r="AM86" i="7"/>
  <c r="AL85" i="7"/>
  <c r="AK84" i="7"/>
  <c r="AL86" i="7"/>
  <c r="AK85" i="7"/>
  <c r="AJ84" i="7"/>
  <c r="AM84" i="7"/>
  <c r="AJ86" i="7"/>
  <c r="AK86" i="7"/>
  <c r="AJ85" i="7"/>
  <c r="AN86" i="7"/>
  <c r="AH85" i="7"/>
  <c r="AG84" i="7"/>
  <c r="AH86" i="7"/>
  <c r="AG85" i="7"/>
  <c r="AF84" i="7"/>
  <c r="AG86" i="7"/>
  <c r="AF85" i="7"/>
  <c r="AE84" i="7"/>
  <c r="AH84" i="7"/>
  <c r="AE86" i="7"/>
  <c r="AF86" i="7"/>
  <c r="AE85" i="7"/>
  <c r="AC84" i="7"/>
  <c r="AC86" i="7"/>
  <c r="AC85" i="7"/>
  <c r="AB86" i="7"/>
  <c r="AB85" i="7"/>
  <c r="AB84" i="7"/>
  <c r="AA86" i="7"/>
  <c r="AA85" i="7"/>
  <c r="AA84" i="7"/>
  <c r="Z86" i="7"/>
  <c r="Z85" i="7"/>
  <c r="Z84" i="7"/>
  <c r="Z80" i="7"/>
  <c r="AC94" i="7"/>
  <c r="AB94" i="7"/>
  <c r="AA94" i="7"/>
  <c r="Z94" i="7"/>
  <c r="AC93" i="7"/>
  <c r="AB93" i="7"/>
  <c r="AA93" i="7"/>
  <c r="Z93" i="7"/>
  <c r="AC92" i="7"/>
  <c r="AB92" i="7"/>
  <c r="AA92" i="7"/>
  <c r="Z92" i="7"/>
  <c r="AC90" i="7"/>
  <c r="AB90" i="7"/>
  <c r="AA90" i="7"/>
  <c r="Z90" i="7"/>
  <c r="AC89" i="7"/>
  <c r="AB89" i="7"/>
  <c r="AA89" i="7"/>
  <c r="Z89" i="7"/>
  <c r="AC88" i="7"/>
  <c r="AB88" i="7"/>
  <c r="AA88" i="7"/>
  <c r="Z88" i="7"/>
  <c r="AC82" i="7"/>
  <c r="AB82" i="7"/>
  <c r="AA82" i="7"/>
  <c r="Z82" i="7"/>
  <c r="AC81" i="7"/>
  <c r="AB81" i="7"/>
  <c r="AA81" i="7"/>
  <c r="Z81" i="7"/>
  <c r="AC80" i="7"/>
  <c r="AB80" i="7"/>
  <c r="AA80" i="7"/>
  <c r="AC78" i="7"/>
  <c r="AB78" i="7"/>
  <c r="AA78" i="7"/>
  <c r="Z78" i="7"/>
  <c r="AC77" i="7"/>
  <c r="AB77" i="7"/>
  <c r="AA77" i="7"/>
  <c r="Z77" i="7"/>
  <c r="AC76" i="7"/>
  <c r="AB76" i="7"/>
  <c r="AA76" i="7"/>
  <c r="Z76" i="7"/>
  <c r="BD94" i="7"/>
  <c r="BC94" i="7"/>
  <c r="BB94" i="7"/>
  <c r="BA94" i="7"/>
  <c r="BD93" i="7"/>
  <c r="BC93" i="7"/>
  <c r="BB93" i="7"/>
  <c r="BA93" i="7"/>
  <c r="BD92" i="7"/>
  <c r="BC92" i="7"/>
  <c r="BB92" i="7"/>
  <c r="BA92" i="7"/>
  <c r="BD90" i="7"/>
  <c r="BC90" i="7"/>
  <c r="BA90" i="7"/>
  <c r="BD89" i="7"/>
  <c r="BC89" i="7"/>
  <c r="BB89" i="7"/>
  <c r="BA89" i="7"/>
  <c r="BD88" i="7"/>
  <c r="BC88" i="7"/>
  <c r="BB88" i="7"/>
  <c r="BA88" i="7"/>
  <c r="BE90" i="7"/>
  <c r="BD82" i="7"/>
  <c r="BC82" i="7"/>
  <c r="BB82" i="7"/>
  <c r="BA82" i="7"/>
  <c r="BD81" i="7"/>
  <c r="BC81" i="7"/>
  <c r="BB81" i="7"/>
  <c r="BA81" i="7"/>
  <c r="BD80" i="7"/>
  <c r="BC80" i="7"/>
  <c r="BB80" i="7"/>
  <c r="BA80" i="7"/>
  <c r="BD78" i="7"/>
  <c r="BC78" i="7"/>
  <c r="BB78" i="7"/>
  <c r="BA78" i="7"/>
  <c r="BD77" i="7"/>
  <c r="BC77" i="7"/>
  <c r="BB77" i="7"/>
  <c r="BA77" i="7"/>
  <c r="BD76" i="7"/>
  <c r="BC76" i="7"/>
  <c r="BB76" i="7"/>
  <c r="BA76" i="7"/>
  <c r="AY94" i="7"/>
  <c r="AX94" i="7"/>
  <c r="AW94" i="7"/>
  <c r="AV94" i="7"/>
  <c r="AY93" i="7"/>
  <c r="AX93" i="7"/>
  <c r="AW93" i="7"/>
  <c r="AV93" i="7"/>
  <c r="AY92" i="7"/>
  <c r="AX92" i="7"/>
  <c r="AW92" i="7"/>
  <c r="AV92" i="7"/>
  <c r="AV88" i="7"/>
  <c r="AY90" i="7"/>
  <c r="AX90" i="7"/>
  <c r="AV90" i="7"/>
  <c r="AY89" i="7"/>
  <c r="AX89" i="7"/>
  <c r="AW89" i="7"/>
  <c r="AV89" i="7"/>
  <c r="AY88" i="7"/>
  <c r="AX88" i="7"/>
  <c r="AW88" i="7"/>
  <c r="AY82" i="7"/>
  <c r="AX82" i="7"/>
  <c r="AW82" i="7"/>
  <c r="AV82" i="7"/>
  <c r="AY81" i="7"/>
  <c r="AX81" i="7"/>
  <c r="AW81" i="7"/>
  <c r="AV81" i="7"/>
  <c r="AY80" i="7"/>
  <c r="AX80" i="7"/>
  <c r="AW80" i="7"/>
  <c r="AV80" i="7"/>
  <c r="AW76" i="7"/>
  <c r="AV76" i="7"/>
  <c r="AW84" i="7"/>
  <c r="AV86" i="7"/>
  <c r="AV85" i="7"/>
  <c r="AV84" i="7"/>
  <c r="AQ84" i="7"/>
  <c r="BD86" i="7"/>
  <c r="BC85" i="7"/>
  <c r="BB84" i="7"/>
  <c r="BD84" i="7"/>
  <c r="BA86" i="7"/>
  <c r="BB86" i="7"/>
  <c r="BA85" i="7"/>
  <c r="BC86" i="7"/>
  <c r="BB85" i="7"/>
  <c r="BA84" i="7"/>
  <c r="BD85" i="7"/>
  <c r="BC84" i="7"/>
  <c r="AY84" i="7"/>
  <c r="N164" i="7"/>
  <c r="B164" i="7"/>
  <c r="M163" i="7"/>
  <c r="L162" i="7"/>
  <c r="E162" i="7"/>
  <c r="N161" i="7"/>
  <c r="B161" i="7"/>
  <c r="M160" i="7"/>
  <c r="L159" i="7"/>
  <c r="E159" i="7"/>
  <c r="AD149" i="7"/>
  <c r="N149" i="7"/>
  <c r="B149" i="7"/>
  <c r="AB148" i="7"/>
  <c r="R148" i="7"/>
  <c r="M148" i="7"/>
  <c r="L147" i="7"/>
  <c r="E147" i="7"/>
  <c r="N145" i="7"/>
  <c r="B145" i="7"/>
  <c r="M144" i="7"/>
  <c r="L143" i="7"/>
  <c r="E143" i="7"/>
  <c r="N141" i="7"/>
  <c r="N152" i="7" s="1"/>
  <c r="B141" i="7"/>
  <c r="M140" i="7"/>
  <c r="L139" i="7"/>
  <c r="E139" i="7"/>
  <c r="N137" i="7"/>
  <c r="B137" i="7"/>
  <c r="M136" i="7"/>
  <c r="AC148" i="7" s="1"/>
  <c r="L135" i="7"/>
  <c r="AB147" i="7" s="1"/>
  <c r="E135" i="7"/>
  <c r="N133" i="7"/>
  <c r="B133" i="7"/>
  <c r="R149" i="7" s="1"/>
  <c r="M132" i="7"/>
  <c r="M151" i="7" s="1"/>
  <c r="L131" i="7"/>
  <c r="E131" i="7"/>
  <c r="U147" i="7" s="1"/>
  <c r="B124" i="7"/>
  <c r="L123" i="7"/>
  <c r="P123" i="7" s="1"/>
  <c r="G123" i="7"/>
  <c r="D123" i="7"/>
  <c r="C123" i="7"/>
  <c r="B123" i="7"/>
  <c r="O122" i="7"/>
  <c r="J122" i="7"/>
  <c r="E122" i="7"/>
  <c r="C122" i="7"/>
  <c r="N121" i="7"/>
  <c r="B121" i="7"/>
  <c r="L119" i="7"/>
  <c r="G119" i="7"/>
  <c r="D119" i="7"/>
  <c r="C119" i="7"/>
  <c r="B119" i="7"/>
  <c r="O118" i="7"/>
  <c r="J118" i="7"/>
  <c r="E118" i="7"/>
  <c r="C118" i="7"/>
  <c r="N117" i="7"/>
  <c r="B117" i="7"/>
  <c r="L115" i="7"/>
  <c r="G115" i="7"/>
  <c r="D115" i="7"/>
  <c r="C115" i="7"/>
  <c r="B115" i="7"/>
  <c r="O114" i="7"/>
  <c r="O125" i="7" s="1"/>
  <c r="J114" i="7"/>
  <c r="E114" i="7"/>
  <c r="C114" i="7"/>
  <c r="N113" i="7"/>
  <c r="B113" i="7"/>
  <c r="L111" i="7"/>
  <c r="G111" i="7"/>
  <c r="D111" i="7"/>
  <c r="C111" i="7"/>
  <c r="B111" i="7"/>
  <c r="O110" i="7"/>
  <c r="J110" i="7"/>
  <c r="E110" i="7"/>
  <c r="C110" i="7"/>
  <c r="N109" i="7"/>
  <c r="B109" i="7"/>
  <c r="L107" i="7"/>
  <c r="G107" i="7"/>
  <c r="D107" i="7"/>
  <c r="C107" i="7"/>
  <c r="B107" i="7"/>
  <c r="AB106" i="7"/>
  <c r="W106" i="7"/>
  <c r="T106" i="7"/>
  <c r="S106" i="7"/>
  <c r="R106" i="7"/>
  <c r="O106" i="7"/>
  <c r="J106" i="7"/>
  <c r="E106" i="7"/>
  <c r="C106" i="7"/>
  <c r="AE105" i="7"/>
  <c r="Z105" i="7"/>
  <c r="U105" i="7"/>
  <c r="S105" i="7"/>
  <c r="N105" i="7"/>
  <c r="N124" i="7" s="1"/>
  <c r="B105" i="7"/>
  <c r="AD104" i="7"/>
  <c r="R104" i="7"/>
  <c r="AQ94" i="7"/>
  <c r="U94" i="7"/>
  <c r="AT93" i="7"/>
  <c r="AS93" i="7"/>
  <c r="AR93" i="7"/>
  <c r="AQ93" i="7"/>
  <c r="V93" i="7"/>
  <c r="U93" i="7"/>
  <c r="AT92" i="7"/>
  <c r="AQ90" i="7"/>
  <c r="U90" i="7"/>
  <c r="AT88" i="7"/>
  <c r="AQ86" i="7"/>
  <c r="U86" i="7"/>
  <c r="AT84" i="7"/>
  <c r="V83" i="7"/>
  <c r="U83" i="7"/>
  <c r="AQ82" i="7"/>
  <c r="U82" i="7"/>
  <c r="AT80" i="7"/>
  <c r="AQ78" i="7"/>
  <c r="AL78" i="7"/>
  <c r="U78" i="7"/>
  <c r="AK77" i="7"/>
  <c r="AT76" i="7"/>
  <c r="U74" i="7"/>
  <c r="U73" i="7"/>
  <c r="V73" i="7" s="1"/>
  <c r="U70" i="7"/>
  <c r="U66" i="7"/>
  <c r="V63" i="7"/>
  <c r="U63" i="7"/>
  <c r="U62" i="7"/>
  <c r="U58" i="7"/>
  <c r="U54" i="7"/>
  <c r="V53" i="7"/>
  <c r="U53" i="7"/>
  <c r="U50" i="7"/>
  <c r="U46" i="7"/>
  <c r="U43" i="7"/>
  <c r="U42" i="7"/>
  <c r="V43" i="7" s="1"/>
  <c r="U39" i="7"/>
  <c r="U38" i="7"/>
  <c r="V41" i="7" s="1"/>
  <c r="U37" i="7"/>
  <c r="V36" i="7"/>
  <c r="U36" i="7"/>
  <c r="V35" i="7"/>
  <c r="U35" i="7"/>
  <c r="U34" i="7"/>
  <c r="V37" i="7" s="1"/>
  <c r="V33" i="7"/>
  <c r="U33" i="7"/>
  <c r="U32" i="7"/>
  <c r="U31" i="7"/>
  <c r="V31" i="7" s="1"/>
  <c r="U30" i="7"/>
  <c r="V32" i="7" s="1"/>
  <c r="U26" i="7"/>
  <c r="V23" i="7"/>
  <c r="U23" i="7"/>
  <c r="U22" i="7"/>
  <c r="U18" i="7"/>
  <c r="U14" i="7"/>
  <c r="V13" i="7"/>
  <c r="U13" i="7"/>
  <c r="U10" i="7"/>
  <c r="U6" i="7"/>
  <c r="U3" i="7"/>
  <c r="U2" i="7"/>
  <c r="V3" i="7" s="1"/>
  <c r="AY85" i="7"/>
  <c r="AX84" i="7"/>
  <c r="AY86" i="7"/>
  <c r="AX85" i="7"/>
  <c r="AW86" i="7"/>
  <c r="AX86" i="7"/>
  <c r="AW85" i="7"/>
  <c r="AT85" i="7"/>
  <c r="AS84" i="7"/>
  <c r="AT86" i="7"/>
  <c r="AS86" i="7"/>
  <c r="AS85" i="7"/>
  <c r="AR86" i="7"/>
  <c r="AT94" i="7"/>
  <c r="AS94" i="7"/>
  <c r="AR94" i="7"/>
  <c r="AS92" i="7"/>
  <c r="AR92" i="7"/>
  <c r="AQ92" i="7"/>
  <c r="AQ88" i="7"/>
  <c r="AT90" i="7"/>
  <c r="AS90" i="7"/>
  <c r="AR90" i="7"/>
  <c r="AT89" i="7"/>
  <c r="AS89" i="7"/>
  <c r="AR89" i="7"/>
  <c r="AQ89" i="7"/>
  <c r="AS88" i="7"/>
  <c r="AR88" i="7"/>
  <c r="AR85" i="7"/>
  <c r="AQ85" i="7"/>
  <c r="AR84" i="7"/>
  <c r="AT82" i="7"/>
  <c r="AS82" i="7"/>
  <c r="AR82" i="7"/>
  <c r="AT81" i="7"/>
  <c r="AS81" i="7"/>
  <c r="AR81" i="7"/>
  <c r="AQ81" i="7"/>
  <c r="AS80" i="7"/>
  <c r="AR80" i="7"/>
  <c r="AQ80" i="7"/>
  <c r="AT78" i="7"/>
  <c r="AS78" i="7"/>
  <c r="AR78" i="7"/>
  <c r="AT77" i="7"/>
  <c r="AS77" i="7"/>
  <c r="AR77" i="7"/>
  <c r="AQ77" i="7"/>
  <c r="AS76" i="7"/>
  <c r="AR76" i="7"/>
  <c r="AQ76" i="7"/>
  <c r="AX76" i="7"/>
  <c r="V226" i="6"/>
  <c r="R227" i="6"/>
  <c r="S228" i="6"/>
  <c r="E231" i="6"/>
  <c r="E323" i="3"/>
  <c r="B231" i="6"/>
  <c r="F228" i="6"/>
  <c r="P228" i="6"/>
  <c r="K228" i="6"/>
  <c r="P225" i="6"/>
  <c r="K225" i="6"/>
  <c r="F225" i="6"/>
  <c r="T188" i="6"/>
  <c r="T231" i="6"/>
  <c r="F231" i="6"/>
  <c r="P222" i="6"/>
  <c r="K222" i="6"/>
  <c r="F222" i="6"/>
  <c r="S233" i="6"/>
  <c r="S232" i="6"/>
  <c r="S189" i="6"/>
  <c r="S188" i="6"/>
  <c r="S187" i="6"/>
  <c r="Y185" i="6"/>
  <c r="G349" i="3"/>
  <c r="G351" i="3"/>
  <c r="G350" i="3"/>
  <c r="P187" i="6"/>
  <c r="P178" i="6"/>
  <c r="K187" i="6"/>
  <c r="F187" i="6"/>
  <c r="K178" i="6"/>
  <c r="F314" i="3"/>
  <c r="I312" i="3"/>
  <c r="B314" i="3"/>
  <c r="V179" i="6"/>
  <c r="V180" i="6"/>
  <c r="S183" i="6"/>
  <c r="R181" i="6"/>
  <c r="S182" i="6" s="1"/>
  <c r="B221" i="6"/>
  <c r="AB225" i="6"/>
  <c r="AE226" i="6"/>
  <c r="AD226" i="6"/>
  <c r="AC226" i="6"/>
  <c r="AB226" i="6"/>
  <c r="AC229" i="6" s="1"/>
  <c r="AE225" i="6"/>
  <c r="AE227" i="6" s="1"/>
  <c r="AD225" i="6"/>
  <c r="AC225" i="6"/>
  <c r="AB227" i="6"/>
  <c r="W225" i="6"/>
  <c r="Z226" i="6"/>
  <c r="Y226" i="6"/>
  <c r="X226" i="6"/>
  <c r="W226" i="6"/>
  <c r="Z225" i="6"/>
  <c r="Z227" i="6" s="1"/>
  <c r="Y225" i="6"/>
  <c r="Y227" i="6" s="1"/>
  <c r="X225" i="6"/>
  <c r="X227" i="6" s="1"/>
  <c r="S225" i="6"/>
  <c r="T225" i="6"/>
  <c r="U225" i="6"/>
  <c r="S226" i="6"/>
  <c r="S229" i="6" s="1"/>
  <c r="T226" i="6"/>
  <c r="T227" i="6" s="1"/>
  <c r="U226" i="6"/>
  <c r="U227" i="6" s="1"/>
  <c r="R226" i="6"/>
  <c r="X229" i="6"/>
  <c r="AD227" i="6"/>
  <c r="AC227" i="6"/>
  <c r="W227" i="6"/>
  <c r="S227" i="6"/>
  <c r="AE181" i="6"/>
  <c r="AD181" i="6"/>
  <c r="AC181" i="6"/>
  <c r="AB181" i="6"/>
  <c r="Z181" i="6"/>
  <c r="Y181" i="6"/>
  <c r="X181" i="6"/>
  <c r="W181" i="6"/>
  <c r="AB180" i="6"/>
  <c r="AC179" i="6"/>
  <c r="AD179" i="6"/>
  <c r="AE179" i="6"/>
  <c r="AC180" i="6"/>
  <c r="AC183" i="6" s="1"/>
  <c r="AD180" i="6"/>
  <c r="AE180" i="6"/>
  <c r="AB179" i="6"/>
  <c r="X179" i="6"/>
  <c r="Y179" i="6"/>
  <c r="Z179" i="6"/>
  <c r="X180" i="6"/>
  <c r="Y180" i="6"/>
  <c r="Z180" i="6"/>
  <c r="X183" i="6" s="1"/>
  <c r="W180" i="6"/>
  <c r="W179" i="6"/>
  <c r="S179" i="6"/>
  <c r="T179" i="6"/>
  <c r="U179" i="6"/>
  <c r="S180" i="6"/>
  <c r="T180" i="6"/>
  <c r="U180" i="6"/>
  <c r="R180" i="6"/>
  <c r="R179" i="6"/>
  <c r="U181" i="6"/>
  <c r="T181" i="6"/>
  <c r="S181" i="6"/>
  <c r="R227" i="3"/>
  <c r="O231" i="6"/>
  <c r="O228" i="6"/>
  <c r="O225" i="6"/>
  <c r="O222" i="6"/>
  <c r="O233" i="6" s="1"/>
  <c r="N231" i="6"/>
  <c r="N228" i="6"/>
  <c r="N225" i="6"/>
  <c r="N222" i="6"/>
  <c r="N233" i="6" s="1"/>
  <c r="M228" i="6"/>
  <c r="M225" i="6"/>
  <c r="M233" i="6" s="1"/>
  <c r="M222" i="6"/>
  <c r="L231" i="6"/>
  <c r="L228" i="6"/>
  <c r="L225" i="6"/>
  <c r="L222" i="6"/>
  <c r="L233" i="6" s="1"/>
  <c r="J231" i="6"/>
  <c r="J228" i="6"/>
  <c r="J233" i="6" s="1"/>
  <c r="J225" i="6"/>
  <c r="J222" i="6"/>
  <c r="I231" i="6"/>
  <c r="I228" i="6"/>
  <c r="I225" i="6"/>
  <c r="I222" i="6"/>
  <c r="H228" i="6"/>
  <c r="H225" i="6"/>
  <c r="H222" i="6"/>
  <c r="G231" i="6"/>
  <c r="G228" i="6"/>
  <c r="G225" i="6"/>
  <c r="G222" i="6"/>
  <c r="E222" i="6"/>
  <c r="E228" i="6"/>
  <c r="E225" i="6"/>
  <c r="D231" i="6"/>
  <c r="D228" i="6"/>
  <c r="D225" i="6"/>
  <c r="D222" i="6"/>
  <c r="C222" i="6"/>
  <c r="C231" i="6"/>
  <c r="C228" i="6"/>
  <c r="C225" i="6"/>
  <c r="C233" i="6"/>
  <c r="B228" i="6"/>
  <c r="B225" i="6"/>
  <c r="B233" i="6" s="1"/>
  <c r="B222" i="6"/>
  <c r="O230" i="6"/>
  <c r="N230" i="6"/>
  <c r="M230" i="6"/>
  <c r="L230" i="6"/>
  <c r="J230" i="6"/>
  <c r="I230" i="6"/>
  <c r="H230" i="6"/>
  <c r="G230" i="6"/>
  <c r="E230" i="6"/>
  <c r="D230" i="6"/>
  <c r="C230" i="6"/>
  <c r="B230" i="6"/>
  <c r="L227" i="6" a="1"/>
  <c r="L227" i="6" s="1"/>
  <c r="G227" i="6" a="1"/>
  <c r="H232" i="6" s="1"/>
  <c r="B227" i="6" a="1"/>
  <c r="B227" i="6" s="1"/>
  <c r="O224" i="6"/>
  <c r="N224" i="6"/>
  <c r="M224" i="6"/>
  <c r="L224" i="6"/>
  <c r="J224" i="6"/>
  <c r="I224" i="6"/>
  <c r="H224" i="6"/>
  <c r="G224" i="6"/>
  <c r="E224" i="6"/>
  <c r="D224" i="6"/>
  <c r="C224" i="6"/>
  <c r="B224" i="6"/>
  <c r="I233" i="6"/>
  <c r="E233" i="6"/>
  <c r="D233" i="6"/>
  <c r="O221" i="6"/>
  <c r="O232" i="6" s="1"/>
  <c r="N221" i="6"/>
  <c r="N232" i="6" s="1"/>
  <c r="M221" i="6"/>
  <c r="M232" i="6" s="1"/>
  <c r="L221" i="6"/>
  <c r="J221" i="6"/>
  <c r="J232" i="6" s="1"/>
  <c r="I221" i="6"/>
  <c r="I232" i="6" s="1"/>
  <c r="H221" i="6"/>
  <c r="G221" i="6"/>
  <c r="E221" i="6"/>
  <c r="E232" i="6" s="1"/>
  <c r="D221" i="6"/>
  <c r="D232" i="6" s="1"/>
  <c r="C221" i="6"/>
  <c r="C232" i="6" s="1"/>
  <c r="B232" i="6"/>
  <c r="O187" i="6"/>
  <c r="O184" i="6"/>
  <c r="O181" i="6"/>
  <c r="O178" i="6"/>
  <c r="N187" i="6"/>
  <c r="N184" i="6"/>
  <c r="N181" i="6"/>
  <c r="N178" i="6"/>
  <c r="N189" i="6" s="1"/>
  <c r="M187" i="6"/>
  <c r="M184" i="6"/>
  <c r="M181" i="6"/>
  <c r="M178" i="6"/>
  <c r="L187" i="6"/>
  <c r="L184" i="6"/>
  <c r="L181" i="6"/>
  <c r="L178" i="6"/>
  <c r="J187" i="6"/>
  <c r="J184" i="6"/>
  <c r="J181" i="6"/>
  <c r="J178" i="6"/>
  <c r="J189" i="6" s="1"/>
  <c r="I187" i="6"/>
  <c r="I184" i="6"/>
  <c r="I181" i="6"/>
  <c r="I178" i="6"/>
  <c r="I189" i="6" s="1"/>
  <c r="H187" i="6"/>
  <c r="H184" i="6"/>
  <c r="H181" i="6"/>
  <c r="H178" i="6"/>
  <c r="G187" i="6"/>
  <c r="G184" i="6"/>
  <c r="G181" i="6"/>
  <c r="G178" i="6"/>
  <c r="B188" i="6"/>
  <c r="O189" i="6"/>
  <c r="M189" i="6"/>
  <c r="O188" i="6"/>
  <c r="N188" i="6"/>
  <c r="M188" i="6"/>
  <c r="L188" i="6"/>
  <c r="H189" i="6"/>
  <c r="J188" i="6"/>
  <c r="I188" i="6"/>
  <c r="H188" i="6"/>
  <c r="G188" i="6"/>
  <c r="E189" i="6"/>
  <c r="D189" i="6"/>
  <c r="C189" i="6"/>
  <c r="B189" i="6"/>
  <c r="E188" i="6"/>
  <c r="D188" i="6"/>
  <c r="C188" i="6"/>
  <c r="E187" i="6"/>
  <c r="D187" i="6"/>
  <c r="C187" i="6"/>
  <c r="B187" i="6"/>
  <c r="E184" i="6"/>
  <c r="D184" i="6"/>
  <c r="C184" i="6"/>
  <c r="B184" i="6"/>
  <c r="E181" i="6"/>
  <c r="D181" i="6"/>
  <c r="C181" i="6"/>
  <c r="B181" i="6"/>
  <c r="D178" i="6"/>
  <c r="E178" i="6"/>
  <c r="C178" i="6"/>
  <c r="B178" i="6"/>
  <c r="B154" i="6"/>
  <c r="O186" i="6"/>
  <c r="N186" i="6"/>
  <c r="M186" i="6"/>
  <c r="L186" i="6"/>
  <c r="L183" i="6" a="1"/>
  <c r="L183" i="6" s="1"/>
  <c r="O180" i="6"/>
  <c r="N180" i="6"/>
  <c r="M180" i="6"/>
  <c r="L180" i="6"/>
  <c r="O177" i="6"/>
  <c r="N177" i="6"/>
  <c r="M177" i="6"/>
  <c r="L177" i="6"/>
  <c r="G177" i="6"/>
  <c r="J186" i="6"/>
  <c r="I186" i="6"/>
  <c r="H186" i="6"/>
  <c r="G186" i="6"/>
  <c r="G183" i="6" a="1"/>
  <c r="G183" i="6" s="1"/>
  <c r="J180" i="6"/>
  <c r="I180" i="6"/>
  <c r="H180" i="6"/>
  <c r="G180" i="6"/>
  <c r="J177" i="6"/>
  <c r="I177" i="6"/>
  <c r="H177" i="6"/>
  <c r="C186" i="6"/>
  <c r="D186" i="6"/>
  <c r="E186" i="6"/>
  <c r="B186" i="6"/>
  <c r="B183" i="6" a="1"/>
  <c r="B183" i="6" s="1"/>
  <c r="C180" i="6"/>
  <c r="D180" i="6"/>
  <c r="E180" i="6"/>
  <c r="B180" i="6"/>
  <c r="C177" i="6"/>
  <c r="D177" i="6"/>
  <c r="E177" i="6"/>
  <c r="B177" i="6"/>
  <c r="AC159" i="6"/>
  <c r="AF157" i="6"/>
  <c r="AF155" i="6"/>
  <c r="AC155" i="6"/>
  <c r="AD155" i="6"/>
  <c r="AE155" i="6"/>
  <c r="AC156" i="6"/>
  <c r="AD156" i="6"/>
  <c r="AE156" i="6"/>
  <c r="AC157" i="6"/>
  <c r="AD157" i="6"/>
  <c r="AE157" i="6"/>
  <c r="AB156" i="6"/>
  <c r="AB157" i="6"/>
  <c r="AB155" i="6"/>
  <c r="X155" i="6"/>
  <c r="Y155" i="6"/>
  <c r="Z155" i="6"/>
  <c r="X156" i="6"/>
  <c r="Y156" i="6"/>
  <c r="Z156" i="6"/>
  <c r="X157" i="6"/>
  <c r="Y157" i="6"/>
  <c r="Z157" i="6"/>
  <c r="W156" i="6"/>
  <c r="W157" i="6"/>
  <c r="W155" i="6"/>
  <c r="S155" i="6"/>
  <c r="T155" i="6"/>
  <c r="U155" i="6"/>
  <c r="S156" i="6"/>
  <c r="T156" i="6"/>
  <c r="U156" i="6"/>
  <c r="S157" i="6"/>
  <c r="T157" i="6"/>
  <c r="U157" i="6"/>
  <c r="R156" i="6"/>
  <c r="AF156" i="6" s="1"/>
  <c r="R157" i="6"/>
  <c r="R155" i="6"/>
  <c r="R203" i="6"/>
  <c r="B153" i="6"/>
  <c r="O167" i="6"/>
  <c r="N167" i="6"/>
  <c r="M167" i="6"/>
  <c r="L167" i="6"/>
  <c r="J167" i="6"/>
  <c r="I167" i="6"/>
  <c r="H167" i="6"/>
  <c r="G167" i="6"/>
  <c r="E167" i="6"/>
  <c r="D167" i="6"/>
  <c r="C167" i="6"/>
  <c r="B167" i="6"/>
  <c r="O166" i="6"/>
  <c r="N166" i="6"/>
  <c r="M166" i="6"/>
  <c r="L166" i="6"/>
  <c r="J166" i="6"/>
  <c r="I166" i="6"/>
  <c r="H166" i="6"/>
  <c r="G166" i="6"/>
  <c r="E166" i="6"/>
  <c r="D166" i="6"/>
  <c r="C166" i="6"/>
  <c r="B166" i="6"/>
  <c r="O165" i="6"/>
  <c r="N165" i="6"/>
  <c r="M165" i="6"/>
  <c r="L165" i="6"/>
  <c r="J165" i="6"/>
  <c r="I165" i="6"/>
  <c r="H165" i="6"/>
  <c r="G165" i="6"/>
  <c r="E165" i="6"/>
  <c r="D165" i="6"/>
  <c r="C165" i="6"/>
  <c r="B165" i="6"/>
  <c r="O163" i="6"/>
  <c r="N163" i="6"/>
  <c r="M163" i="6"/>
  <c r="L163" i="6"/>
  <c r="J163" i="6"/>
  <c r="I163" i="6"/>
  <c r="H163" i="6"/>
  <c r="G163" i="6"/>
  <c r="E163" i="6"/>
  <c r="D163" i="6"/>
  <c r="C163" i="6"/>
  <c r="B163" i="6"/>
  <c r="O162" i="6"/>
  <c r="N162" i="6"/>
  <c r="M162" i="6"/>
  <c r="L162" i="6"/>
  <c r="J162" i="6"/>
  <c r="I162" i="6"/>
  <c r="H162" i="6"/>
  <c r="G162" i="6"/>
  <c r="E162" i="6"/>
  <c r="D162" i="6"/>
  <c r="C162" i="6"/>
  <c r="B162" i="6"/>
  <c r="O161" i="6"/>
  <c r="N161" i="6"/>
  <c r="M161" i="6"/>
  <c r="L161" i="6"/>
  <c r="J161" i="6"/>
  <c r="I161" i="6"/>
  <c r="H161" i="6"/>
  <c r="G161" i="6"/>
  <c r="E161" i="6"/>
  <c r="D161" i="6"/>
  <c r="C161" i="6"/>
  <c r="B161" i="6"/>
  <c r="O159" i="6"/>
  <c r="N159" i="6"/>
  <c r="M159" i="6"/>
  <c r="L159" i="6"/>
  <c r="J159" i="6"/>
  <c r="I159" i="6"/>
  <c r="H159" i="6"/>
  <c r="G159" i="6"/>
  <c r="E159" i="6"/>
  <c r="D159" i="6"/>
  <c r="C159" i="6"/>
  <c r="B159" i="6"/>
  <c r="O158" i="6"/>
  <c r="N158" i="6"/>
  <c r="M158" i="6"/>
  <c r="L158" i="6"/>
  <c r="J158" i="6"/>
  <c r="I158" i="6"/>
  <c r="H158" i="6"/>
  <c r="G158" i="6"/>
  <c r="E158" i="6"/>
  <c r="D158" i="6"/>
  <c r="C158" i="6"/>
  <c r="B158" i="6"/>
  <c r="O157" i="6"/>
  <c r="N157" i="6"/>
  <c r="M157" i="6"/>
  <c r="L157" i="6"/>
  <c r="J157" i="6"/>
  <c r="I157" i="6"/>
  <c r="H157" i="6"/>
  <c r="G157" i="6"/>
  <c r="E157" i="6"/>
  <c r="D157" i="6"/>
  <c r="C157" i="6"/>
  <c r="B157" i="6"/>
  <c r="O155" i="6"/>
  <c r="O170" i="6" s="1"/>
  <c r="N155" i="6"/>
  <c r="N170" i="6" s="1"/>
  <c r="M155" i="6"/>
  <c r="M170" i="6" s="1"/>
  <c r="L155" i="6"/>
  <c r="L170" i="6" s="1"/>
  <c r="J155" i="6"/>
  <c r="J170" i="6" s="1"/>
  <c r="I155" i="6"/>
  <c r="I170" i="6" s="1"/>
  <c r="H155" i="6"/>
  <c r="H170" i="6" s="1"/>
  <c r="G155" i="6"/>
  <c r="G170" i="6" s="1"/>
  <c r="E155" i="6"/>
  <c r="E170" i="6" s="1"/>
  <c r="D155" i="6"/>
  <c r="D170" i="6" s="1"/>
  <c r="C155" i="6"/>
  <c r="C170" i="6" s="1"/>
  <c r="B155" i="6"/>
  <c r="B170" i="6" s="1"/>
  <c r="O154" i="6"/>
  <c r="O169" i="6" s="1"/>
  <c r="N154" i="6"/>
  <c r="N169" i="6" s="1"/>
  <c r="M154" i="6"/>
  <c r="M169" i="6" s="1"/>
  <c r="L154" i="6"/>
  <c r="L169" i="6" s="1"/>
  <c r="J154" i="6"/>
  <c r="J169" i="6" s="1"/>
  <c r="I154" i="6"/>
  <c r="I169" i="6" s="1"/>
  <c r="H154" i="6"/>
  <c r="H169" i="6" s="1"/>
  <c r="G154" i="6"/>
  <c r="G169" i="6" s="1"/>
  <c r="E154" i="6"/>
  <c r="E169" i="6" s="1"/>
  <c r="D154" i="6"/>
  <c r="D169" i="6" s="1"/>
  <c r="C154" i="6"/>
  <c r="C169" i="6" s="1"/>
  <c r="B169" i="6"/>
  <c r="O153" i="6"/>
  <c r="O168" i="6" s="1"/>
  <c r="N153" i="6"/>
  <c r="N168" i="6" s="1"/>
  <c r="M153" i="6"/>
  <c r="M168" i="6" s="1"/>
  <c r="L153" i="6"/>
  <c r="L168" i="6" s="1"/>
  <c r="J153" i="6"/>
  <c r="J168" i="6" s="1"/>
  <c r="I153" i="6"/>
  <c r="I168" i="6" s="1"/>
  <c r="H153" i="6"/>
  <c r="H168" i="6" s="1"/>
  <c r="G153" i="6"/>
  <c r="G168" i="6" s="1"/>
  <c r="E153" i="6"/>
  <c r="E168" i="6" s="1"/>
  <c r="D153" i="6"/>
  <c r="D168" i="6" s="1"/>
  <c r="C153" i="6"/>
  <c r="C168" i="6" s="1"/>
  <c r="B168" i="6"/>
  <c r="AY78" i="7"/>
  <c r="AX78" i="7"/>
  <c r="AW78" i="7"/>
  <c r="AV78" i="7"/>
  <c r="AY77" i="7"/>
  <c r="AX77" i="7"/>
  <c r="AW77" i="7"/>
  <c r="AV77" i="7"/>
  <c r="AY76" i="7"/>
  <c r="AM78" i="7"/>
  <c r="AK78" i="7"/>
  <c r="AM77" i="7"/>
  <c r="AL77" i="7"/>
  <c r="AM76" i="7"/>
  <c r="AL76" i="7"/>
  <c r="AK76" i="7"/>
  <c r="F447" i="3"/>
  <c r="K447" i="3"/>
  <c r="P434" i="3"/>
  <c r="H349" i="3"/>
  <c r="G374" i="3"/>
  <c r="G373" i="3"/>
  <c r="H373" i="3"/>
  <c r="P370" i="3"/>
  <c r="P367" i="3"/>
  <c r="P364" i="3"/>
  <c r="P361" i="3"/>
  <c r="P358" i="3"/>
  <c r="K370" i="3"/>
  <c r="K367" i="3"/>
  <c r="K364" i="3"/>
  <c r="K361" i="3"/>
  <c r="K358" i="3"/>
  <c r="F370" i="3"/>
  <c r="F367" i="3"/>
  <c r="F364" i="3"/>
  <c r="F361" i="3"/>
  <c r="F358" i="3"/>
  <c r="O370" i="3"/>
  <c r="N370" i="3"/>
  <c r="M370" i="3"/>
  <c r="L370" i="3"/>
  <c r="J370" i="3"/>
  <c r="I370" i="3"/>
  <c r="H370" i="3"/>
  <c r="G370" i="3"/>
  <c r="E370" i="3"/>
  <c r="D370" i="3"/>
  <c r="C370" i="3"/>
  <c r="B370" i="3"/>
  <c r="O369" i="3"/>
  <c r="N369" i="3"/>
  <c r="M369" i="3"/>
  <c r="L369" i="3"/>
  <c r="J369" i="3"/>
  <c r="I369" i="3"/>
  <c r="H369" i="3"/>
  <c r="G369" i="3"/>
  <c r="E369" i="3"/>
  <c r="D369" i="3"/>
  <c r="C369" i="3"/>
  <c r="B369" i="3"/>
  <c r="O367" i="3"/>
  <c r="N367" i="3"/>
  <c r="M367" i="3"/>
  <c r="L367" i="3"/>
  <c r="J367" i="3"/>
  <c r="I367" i="3"/>
  <c r="H367" i="3"/>
  <c r="G367" i="3"/>
  <c r="E367" i="3"/>
  <c r="D367" i="3"/>
  <c r="C367" i="3"/>
  <c r="B367" i="3"/>
  <c r="O366" i="3"/>
  <c r="N366" i="3"/>
  <c r="M366" i="3"/>
  <c r="L366" i="3"/>
  <c r="J366" i="3"/>
  <c r="I366" i="3"/>
  <c r="H366" i="3"/>
  <c r="G366" i="3"/>
  <c r="E366" i="3"/>
  <c r="D366" i="3"/>
  <c r="C366" i="3"/>
  <c r="B366" i="3"/>
  <c r="O364" i="3"/>
  <c r="N364" i="3"/>
  <c r="M364" i="3"/>
  <c r="L364" i="3"/>
  <c r="J364" i="3"/>
  <c r="I364" i="3"/>
  <c r="H364" i="3"/>
  <c r="G364" i="3"/>
  <c r="E364" i="3"/>
  <c r="D364" i="3"/>
  <c r="C364" i="3"/>
  <c r="B364" i="3"/>
  <c r="O363" i="3"/>
  <c r="N363" i="3"/>
  <c r="M363" i="3"/>
  <c r="L363" i="3"/>
  <c r="J363" i="3"/>
  <c r="I363" i="3"/>
  <c r="H363" i="3"/>
  <c r="G363" i="3"/>
  <c r="E363" i="3"/>
  <c r="D363" i="3"/>
  <c r="C363" i="3"/>
  <c r="B363" i="3"/>
  <c r="O361" i="3"/>
  <c r="N361" i="3"/>
  <c r="M361" i="3"/>
  <c r="L361" i="3"/>
  <c r="J361" i="3"/>
  <c r="I361" i="3"/>
  <c r="H361" i="3"/>
  <c r="G361" i="3"/>
  <c r="E361" i="3"/>
  <c r="D361" i="3"/>
  <c r="C361" i="3"/>
  <c r="B361" i="3"/>
  <c r="O360" i="3"/>
  <c r="N360" i="3"/>
  <c r="M360" i="3"/>
  <c r="L360" i="3"/>
  <c r="J360" i="3"/>
  <c r="I360" i="3"/>
  <c r="H360" i="3"/>
  <c r="G360" i="3"/>
  <c r="E360" i="3"/>
  <c r="D360" i="3"/>
  <c r="C360" i="3"/>
  <c r="B360" i="3"/>
  <c r="O358" i="3"/>
  <c r="N358" i="3"/>
  <c r="M358" i="3"/>
  <c r="L358" i="3"/>
  <c r="J358" i="3"/>
  <c r="I358" i="3"/>
  <c r="H358" i="3"/>
  <c r="G358" i="3"/>
  <c r="E358" i="3"/>
  <c r="D358" i="3"/>
  <c r="C358" i="3"/>
  <c r="B358" i="3"/>
  <c r="O357" i="3"/>
  <c r="N357" i="3"/>
  <c r="M357" i="3"/>
  <c r="L357" i="3"/>
  <c r="J357" i="3"/>
  <c r="I357" i="3"/>
  <c r="H357" i="3"/>
  <c r="G357" i="3"/>
  <c r="E357" i="3"/>
  <c r="D357" i="3"/>
  <c r="C357" i="3"/>
  <c r="B357" i="3"/>
  <c r="F323" i="3"/>
  <c r="F320" i="3"/>
  <c r="F317" i="3"/>
  <c r="P346" i="3"/>
  <c r="P343" i="3"/>
  <c r="P340" i="3"/>
  <c r="P337" i="3"/>
  <c r="P334" i="3"/>
  <c r="K346" i="3"/>
  <c r="K343" i="3"/>
  <c r="K340" i="3"/>
  <c r="K337" i="3"/>
  <c r="K334" i="3"/>
  <c r="F346" i="3"/>
  <c r="F343" i="3"/>
  <c r="F340" i="3"/>
  <c r="F337" i="3"/>
  <c r="F334" i="3"/>
  <c r="I316" i="3"/>
  <c r="S230" i="3"/>
  <c r="J312" i="3"/>
  <c r="K312" i="3"/>
  <c r="K314" i="3" s="1"/>
  <c r="J313" i="3"/>
  <c r="K313" i="3"/>
  <c r="H313" i="3"/>
  <c r="H312" i="3"/>
  <c r="J314" i="3"/>
  <c r="I314" i="3"/>
  <c r="I315" i="3" s="1"/>
  <c r="D323" i="3"/>
  <c r="C323" i="3"/>
  <c r="B323" i="3"/>
  <c r="B325" i="3"/>
  <c r="C325" i="3"/>
  <c r="D325" i="3"/>
  <c r="E325" i="3"/>
  <c r="C324" i="3"/>
  <c r="D324" i="3"/>
  <c r="E324" i="3"/>
  <c r="B324" i="3"/>
  <c r="E320" i="3"/>
  <c r="D320" i="3"/>
  <c r="C320" i="3"/>
  <c r="B320" i="3"/>
  <c r="E317" i="3"/>
  <c r="D317" i="3"/>
  <c r="C317" i="3"/>
  <c r="B317" i="3"/>
  <c r="E314" i="3"/>
  <c r="D314" i="3"/>
  <c r="O213" i="3"/>
  <c r="N213" i="3"/>
  <c r="M213" i="3"/>
  <c r="AC226" i="3" s="1"/>
  <c r="AC228" i="3" s="1"/>
  <c r="L213" i="3"/>
  <c r="AB226" i="3" s="1"/>
  <c r="AB228" i="3" s="1"/>
  <c r="J213" i="3"/>
  <c r="I213" i="3"/>
  <c r="H213" i="3"/>
  <c r="G213" i="3"/>
  <c r="E213" i="3"/>
  <c r="D213" i="3"/>
  <c r="C213" i="3"/>
  <c r="B213" i="3"/>
  <c r="R226" i="3" s="1"/>
  <c r="R228" i="3" s="1"/>
  <c r="O206" i="3"/>
  <c r="M206" i="3"/>
  <c r="L206" i="3"/>
  <c r="J206" i="3"/>
  <c r="H206" i="3"/>
  <c r="G206" i="3"/>
  <c r="E206" i="3"/>
  <c r="D206" i="3"/>
  <c r="C206" i="3"/>
  <c r="B206" i="3"/>
  <c r="O205" i="3"/>
  <c r="N205" i="3"/>
  <c r="L205" i="3"/>
  <c r="J205" i="3"/>
  <c r="I205" i="3"/>
  <c r="G205" i="3"/>
  <c r="D205" i="3"/>
  <c r="C205" i="3"/>
  <c r="B205" i="3"/>
  <c r="O204" i="3"/>
  <c r="N204" i="3"/>
  <c r="M204" i="3"/>
  <c r="L204" i="3"/>
  <c r="J204" i="3"/>
  <c r="I204" i="3"/>
  <c r="H204" i="3"/>
  <c r="D204" i="3"/>
  <c r="C204" i="3"/>
  <c r="B204" i="3"/>
  <c r="AE203" i="3"/>
  <c r="AC203" i="3"/>
  <c r="AB203" i="3"/>
  <c r="Z203" i="3"/>
  <c r="X203" i="3"/>
  <c r="W203" i="3"/>
  <c r="U203" i="3"/>
  <c r="T203" i="3"/>
  <c r="S203" i="3"/>
  <c r="R203" i="3"/>
  <c r="AE202" i="3"/>
  <c r="AD202" i="3"/>
  <c r="AC202" i="3"/>
  <c r="AB202" i="3"/>
  <c r="Z202" i="3"/>
  <c r="Y202" i="3"/>
  <c r="X202" i="3"/>
  <c r="W202" i="3"/>
  <c r="U202" i="3"/>
  <c r="T202" i="3"/>
  <c r="S202" i="3"/>
  <c r="R202" i="3"/>
  <c r="AE201" i="3"/>
  <c r="AD201" i="3"/>
  <c r="AC201" i="3"/>
  <c r="AB201" i="3"/>
  <c r="Z201" i="3"/>
  <c r="Y201" i="3"/>
  <c r="X201" i="3"/>
  <c r="T201" i="3"/>
  <c r="S201" i="3"/>
  <c r="R201" i="3"/>
  <c r="T187" i="3"/>
  <c r="S187" i="3"/>
  <c r="R187" i="3"/>
  <c r="X186" i="3"/>
  <c r="W186" i="3"/>
  <c r="P186" i="3"/>
  <c r="W20" i="3"/>
  <c r="W19" i="3"/>
  <c r="V18" i="3"/>
  <c r="C91" i="4"/>
  <c r="P83" i="4"/>
  <c r="P82" i="4"/>
  <c r="P81" i="4"/>
  <c r="I82" i="4"/>
  <c r="I81" i="4"/>
  <c r="D87" i="4"/>
  <c r="L82" i="4"/>
  <c r="D86" i="4"/>
  <c r="B89" i="4"/>
  <c r="B87" i="4"/>
  <c r="C86" i="4"/>
  <c r="AG232" i="3"/>
  <c r="AC230" i="3"/>
  <c r="AC242" i="3"/>
  <c r="X242" i="3"/>
  <c r="X230" i="3"/>
  <c r="AD226" i="3"/>
  <c r="AD228" i="3" s="1"/>
  <c r="AE226" i="3"/>
  <c r="AC227" i="3"/>
  <c r="AD227" i="3"/>
  <c r="AE227" i="3"/>
  <c r="AB227" i="3"/>
  <c r="X226" i="3"/>
  <c r="X228" i="3" s="1"/>
  <c r="Y226" i="3"/>
  <c r="Y228" i="3" s="1"/>
  <c r="Z226" i="3"/>
  <c r="X227" i="3"/>
  <c r="Y227" i="3"/>
  <c r="Z227" i="3"/>
  <c r="W227" i="3"/>
  <c r="W226" i="3"/>
  <c r="W228" i="3" s="1"/>
  <c r="S226" i="3"/>
  <c r="T226" i="3"/>
  <c r="T228" i="3" s="1"/>
  <c r="U226" i="3"/>
  <c r="U228" i="3" s="1"/>
  <c r="S227" i="3"/>
  <c r="T227" i="3"/>
  <c r="U227" i="3"/>
  <c r="S255" i="3"/>
  <c r="L44" i="4"/>
  <c r="AC241" i="3"/>
  <c r="X241" i="3"/>
  <c r="F70" i="4"/>
  <c r="H69" i="4"/>
  <c r="C70" i="4"/>
  <c r="D70" i="4"/>
  <c r="E70" i="4"/>
  <c r="B70" i="4"/>
  <c r="M69" i="4"/>
  <c r="C69" i="4"/>
  <c r="B75" i="4"/>
  <c r="B74" i="4"/>
  <c r="B143" i="7"/>
  <c r="AE239" i="3"/>
  <c r="AE240" i="3" s="1"/>
  <c r="AC238" i="3"/>
  <c r="AD238" i="3"/>
  <c r="AE238" i="3"/>
  <c r="AC239" i="3"/>
  <c r="AC240" i="3" s="1"/>
  <c r="AD239" i="3"/>
  <c r="AD240" i="3" s="1"/>
  <c r="AB239" i="3"/>
  <c r="AB238" i="3"/>
  <c r="AB240" i="3" s="1"/>
  <c r="X238" i="3"/>
  <c r="Y238" i="3"/>
  <c r="Z238" i="3"/>
  <c r="X239" i="3"/>
  <c r="X240" i="3" s="1"/>
  <c r="Y239" i="3"/>
  <c r="Z239" i="3"/>
  <c r="W239" i="3"/>
  <c r="W238" i="3"/>
  <c r="W240" i="3"/>
  <c r="S238" i="3"/>
  <c r="T238" i="3"/>
  <c r="U238" i="3"/>
  <c r="S239" i="3"/>
  <c r="S240" i="3" s="1"/>
  <c r="T239" i="3"/>
  <c r="T240" i="3" s="1"/>
  <c r="U239" i="3"/>
  <c r="U240" i="3" s="1"/>
  <c r="Z240" i="3"/>
  <c r="Y240" i="3"/>
  <c r="R303" i="3"/>
  <c r="S303" i="3"/>
  <c r="S304" i="3"/>
  <c r="C272" i="3"/>
  <c r="O298" i="3"/>
  <c r="O297" i="3"/>
  <c r="O296" i="3"/>
  <c r="N298" i="3"/>
  <c r="N297" i="3"/>
  <c r="N296" i="3"/>
  <c r="M298" i="3"/>
  <c r="M297" i="3"/>
  <c r="M296" i="3"/>
  <c r="L298" i="3"/>
  <c r="L297" i="3"/>
  <c r="L296" i="3"/>
  <c r="J298" i="3"/>
  <c r="J297" i="3"/>
  <c r="J304" i="3" s="1"/>
  <c r="J296" i="3"/>
  <c r="I296" i="3"/>
  <c r="I298" i="3"/>
  <c r="I297" i="3"/>
  <c r="H298" i="3"/>
  <c r="H297" i="3"/>
  <c r="H296" i="3"/>
  <c r="G298" i="3"/>
  <c r="G297" i="3"/>
  <c r="G296" i="3"/>
  <c r="E298" i="3"/>
  <c r="E297" i="3"/>
  <c r="E296" i="3"/>
  <c r="D298" i="3"/>
  <c r="D297" i="3"/>
  <c r="D296" i="3"/>
  <c r="C298" i="3"/>
  <c r="P298" i="3" s="1"/>
  <c r="C297" i="3"/>
  <c r="P297" i="3" s="1"/>
  <c r="C296" i="3"/>
  <c r="B298" i="3"/>
  <c r="B297" i="3"/>
  <c r="B296" i="3"/>
  <c r="O294" i="3"/>
  <c r="O293" i="3"/>
  <c r="O292" i="3"/>
  <c r="N294" i="3"/>
  <c r="N293" i="3"/>
  <c r="N292" i="3"/>
  <c r="M294" i="3"/>
  <c r="M293" i="3"/>
  <c r="M292" i="3"/>
  <c r="L294" i="3"/>
  <c r="L293" i="3"/>
  <c r="L292" i="3"/>
  <c r="L303" i="3" s="1"/>
  <c r="J294" i="3"/>
  <c r="J293" i="3"/>
  <c r="J292" i="3"/>
  <c r="I294" i="3"/>
  <c r="I293" i="3"/>
  <c r="I304" i="3" s="1"/>
  <c r="I292" i="3"/>
  <c r="H294" i="3"/>
  <c r="H293" i="3"/>
  <c r="H292" i="3"/>
  <c r="G294" i="3"/>
  <c r="G293" i="3"/>
  <c r="G292" i="3"/>
  <c r="E294" i="3"/>
  <c r="E293" i="3"/>
  <c r="E292" i="3"/>
  <c r="D294" i="3"/>
  <c r="D305" i="3" s="1"/>
  <c r="D293" i="3"/>
  <c r="D292" i="3"/>
  <c r="C292" i="3"/>
  <c r="C293" i="3"/>
  <c r="C294" i="3"/>
  <c r="B292" i="3"/>
  <c r="M303" i="3"/>
  <c r="N304" i="3"/>
  <c r="J305" i="3"/>
  <c r="E305" i="3"/>
  <c r="B294" i="3"/>
  <c r="B293" i="3"/>
  <c r="O272" i="3"/>
  <c r="N272" i="3"/>
  <c r="M272" i="3"/>
  <c r="L272" i="3"/>
  <c r="J272" i="3"/>
  <c r="I272" i="3"/>
  <c r="H272" i="3"/>
  <c r="G272" i="3"/>
  <c r="E272" i="3"/>
  <c r="D272" i="3"/>
  <c r="B272" i="3"/>
  <c r="O269" i="3"/>
  <c r="N269" i="3"/>
  <c r="M269" i="3"/>
  <c r="L269" i="3"/>
  <c r="J269" i="3"/>
  <c r="I269" i="3"/>
  <c r="H269" i="3"/>
  <c r="G269" i="3"/>
  <c r="E269" i="3"/>
  <c r="C269" i="3"/>
  <c r="D269" i="3"/>
  <c r="B269" i="3"/>
  <c r="O223" i="3"/>
  <c r="N223" i="3"/>
  <c r="M223" i="3"/>
  <c r="L223" i="3"/>
  <c r="J223" i="3"/>
  <c r="I223" i="3"/>
  <c r="H223" i="3"/>
  <c r="G223" i="3"/>
  <c r="D220" i="3"/>
  <c r="D223" i="3"/>
  <c r="E223" i="3"/>
  <c r="C223" i="3"/>
  <c r="B223" i="3"/>
  <c r="O220" i="3"/>
  <c r="N220" i="3"/>
  <c r="M220" i="3"/>
  <c r="L220" i="3"/>
  <c r="J220" i="3"/>
  <c r="I220" i="3"/>
  <c r="H220" i="3"/>
  <c r="G220" i="3"/>
  <c r="E220" i="3"/>
  <c r="C220" i="3"/>
  <c r="B220" i="3"/>
  <c r="O115" i="7"/>
  <c r="O117" i="7"/>
  <c r="O113" i="7"/>
  <c r="N115" i="7"/>
  <c r="N114" i="7"/>
  <c r="M115" i="7"/>
  <c r="M114" i="7"/>
  <c r="M113" i="7"/>
  <c r="L114" i="7"/>
  <c r="L113" i="7"/>
  <c r="P113" i="7" s="1"/>
  <c r="J115" i="7"/>
  <c r="J113" i="7"/>
  <c r="I115" i="7"/>
  <c r="I114" i="7"/>
  <c r="I113" i="7"/>
  <c r="H115" i="7"/>
  <c r="H114" i="7"/>
  <c r="H113" i="7"/>
  <c r="G114" i="7"/>
  <c r="G113" i="7"/>
  <c r="E115" i="7"/>
  <c r="E113" i="7"/>
  <c r="D114" i="7"/>
  <c r="D113" i="7"/>
  <c r="C113" i="7"/>
  <c r="B114" i="7"/>
  <c r="O119" i="7"/>
  <c r="N119" i="7"/>
  <c r="N118" i="7"/>
  <c r="M119" i="7"/>
  <c r="M118" i="7"/>
  <c r="M117" i="7"/>
  <c r="L118" i="7"/>
  <c r="L117" i="7"/>
  <c r="P117" i="7" s="1"/>
  <c r="J119" i="7"/>
  <c r="J117" i="7"/>
  <c r="I119" i="7"/>
  <c r="I118" i="7"/>
  <c r="I117" i="7"/>
  <c r="H119" i="7"/>
  <c r="H118" i="7"/>
  <c r="H117" i="7"/>
  <c r="G118" i="7"/>
  <c r="G117" i="7"/>
  <c r="E119" i="7"/>
  <c r="E117" i="7"/>
  <c r="D118" i="7"/>
  <c r="D117" i="7"/>
  <c r="C117" i="7"/>
  <c r="B118" i="7"/>
  <c r="O199" i="3"/>
  <c r="O198" i="3"/>
  <c r="O197" i="3"/>
  <c r="N199" i="3"/>
  <c r="N198" i="3"/>
  <c r="N197" i="3"/>
  <c r="M199" i="3"/>
  <c r="P199" i="3" s="1"/>
  <c r="M198" i="3"/>
  <c r="P198" i="3" s="1"/>
  <c r="M197" i="3"/>
  <c r="L199" i="3"/>
  <c r="L198" i="3"/>
  <c r="L197" i="3"/>
  <c r="J199" i="3"/>
  <c r="J198" i="3"/>
  <c r="J197" i="3"/>
  <c r="I199" i="3"/>
  <c r="I198" i="3"/>
  <c r="I197" i="3"/>
  <c r="H199" i="3"/>
  <c r="H198" i="3"/>
  <c r="H197" i="3"/>
  <c r="G199" i="3"/>
  <c r="G198" i="3"/>
  <c r="G197" i="3"/>
  <c r="E199" i="3"/>
  <c r="E198" i="3"/>
  <c r="E205" i="3" s="1"/>
  <c r="E197" i="3"/>
  <c r="D199" i="3"/>
  <c r="D198" i="3"/>
  <c r="D197" i="3"/>
  <c r="C199" i="3"/>
  <c r="C198" i="3"/>
  <c r="C197" i="3"/>
  <c r="B199" i="3"/>
  <c r="B198" i="3"/>
  <c r="B222" i="3" s="1"/>
  <c r="B197" i="3"/>
  <c r="O248" i="3"/>
  <c r="O247" i="3"/>
  <c r="O246" i="3"/>
  <c r="N248" i="3"/>
  <c r="N247" i="3"/>
  <c r="N246" i="3"/>
  <c r="M246" i="3"/>
  <c r="M248" i="3"/>
  <c r="M247" i="3"/>
  <c r="O195" i="3"/>
  <c r="O194" i="3"/>
  <c r="O193" i="3"/>
  <c r="N195" i="3"/>
  <c r="N194" i="3"/>
  <c r="L248" i="3"/>
  <c r="L247" i="3"/>
  <c r="N193" i="3"/>
  <c r="L246" i="3"/>
  <c r="M195" i="3"/>
  <c r="P195" i="3" s="1"/>
  <c r="M194" i="3"/>
  <c r="M205" i="3" s="1"/>
  <c r="M193" i="3"/>
  <c r="L195" i="3"/>
  <c r="J248" i="3"/>
  <c r="L194" i="3"/>
  <c r="L193" i="3"/>
  <c r="J247" i="3"/>
  <c r="J195" i="3"/>
  <c r="J246" i="3"/>
  <c r="J194" i="3"/>
  <c r="J193" i="3"/>
  <c r="I248" i="3"/>
  <c r="I195" i="3"/>
  <c r="I194" i="3"/>
  <c r="I193" i="3"/>
  <c r="I247" i="3"/>
  <c r="H195" i="3"/>
  <c r="H194" i="3"/>
  <c r="H205" i="3" s="1"/>
  <c r="I246" i="3"/>
  <c r="H193" i="3"/>
  <c r="H248" i="3"/>
  <c r="G195" i="3"/>
  <c r="G194" i="3"/>
  <c r="H247" i="3"/>
  <c r="G193" i="3"/>
  <c r="E195" i="3"/>
  <c r="H246" i="3"/>
  <c r="E194" i="3"/>
  <c r="E193" i="3"/>
  <c r="G248" i="3"/>
  <c r="D195" i="3"/>
  <c r="D194" i="3"/>
  <c r="G247" i="3"/>
  <c r="D193" i="3"/>
  <c r="C195" i="3"/>
  <c r="G246" i="3"/>
  <c r="C194" i="3"/>
  <c r="C193" i="3"/>
  <c r="B195" i="3"/>
  <c r="B194" i="3"/>
  <c r="E248" i="3"/>
  <c r="E247" i="3"/>
  <c r="B193" i="3"/>
  <c r="E246" i="3"/>
  <c r="D246" i="3"/>
  <c r="D248" i="3"/>
  <c r="D247" i="3"/>
  <c r="C248" i="3"/>
  <c r="C247" i="3"/>
  <c r="C271" i="3" s="1"/>
  <c r="C246" i="3"/>
  <c r="B248" i="3"/>
  <c r="O244" i="3"/>
  <c r="O243" i="3"/>
  <c r="O242" i="3"/>
  <c r="B247" i="3"/>
  <c r="B246" i="3"/>
  <c r="N244" i="3"/>
  <c r="N243" i="3"/>
  <c r="N242" i="3"/>
  <c r="M244" i="3"/>
  <c r="M243" i="3"/>
  <c r="M242" i="3"/>
  <c r="L244" i="3"/>
  <c r="L243" i="3"/>
  <c r="L242" i="3"/>
  <c r="J244" i="3"/>
  <c r="J243" i="3"/>
  <c r="J242" i="3"/>
  <c r="I244" i="3"/>
  <c r="I243" i="3"/>
  <c r="I242" i="3"/>
  <c r="H244" i="3"/>
  <c r="H243" i="3"/>
  <c r="H242" i="3"/>
  <c r="G244" i="3"/>
  <c r="G243" i="3"/>
  <c r="G242" i="3"/>
  <c r="E244" i="3"/>
  <c r="E243" i="3"/>
  <c r="E242" i="3"/>
  <c r="D244" i="3"/>
  <c r="D243" i="3"/>
  <c r="D242" i="3"/>
  <c r="C244" i="3"/>
  <c r="C243" i="3"/>
  <c r="C242" i="3"/>
  <c r="B244" i="3"/>
  <c r="B243" i="3"/>
  <c r="B242" i="3"/>
  <c r="B139" i="5"/>
  <c r="C139" i="5"/>
  <c r="D139" i="5"/>
  <c r="E139" i="5"/>
  <c r="G139" i="5"/>
  <c r="H139" i="5"/>
  <c r="I139" i="5"/>
  <c r="I142" i="5" s="1"/>
  <c r="J139" i="5"/>
  <c r="L139" i="5"/>
  <c r="M139" i="5"/>
  <c r="N139" i="5"/>
  <c r="O139" i="5"/>
  <c r="O142" i="5" s="1"/>
  <c r="B140" i="5"/>
  <c r="C140" i="5"/>
  <c r="D140" i="5"/>
  <c r="E140" i="5"/>
  <c r="G140" i="5"/>
  <c r="H140" i="5"/>
  <c r="I140" i="5"/>
  <c r="J140" i="5"/>
  <c r="J143" i="5" s="1"/>
  <c r="L140" i="5"/>
  <c r="M140" i="5"/>
  <c r="N140" i="5"/>
  <c r="O140" i="5"/>
  <c r="B141" i="5"/>
  <c r="C141" i="5"/>
  <c r="D141" i="5"/>
  <c r="E141" i="5"/>
  <c r="G141" i="5"/>
  <c r="H141" i="5"/>
  <c r="I141" i="5"/>
  <c r="J141" i="5"/>
  <c r="L141" i="5"/>
  <c r="M141" i="5"/>
  <c r="N141" i="5"/>
  <c r="O141" i="5"/>
  <c r="O141" i="7"/>
  <c r="O140" i="7"/>
  <c r="O139" i="7"/>
  <c r="N140" i="7"/>
  <c r="N139" i="7"/>
  <c r="M141" i="7"/>
  <c r="M139" i="7"/>
  <c r="L141" i="7"/>
  <c r="J141" i="7"/>
  <c r="L140" i="7"/>
  <c r="J140" i="7"/>
  <c r="J139" i="7"/>
  <c r="I141" i="7"/>
  <c r="E141" i="7"/>
  <c r="E140" i="7"/>
  <c r="I140" i="7"/>
  <c r="I139" i="7"/>
  <c r="H141" i="7"/>
  <c r="H140" i="7"/>
  <c r="H139" i="7"/>
  <c r="D141" i="7"/>
  <c r="G141" i="7"/>
  <c r="D140" i="7"/>
  <c r="G140" i="7"/>
  <c r="G139" i="7"/>
  <c r="D139" i="7"/>
  <c r="C141" i="7"/>
  <c r="C140" i="7"/>
  <c r="C139" i="7"/>
  <c r="B140" i="7"/>
  <c r="B139" i="7"/>
  <c r="H145" i="7"/>
  <c r="O145" i="7"/>
  <c r="M145" i="7"/>
  <c r="L145" i="7"/>
  <c r="J145" i="7"/>
  <c r="I145" i="7"/>
  <c r="G145" i="7"/>
  <c r="E145" i="7"/>
  <c r="D145" i="7"/>
  <c r="C145" i="7"/>
  <c r="O144" i="7"/>
  <c r="N144" i="7"/>
  <c r="L144" i="7"/>
  <c r="J144" i="7"/>
  <c r="I144" i="7"/>
  <c r="H144" i="7"/>
  <c r="G144" i="7"/>
  <c r="E144" i="7"/>
  <c r="D144" i="7"/>
  <c r="C144" i="7"/>
  <c r="B144" i="7"/>
  <c r="O143" i="7"/>
  <c r="N143" i="7"/>
  <c r="M143" i="7"/>
  <c r="J143" i="7"/>
  <c r="I143" i="7"/>
  <c r="H143" i="7"/>
  <c r="G143" i="7"/>
  <c r="D143" i="7"/>
  <c r="C143" i="7"/>
  <c r="E164" i="7"/>
  <c r="D164" i="7"/>
  <c r="C164" i="7"/>
  <c r="E163" i="7"/>
  <c r="D163" i="7"/>
  <c r="C163" i="7"/>
  <c r="B163" i="7"/>
  <c r="D162" i="7"/>
  <c r="C162" i="7"/>
  <c r="B162" i="7"/>
  <c r="M164" i="7"/>
  <c r="L163" i="7"/>
  <c r="L164" i="7"/>
  <c r="O162" i="7"/>
  <c r="N162" i="7"/>
  <c r="O163" i="7"/>
  <c r="O164" i="7"/>
  <c r="N163" i="7"/>
  <c r="M162" i="7"/>
  <c r="I164" i="7"/>
  <c r="H163" i="7"/>
  <c r="G162" i="7"/>
  <c r="J163" i="7"/>
  <c r="I162" i="7"/>
  <c r="J162" i="7"/>
  <c r="G164" i="7"/>
  <c r="H162" i="7"/>
  <c r="C159" i="7"/>
  <c r="C147" i="7"/>
  <c r="C135" i="7"/>
  <c r="C131" i="7"/>
  <c r="S147" i="7" s="1"/>
  <c r="U55" i="7"/>
  <c r="V55" i="7" s="1"/>
  <c r="J164" i="7"/>
  <c r="I163" i="7"/>
  <c r="G163" i="7"/>
  <c r="H164" i="7"/>
  <c r="C161" i="7"/>
  <c r="E161" i="7"/>
  <c r="D161" i="7"/>
  <c r="E160" i="7"/>
  <c r="D160" i="7"/>
  <c r="C160" i="7"/>
  <c r="B160" i="7"/>
  <c r="D159" i="7"/>
  <c r="B159" i="7"/>
  <c r="O161" i="7"/>
  <c r="M161" i="7"/>
  <c r="L161" i="7"/>
  <c r="J161" i="7"/>
  <c r="I161" i="7"/>
  <c r="H161" i="7"/>
  <c r="G161" i="7"/>
  <c r="O160" i="7"/>
  <c r="N160" i="7"/>
  <c r="L160" i="7"/>
  <c r="J160" i="7"/>
  <c r="I160" i="7"/>
  <c r="H160" i="7"/>
  <c r="G160" i="7"/>
  <c r="O159" i="7"/>
  <c r="N159" i="7"/>
  <c r="M159" i="7"/>
  <c r="J159" i="7"/>
  <c r="I159" i="7"/>
  <c r="H159" i="7"/>
  <c r="G159" i="7"/>
  <c r="O132" i="7"/>
  <c r="AE148" i="7" s="1"/>
  <c r="P66" i="4"/>
  <c r="P67" i="4"/>
  <c r="R74" i="4"/>
  <c r="R109" i="5"/>
  <c r="S109" i="5"/>
  <c r="T109" i="5"/>
  <c r="R110" i="5"/>
  <c r="S110" i="5"/>
  <c r="T110" i="5"/>
  <c r="R111" i="5"/>
  <c r="S111" i="5"/>
  <c r="T111" i="5"/>
  <c r="Q110" i="5"/>
  <c r="Q111" i="5"/>
  <c r="R47" i="4"/>
  <c r="S47" i="4"/>
  <c r="T47" i="4"/>
  <c r="R48" i="4"/>
  <c r="S48" i="4"/>
  <c r="T48" i="4"/>
  <c r="R49" i="4"/>
  <c r="S49" i="4"/>
  <c r="T49" i="4"/>
  <c r="Q48" i="4"/>
  <c r="Q49" i="4"/>
  <c r="Q47" i="4"/>
  <c r="V58" i="3"/>
  <c r="W59" i="3" s="1"/>
  <c r="V59" i="3"/>
  <c r="V2" i="3"/>
  <c r="W5" i="3" s="1"/>
  <c r="V94" i="3"/>
  <c r="V93" i="3"/>
  <c r="V92" i="3"/>
  <c r="V91" i="3"/>
  <c r="V90" i="3"/>
  <c r="V89" i="3"/>
  <c r="V88" i="3"/>
  <c r="V87" i="3"/>
  <c r="V86" i="3"/>
  <c r="W89" i="3" s="1"/>
  <c r="V85" i="3"/>
  <c r="W84" i="3"/>
  <c r="V84" i="3"/>
  <c r="V83" i="3"/>
  <c r="V82" i="3"/>
  <c r="V81" i="3"/>
  <c r="V80" i="3"/>
  <c r="W80" i="3" s="1"/>
  <c r="V79" i="3"/>
  <c r="W79" i="3" s="1"/>
  <c r="V78" i="3"/>
  <c r="V77" i="3"/>
  <c r="V76" i="3"/>
  <c r="V75" i="3"/>
  <c r="V74" i="3"/>
  <c r="W77" i="3" s="1"/>
  <c r="V73" i="3"/>
  <c r="V72" i="3"/>
  <c r="V71" i="3"/>
  <c r="W71" i="3" s="1"/>
  <c r="V70" i="3"/>
  <c r="V69" i="3"/>
  <c r="V68" i="3"/>
  <c r="V67" i="3"/>
  <c r="V66" i="3"/>
  <c r="W69" i="3" s="1"/>
  <c r="V65" i="3"/>
  <c r="V64" i="3"/>
  <c r="V63" i="3"/>
  <c r="V62" i="3"/>
  <c r="V61" i="3"/>
  <c r="V60" i="3"/>
  <c r="W60" i="3" s="1"/>
  <c r="V57" i="3"/>
  <c r="W57" i="3" s="1"/>
  <c r="W56" i="3"/>
  <c r="V56" i="3"/>
  <c r="V55" i="3"/>
  <c r="V54" i="3"/>
  <c r="V53" i="3"/>
  <c r="V52" i="3"/>
  <c r="W52" i="3" s="1"/>
  <c r="V51" i="3"/>
  <c r="W51" i="3" s="1"/>
  <c r="V50" i="3"/>
  <c r="W53" i="3" s="1"/>
  <c r="V49" i="3"/>
  <c r="V48" i="3"/>
  <c r="V47" i="3"/>
  <c r="V46" i="3"/>
  <c r="W49" i="3" s="1"/>
  <c r="V45" i="3"/>
  <c r="V44" i="3"/>
  <c r="V43" i="3"/>
  <c r="V42" i="3"/>
  <c r="V41" i="3"/>
  <c r="V40" i="3"/>
  <c r="V39" i="3"/>
  <c r="V38" i="3"/>
  <c r="W41" i="3" s="1"/>
  <c r="V37" i="3"/>
  <c r="V36" i="3"/>
  <c r="V35" i="3"/>
  <c r="V34" i="3"/>
  <c r="V33" i="3"/>
  <c r="V32" i="3"/>
  <c r="V31" i="3"/>
  <c r="V30" i="3"/>
  <c r="W33" i="3" s="1"/>
  <c r="V29" i="3"/>
  <c r="V28" i="3"/>
  <c r="V27" i="3"/>
  <c r="V26" i="3"/>
  <c r="W28" i="3" s="1"/>
  <c r="V25" i="3"/>
  <c r="W25" i="3" s="1"/>
  <c r="V24" i="3"/>
  <c r="V23" i="3"/>
  <c r="V22" i="3"/>
  <c r="V21" i="3"/>
  <c r="W21" i="3" s="1"/>
  <c r="V20" i="3"/>
  <c r="V19" i="3"/>
  <c r="V17" i="3"/>
  <c r="V16" i="3"/>
  <c r="V15" i="3"/>
  <c r="V14" i="3"/>
  <c r="W15" i="3" s="1"/>
  <c r="V13" i="3"/>
  <c r="V12" i="3"/>
  <c r="W11" i="3"/>
  <c r="V11" i="3"/>
  <c r="V10" i="3"/>
  <c r="V9" i="3"/>
  <c r="V8" i="3"/>
  <c r="V7" i="3"/>
  <c r="V6" i="3"/>
  <c r="W9" i="3" s="1"/>
  <c r="V5" i="3"/>
  <c r="V4" i="3"/>
  <c r="V3" i="3"/>
  <c r="U50" i="6"/>
  <c r="U42" i="6"/>
  <c r="U22" i="6"/>
  <c r="U94" i="6"/>
  <c r="U93" i="6"/>
  <c r="U92" i="6"/>
  <c r="V92" i="6" s="1"/>
  <c r="V91" i="6"/>
  <c r="U91" i="6"/>
  <c r="U90" i="6"/>
  <c r="V93" i="6" s="1"/>
  <c r="U89" i="6"/>
  <c r="U88" i="6"/>
  <c r="U87" i="6"/>
  <c r="V87" i="6" s="1"/>
  <c r="U86" i="6"/>
  <c r="V89" i="6" s="1"/>
  <c r="U85" i="6"/>
  <c r="V84" i="6"/>
  <c r="U84" i="6"/>
  <c r="V83" i="6"/>
  <c r="U83" i="6"/>
  <c r="U82" i="6"/>
  <c r="V85" i="6" s="1"/>
  <c r="U81" i="6"/>
  <c r="U80" i="6"/>
  <c r="V80" i="6" s="1"/>
  <c r="V79" i="6"/>
  <c r="U79" i="6"/>
  <c r="U78" i="6"/>
  <c r="V81" i="6" s="1"/>
  <c r="U77" i="6"/>
  <c r="U76" i="6"/>
  <c r="V75" i="6"/>
  <c r="U75" i="6"/>
  <c r="U74" i="6"/>
  <c r="V77" i="6" s="1"/>
  <c r="U73" i="6"/>
  <c r="U72" i="6"/>
  <c r="U71" i="6"/>
  <c r="U70" i="6"/>
  <c r="V71" i="6" s="1"/>
  <c r="U69" i="6"/>
  <c r="U68" i="6"/>
  <c r="U67" i="6"/>
  <c r="U66" i="6"/>
  <c r="V69" i="6" s="1"/>
  <c r="V65" i="6"/>
  <c r="U65" i="6"/>
  <c r="U64" i="6"/>
  <c r="U63" i="6"/>
  <c r="U62" i="6"/>
  <c r="V64" i="6" s="1"/>
  <c r="V61" i="6"/>
  <c r="U61" i="6"/>
  <c r="V60" i="6"/>
  <c r="U60" i="6"/>
  <c r="U59" i="6"/>
  <c r="U58" i="6"/>
  <c r="V59" i="6" s="1"/>
  <c r="U57" i="6"/>
  <c r="V57" i="6" s="1"/>
  <c r="V56" i="6"/>
  <c r="U56" i="6"/>
  <c r="V55" i="6"/>
  <c r="U55" i="6"/>
  <c r="U54" i="6"/>
  <c r="U53" i="6"/>
  <c r="V52" i="6"/>
  <c r="U52" i="6"/>
  <c r="V51" i="6"/>
  <c r="U51" i="6"/>
  <c r="V53" i="6"/>
  <c r="U49" i="6"/>
  <c r="U48" i="6"/>
  <c r="V48" i="6" s="1"/>
  <c r="V47" i="6"/>
  <c r="U47" i="6"/>
  <c r="U46" i="6"/>
  <c r="V49" i="6" s="1"/>
  <c r="U45" i="6"/>
  <c r="U44" i="6"/>
  <c r="V43" i="6"/>
  <c r="U43" i="6"/>
  <c r="V45" i="6"/>
  <c r="U41" i="6"/>
  <c r="U40" i="6"/>
  <c r="U39" i="6"/>
  <c r="U38" i="6"/>
  <c r="V39" i="6" s="1"/>
  <c r="U37" i="6"/>
  <c r="U36" i="6"/>
  <c r="U35" i="6"/>
  <c r="U34" i="6"/>
  <c r="V37" i="6" s="1"/>
  <c r="V33" i="6"/>
  <c r="U33" i="6"/>
  <c r="U32" i="6"/>
  <c r="U31" i="6"/>
  <c r="U30" i="6"/>
  <c r="V32" i="6" s="1"/>
  <c r="V29" i="6"/>
  <c r="U29" i="6"/>
  <c r="V28" i="6"/>
  <c r="U28" i="6"/>
  <c r="U27" i="6"/>
  <c r="U26" i="6"/>
  <c r="V27" i="6" s="1"/>
  <c r="U25" i="6"/>
  <c r="V25" i="6" s="1"/>
  <c r="V24" i="6"/>
  <c r="U24" i="6"/>
  <c r="V23" i="6"/>
  <c r="U23" i="6"/>
  <c r="U21" i="6"/>
  <c r="V20" i="6"/>
  <c r="U20" i="6"/>
  <c r="V19" i="6"/>
  <c r="U19" i="6"/>
  <c r="U18" i="6"/>
  <c r="V21" i="6" s="1"/>
  <c r="U17" i="6"/>
  <c r="U16" i="6"/>
  <c r="V16" i="6" s="1"/>
  <c r="V15" i="6"/>
  <c r="U15" i="6"/>
  <c r="U14" i="6"/>
  <c r="V17" i="6" s="1"/>
  <c r="U13" i="6"/>
  <c r="U12" i="6"/>
  <c r="V11" i="6"/>
  <c r="U11" i="6"/>
  <c r="U10" i="6"/>
  <c r="V13" i="6" s="1"/>
  <c r="U9" i="6"/>
  <c r="U8" i="6"/>
  <c r="U7" i="6"/>
  <c r="U6" i="6"/>
  <c r="V7" i="6" s="1"/>
  <c r="U5" i="6"/>
  <c r="U4" i="6"/>
  <c r="U3" i="6"/>
  <c r="U2" i="6"/>
  <c r="V5" i="6" s="1"/>
  <c r="U91" i="7"/>
  <c r="U92" i="7"/>
  <c r="U89" i="7"/>
  <c r="U88" i="7"/>
  <c r="U87" i="7"/>
  <c r="U85" i="7"/>
  <c r="U84" i="7"/>
  <c r="U81" i="7"/>
  <c r="U80" i="7"/>
  <c r="U79" i="7"/>
  <c r="U77" i="7"/>
  <c r="U76" i="7"/>
  <c r="U75" i="7"/>
  <c r="U72" i="7"/>
  <c r="U71" i="7"/>
  <c r="U69" i="7"/>
  <c r="V69" i="7" s="1"/>
  <c r="U68" i="7"/>
  <c r="U67" i="7"/>
  <c r="U65" i="7"/>
  <c r="U64" i="7"/>
  <c r="U61" i="7"/>
  <c r="U60" i="7"/>
  <c r="U59" i="7"/>
  <c r="V61" i="7"/>
  <c r="U57" i="7"/>
  <c r="U56" i="7"/>
  <c r="U52" i="7"/>
  <c r="V52" i="7" s="1"/>
  <c r="U51" i="7"/>
  <c r="U49" i="7"/>
  <c r="U48" i="7"/>
  <c r="U47" i="7"/>
  <c r="U45" i="7"/>
  <c r="U44" i="7"/>
  <c r="U41" i="7"/>
  <c r="U40" i="7"/>
  <c r="U27" i="7"/>
  <c r="U29" i="7"/>
  <c r="U28" i="7"/>
  <c r="U25" i="7"/>
  <c r="U24" i="7"/>
  <c r="U21" i="7"/>
  <c r="U20" i="7"/>
  <c r="U19" i="7"/>
  <c r="U17" i="7"/>
  <c r="U16" i="7"/>
  <c r="U15" i="7"/>
  <c r="U12" i="7"/>
  <c r="U11" i="7"/>
  <c r="U9" i="7"/>
  <c r="U8" i="7"/>
  <c r="U7" i="7"/>
  <c r="U4" i="7"/>
  <c r="U5" i="7"/>
  <c r="V2" i="5"/>
  <c r="W93" i="5"/>
  <c r="W92" i="5"/>
  <c r="W91" i="5"/>
  <c r="W89" i="5"/>
  <c r="W88" i="5"/>
  <c r="W87" i="5"/>
  <c r="W85" i="5"/>
  <c r="W84" i="5"/>
  <c r="W83" i="5"/>
  <c r="W81" i="5"/>
  <c r="W80" i="5"/>
  <c r="W79" i="5"/>
  <c r="W77" i="5"/>
  <c r="W76" i="5"/>
  <c r="W75" i="5"/>
  <c r="W73" i="5"/>
  <c r="W72" i="5"/>
  <c r="W71" i="5"/>
  <c r="W69" i="5"/>
  <c r="W68" i="5"/>
  <c r="W67" i="5"/>
  <c r="W65" i="5"/>
  <c r="W64" i="5"/>
  <c r="W63" i="5"/>
  <c r="W61" i="5"/>
  <c r="W60" i="5"/>
  <c r="W59" i="5"/>
  <c r="W57" i="5"/>
  <c r="W56" i="5"/>
  <c r="W55" i="5"/>
  <c r="W53" i="5"/>
  <c r="W52" i="5"/>
  <c r="W51" i="5"/>
  <c r="W49" i="5"/>
  <c r="W48" i="5"/>
  <c r="W47" i="5"/>
  <c r="W45" i="5"/>
  <c r="W44" i="5"/>
  <c r="W43" i="5"/>
  <c r="W41" i="5"/>
  <c r="W40" i="5"/>
  <c r="W39" i="5"/>
  <c r="W37" i="5"/>
  <c r="W36" i="5"/>
  <c r="W35" i="5"/>
  <c r="W33" i="5"/>
  <c r="W32" i="5"/>
  <c r="W31" i="5"/>
  <c r="W28" i="5"/>
  <c r="W29" i="5"/>
  <c r="W27" i="5"/>
  <c r="W25" i="5"/>
  <c r="W24" i="5"/>
  <c r="W23" i="5"/>
  <c r="W20" i="5"/>
  <c r="W21" i="5"/>
  <c r="W19" i="5"/>
  <c r="W16" i="5"/>
  <c r="W17" i="5"/>
  <c r="W15" i="5"/>
  <c r="AE188" i="5"/>
  <c r="AD188" i="5"/>
  <c r="AC188" i="5"/>
  <c r="AB188" i="5"/>
  <c r="Z188" i="5"/>
  <c r="Y188" i="5"/>
  <c r="X188" i="5"/>
  <c r="W188" i="5"/>
  <c r="U188" i="5"/>
  <c r="T188" i="5"/>
  <c r="S188" i="5"/>
  <c r="R188" i="5"/>
  <c r="AE187" i="5"/>
  <c r="AD187" i="5"/>
  <c r="AC187" i="5"/>
  <c r="AB187" i="5"/>
  <c r="Z187" i="5"/>
  <c r="Y187" i="5"/>
  <c r="X187" i="5"/>
  <c r="W187" i="5"/>
  <c r="U187" i="5"/>
  <c r="T187" i="5"/>
  <c r="S187" i="5"/>
  <c r="R187" i="5"/>
  <c r="AE186" i="5"/>
  <c r="AD186" i="5"/>
  <c r="AC186" i="5"/>
  <c r="AC189" i="5" s="1"/>
  <c r="AB186" i="5"/>
  <c r="Z186" i="5"/>
  <c r="Y186" i="5"/>
  <c r="Y189" i="5" s="1"/>
  <c r="X186" i="5"/>
  <c r="X189" i="5" s="1"/>
  <c r="W186" i="5"/>
  <c r="W189" i="5" s="1"/>
  <c r="U186" i="5"/>
  <c r="T186" i="5"/>
  <c r="S186" i="5"/>
  <c r="S189" i="5" s="1"/>
  <c r="O137" i="5"/>
  <c r="N137" i="5"/>
  <c r="M137" i="5"/>
  <c r="L137" i="5"/>
  <c r="J137" i="5"/>
  <c r="I137" i="5"/>
  <c r="H137" i="5"/>
  <c r="G137" i="5"/>
  <c r="E137" i="5"/>
  <c r="D137" i="5"/>
  <c r="C137" i="5"/>
  <c r="B137" i="5"/>
  <c r="O136" i="5"/>
  <c r="N136" i="5"/>
  <c r="M136" i="5"/>
  <c r="L136" i="5"/>
  <c r="J136" i="5"/>
  <c r="I136" i="5"/>
  <c r="H136" i="5"/>
  <c r="G136" i="5"/>
  <c r="E136" i="5"/>
  <c r="D136" i="5"/>
  <c r="C136" i="5"/>
  <c r="B136" i="5"/>
  <c r="O135" i="5"/>
  <c r="N135" i="5"/>
  <c r="M135" i="5"/>
  <c r="L135" i="5"/>
  <c r="J135" i="5"/>
  <c r="I135" i="5"/>
  <c r="H135" i="5"/>
  <c r="G135" i="5"/>
  <c r="E135" i="5"/>
  <c r="D135" i="5"/>
  <c r="C135" i="5"/>
  <c r="B135" i="5"/>
  <c r="O133" i="5"/>
  <c r="N133" i="5"/>
  <c r="AD145" i="5" s="1"/>
  <c r="M133" i="5"/>
  <c r="AC145" i="5" s="1"/>
  <c r="L133" i="5"/>
  <c r="J133" i="5"/>
  <c r="I133" i="5"/>
  <c r="H133" i="5"/>
  <c r="G133" i="5"/>
  <c r="E133" i="5"/>
  <c r="D133" i="5"/>
  <c r="D144" i="5" s="1"/>
  <c r="C133" i="5"/>
  <c r="S145" i="5" s="1"/>
  <c r="B133" i="5"/>
  <c r="B144" i="5" s="1"/>
  <c r="O132" i="5"/>
  <c r="N132" i="5"/>
  <c r="M132" i="5"/>
  <c r="L132" i="5"/>
  <c r="J132" i="5"/>
  <c r="I132" i="5"/>
  <c r="H132" i="5"/>
  <c r="G132" i="5"/>
  <c r="G143" i="5" s="1"/>
  <c r="E132" i="5"/>
  <c r="D132" i="5"/>
  <c r="C132" i="5"/>
  <c r="B132" i="5"/>
  <c r="O131" i="5"/>
  <c r="N131" i="5"/>
  <c r="M131" i="5"/>
  <c r="AC143" i="5" s="1"/>
  <c r="L131" i="5"/>
  <c r="AB143" i="5" s="1"/>
  <c r="J131" i="5"/>
  <c r="I131" i="5"/>
  <c r="H131" i="5"/>
  <c r="G131" i="5"/>
  <c r="E131" i="5"/>
  <c r="D131" i="5"/>
  <c r="C131" i="5"/>
  <c r="B131" i="5"/>
  <c r="R143" i="5" s="1"/>
  <c r="O129" i="5"/>
  <c r="N129" i="5"/>
  <c r="M129" i="5"/>
  <c r="L129" i="5"/>
  <c r="J129" i="5"/>
  <c r="I129" i="5"/>
  <c r="H129" i="5"/>
  <c r="H144" i="5" s="1"/>
  <c r="G129" i="5"/>
  <c r="W145" i="5" s="1"/>
  <c r="E129" i="5"/>
  <c r="D129" i="5"/>
  <c r="C129" i="5"/>
  <c r="B129" i="5"/>
  <c r="O128" i="5"/>
  <c r="N128" i="5"/>
  <c r="M128" i="5"/>
  <c r="M143" i="5" s="1"/>
  <c r="L128" i="5"/>
  <c r="AB144" i="5" s="1"/>
  <c r="J128" i="5"/>
  <c r="I128" i="5"/>
  <c r="H128" i="5"/>
  <c r="X144" i="5" s="1"/>
  <c r="G128" i="5"/>
  <c r="E128" i="5"/>
  <c r="D128" i="5"/>
  <c r="T144" i="5" s="1"/>
  <c r="C128" i="5"/>
  <c r="S144" i="5" s="1"/>
  <c r="S146" i="5" s="1"/>
  <c r="B128" i="5"/>
  <c r="O127" i="5"/>
  <c r="N127" i="5"/>
  <c r="M127" i="5"/>
  <c r="L127" i="5"/>
  <c r="J127" i="5"/>
  <c r="I127" i="5"/>
  <c r="H127" i="5"/>
  <c r="H142" i="5" s="1"/>
  <c r="G127" i="5"/>
  <c r="W143" i="5" s="1"/>
  <c r="O119" i="5"/>
  <c r="N119" i="5"/>
  <c r="M119" i="5"/>
  <c r="L119" i="5"/>
  <c r="J119" i="5"/>
  <c r="I119" i="5"/>
  <c r="H119" i="5"/>
  <c r="G119" i="5"/>
  <c r="E119" i="5"/>
  <c r="D119" i="5"/>
  <c r="C119" i="5"/>
  <c r="B119" i="5"/>
  <c r="O118" i="5"/>
  <c r="N118" i="5"/>
  <c r="M118" i="5"/>
  <c r="L118" i="5"/>
  <c r="J118" i="5"/>
  <c r="I118" i="5"/>
  <c r="H118" i="5"/>
  <c r="G118" i="5"/>
  <c r="E118" i="5"/>
  <c r="D118" i="5"/>
  <c r="C118" i="5"/>
  <c r="B118" i="5"/>
  <c r="O117" i="5"/>
  <c r="N117" i="5"/>
  <c r="M117" i="5"/>
  <c r="L117" i="5"/>
  <c r="J117" i="5"/>
  <c r="I117" i="5"/>
  <c r="H117" i="5"/>
  <c r="G117" i="5"/>
  <c r="E117" i="5"/>
  <c r="D117" i="5"/>
  <c r="C117" i="5"/>
  <c r="B117" i="5"/>
  <c r="O115" i="5"/>
  <c r="N115" i="5"/>
  <c r="M115" i="5"/>
  <c r="L115" i="5"/>
  <c r="J115" i="5"/>
  <c r="I115" i="5"/>
  <c r="H115" i="5"/>
  <c r="G115" i="5"/>
  <c r="E115" i="5"/>
  <c r="D115" i="5"/>
  <c r="C115" i="5"/>
  <c r="B115" i="5"/>
  <c r="O114" i="5"/>
  <c r="N114" i="5"/>
  <c r="M114" i="5"/>
  <c r="L114" i="5"/>
  <c r="J114" i="5"/>
  <c r="I114" i="5"/>
  <c r="H114" i="5"/>
  <c r="G114" i="5"/>
  <c r="E114" i="5"/>
  <c r="D114" i="5"/>
  <c r="C114" i="5"/>
  <c r="B114" i="5"/>
  <c r="O113" i="5"/>
  <c r="N113" i="5"/>
  <c r="M113" i="5"/>
  <c r="L113" i="5"/>
  <c r="J113" i="5"/>
  <c r="I113" i="5"/>
  <c r="H113" i="5"/>
  <c r="G113" i="5"/>
  <c r="E113" i="5"/>
  <c r="D113" i="5"/>
  <c r="C113" i="5"/>
  <c r="B113" i="5"/>
  <c r="O111" i="5"/>
  <c r="AE123" i="5" s="1"/>
  <c r="N111" i="5"/>
  <c r="AD123" i="5" s="1"/>
  <c r="M111" i="5"/>
  <c r="M122" i="5" s="1"/>
  <c r="L111" i="5"/>
  <c r="L122" i="5" s="1"/>
  <c r="J111" i="5"/>
  <c r="I111" i="5"/>
  <c r="H111" i="5"/>
  <c r="G111" i="5"/>
  <c r="E111" i="5"/>
  <c r="U123" i="5" s="1"/>
  <c r="D111" i="5"/>
  <c r="T123" i="5" s="1"/>
  <c r="C111" i="5"/>
  <c r="S123" i="5" s="1"/>
  <c r="B111" i="5"/>
  <c r="R123" i="5" s="1"/>
  <c r="O110" i="5"/>
  <c r="N110" i="5"/>
  <c r="M110" i="5"/>
  <c r="L110" i="5"/>
  <c r="J110" i="5"/>
  <c r="Z122" i="5" s="1"/>
  <c r="I110" i="5"/>
  <c r="Y122" i="5" s="1"/>
  <c r="H110" i="5"/>
  <c r="X122" i="5" s="1"/>
  <c r="G110" i="5"/>
  <c r="W122" i="5" s="1"/>
  <c r="E110" i="5"/>
  <c r="D110" i="5"/>
  <c r="C110" i="5"/>
  <c r="B110" i="5"/>
  <c r="O109" i="5"/>
  <c r="N109" i="5"/>
  <c r="M109" i="5"/>
  <c r="L109" i="5"/>
  <c r="J109" i="5"/>
  <c r="I109" i="5"/>
  <c r="H109" i="5"/>
  <c r="G109" i="5"/>
  <c r="E109" i="5"/>
  <c r="D109" i="5"/>
  <c r="C109" i="5"/>
  <c r="B109" i="5"/>
  <c r="O107" i="5"/>
  <c r="N107" i="5"/>
  <c r="M107" i="5"/>
  <c r="L107" i="5"/>
  <c r="J107" i="5"/>
  <c r="Z123" i="5" s="1"/>
  <c r="I107" i="5"/>
  <c r="Y123" i="5" s="1"/>
  <c r="H107" i="5"/>
  <c r="X123" i="5" s="1"/>
  <c r="G107" i="5"/>
  <c r="W123" i="5" s="1"/>
  <c r="E107" i="5"/>
  <c r="D107" i="5"/>
  <c r="C107" i="5"/>
  <c r="B107" i="5"/>
  <c r="O106" i="5"/>
  <c r="AE122" i="5" s="1"/>
  <c r="N106" i="5"/>
  <c r="AD122" i="5" s="1"/>
  <c r="M106" i="5"/>
  <c r="AC122" i="5" s="1"/>
  <c r="L106" i="5"/>
  <c r="AB122" i="5" s="1"/>
  <c r="J106" i="5"/>
  <c r="J121" i="5" s="1"/>
  <c r="I106" i="5"/>
  <c r="I121" i="5" s="1"/>
  <c r="H106" i="5"/>
  <c r="H121" i="5" s="1"/>
  <c r="G106" i="5"/>
  <c r="G121" i="5" s="1"/>
  <c r="E106" i="5"/>
  <c r="U122" i="5" s="1"/>
  <c r="D106" i="5"/>
  <c r="T122" i="5" s="1"/>
  <c r="C106" i="5"/>
  <c r="S122" i="5" s="1"/>
  <c r="B106" i="5"/>
  <c r="R122" i="5" s="1"/>
  <c r="O105" i="5"/>
  <c r="AE121" i="5" s="1"/>
  <c r="N105" i="5"/>
  <c r="AD121" i="5" s="1"/>
  <c r="M105" i="5"/>
  <c r="AC121" i="5" s="1"/>
  <c r="L105" i="5"/>
  <c r="AB121" i="5" s="1"/>
  <c r="J105" i="5"/>
  <c r="Z121" i="5" s="1"/>
  <c r="I105" i="5"/>
  <c r="Y121" i="5" s="1"/>
  <c r="Y124" i="5" s="1"/>
  <c r="H105" i="5"/>
  <c r="X121" i="5" s="1"/>
  <c r="G105" i="5"/>
  <c r="W121" i="5" s="1"/>
  <c r="E105" i="5"/>
  <c r="D105" i="5"/>
  <c r="T121" i="5" s="1"/>
  <c r="C105" i="5"/>
  <c r="S121" i="5" s="1"/>
  <c r="B105" i="5"/>
  <c r="R121" i="5" s="1"/>
  <c r="W13" i="5"/>
  <c r="V10" i="5"/>
  <c r="W12" i="5" s="1"/>
  <c r="AE189" i="5"/>
  <c r="U189" i="5"/>
  <c r="T189" i="5"/>
  <c r="U143" i="5"/>
  <c r="S143" i="5"/>
  <c r="AB145" i="5"/>
  <c r="Z143" i="5"/>
  <c r="W4" i="5"/>
  <c r="W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0" i="5"/>
  <c r="V51" i="5"/>
  <c r="V53" i="5"/>
  <c r="V52" i="5"/>
  <c r="V49" i="5"/>
  <c r="V48" i="5"/>
  <c r="V47" i="5"/>
  <c r="V46" i="5"/>
  <c r="V45" i="5"/>
  <c r="V44" i="5"/>
  <c r="V43" i="5"/>
  <c r="V42" i="5"/>
  <c r="V41" i="5"/>
  <c r="V40" i="5"/>
  <c r="V39" i="5"/>
  <c r="V34" i="5"/>
  <c r="V38" i="5"/>
  <c r="V37" i="5"/>
  <c r="V36" i="5"/>
  <c r="V35" i="5"/>
  <c r="V33" i="5"/>
  <c r="V32" i="5"/>
  <c r="V31" i="5"/>
  <c r="V30" i="5"/>
  <c r="V29" i="5"/>
  <c r="V28" i="5"/>
  <c r="V27" i="5"/>
  <c r="V26" i="5"/>
  <c r="V25" i="5"/>
  <c r="V24" i="5"/>
  <c r="V23" i="5"/>
  <c r="V19" i="5"/>
  <c r="V22" i="5"/>
  <c r="V21" i="5"/>
  <c r="V20" i="5"/>
  <c r="V18" i="5"/>
  <c r="V17" i="5"/>
  <c r="V16" i="5"/>
  <c r="V15" i="5"/>
  <c r="V11" i="5"/>
  <c r="V12" i="5"/>
  <c r="V13" i="5"/>
  <c r="V14" i="5"/>
  <c r="V8" i="5"/>
  <c r="V9" i="5"/>
  <c r="V6" i="5"/>
  <c r="W9" i="5" s="1"/>
  <c r="V4" i="5"/>
  <c r="V5" i="5"/>
  <c r="V3" i="5"/>
  <c r="W3" i="5" s="1"/>
  <c r="V7" i="5"/>
  <c r="L47" i="4"/>
  <c r="P193" i="3"/>
  <c r="AE106" i="7"/>
  <c r="AD106" i="7"/>
  <c r="AC106" i="7"/>
  <c r="Z106" i="7"/>
  <c r="Y106" i="7"/>
  <c r="X106" i="7"/>
  <c r="U106" i="7"/>
  <c r="AD105" i="7"/>
  <c r="AC105" i="7"/>
  <c r="AB105" i="7"/>
  <c r="Y105" i="7"/>
  <c r="X105" i="7"/>
  <c r="W105" i="7"/>
  <c r="T105" i="7"/>
  <c r="R105" i="7"/>
  <c r="AE104" i="7"/>
  <c r="AC104" i="7"/>
  <c r="AB104" i="7"/>
  <c r="Z104" i="7"/>
  <c r="Y104" i="7"/>
  <c r="X104" i="7"/>
  <c r="W104" i="7"/>
  <c r="U104" i="7"/>
  <c r="T104" i="7"/>
  <c r="S104" i="7"/>
  <c r="O149" i="7"/>
  <c r="M149" i="7"/>
  <c r="L149" i="7"/>
  <c r="O148" i="7"/>
  <c r="N148" i="7"/>
  <c r="L148" i="7"/>
  <c r="O147" i="7"/>
  <c r="N147" i="7"/>
  <c r="M147" i="7"/>
  <c r="J149" i="7"/>
  <c r="I149" i="7"/>
  <c r="H149" i="7"/>
  <c r="G149" i="7"/>
  <c r="J148" i="7"/>
  <c r="I148" i="7"/>
  <c r="H148" i="7"/>
  <c r="G148" i="7"/>
  <c r="J147" i="7"/>
  <c r="I147" i="7"/>
  <c r="H147" i="7"/>
  <c r="G147" i="7"/>
  <c r="E149" i="7"/>
  <c r="D149" i="7"/>
  <c r="C149" i="7"/>
  <c r="E148" i="7"/>
  <c r="D148" i="7"/>
  <c r="C148" i="7"/>
  <c r="B148" i="7"/>
  <c r="D147" i="7"/>
  <c r="B147" i="7"/>
  <c r="E123" i="7"/>
  <c r="D122" i="7"/>
  <c r="B122" i="7"/>
  <c r="E121" i="7"/>
  <c r="D121" i="7"/>
  <c r="C121" i="7"/>
  <c r="J123" i="7"/>
  <c r="I123" i="7"/>
  <c r="H123" i="7"/>
  <c r="I122" i="7"/>
  <c r="H122" i="7"/>
  <c r="G122" i="7"/>
  <c r="J121" i="7"/>
  <c r="I121" i="7"/>
  <c r="H121" i="7"/>
  <c r="G121" i="7"/>
  <c r="O123" i="7"/>
  <c r="N123" i="7"/>
  <c r="M123" i="7"/>
  <c r="N122" i="7"/>
  <c r="M122" i="7"/>
  <c r="L122" i="7"/>
  <c r="O121" i="7"/>
  <c r="M121" i="7"/>
  <c r="L121" i="7"/>
  <c r="B131" i="7"/>
  <c r="R147" i="7" s="1"/>
  <c r="B106" i="7"/>
  <c r="O137" i="7"/>
  <c r="M137" i="7"/>
  <c r="L137" i="7"/>
  <c r="J137" i="7"/>
  <c r="I137" i="7"/>
  <c r="H137" i="7"/>
  <c r="G137" i="7"/>
  <c r="E137" i="7"/>
  <c r="D137" i="7"/>
  <c r="C137" i="7"/>
  <c r="O136" i="7"/>
  <c r="N136" i="7"/>
  <c r="N151" i="7" s="1"/>
  <c r="L136" i="7"/>
  <c r="J136" i="7"/>
  <c r="I136" i="7"/>
  <c r="H136" i="7"/>
  <c r="G136" i="7"/>
  <c r="E136" i="7"/>
  <c r="D136" i="7"/>
  <c r="D151" i="7" s="1"/>
  <c r="C136" i="7"/>
  <c r="B136" i="7"/>
  <c r="O135" i="7"/>
  <c r="N135" i="7"/>
  <c r="M135" i="7"/>
  <c r="J135" i="7"/>
  <c r="I135" i="7"/>
  <c r="H135" i="7"/>
  <c r="X147" i="7" s="1"/>
  <c r="G135" i="7"/>
  <c r="D135" i="7"/>
  <c r="B135" i="7"/>
  <c r="O133" i="7"/>
  <c r="O152" i="7" s="1"/>
  <c r="M133" i="7"/>
  <c r="AC149" i="7" s="1"/>
  <c r="L133" i="7"/>
  <c r="AB149" i="7" s="1"/>
  <c r="J133" i="7"/>
  <c r="Z149" i="7" s="1"/>
  <c r="I133" i="7"/>
  <c r="Y149" i="7" s="1"/>
  <c r="H133" i="7"/>
  <c r="H152" i="7" s="1"/>
  <c r="G133" i="7"/>
  <c r="G152" i="7" s="1"/>
  <c r="E133" i="7"/>
  <c r="E152" i="7" s="1"/>
  <c r="D133" i="7"/>
  <c r="D152" i="7" s="1"/>
  <c r="C133" i="7"/>
  <c r="S149" i="7" s="1"/>
  <c r="N132" i="7"/>
  <c r="AD148" i="7" s="1"/>
  <c r="L132" i="7"/>
  <c r="L151" i="7" s="1"/>
  <c r="J132" i="7"/>
  <c r="Z148" i="7" s="1"/>
  <c r="I132" i="7"/>
  <c r="Y148" i="7" s="1"/>
  <c r="H132" i="7"/>
  <c r="X148" i="7" s="1"/>
  <c r="G132" i="7"/>
  <c r="W148" i="7" s="1"/>
  <c r="E132" i="7"/>
  <c r="U148" i="7" s="1"/>
  <c r="D132" i="7"/>
  <c r="T148" i="7" s="1"/>
  <c r="C132" i="7"/>
  <c r="C151" i="7" s="1"/>
  <c r="B132" i="7"/>
  <c r="B151" i="7" s="1"/>
  <c r="O131" i="7"/>
  <c r="AE147" i="7" s="1"/>
  <c r="N131" i="7"/>
  <c r="AD147" i="7" s="1"/>
  <c r="M131" i="7"/>
  <c r="AC147" i="7" s="1"/>
  <c r="J131" i="7"/>
  <c r="Z147" i="7" s="1"/>
  <c r="I131" i="7"/>
  <c r="Y147" i="7" s="1"/>
  <c r="H131" i="7"/>
  <c r="H150" i="7" s="1"/>
  <c r="G131" i="7"/>
  <c r="W147" i="7" s="1"/>
  <c r="D131" i="7"/>
  <c r="T147" i="7" s="1"/>
  <c r="O111" i="7"/>
  <c r="N111" i="7"/>
  <c r="M111" i="7"/>
  <c r="J111" i="7"/>
  <c r="I111" i="7"/>
  <c r="H111" i="7"/>
  <c r="E111" i="7"/>
  <c r="N110" i="7"/>
  <c r="M110" i="7"/>
  <c r="L110" i="7"/>
  <c r="I110" i="7"/>
  <c r="H110" i="7"/>
  <c r="G110" i="7"/>
  <c r="D110" i="7"/>
  <c r="B110" i="7"/>
  <c r="O109" i="7"/>
  <c r="M109" i="7"/>
  <c r="L109" i="7"/>
  <c r="J109" i="7"/>
  <c r="I109" i="7"/>
  <c r="H109" i="7"/>
  <c r="G109" i="7"/>
  <c r="E109" i="7"/>
  <c r="D109" i="7"/>
  <c r="C109" i="7"/>
  <c r="O107" i="7"/>
  <c r="N107" i="7"/>
  <c r="M107" i="7"/>
  <c r="J107" i="7"/>
  <c r="I107" i="7"/>
  <c r="H107" i="7"/>
  <c r="E107" i="7"/>
  <c r="E126" i="7" s="1"/>
  <c r="N106" i="7"/>
  <c r="M106" i="7"/>
  <c r="M125" i="7" s="1"/>
  <c r="L106" i="7"/>
  <c r="Z122" i="7"/>
  <c r="I106" i="7"/>
  <c r="H106" i="7"/>
  <c r="G106" i="7"/>
  <c r="D106" i="7"/>
  <c r="O105" i="7"/>
  <c r="O124" i="7" s="1"/>
  <c r="AD121" i="7"/>
  <c r="M105" i="7"/>
  <c r="M124" i="7" s="1"/>
  <c r="L105" i="7"/>
  <c r="L124" i="7" s="1"/>
  <c r="J105" i="7"/>
  <c r="J124" i="7" s="1"/>
  <c r="I105" i="7"/>
  <c r="I124" i="7" s="1"/>
  <c r="H105" i="7"/>
  <c r="H124" i="7" s="1"/>
  <c r="G105" i="7"/>
  <c r="G124" i="7" s="1"/>
  <c r="E105" i="7"/>
  <c r="E124" i="7" s="1"/>
  <c r="D105" i="7"/>
  <c r="D124" i="7" s="1"/>
  <c r="C105" i="7"/>
  <c r="C124" i="7" s="1"/>
  <c r="Z189" i="5"/>
  <c r="AD189" i="5"/>
  <c r="B205" i="6"/>
  <c r="C57" i="1"/>
  <c r="D201" i="6"/>
  <c r="O210" i="6"/>
  <c r="O206" i="6"/>
  <c r="O202" i="6"/>
  <c r="O198" i="6"/>
  <c r="O209" i="6"/>
  <c r="O205" i="6"/>
  <c r="O201" i="6"/>
  <c r="O197" i="6"/>
  <c r="AE203" i="6" s="1"/>
  <c r="N210" i="6"/>
  <c r="N206" i="6"/>
  <c r="N202" i="6"/>
  <c r="N198" i="6"/>
  <c r="N209" i="6"/>
  <c r="N205" i="6"/>
  <c r="N201" i="6"/>
  <c r="N197" i="6"/>
  <c r="AD203" i="6" s="1"/>
  <c r="M210" i="6"/>
  <c r="M206" i="6"/>
  <c r="M202" i="6"/>
  <c r="M198" i="6"/>
  <c r="M209" i="6"/>
  <c r="M205" i="6"/>
  <c r="M201" i="6"/>
  <c r="M197" i="6"/>
  <c r="O211" i="6"/>
  <c r="O207" i="6"/>
  <c r="O203" i="6"/>
  <c r="O199" i="6"/>
  <c r="M211" i="6"/>
  <c r="M207" i="6"/>
  <c r="M203" i="6"/>
  <c r="M199" i="6"/>
  <c r="N211" i="6"/>
  <c r="N207" i="6"/>
  <c r="N203" i="6"/>
  <c r="N199" i="6"/>
  <c r="AD205" i="6" s="1"/>
  <c r="L211" i="6"/>
  <c r="L207" i="6"/>
  <c r="L203" i="6"/>
  <c r="L199" i="6"/>
  <c r="AB205" i="6" s="1"/>
  <c r="L210" i="6"/>
  <c r="L206" i="6"/>
  <c r="L202" i="6"/>
  <c r="L198" i="6"/>
  <c r="L209" i="6"/>
  <c r="L205" i="6"/>
  <c r="L201" i="6"/>
  <c r="L197" i="6"/>
  <c r="J210" i="6"/>
  <c r="J206" i="6"/>
  <c r="J202" i="6"/>
  <c r="J198" i="6"/>
  <c r="J213" i="6" s="1"/>
  <c r="J209" i="6"/>
  <c r="J205" i="6"/>
  <c r="J201" i="6"/>
  <c r="J197" i="6"/>
  <c r="I210" i="6"/>
  <c r="I206" i="6"/>
  <c r="I202" i="6"/>
  <c r="I198" i="6"/>
  <c r="I213" i="6" s="1"/>
  <c r="I209" i="6"/>
  <c r="I205" i="6"/>
  <c r="I201" i="6"/>
  <c r="I197" i="6"/>
  <c r="J211" i="6"/>
  <c r="J207" i="6"/>
  <c r="J203" i="6"/>
  <c r="J199" i="6"/>
  <c r="I211" i="6"/>
  <c r="I207" i="6"/>
  <c r="I203" i="6"/>
  <c r="I199" i="6"/>
  <c r="H211" i="6"/>
  <c r="H207" i="6"/>
  <c r="H203" i="6"/>
  <c r="H199" i="6"/>
  <c r="G211" i="6"/>
  <c r="G207" i="6"/>
  <c r="G203" i="6"/>
  <c r="G199" i="6"/>
  <c r="H210" i="6"/>
  <c r="H206" i="6"/>
  <c r="H202" i="6"/>
  <c r="H198" i="6"/>
  <c r="X204" i="6" s="1"/>
  <c r="H209" i="6"/>
  <c r="H205" i="6"/>
  <c r="H201" i="6"/>
  <c r="H197" i="6"/>
  <c r="G210" i="6"/>
  <c r="G206" i="6"/>
  <c r="G202" i="6"/>
  <c r="G198" i="6"/>
  <c r="W204" i="6" s="1"/>
  <c r="G209" i="6"/>
  <c r="G205" i="6"/>
  <c r="G201" i="6"/>
  <c r="G197" i="6"/>
  <c r="E198" i="6"/>
  <c r="E197" i="6"/>
  <c r="E199" i="6"/>
  <c r="D199" i="6"/>
  <c r="D197" i="6"/>
  <c r="C199" i="6"/>
  <c r="D198" i="6"/>
  <c r="C198" i="6"/>
  <c r="C197" i="6"/>
  <c r="B199" i="6"/>
  <c r="E203" i="6"/>
  <c r="E207" i="6"/>
  <c r="E211" i="6"/>
  <c r="D211" i="6"/>
  <c r="D207" i="6"/>
  <c r="D203" i="6"/>
  <c r="T205" i="6"/>
  <c r="C211" i="6"/>
  <c r="C207" i="6"/>
  <c r="C203" i="6"/>
  <c r="C214" i="6"/>
  <c r="B211" i="6"/>
  <c r="B207" i="6"/>
  <c r="B203" i="6"/>
  <c r="R205" i="6"/>
  <c r="B198" i="6"/>
  <c r="B197" i="6"/>
  <c r="E210" i="6"/>
  <c r="E206" i="6"/>
  <c r="E202" i="6"/>
  <c r="D210" i="6"/>
  <c r="D206" i="6"/>
  <c r="D202" i="6"/>
  <c r="C210" i="6"/>
  <c r="C206" i="6"/>
  <c r="C202" i="6"/>
  <c r="B210" i="6"/>
  <c r="B206" i="6"/>
  <c r="B202" i="6"/>
  <c r="E209" i="6"/>
  <c r="E205" i="6"/>
  <c r="E201" i="6"/>
  <c r="D209" i="6"/>
  <c r="D205" i="6"/>
  <c r="C209" i="6"/>
  <c r="C205" i="6"/>
  <c r="C201" i="6"/>
  <c r="B209" i="6"/>
  <c r="B201" i="6"/>
  <c r="AE205" i="6"/>
  <c r="U205" i="6"/>
  <c r="AC203" i="6"/>
  <c r="AB203" i="6"/>
  <c r="Y203" i="6"/>
  <c r="U203" i="6"/>
  <c r="T203" i="6"/>
  <c r="S203" i="6"/>
  <c r="E41" i="1"/>
  <c r="D41" i="1"/>
  <c r="C41" i="1"/>
  <c r="B41" i="1"/>
  <c r="E40" i="1"/>
  <c r="D40" i="1"/>
  <c r="C40" i="1"/>
  <c r="B40" i="1"/>
  <c r="E39" i="1"/>
  <c r="D39" i="1"/>
  <c r="B39" i="1"/>
  <c r="C39" i="1"/>
  <c r="C46" i="1" s="1"/>
  <c r="E45" i="1"/>
  <c r="D45" i="1"/>
  <c r="C45" i="1"/>
  <c r="B45" i="1"/>
  <c r="E44" i="1"/>
  <c r="D44" i="1"/>
  <c r="C44" i="1"/>
  <c r="B44" i="1"/>
  <c r="E43" i="1"/>
  <c r="D43" i="1"/>
  <c r="C43" i="1"/>
  <c r="B43" i="1"/>
  <c r="E37" i="1"/>
  <c r="D37" i="1"/>
  <c r="C37" i="1"/>
  <c r="B37" i="1"/>
  <c r="E36" i="1"/>
  <c r="D36" i="1"/>
  <c r="C36" i="1"/>
  <c r="B36" i="1"/>
  <c r="E35" i="1"/>
  <c r="D35" i="1"/>
  <c r="C35" i="1"/>
  <c r="B35" i="1"/>
  <c r="B31" i="1"/>
  <c r="E31" i="1"/>
  <c r="E32" i="1"/>
  <c r="D32" i="1"/>
  <c r="D31" i="1"/>
  <c r="E33" i="1"/>
  <c r="C48" i="1"/>
  <c r="E48" i="1"/>
  <c r="D33" i="1"/>
  <c r="D48" i="1" s="1"/>
  <c r="E46" i="1"/>
  <c r="D46" i="1"/>
  <c r="C33" i="1"/>
  <c r="C31" i="1"/>
  <c r="C32" i="1"/>
  <c r="B33" i="1"/>
  <c r="B32" i="1"/>
  <c r="E43" i="4"/>
  <c r="C55" i="1"/>
  <c r="P65" i="4"/>
  <c r="G66" i="4"/>
  <c r="G65" i="4"/>
  <c r="E66" i="4"/>
  <c r="O144" i="5"/>
  <c r="AD144" i="5"/>
  <c r="AE145" i="5"/>
  <c r="Z145" i="5"/>
  <c r="U145" i="5"/>
  <c r="E143" i="5"/>
  <c r="Z302" i="3"/>
  <c r="AD301" i="3"/>
  <c r="U285" i="3"/>
  <c r="U284" i="3"/>
  <c r="B289" i="3"/>
  <c r="B285" i="3"/>
  <c r="R301" i="3" s="1"/>
  <c r="O301" i="3"/>
  <c r="O289" i="3"/>
  <c r="O285" i="3"/>
  <c r="AE301" i="3" s="1"/>
  <c r="O302" i="3"/>
  <c r="O300" i="3"/>
  <c r="O290" i="3"/>
  <c r="O288" i="3"/>
  <c r="O286" i="3"/>
  <c r="O305" i="3" s="1"/>
  <c r="O284" i="3"/>
  <c r="N302" i="3"/>
  <c r="N290" i="3"/>
  <c r="N286" i="3"/>
  <c r="AD302" i="3" s="1"/>
  <c r="N301" i="3"/>
  <c r="N289" i="3"/>
  <c r="N285" i="3"/>
  <c r="N300" i="3"/>
  <c r="N288" i="3"/>
  <c r="N284" i="3"/>
  <c r="AD300" i="3" s="1"/>
  <c r="C201" i="3"/>
  <c r="C202" i="3"/>
  <c r="N201" i="3"/>
  <c r="N189" i="3"/>
  <c r="N185" i="3"/>
  <c r="M302" i="3"/>
  <c r="M290" i="3"/>
  <c r="M286" i="3"/>
  <c r="M305" i="3" s="1"/>
  <c r="M301" i="3"/>
  <c r="M289" i="3"/>
  <c r="M285" i="3"/>
  <c r="M300" i="3"/>
  <c r="M288" i="3"/>
  <c r="M284" i="3"/>
  <c r="AC300" i="3" s="1"/>
  <c r="L302" i="3"/>
  <c r="L290" i="3"/>
  <c r="L286" i="3"/>
  <c r="AB302" i="3" s="1"/>
  <c r="L301" i="3"/>
  <c r="L289" i="3"/>
  <c r="L285" i="3"/>
  <c r="AB301" i="3" s="1"/>
  <c r="L300" i="3"/>
  <c r="L288" i="3"/>
  <c r="L284" i="3"/>
  <c r="AB300" i="3" s="1"/>
  <c r="AB303" i="3" s="1"/>
  <c r="J286" i="3"/>
  <c r="J290" i="3"/>
  <c r="J302" i="3"/>
  <c r="J301" i="3"/>
  <c r="J289" i="3"/>
  <c r="J285" i="3"/>
  <c r="Z301" i="3" s="1"/>
  <c r="J300" i="3"/>
  <c r="J288" i="3"/>
  <c r="J284" i="3"/>
  <c r="Z300" i="3" s="1"/>
  <c r="Z303" i="3" s="1"/>
  <c r="I302" i="3"/>
  <c r="I290" i="3"/>
  <c r="I286" i="3"/>
  <c r="P286" i="3" s="1"/>
  <c r="I301" i="3"/>
  <c r="I289" i="3"/>
  <c r="I285" i="3"/>
  <c r="Y301" i="3" s="1"/>
  <c r="I300" i="3"/>
  <c r="I288" i="3"/>
  <c r="I284" i="3"/>
  <c r="Y300" i="3" s="1"/>
  <c r="H302" i="3"/>
  <c r="H290" i="3"/>
  <c r="H286" i="3"/>
  <c r="X302" i="3" s="1"/>
  <c r="H301" i="3"/>
  <c r="H289" i="3"/>
  <c r="H285" i="3"/>
  <c r="X301" i="3" s="1"/>
  <c r="X303" i="3" s="1"/>
  <c r="H300" i="3"/>
  <c r="H288" i="3"/>
  <c r="H284" i="3"/>
  <c r="X300" i="3" s="1"/>
  <c r="G302" i="3"/>
  <c r="G290" i="3"/>
  <c r="G286" i="3"/>
  <c r="W302" i="3" s="1"/>
  <c r="G301" i="3"/>
  <c r="G289" i="3"/>
  <c r="G285" i="3"/>
  <c r="G284" i="3"/>
  <c r="W300" i="3" s="1"/>
  <c r="G300" i="3"/>
  <c r="G288" i="3"/>
  <c r="E302" i="3"/>
  <c r="E290" i="3"/>
  <c r="E286" i="3"/>
  <c r="U302" i="3" s="1"/>
  <c r="E301" i="3"/>
  <c r="E289" i="3"/>
  <c r="E285" i="3"/>
  <c r="U301" i="3" s="1"/>
  <c r="E300" i="3"/>
  <c r="E288" i="3"/>
  <c r="E284" i="3"/>
  <c r="E303" i="3" s="1"/>
  <c r="D302" i="3"/>
  <c r="D290" i="3"/>
  <c r="D286" i="3"/>
  <c r="T302" i="3" s="1"/>
  <c r="D301" i="3"/>
  <c r="D289" i="3"/>
  <c r="D285" i="3"/>
  <c r="D304" i="3" s="1"/>
  <c r="D300" i="3"/>
  <c r="D288" i="3"/>
  <c r="D284" i="3"/>
  <c r="T300" i="3" s="1"/>
  <c r="C302" i="3"/>
  <c r="C290" i="3"/>
  <c r="C286" i="3"/>
  <c r="S302" i="3" s="1"/>
  <c r="C301" i="3"/>
  <c r="C289" i="3"/>
  <c r="C285" i="3"/>
  <c r="P285" i="3" s="1"/>
  <c r="C300" i="3"/>
  <c r="C288" i="3"/>
  <c r="C284" i="3"/>
  <c r="P284" i="3" s="1"/>
  <c r="B302" i="3"/>
  <c r="P302" i="3" s="1"/>
  <c r="B290" i="3"/>
  <c r="B305" i="3" s="1"/>
  <c r="B301" i="3"/>
  <c r="B300" i="3"/>
  <c r="B288" i="3"/>
  <c r="B286" i="3"/>
  <c r="R302" i="3" s="1"/>
  <c r="B284" i="3"/>
  <c r="AC412" i="3" l="1"/>
  <c r="X420" i="3"/>
  <c r="P408" i="3"/>
  <c r="F408" i="3"/>
  <c r="F404" i="3"/>
  <c r="AH416" i="3"/>
  <c r="K404" i="3"/>
  <c r="K408" i="3"/>
  <c r="P404" i="3"/>
  <c r="F412" i="3"/>
  <c r="AC416" i="3"/>
  <c r="AC408" i="3"/>
  <c r="AH408" i="3"/>
  <c r="X412" i="3"/>
  <c r="AH420" i="3"/>
  <c r="AH404" i="3"/>
  <c r="AC420" i="3"/>
  <c r="AC404" i="3"/>
  <c r="AI86" i="7"/>
  <c r="BE86" i="7"/>
  <c r="T149" i="7"/>
  <c r="I150" i="7"/>
  <c r="AU86" i="7"/>
  <c r="S148" i="7"/>
  <c r="U149" i="7"/>
  <c r="AE149" i="7"/>
  <c r="J150" i="7"/>
  <c r="E151" i="7"/>
  <c r="O151" i="7"/>
  <c r="J152" i="7"/>
  <c r="I152" i="7"/>
  <c r="V39" i="7"/>
  <c r="W149" i="7"/>
  <c r="B150" i="7"/>
  <c r="L150" i="7"/>
  <c r="G151" i="7"/>
  <c r="B152" i="7"/>
  <c r="L152" i="7"/>
  <c r="V40" i="7"/>
  <c r="X149" i="7"/>
  <c r="X150" i="7" s="1"/>
  <c r="C150" i="7"/>
  <c r="M150" i="7"/>
  <c r="H151" i="7"/>
  <c r="C152" i="7"/>
  <c r="M152" i="7"/>
  <c r="D150" i="7"/>
  <c r="N150" i="7"/>
  <c r="I151" i="7"/>
  <c r="E150" i="7"/>
  <c r="O150" i="7"/>
  <c r="J151" i="7"/>
  <c r="AI90" i="7"/>
  <c r="G150" i="7"/>
  <c r="X121" i="7"/>
  <c r="H126" i="7"/>
  <c r="P114" i="7"/>
  <c r="AZ78" i="7"/>
  <c r="AD86" i="7"/>
  <c r="I125" i="7"/>
  <c r="AD82" i="7"/>
  <c r="AZ86" i="7"/>
  <c r="J126" i="7"/>
  <c r="B125" i="7"/>
  <c r="AC122" i="7"/>
  <c r="C126" i="7"/>
  <c r="V20" i="7"/>
  <c r="AE121" i="7"/>
  <c r="P118" i="7"/>
  <c r="P119" i="7"/>
  <c r="P120" i="7" s="1"/>
  <c r="AB121" i="7"/>
  <c r="AB124" i="7" s="1"/>
  <c r="D126" i="7"/>
  <c r="AD123" i="7"/>
  <c r="BE82" i="7"/>
  <c r="AN78" i="7"/>
  <c r="AD78" i="7"/>
  <c r="AD90" i="7"/>
  <c r="AI78" i="7"/>
  <c r="AU90" i="7"/>
  <c r="K412" i="3"/>
  <c r="F420" i="3"/>
  <c r="P420" i="3"/>
  <c r="K416" i="3"/>
  <c r="P416" i="3"/>
  <c r="K420" i="3"/>
  <c r="X228" i="6"/>
  <c r="AC228" i="6"/>
  <c r="X182" i="6"/>
  <c r="AC182" i="6"/>
  <c r="G233" i="6"/>
  <c r="H233" i="6"/>
  <c r="L232" i="6"/>
  <c r="G227" i="6"/>
  <c r="G232" i="6" s="1"/>
  <c r="L189" i="6"/>
  <c r="G189" i="6"/>
  <c r="AU78" i="7"/>
  <c r="BE78" i="7"/>
  <c r="AU94" i="7"/>
  <c r="BE94" i="7"/>
  <c r="AZ94" i="7"/>
  <c r="AZ90" i="7"/>
  <c r="AU82" i="7"/>
  <c r="AZ82" i="7"/>
  <c r="AN82" i="7"/>
  <c r="W121" i="7"/>
  <c r="Y123" i="7"/>
  <c r="V57" i="7"/>
  <c r="J125" i="7"/>
  <c r="C125" i="7"/>
  <c r="I126" i="7"/>
  <c r="O126" i="7"/>
  <c r="AN94" i="7"/>
  <c r="N126" i="7"/>
  <c r="G125" i="7"/>
  <c r="M126" i="7"/>
  <c r="V24" i="7"/>
  <c r="R121" i="7"/>
  <c r="V7" i="7"/>
  <c r="H125" i="7"/>
  <c r="G126" i="7"/>
  <c r="N125" i="7"/>
  <c r="D125" i="7"/>
  <c r="AN90" i="7"/>
  <c r="AI94" i="7"/>
  <c r="AC150" i="7"/>
  <c r="B126" i="7"/>
  <c r="E125" i="7"/>
  <c r="L126" i="7"/>
  <c r="AI82" i="7"/>
  <c r="V65" i="7"/>
  <c r="V79" i="7"/>
  <c r="V89" i="7"/>
  <c r="AD94" i="7"/>
  <c r="H314" i="3"/>
  <c r="P287" i="3"/>
  <c r="T283" i="3" s="1"/>
  <c r="O303" i="3"/>
  <c r="AC301" i="3"/>
  <c r="P300" i="3"/>
  <c r="G304" i="3"/>
  <c r="AD303" i="3"/>
  <c r="AE228" i="3"/>
  <c r="AC229" i="3" s="1"/>
  <c r="P301" i="3"/>
  <c r="P303" i="3" s="1"/>
  <c r="T285" i="3" s="1"/>
  <c r="W285" i="3" s="1"/>
  <c r="Z228" i="3"/>
  <c r="AE300" i="3"/>
  <c r="P296" i="3"/>
  <c r="S228" i="3"/>
  <c r="S229" i="3" s="1"/>
  <c r="X229" i="3"/>
  <c r="Y303" i="3"/>
  <c r="S301" i="3"/>
  <c r="Y302" i="3"/>
  <c r="W17" i="3"/>
  <c r="W29" i="3"/>
  <c r="W81" i="3"/>
  <c r="B304" i="3"/>
  <c r="C303" i="3"/>
  <c r="O304" i="3"/>
  <c r="AC302" i="3"/>
  <c r="AC303" i="3" s="1"/>
  <c r="I228" i="3"/>
  <c r="C305" i="3"/>
  <c r="H304" i="3"/>
  <c r="B303" i="3"/>
  <c r="I303" i="3"/>
  <c r="L305" i="3"/>
  <c r="T301" i="3"/>
  <c r="T303" i="3" s="1"/>
  <c r="M253" i="3"/>
  <c r="P194" i="3"/>
  <c r="W39" i="3"/>
  <c r="I305" i="3"/>
  <c r="H305" i="3"/>
  <c r="L304" i="3"/>
  <c r="W301" i="3"/>
  <c r="W303" i="3" s="1"/>
  <c r="W47" i="3"/>
  <c r="S300" i="3"/>
  <c r="W37" i="3"/>
  <c r="W45" i="3"/>
  <c r="W48" i="3"/>
  <c r="W75" i="3"/>
  <c r="W85" i="3"/>
  <c r="P197" i="3"/>
  <c r="E304" i="3"/>
  <c r="J303" i="3"/>
  <c r="G303" i="3"/>
  <c r="N305" i="3"/>
  <c r="W27" i="3"/>
  <c r="W87" i="3"/>
  <c r="AE302" i="3"/>
  <c r="AE303" i="3" s="1"/>
  <c r="W13" i="3"/>
  <c r="W16" i="3"/>
  <c r="W55" i="3"/>
  <c r="W61" i="3"/>
  <c r="O254" i="3"/>
  <c r="M228" i="3"/>
  <c r="N277" i="3"/>
  <c r="M304" i="3"/>
  <c r="W7" i="3"/>
  <c r="I255" i="3"/>
  <c r="W8" i="3"/>
  <c r="H303" i="3"/>
  <c r="U300" i="3"/>
  <c r="U303" i="3" s="1"/>
  <c r="W24" i="3"/>
  <c r="W43" i="3"/>
  <c r="W65" i="3"/>
  <c r="W73" i="3"/>
  <c r="W83" i="3"/>
  <c r="W93" i="3"/>
  <c r="H255" i="3"/>
  <c r="D303" i="3"/>
  <c r="G305" i="3"/>
  <c r="N303" i="3"/>
  <c r="P299" i="3"/>
  <c r="T284" i="3" s="1"/>
  <c r="L125" i="7"/>
  <c r="B219" i="3"/>
  <c r="C304" i="3"/>
  <c r="B143" i="5"/>
  <c r="T121" i="7"/>
  <c r="R123" i="7"/>
  <c r="V48" i="7"/>
  <c r="P122" i="7"/>
  <c r="U121" i="7"/>
  <c r="T150" i="7"/>
  <c r="V25" i="7"/>
  <c r="Z123" i="7"/>
  <c r="V72" i="7"/>
  <c r="S150" i="7"/>
  <c r="U122" i="7"/>
  <c r="AE122" i="7"/>
  <c r="AB123" i="7"/>
  <c r="S122" i="7"/>
  <c r="V68" i="7"/>
  <c r="Z121" i="7"/>
  <c r="Z124" i="7" s="1"/>
  <c r="W122" i="7"/>
  <c r="Y121" i="7"/>
  <c r="Y124" i="7" s="1"/>
  <c r="T122" i="7"/>
  <c r="AD122" i="7"/>
  <c r="AD124" i="7" s="1"/>
  <c r="P115" i="7"/>
  <c r="P121" i="7"/>
  <c r="X122" i="7"/>
  <c r="V4" i="7"/>
  <c r="AC121" i="7"/>
  <c r="S123" i="7"/>
  <c r="AC123" i="7"/>
  <c r="V16" i="7"/>
  <c r="V71" i="7"/>
  <c r="S121" i="7"/>
  <c r="Y122" i="7"/>
  <c r="T123" i="7"/>
  <c r="U123" i="7"/>
  <c r="AE123" i="7"/>
  <c r="R122" i="7"/>
  <c r="AB122" i="7"/>
  <c r="W123" i="7"/>
  <c r="V5" i="7"/>
  <c r="V81" i="7"/>
  <c r="V29" i="7"/>
  <c r="X123" i="7"/>
  <c r="V76" i="7"/>
  <c r="V84" i="7"/>
  <c r="W3" i="3"/>
  <c r="W12" i="3"/>
  <c r="W35" i="3"/>
  <c r="W44" i="3"/>
  <c r="W67" i="3"/>
  <c r="W76" i="3"/>
  <c r="W31" i="3"/>
  <c r="W40" i="3"/>
  <c r="W63" i="3"/>
  <c r="W72" i="3"/>
  <c r="W4" i="3"/>
  <c r="W36" i="3"/>
  <c r="W68" i="3"/>
  <c r="W91" i="3"/>
  <c r="W23" i="3"/>
  <c r="W32" i="3"/>
  <c r="W64" i="3"/>
  <c r="W92" i="3"/>
  <c r="W88" i="3"/>
  <c r="V3" i="6"/>
  <c r="V12" i="6"/>
  <c r="V35" i="6"/>
  <c r="V44" i="6"/>
  <c r="V67" i="6"/>
  <c r="V76" i="6"/>
  <c r="V8" i="6"/>
  <c r="V31" i="6"/>
  <c r="V40" i="6"/>
  <c r="V63" i="6"/>
  <c r="V72" i="6"/>
  <c r="V4" i="6"/>
  <c r="V36" i="6"/>
  <c r="V68" i="6"/>
  <c r="V9" i="6"/>
  <c r="V41" i="6"/>
  <c r="V73" i="6"/>
  <c r="V88" i="6"/>
  <c r="V87" i="7"/>
  <c r="V80" i="7"/>
  <c r="V27" i="7"/>
  <c r="V15" i="7"/>
  <c r="V44" i="7"/>
  <c r="V75" i="7"/>
  <c r="V45" i="7"/>
  <c r="V77" i="7"/>
  <c r="V11" i="7"/>
  <c r="V60" i="7"/>
  <c r="V12" i="7"/>
  <c r="V28" i="7"/>
  <c r="V59" i="7"/>
  <c r="V21" i="7"/>
  <c r="V67" i="7"/>
  <c r="V85" i="7"/>
  <c r="V8" i="7"/>
  <c r="V17" i="7"/>
  <c r="V49" i="7"/>
  <c r="V91" i="7"/>
  <c r="V9" i="7"/>
  <c r="V64" i="7"/>
  <c r="V19" i="7"/>
  <c r="V51" i="7"/>
  <c r="V92" i="7"/>
  <c r="V47" i="7"/>
  <c r="V56" i="7"/>
  <c r="V88" i="7"/>
  <c r="G120" i="5"/>
  <c r="B122" i="5"/>
  <c r="I120" i="5"/>
  <c r="D121" i="5"/>
  <c r="N121" i="5"/>
  <c r="D122" i="5"/>
  <c r="N122" i="5"/>
  <c r="B121" i="5"/>
  <c r="AB123" i="5"/>
  <c r="C121" i="5"/>
  <c r="M121" i="5"/>
  <c r="C122" i="5"/>
  <c r="AC123" i="5"/>
  <c r="R145" i="5"/>
  <c r="J120" i="5"/>
  <c r="E121" i="5"/>
  <c r="O121" i="5"/>
  <c r="E122" i="5"/>
  <c r="O122" i="5"/>
  <c r="L121" i="5"/>
  <c r="H120" i="5"/>
  <c r="M142" i="5"/>
  <c r="B120" i="5"/>
  <c r="L120" i="5"/>
  <c r="G122" i="5"/>
  <c r="C120" i="5"/>
  <c r="M120" i="5"/>
  <c r="H122" i="5"/>
  <c r="W7" i="5"/>
  <c r="W11" i="5"/>
  <c r="D120" i="5"/>
  <c r="N120" i="5"/>
  <c r="I122" i="5"/>
  <c r="W8" i="5"/>
  <c r="E120" i="5"/>
  <c r="O120" i="5"/>
  <c r="J122" i="5"/>
  <c r="T124" i="5"/>
  <c r="AD124" i="5"/>
  <c r="V189" i="5"/>
  <c r="AA189" i="5"/>
  <c r="AC144" i="5"/>
  <c r="AC146" i="5" s="1"/>
  <c r="C142" i="5"/>
  <c r="U124" i="5"/>
  <c r="U146" i="5"/>
  <c r="AE124" i="5"/>
  <c r="N142" i="5"/>
  <c r="O143" i="5"/>
  <c r="AE143" i="5"/>
  <c r="Z144" i="5"/>
  <c r="Z146" i="5" s="1"/>
  <c r="Z124" i="5"/>
  <c r="C144" i="5"/>
  <c r="D143" i="5"/>
  <c r="R124" i="5"/>
  <c r="AB124" i="5"/>
  <c r="J142" i="5"/>
  <c r="L144" i="5"/>
  <c r="R144" i="5"/>
  <c r="S124" i="5"/>
  <c r="X124" i="5"/>
  <c r="AC124" i="5"/>
  <c r="D142" i="5"/>
  <c r="E144" i="5"/>
  <c r="J144" i="5"/>
  <c r="H143" i="5"/>
  <c r="I143" i="5"/>
  <c r="I144" i="5"/>
  <c r="L142" i="5"/>
  <c r="X143" i="5"/>
  <c r="X145" i="5"/>
  <c r="E142" i="5"/>
  <c r="B142" i="5"/>
  <c r="M144" i="5"/>
  <c r="Y143" i="5"/>
  <c r="Y145" i="5"/>
  <c r="L143" i="5"/>
  <c r="N143" i="5"/>
  <c r="U144" i="5"/>
  <c r="AE144" i="5"/>
  <c r="AB146" i="5"/>
  <c r="W144" i="5"/>
  <c r="W146" i="5" s="1"/>
  <c r="N144" i="5"/>
  <c r="C143" i="5"/>
  <c r="G144" i="5"/>
  <c r="G142" i="5"/>
  <c r="T143" i="5"/>
  <c r="AD143" i="5"/>
  <c r="AD146" i="5" s="1"/>
  <c r="Y144" i="5"/>
  <c r="T145" i="5"/>
  <c r="T146" i="5" s="1"/>
  <c r="M214" i="6"/>
  <c r="AC158" i="6"/>
  <c r="Z158" i="6"/>
  <c r="W203" i="6"/>
  <c r="B213" i="6"/>
  <c r="L213" i="6"/>
  <c r="W205" i="6"/>
  <c r="X203" i="6"/>
  <c r="X206" i="6" s="1"/>
  <c r="C213" i="6"/>
  <c r="M213" i="6"/>
  <c r="X205" i="6"/>
  <c r="X158" i="6"/>
  <c r="D213" i="6"/>
  <c r="N213" i="6"/>
  <c r="Y205" i="6"/>
  <c r="Y158" i="6"/>
  <c r="Z203" i="6"/>
  <c r="U204" i="6"/>
  <c r="U206" i="6" s="1"/>
  <c r="AE204" i="6"/>
  <c r="AE206" i="6" s="1"/>
  <c r="Z205" i="6"/>
  <c r="S158" i="6"/>
  <c r="J212" i="6"/>
  <c r="E213" i="6"/>
  <c r="O213" i="6"/>
  <c r="D214" i="6"/>
  <c r="N214" i="6"/>
  <c r="Y204" i="6"/>
  <c r="S205" i="6"/>
  <c r="AC205" i="6"/>
  <c r="B212" i="6"/>
  <c r="L212" i="6"/>
  <c r="G213" i="6"/>
  <c r="E214" i="6"/>
  <c r="O214" i="6"/>
  <c r="Z204" i="6"/>
  <c r="T158" i="6"/>
  <c r="C212" i="6"/>
  <c r="M212" i="6"/>
  <c r="H213" i="6"/>
  <c r="G214" i="6"/>
  <c r="R204" i="6"/>
  <c r="AB204" i="6"/>
  <c r="AB206" i="6" s="1"/>
  <c r="D212" i="6"/>
  <c r="N212" i="6"/>
  <c r="H214" i="6"/>
  <c r="S204" i="6"/>
  <c r="AC204" i="6"/>
  <c r="E212" i="6"/>
  <c r="O212" i="6"/>
  <c r="I214" i="6"/>
  <c r="T204" i="6"/>
  <c r="T206" i="6" s="1"/>
  <c r="AD204" i="6"/>
  <c r="AD206" i="6" s="1"/>
  <c r="G212" i="6"/>
  <c r="J214" i="6"/>
  <c r="H212" i="6"/>
  <c r="B214" i="6"/>
  <c r="L214" i="6"/>
  <c r="I212" i="6"/>
  <c r="B47" i="1"/>
  <c r="B46" i="1"/>
  <c r="C47" i="1"/>
  <c r="D47" i="1"/>
  <c r="E47" i="1"/>
  <c r="C54" i="1"/>
  <c r="B48" i="1"/>
  <c r="D55" i="1"/>
  <c r="B55" i="1"/>
  <c r="C53" i="1"/>
  <c r="C56" i="1" s="1"/>
  <c r="D54" i="1"/>
  <c r="E55" i="1"/>
  <c r="D53" i="1"/>
  <c r="E54" i="1"/>
  <c r="E53" i="1"/>
  <c r="B54" i="1"/>
  <c r="X304" i="3"/>
  <c r="B65" i="4"/>
  <c r="A86" i="4"/>
  <c r="A87" i="4"/>
  <c r="A88" i="4"/>
  <c r="B85" i="4"/>
  <c r="C85" i="4"/>
  <c r="D85" i="4"/>
  <c r="D88" i="4"/>
  <c r="D89" i="4" s="1"/>
  <c r="C87" i="4"/>
  <c r="C89" i="4" s="1"/>
  <c r="C88" i="4"/>
  <c r="B88" i="4"/>
  <c r="B86" i="4"/>
  <c r="I83" i="4"/>
  <c r="B82" i="4"/>
  <c r="B83" i="4"/>
  <c r="B81" i="4"/>
  <c r="R82" i="4"/>
  <c r="S82" i="4"/>
  <c r="T82" i="4"/>
  <c r="U82" i="4"/>
  <c r="R83" i="4"/>
  <c r="S83" i="4"/>
  <c r="T83" i="4"/>
  <c r="U83" i="4"/>
  <c r="S81" i="4"/>
  <c r="T81" i="4"/>
  <c r="U81" i="4"/>
  <c r="N83" i="4"/>
  <c r="K82" i="4"/>
  <c r="M82" i="4"/>
  <c r="N82" i="4"/>
  <c r="K83" i="4"/>
  <c r="L83" i="4"/>
  <c r="M83" i="4"/>
  <c r="L81" i="4"/>
  <c r="M81" i="4"/>
  <c r="N81" i="4"/>
  <c r="K81" i="4"/>
  <c r="D82" i="4"/>
  <c r="E82" i="4"/>
  <c r="F82" i="4"/>
  <c r="G82" i="4"/>
  <c r="D83" i="4"/>
  <c r="E83" i="4"/>
  <c r="F83" i="4"/>
  <c r="G83" i="4"/>
  <c r="E81" i="4"/>
  <c r="F81" i="4"/>
  <c r="G81" i="4"/>
  <c r="D81" i="4"/>
  <c r="R77" i="4"/>
  <c r="Q77" i="4"/>
  <c r="P77" i="4"/>
  <c r="R76" i="4"/>
  <c r="Q76" i="4"/>
  <c r="P76" i="4"/>
  <c r="R75" i="4"/>
  <c r="Q75" i="4"/>
  <c r="P75" i="4"/>
  <c r="Q74" i="4"/>
  <c r="P74" i="4"/>
  <c r="J75" i="4"/>
  <c r="J74" i="4"/>
  <c r="L77" i="4"/>
  <c r="K77" i="4"/>
  <c r="J77" i="4"/>
  <c r="L76" i="4"/>
  <c r="K76" i="4"/>
  <c r="J76" i="4"/>
  <c r="L75" i="4"/>
  <c r="K75" i="4"/>
  <c r="L74" i="4"/>
  <c r="K74" i="4"/>
  <c r="F77" i="4"/>
  <c r="E77" i="4"/>
  <c r="D77" i="4"/>
  <c r="F76" i="4"/>
  <c r="E76" i="4"/>
  <c r="D76" i="4"/>
  <c r="F75" i="4"/>
  <c r="E75" i="4"/>
  <c r="D75" i="4"/>
  <c r="F74" i="4"/>
  <c r="E74" i="4"/>
  <c r="D74" i="4"/>
  <c r="N77" i="4"/>
  <c r="N76" i="4"/>
  <c r="N75" i="4"/>
  <c r="N74" i="4"/>
  <c r="H77" i="4"/>
  <c r="H76" i="4"/>
  <c r="H75" i="4"/>
  <c r="H74" i="4"/>
  <c r="B77" i="4"/>
  <c r="B76" i="4"/>
  <c r="O275" i="3"/>
  <c r="O266" i="3"/>
  <c r="O263" i="3"/>
  <c r="O277" i="3" s="1"/>
  <c r="N275" i="3"/>
  <c r="N266" i="3"/>
  <c r="N263" i="3"/>
  <c r="M275" i="3"/>
  <c r="M266" i="3"/>
  <c r="M263" i="3"/>
  <c r="M277" i="3" s="1"/>
  <c r="L275" i="3"/>
  <c r="L266" i="3"/>
  <c r="L263" i="3"/>
  <c r="J275" i="3"/>
  <c r="I275" i="3"/>
  <c r="H275" i="3"/>
  <c r="G275" i="3"/>
  <c r="J266" i="3"/>
  <c r="J277" i="3" s="1"/>
  <c r="I266" i="3"/>
  <c r="I277" i="3" s="1"/>
  <c r="H266" i="3"/>
  <c r="H277" i="3" s="1"/>
  <c r="G266" i="3"/>
  <c r="J263" i="3"/>
  <c r="I263" i="3"/>
  <c r="H263" i="3"/>
  <c r="G263" i="3"/>
  <c r="G277" i="3" s="1"/>
  <c r="E275" i="3"/>
  <c r="D275" i="3"/>
  <c r="C275" i="3"/>
  <c r="B275" i="3"/>
  <c r="E266" i="3"/>
  <c r="D266" i="3"/>
  <c r="C266" i="3"/>
  <c r="B266" i="3"/>
  <c r="R239" i="3" s="1"/>
  <c r="R240" i="3" s="1"/>
  <c r="S241" i="3" s="1"/>
  <c r="E263" i="3"/>
  <c r="E277" i="3" s="1"/>
  <c r="D263" i="3"/>
  <c r="D277" i="3" s="1"/>
  <c r="C263" i="3"/>
  <c r="C277" i="3" s="1"/>
  <c r="B263" i="3"/>
  <c r="B185" i="3"/>
  <c r="B187" i="3"/>
  <c r="M51" i="4"/>
  <c r="B51" i="4"/>
  <c r="M252" i="3"/>
  <c r="M240" i="3"/>
  <c r="M236" i="3"/>
  <c r="AC253" i="3" s="1"/>
  <c r="N251" i="3"/>
  <c r="N274" i="3" s="1"/>
  <c r="N271" i="3"/>
  <c r="N268" i="3"/>
  <c r="N239" i="3"/>
  <c r="N265" i="3" s="1"/>
  <c r="N235" i="3"/>
  <c r="N262" i="3" s="1"/>
  <c r="O251" i="3"/>
  <c r="O274" i="3" s="1"/>
  <c r="O271" i="3"/>
  <c r="O268" i="3"/>
  <c r="O239" i="3"/>
  <c r="O265" i="3" s="1"/>
  <c r="O235" i="3"/>
  <c r="O262" i="3" s="1"/>
  <c r="O252" i="3"/>
  <c r="N252" i="3"/>
  <c r="N240" i="3"/>
  <c r="N236" i="3"/>
  <c r="N250" i="3"/>
  <c r="O240" i="3"/>
  <c r="N238" i="3"/>
  <c r="O236" i="3"/>
  <c r="N234" i="3"/>
  <c r="N253" i="3" s="1"/>
  <c r="M251" i="3"/>
  <c r="M274" i="3" s="1"/>
  <c r="M271" i="3"/>
  <c r="M268" i="3"/>
  <c r="M239" i="3"/>
  <c r="M265" i="3" s="1"/>
  <c r="M235" i="3"/>
  <c r="M250" i="3"/>
  <c r="M238" i="3"/>
  <c r="M234" i="3"/>
  <c r="O250" i="3"/>
  <c r="O238" i="3"/>
  <c r="O234" i="3"/>
  <c r="AE251" i="3" s="1"/>
  <c r="L252" i="3"/>
  <c r="L240" i="3"/>
  <c r="L255" i="3" s="1"/>
  <c r="L236" i="3"/>
  <c r="L251" i="3"/>
  <c r="L274" i="3" s="1"/>
  <c r="L271" i="3"/>
  <c r="L268" i="3"/>
  <c r="L239" i="3"/>
  <c r="L265" i="3" s="1"/>
  <c r="L235" i="3"/>
  <c r="L262" i="3" s="1"/>
  <c r="L250" i="3"/>
  <c r="L238" i="3"/>
  <c r="L234" i="3"/>
  <c r="L253" i="3" s="1"/>
  <c r="I236" i="3"/>
  <c r="I252" i="3"/>
  <c r="I240" i="3"/>
  <c r="J251" i="3"/>
  <c r="J274" i="3" s="1"/>
  <c r="J271" i="3"/>
  <c r="J268" i="3"/>
  <c r="J239" i="3"/>
  <c r="J265" i="3" s="1"/>
  <c r="J235" i="3"/>
  <c r="J262" i="3" s="1"/>
  <c r="J250" i="3"/>
  <c r="I251" i="3"/>
  <c r="I274" i="3" s="1"/>
  <c r="I271" i="3"/>
  <c r="I268" i="3"/>
  <c r="J238" i="3"/>
  <c r="I239" i="3"/>
  <c r="I265" i="3" s="1"/>
  <c r="J234" i="3"/>
  <c r="Z251" i="3" s="1"/>
  <c r="I235" i="3"/>
  <c r="I262" i="3" s="1"/>
  <c r="J252" i="3"/>
  <c r="I250" i="3"/>
  <c r="J240" i="3"/>
  <c r="I238" i="3"/>
  <c r="J236" i="3"/>
  <c r="I234" i="3"/>
  <c r="I253" i="3" s="1"/>
  <c r="H252" i="3"/>
  <c r="H240" i="3"/>
  <c r="H236" i="3"/>
  <c r="X253" i="3" s="1"/>
  <c r="H251" i="3"/>
  <c r="H274" i="3" s="1"/>
  <c r="H271" i="3"/>
  <c r="H268" i="3"/>
  <c r="H239" i="3"/>
  <c r="H265" i="3" s="1"/>
  <c r="H235" i="3"/>
  <c r="X252" i="3" s="1"/>
  <c r="H250" i="3"/>
  <c r="H238" i="3"/>
  <c r="H234" i="3"/>
  <c r="G252" i="3"/>
  <c r="G240" i="3"/>
  <c r="G236" i="3"/>
  <c r="G255" i="3" s="1"/>
  <c r="G251" i="3"/>
  <c r="G274" i="3" s="1"/>
  <c r="G271" i="3"/>
  <c r="G268" i="3"/>
  <c r="G239" i="3"/>
  <c r="G265" i="3" s="1"/>
  <c r="G235" i="3"/>
  <c r="G250" i="3"/>
  <c r="G238" i="3"/>
  <c r="G234" i="3"/>
  <c r="W251" i="3" s="1"/>
  <c r="E252" i="3"/>
  <c r="D252" i="3"/>
  <c r="C252" i="3"/>
  <c r="B252" i="3"/>
  <c r="E251" i="3"/>
  <c r="E274" i="3" s="1"/>
  <c r="D251" i="3"/>
  <c r="C251" i="3"/>
  <c r="C274" i="3" s="1"/>
  <c r="B251" i="3"/>
  <c r="B274" i="3" s="1"/>
  <c r="E250" i="3"/>
  <c r="D250" i="3"/>
  <c r="C250" i="3"/>
  <c r="B250" i="3"/>
  <c r="E271" i="3"/>
  <c r="D271" i="3"/>
  <c r="E268" i="3"/>
  <c r="D268" i="3"/>
  <c r="C268" i="3"/>
  <c r="B268" i="3"/>
  <c r="E240" i="3"/>
  <c r="E255" i="3" s="1"/>
  <c r="D240" i="3"/>
  <c r="C240" i="3"/>
  <c r="B240" i="3"/>
  <c r="E239" i="3"/>
  <c r="E265" i="3" s="1"/>
  <c r="D239" i="3"/>
  <c r="D265" i="3" s="1"/>
  <c r="C239" i="3"/>
  <c r="B239" i="3"/>
  <c r="B265" i="3" s="1"/>
  <c r="E238" i="3"/>
  <c r="D238" i="3"/>
  <c r="C238" i="3"/>
  <c r="B238" i="3"/>
  <c r="E236" i="3"/>
  <c r="D236" i="3"/>
  <c r="D255" i="3" s="1"/>
  <c r="C236" i="3"/>
  <c r="C255" i="3" s="1"/>
  <c r="B236" i="3"/>
  <c r="B255" i="3" s="1"/>
  <c r="E235" i="3"/>
  <c r="E262" i="3" s="1"/>
  <c r="D235" i="3"/>
  <c r="C235" i="3"/>
  <c r="C262" i="3" s="1"/>
  <c r="B235" i="3"/>
  <c r="B262" i="3" s="1"/>
  <c r="E234" i="3"/>
  <c r="D234" i="3"/>
  <c r="D253" i="3" s="1"/>
  <c r="C234" i="3"/>
  <c r="S251" i="3" s="1"/>
  <c r="B234" i="3"/>
  <c r="C265" i="3"/>
  <c r="B271" i="3"/>
  <c r="N67" i="4"/>
  <c r="O226" i="3"/>
  <c r="O217" i="3"/>
  <c r="O214" i="3"/>
  <c r="O228" i="3" s="1"/>
  <c r="N226" i="3"/>
  <c r="N217" i="3"/>
  <c r="N214" i="3"/>
  <c r="N228" i="3" s="1"/>
  <c r="M226" i="3"/>
  <c r="M217" i="3"/>
  <c r="M214" i="3"/>
  <c r="L226" i="3"/>
  <c r="L217" i="3"/>
  <c r="L214" i="3"/>
  <c r="L228" i="3" s="1"/>
  <c r="J226" i="3"/>
  <c r="J217" i="3"/>
  <c r="J214" i="3"/>
  <c r="J228" i="3" s="1"/>
  <c r="I226" i="3"/>
  <c r="I217" i="3"/>
  <c r="I214" i="3"/>
  <c r="H226" i="3"/>
  <c r="H217" i="3"/>
  <c r="H214" i="3"/>
  <c r="H228" i="3" s="1"/>
  <c r="G226" i="3"/>
  <c r="G217" i="3"/>
  <c r="G214" i="3"/>
  <c r="G228" i="3" s="1"/>
  <c r="C214" i="3"/>
  <c r="E226" i="3"/>
  <c r="D226" i="3"/>
  <c r="C226" i="3"/>
  <c r="B226" i="3"/>
  <c r="E217" i="3"/>
  <c r="E228" i="3" s="1"/>
  <c r="D217" i="3"/>
  <c r="C217" i="3"/>
  <c r="B217" i="3"/>
  <c r="E214" i="3"/>
  <c r="D214" i="3"/>
  <c r="D228" i="3" s="1"/>
  <c r="B214" i="3"/>
  <c r="B228" i="3" s="1"/>
  <c r="T186" i="3"/>
  <c r="S186" i="3"/>
  <c r="R186" i="3"/>
  <c r="T182" i="3"/>
  <c r="S182" i="3"/>
  <c r="R182" i="3"/>
  <c r="R183" i="3" s="1"/>
  <c r="T178" i="3"/>
  <c r="S178" i="3"/>
  <c r="R178" i="3"/>
  <c r="U147" i="3"/>
  <c r="U47" i="3"/>
  <c r="O202" i="3"/>
  <c r="O225" i="3" s="1"/>
  <c r="O222" i="3"/>
  <c r="O219" i="3"/>
  <c r="O190" i="3"/>
  <c r="O216" i="3" s="1"/>
  <c r="O186" i="3"/>
  <c r="O203" i="3"/>
  <c r="O201" i="3"/>
  <c r="O191" i="3"/>
  <c r="O189" i="3"/>
  <c r="O187" i="3"/>
  <c r="O185" i="3"/>
  <c r="N202" i="3"/>
  <c r="N225" i="3" s="1"/>
  <c r="N222" i="3"/>
  <c r="N219" i="3"/>
  <c r="N190" i="3"/>
  <c r="N216" i="3" s="1"/>
  <c r="N186" i="3"/>
  <c r="N203" i="3"/>
  <c r="N191" i="3"/>
  <c r="N187" i="3"/>
  <c r="M186" i="3"/>
  <c r="M203" i="3"/>
  <c r="M191" i="3"/>
  <c r="M187" i="3"/>
  <c r="M202" i="3"/>
  <c r="M225" i="3" s="1"/>
  <c r="M222" i="3"/>
  <c r="M219" i="3"/>
  <c r="M190" i="3"/>
  <c r="M216" i="3" s="1"/>
  <c r="M201" i="3"/>
  <c r="M189" i="3"/>
  <c r="M185" i="3"/>
  <c r="L203" i="3"/>
  <c r="L191" i="3"/>
  <c r="L187" i="3"/>
  <c r="L202" i="3"/>
  <c r="L225" i="3" s="1"/>
  <c r="L222" i="3"/>
  <c r="L219" i="3"/>
  <c r="L190" i="3"/>
  <c r="L216" i="3" s="1"/>
  <c r="L186" i="3"/>
  <c r="L201" i="3"/>
  <c r="L189" i="3"/>
  <c r="L185" i="3"/>
  <c r="H55" i="4"/>
  <c r="J45" i="4"/>
  <c r="J67" i="4" s="1"/>
  <c r="O53" i="4"/>
  <c r="O52" i="4"/>
  <c r="O51" i="4"/>
  <c r="N53" i="4"/>
  <c r="N52" i="4"/>
  <c r="N51" i="4"/>
  <c r="M53" i="4"/>
  <c r="M52" i="4"/>
  <c r="L53" i="4"/>
  <c r="L52" i="4"/>
  <c r="L51" i="4"/>
  <c r="J53" i="4"/>
  <c r="J60" i="4" s="1"/>
  <c r="J52" i="4"/>
  <c r="J51" i="4"/>
  <c r="I53" i="4"/>
  <c r="I52" i="4"/>
  <c r="I51" i="4"/>
  <c r="H53" i="4"/>
  <c r="H52" i="4"/>
  <c r="H51" i="4"/>
  <c r="G53" i="4"/>
  <c r="G52" i="4"/>
  <c r="G51" i="4"/>
  <c r="D53" i="4"/>
  <c r="C53" i="4"/>
  <c r="B53" i="4"/>
  <c r="D52" i="4"/>
  <c r="C52" i="4"/>
  <c r="B52" i="4"/>
  <c r="E53" i="4"/>
  <c r="E52" i="4"/>
  <c r="E51" i="4"/>
  <c r="D51" i="4"/>
  <c r="C51" i="4"/>
  <c r="O49" i="4"/>
  <c r="N49" i="4"/>
  <c r="M49" i="4"/>
  <c r="L49" i="4"/>
  <c r="J49" i="4"/>
  <c r="I49" i="4"/>
  <c r="H49" i="4"/>
  <c r="G49" i="4"/>
  <c r="E49" i="4"/>
  <c r="D49" i="4"/>
  <c r="C49" i="4"/>
  <c r="C67" i="4" s="1"/>
  <c r="B49" i="4"/>
  <c r="B67" i="4" s="1"/>
  <c r="O48" i="4"/>
  <c r="N48" i="4"/>
  <c r="M48" i="4"/>
  <c r="L48" i="4"/>
  <c r="J48" i="4"/>
  <c r="I48" i="4"/>
  <c r="H48" i="4"/>
  <c r="G48" i="4"/>
  <c r="E48" i="4"/>
  <c r="D48" i="4"/>
  <c r="C48" i="4"/>
  <c r="C66" i="4" s="1"/>
  <c r="B48" i="4"/>
  <c r="O47" i="4"/>
  <c r="N47" i="4"/>
  <c r="M47" i="4"/>
  <c r="J47" i="4"/>
  <c r="I47" i="4"/>
  <c r="H47" i="4"/>
  <c r="G47" i="4"/>
  <c r="E47" i="4"/>
  <c r="D47" i="4"/>
  <c r="C47" i="4"/>
  <c r="B47" i="4"/>
  <c r="O57" i="4"/>
  <c r="N57" i="4"/>
  <c r="M57" i="4"/>
  <c r="M60" i="4" s="1"/>
  <c r="L57" i="4"/>
  <c r="J57" i="4"/>
  <c r="I57" i="4"/>
  <c r="H57" i="4"/>
  <c r="G57" i="4"/>
  <c r="E57" i="4"/>
  <c r="D57" i="4"/>
  <c r="C57" i="4"/>
  <c r="B57" i="4"/>
  <c r="O56" i="4"/>
  <c r="N56" i="4"/>
  <c r="M56" i="4"/>
  <c r="L56" i="4"/>
  <c r="J56" i="4"/>
  <c r="I56" i="4"/>
  <c r="H56" i="4"/>
  <c r="G56" i="4"/>
  <c r="E56" i="4"/>
  <c r="D56" i="4"/>
  <c r="C56" i="4"/>
  <c r="B56" i="4"/>
  <c r="O55" i="4"/>
  <c r="N55" i="4"/>
  <c r="M55" i="4"/>
  <c r="L55" i="4"/>
  <c r="L58" i="4" s="1"/>
  <c r="J55" i="4"/>
  <c r="I55" i="4"/>
  <c r="G55" i="4"/>
  <c r="E55" i="4"/>
  <c r="D55" i="4"/>
  <c r="C55" i="4"/>
  <c r="B55" i="4"/>
  <c r="O45" i="4"/>
  <c r="O67" i="4" s="1"/>
  <c r="N45" i="4"/>
  <c r="M45" i="4"/>
  <c r="L45" i="4"/>
  <c r="I45" i="4"/>
  <c r="H45" i="4"/>
  <c r="G45" i="4"/>
  <c r="E45" i="4"/>
  <c r="E67" i="4" s="1"/>
  <c r="D45" i="4"/>
  <c r="D67" i="4" s="1"/>
  <c r="C45" i="4"/>
  <c r="B45" i="4"/>
  <c r="O44" i="4"/>
  <c r="N44" i="4"/>
  <c r="M44" i="4"/>
  <c r="J44" i="4"/>
  <c r="J66" i="4" s="1"/>
  <c r="I44" i="4"/>
  <c r="I66" i="4" s="1"/>
  <c r="H44" i="4"/>
  <c r="G44" i="4"/>
  <c r="E44" i="4"/>
  <c r="D44" i="4"/>
  <c r="C44" i="4"/>
  <c r="B44" i="4"/>
  <c r="B66" i="4" s="1"/>
  <c r="O43" i="4"/>
  <c r="O65" i="4" s="1"/>
  <c r="N43" i="4"/>
  <c r="N65" i="4" s="1"/>
  <c r="M43" i="4"/>
  <c r="L43" i="4"/>
  <c r="J43" i="4"/>
  <c r="I43" i="4"/>
  <c r="H43" i="4"/>
  <c r="G43" i="4"/>
  <c r="E65" i="4"/>
  <c r="D43" i="4"/>
  <c r="D65" i="4" s="1"/>
  <c r="C43" i="4"/>
  <c r="B43" i="4"/>
  <c r="J219" i="3"/>
  <c r="I219" i="3"/>
  <c r="G203" i="3"/>
  <c r="B203" i="3"/>
  <c r="D202" i="3"/>
  <c r="D225" i="3" s="1"/>
  <c r="D222" i="3"/>
  <c r="D219" i="3"/>
  <c r="D227" i="3" s="1"/>
  <c r="G191" i="3"/>
  <c r="B191" i="3"/>
  <c r="D190" i="3"/>
  <c r="D216" i="3" s="1"/>
  <c r="C189" i="3"/>
  <c r="G187" i="3"/>
  <c r="D186" i="3"/>
  <c r="C185" i="3"/>
  <c r="U175" i="3"/>
  <c r="U165" i="3"/>
  <c r="U159" i="3"/>
  <c r="U157" i="3"/>
  <c r="U156" i="3"/>
  <c r="U155" i="3"/>
  <c r="U153" i="3"/>
  <c r="U152" i="3"/>
  <c r="U151" i="3"/>
  <c r="U145" i="3"/>
  <c r="U135" i="3"/>
  <c r="U125" i="3"/>
  <c r="U115" i="3"/>
  <c r="U105" i="3"/>
  <c r="U95" i="3"/>
  <c r="U85" i="3"/>
  <c r="U75" i="3"/>
  <c r="U65" i="3"/>
  <c r="U59" i="3"/>
  <c r="U57" i="3"/>
  <c r="U56" i="3"/>
  <c r="U55" i="3"/>
  <c r="U53" i="3"/>
  <c r="U52" i="3"/>
  <c r="U51" i="3"/>
  <c r="U45" i="3"/>
  <c r="U35" i="3"/>
  <c r="U25" i="3"/>
  <c r="U15" i="3"/>
  <c r="U5" i="3"/>
  <c r="H219" i="3"/>
  <c r="G219" i="3"/>
  <c r="B202" i="3"/>
  <c r="B225" i="3" s="1"/>
  <c r="B190" i="3"/>
  <c r="B216" i="3" s="1"/>
  <c r="B186" i="3"/>
  <c r="U139" i="3"/>
  <c r="U39" i="3"/>
  <c r="E219" i="3"/>
  <c r="C219" i="3"/>
  <c r="J203" i="3"/>
  <c r="I203" i="3"/>
  <c r="H203" i="3"/>
  <c r="J202" i="3"/>
  <c r="J225" i="3" s="1"/>
  <c r="I202" i="3"/>
  <c r="I225" i="3" s="1"/>
  <c r="H202" i="3"/>
  <c r="H225" i="3" s="1"/>
  <c r="G202" i="3"/>
  <c r="G225" i="3" s="1"/>
  <c r="J201" i="3"/>
  <c r="I201" i="3"/>
  <c r="H201" i="3"/>
  <c r="G201" i="3"/>
  <c r="J222" i="3"/>
  <c r="I222" i="3"/>
  <c r="H222" i="3"/>
  <c r="G222" i="3"/>
  <c r="J191" i="3"/>
  <c r="I191" i="3"/>
  <c r="H191" i="3"/>
  <c r="J190" i="3"/>
  <c r="J216" i="3" s="1"/>
  <c r="I190" i="3"/>
  <c r="I216" i="3" s="1"/>
  <c r="H190" i="3"/>
  <c r="H216" i="3" s="1"/>
  <c r="G190" i="3"/>
  <c r="G216" i="3" s="1"/>
  <c r="J189" i="3"/>
  <c r="I189" i="3"/>
  <c r="H189" i="3"/>
  <c r="G189" i="3"/>
  <c r="I187" i="3"/>
  <c r="J186" i="3"/>
  <c r="J187" i="3"/>
  <c r="J185" i="3"/>
  <c r="I186" i="3"/>
  <c r="H187" i="3"/>
  <c r="I185" i="3"/>
  <c r="H186" i="3"/>
  <c r="H185" i="3"/>
  <c r="G186" i="3"/>
  <c r="G185" i="3"/>
  <c r="B201" i="3"/>
  <c r="B189" i="3"/>
  <c r="U131" i="3"/>
  <c r="U31" i="3"/>
  <c r="E187" i="3"/>
  <c r="E186" i="3"/>
  <c r="E185" i="3"/>
  <c r="E203" i="3"/>
  <c r="D203" i="3"/>
  <c r="C203" i="3"/>
  <c r="E202" i="3"/>
  <c r="E225" i="3" s="1"/>
  <c r="C225" i="3"/>
  <c r="E201" i="3"/>
  <c r="D201" i="3"/>
  <c r="E222" i="3"/>
  <c r="C222" i="3"/>
  <c r="E191" i="3"/>
  <c r="D191" i="3"/>
  <c r="C191" i="3"/>
  <c r="E190" i="3"/>
  <c r="E216" i="3" s="1"/>
  <c r="C190" i="3"/>
  <c r="C216" i="3" s="1"/>
  <c r="E189" i="3"/>
  <c r="D189" i="3"/>
  <c r="D187" i="3"/>
  <c r="C187" i="3"/>
  <c r="C186" i="3"/>
  <c r="D185" i="3"/>
  <c r="B180" i="3"/>
  <c r="U177" i="3"/>
  <c r="U176" i="3"/>
  <c r="U173" i="3"/>
  <c r="U172" i="3"/>
  <c r="U171" i="3"/>
  <c r="U169" i="3"/>
  <c r="U168" i="3"/>
  <c r="U167" i="3"/>
  <c r="U164" i="3"/>
  <c r="U163" i="3"/>
  <c r="U161" i="3"/>
  <c r="U160" i="3"/>
  <c r="U149" i="3"/>
  <c r="U148" i="3"/>
  <c r="U144" i="3"/>
  <c r="U143" i="3"/>
  <c r="U141" i="3"/>
  <c r="U140" i="3"/>
  <c r="U137" i="3"/>
  <c r="U136" i="3"/>
  <c r="U133" i="3"/>
  <c r="U132" i="3"/>
  <c r="U129" i="3"/>
  <c r="U128" i="3"/>
  <c r="U127" i="3"/>
  <c r="U124" i="3"/>
  <c r="U123" i="3"/>
  <c r="U121" i="3"/>
  <c r="U120" i="3"/>
  <c r="U119" i="3"/>
  <c r="U117" i="3"/>
  <c r="U116" i="3"/>
  <c r="U113" i="3"/>
  <c r="U112" i="3"/>
  <c r="U111" i="3"/>
  <c r="U109" i="3"/>
  <c r="U108" i="3"/>
  <c r="U107" i="3"/>
  <c r="U104" i="3"/>
  <c r="U103" i="3"/>
  <c r="U101" i="3"/>
  <c r="U100" i="3"/>
  <c r="U99" i="3"/>
  <c r="U97" i="3"/>
  <c r="U96" i="3"/>
  <c r="U93" i="3"/>
  <c r="U92" i="3"/>
  <c r="U91" i="3"/>
  <c r="U89" i="3"/>
  <c r="U88" i="3"/>
  <c r="U87" i="3"/>
  <c r="U84" i="3"/>
  <c r="U83" i="3"/>
  <c r="U81" i="3"/>
  <c r="U80" i="3"/>
  <c r="U79" i="3"/>
  <c r="U77" i="3"/>
  <c r="U76" i="3"/>
  <c r="U73" i="3"/>
  <c r="U72" i="3"/>
  <c r="U71" i="3"/>
  <c r="U69" i="3"/>
  <c r="U68" i="3"/>
  <c r="U67" i="3"/>
  <c r="U64" i="3"/>
  <c r="U63" i="3"/>
  <c r="U61" i="3"/>
  <c r="U60" i="3"/>
  <c r="U49" i="3"/>
  <c r="U48" i="3"/>
  <c r="U44" i="3"/>
  <c r="U43" i="3"/>
  <c r="U41" i="3"/>
  <c r="U40" i="3"/>
  <c r="U37" i="3"/>
  <c r="U36" i="3"/>
  <c r="U33" i="3"/>
  <c r="U32" i="3"/>
  <c r="U29" i="3"/>
  <c r="U28" i="3"/>
  <c r="U27" i="3"/>
  <c r="U24" i="3"/>
  <c r="U23" i="3"/>
  <c r="U21" i="3"/>
  <c r="U20" i="3"/>
  <c r="U19" i="3"/>
  <c r="U17" i="3"/>
  <c r="U16" i="3"/>
  <c r="U13" i="3"/>
  <c r="U12" i="3"/>
  <c r="U11" i="3"/>
  <c r="U9" i="3"/>
  <c r="U8" i="3"/>
  <c r="U7" i="3"/>
  <c r="U4" i="3"/>
  <c r="U3" i="3"/>
  <c r="W124" i="7" l="1"/>
  <c r="AE124" i="7"/>
  <c r="AC124" i="7"/>
  <c r="T124" i="7"/>
  <c r="R124" i="7"/>
  <c r="X124" i="7"/>
  <c r="S124" i="7"/>
  <c r="U124" i="7"/>
  <c r="AD150" i="7"/>
  <c r="Z206" i="6"/>
  <c r="Y206" i="6"/>
  <c r="W158" i="6"/>
  <c r="X159" i="6" s="1"/>
  <c r="U158" i="6"/>
  <c r="AB158" i="6"/>
  <c r="AE150" i="7"/>
  <c r="AB150" i="7"/>
  <c r="Z150" i="7"/>
  <c r="W150" i="7"/>
  <c r="U201" i="3"/>
  <c r="E204" i="3"/>
  <c r="P185" i="3"/>
  <c r="Y203" i="3"/>
  <c r="Y204" i="3" s="1"/>
  <c r="P187" i="3"/>
  <c r="I206" i="3"/>
  <c r="J255" i="3"/>
  <c r="N206" i="3"/>
  <c r="AD203" i="3"/>
  <c r="T183" i="3"/>
  <c r="S183" i="3"/>
  <c r="W201" i="3"/>
  <c r="G204" i="3"/>
  <c r="AC304" i="3"/>
  <c r="B277" i="3"/>
  <c r="S242" i="3"/>
  <c r="AG231" i="3" s="1"/>
  <c r="S254" i="3"/>
  <c r="AE204" i="3"/>
  <c r="G276" i="3"/>
  <c r="M262" i="3"/>
  <c r="M254" i="3"/>
  <c r="N227" i="3"/>
  <c r="B276" i="3"/>
  <c r="J276" i="3"/>
  <c r="O253" i="3"/>
  <c r="V285" i="3"/>
  <c r="G227" i="3"/>
  <c r="L227" i="3"/>
  <c r="AD253" i="3"/>
  <c r="N255" i="3"/>
  <c r="L254" i="3"/>
  <c r="N254" i="3"/>
  <c r="E254" i="3"/>
  <c r="H227" i="3"/>
  <c r="H276" i="3"/>
  <c r="I276" i="3"/>
  <c r="M255" i="3"/>
  <c r="M227" i="3"/>
  <c r="O227" i="3"/>
  <c r="E253" i="3"/>
  <c r="B254" i="3"/>
  <c r="C228" i="3"/>
  <c r="N276" i="3"/>
  <c r="H254" i="3"/>
  <c r="C254" i="3"/>
  <c r="G253" i="3"/>
  <c r="G262" i="3"/>
  <c r="G254" i="3"/>
  <c r="X251" i="3"/>
  <c r="X254" i="3" s="1"/>
  <c r="H253" i="3"/>
  <c r="Y253" i="3"/>
  <c r="AE253" i="3"/>
  <c r="AE254" i="3" s="1"/>
  <c r="O255" i="3"/>
  <c r="B253" i="3"/>
  <c r="C253" i="3"/>
  <c r="U204" i="3"/>
  <c r="B227" i="3"/>
  <c r="T252" i="3"/>
  <c r="D254" i="3"/>
  <c r="AB251" i="3"/>
  <c r="L277" i="3"/>
  <c r="I254" i="3"/>
  <c r="J254" i="3"/>
  <c r="J253" i="3"/>
  <c r="J227" i="3"/>
  <c r="I227" i="3"/>
  <c r="C227" i="3"/>
  <c r="C276" i="3"/>
  <c r="M276" i="3"/>
  <c r="O276" i="3"/>
  <c r="E227" i="3"/>
  <c r="E276" i="3"/>
  <c r="L276" i="3"/>
  <c r="W284" i="3"/>
  <c r="V284" i="3"/>
  <c r="AF148" i="7"/>
  <c r="R150" i="7"/>
  <c r="Y150" i="7"/>
  <c r="AF149" i="7"/>
  <c r="AF147" i="7"/>
  <c r="U150" i="7"/>
  <c r="R146" i="5"/>
  <c r="AF145" i="5"/>
  <c r="AE146" i="5"/>
  <c r="AC125" i="5"/>
  <c r="Y146" i="5"/>
  <c r="X146" i="5"/>
  <c r="AF123" i="5"/>
  <c r="S125" i="5"/>
  <c r="AC147" i="5"/>
  <c r="S147" i="5"/>
  <c r="AF144" i="5"/>
  <c r="W124" i="5"/>
  <c r="X125" i="5" s="1"/>
  <c r="W206" i="6"/>
  <c r="X207" i="6" s="1"/>
  <c r="AF203" i="6"/>
  <c r="AC206" i="6"/>
  <c r="AE158" i="6"/>
  <c r="AD158" i="6"/>
  <c r="AF205" i="6"/>
  <c r="R158" i="6"/>
  <c r="S206" i="6"/>
  <c r="AF204" i="6"/>
  <c r="R206" i="6"/>
  <c r="S207" i="6" s="1"/>
  <c r="B56" i="1"/>
  <c r="D56" i="1"/>
  <c r="E56" i="1"/>
  <c r="S253" i="3"/>
  <c r="Z253" i="3"/>
  <c r="AC251" i="3"/>
  <c r="Z252" i="3"/>
  <c r="AE252" i="3"/>
  <c r="AD204" i="3"/>
  <c r="Z204" i="3"/>
  <c r="AD251" i="3"/>
  <c r="T251" i="3"/>
  <c r="T253" i="3"/>
  <c r="W253" i="3"/>
  <c r="U251" i="3"/>
  <c r="U253" i="3"/>
  <c r="R253" i="3"/>
  <c r="Y251" i="3"/>
  <c r="AB253" i="3"/>
  <c r="D262" i="3"/>
  <c r="D276" i="3" s="1"/>
  <c r="R252" i="3"/>
  <c r="R254" i="3" s="1"/>
  <c r="AB252" i="3"/>
  <c r="AC252" i="3"/>
  <c r="AD252" i="3"/>
  <c r="W204" i="3"/>
  <c r="U180" i="3"/>
  <c r="X204" i="3"/>
  <c r="U252" i="3"/>
  <c r="Y252" i="3"/>
  <c r="H262" i="3"/>
  <c r="S252" i="3"/>
  <c r="W252" i="3"/>
  <c r="W254" i="3" s="1"/>
  <c r="B68" i="4"/>
  <c r="O68" i="4"/>
  <c r="D60" i="4"/>
  <c r="N58" i="4"/>
  <c r="O60" i="4"/>
  <c r="J59" i="4"/>
  <c r="G58" i="4"/>
  <c r="L66" i="4"/>
  <c r="G67" i="4"/>
  <c r="C60" i="4"/>
  <c r="H65" i="4"/>
  <c r="M66" i="4"/>
  <c r="H60" i="4"/>
  <c r="E58" i="4"/>
  <c r="O58" i="4"/>
  <c r="I65" i="4"/>
  <c r="D66" i="4"/>
  <c r="D68" i="4" s="1"/>
  <c r="N66" i="4"/>
  <c r="N68" i="4" s="1"/>
  <c r="I60" i="4"/>
  <c r="B59" i="4"/>
  <c r="G59" i="4"/>
  <c r="J65" i="4"/>
  <c r="J68" i="4" s="1"/>
  <c r="E68" i="4"/>
  <c r="O59" i="4"/>
  <c r="L67" i="4"/>
  <c r="C59" i="4"/>
  <c r="M59" i="4"/>
  <c r="M58" i="4"/>
  <c r="H59" i="4"/>
  <c r="B58" i="4"/>
  <c r="L65" i="4"/>
  <c r="G68" i="4"/>
  <c r="B60" i="4"/>
  <c r="M67" i="4"/>
  <c r="I59" i="4"/>
  <c r="C65" i="4"/>
  <c r="C68" i="4" s="1"/>
  <c r="M65" i="4"/>
  <c r="H66" i="4"/>
  <c r="U178" i="3"/>
  <c r="U184" i="3"/>
  <c r="E59" i="4"/>
  <c r="L59" i="4"/>
  <c r="D58" i="4"/>
  <c r="D59" i="4"/>
  <c r="G60" i="4"/>
  <c r="N59" i="4"/>
  <c r="H67" i="4"/>
  <c r="I58" i="4"/>
  <c r="O66" i="4"/>
  <c r="C58" i="4"/>
  <c r="I67" i="4"/>
  <c r="E60" i="4"/>
  <c r="H58" i="4"/>
  <c r="L60" i="4"/>
  <c r="J58" i="4"/>
  <c r="N60" i="4"/>
  <c r="D274" i="3"/>
  <c r="U179" i="3"/>
  <c r="U186" i="3"/>
  <c r="U187" i="3"/>
  <c r="U182" i="3"/>
  <c r="U188" i="3"/>
  <c r="U183" i="3"/>
  <c r="AC151" i="7" l="1"/>
  <c r="S151" i="7"/>
  <c r="S159" i="6"/>
  <c r="X151" i="7"/>
  <c r="P188" i="3"/>
  <c r="U283" i="3" s="1"/>
  <c r="V283" i="3" s="1"/>
  <c r="X182" i="3"/>
  <c r="W182" i="3"/>
  <c r="Z254" i="3"/>
  <c r="Y254" i="3"/>
  <c r="X255" i="3" s="1"/>
  <c r="AD254" i="3"/>
  <c r="AB204" i="3"/>
  <c r="AC205" i="3" s="1"/>
  <c r="AC305" i="3" s="1"/>
  <c r="R204" i="3"/>
  <c r="T254" i="3"/>
  <c r="AC254" i="3"/>
  <c r="T204" i="3"/>
  <c r="AB254" i="3"/>
  <c r="U254" i="3"/>
  <c r="AC204" i="3"/>
  <c r="S204" i="3"/>
  <c r="X147" i="5"/>
  <c r="M68" i="4"/>
  <c r="I68" i="4"/>
  <c r="L68" i="4"/>
  <c r="H68" i="4"/>
  <c r="R179" i="3"/>
  <c r="S179" i="3"/>
  <c r="T179" i="3"/>
  <c r="X178" i="3" s="1"/>
  <c r="S205" i="3" l="1"/>
  <c r="S305" i="3" s="1"/>
  <c r="X305" i="3"/>
  <c r="W283" i="3"/>
  <c r="AC255" i="3"/>
  <c r="AD214" i="3" s="1"/>
  <c r="W178" i="3"/>
  <c r="S125" i="7" l="1"/>
  <c r="AC125" i="7"/>
  <c r="X125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<sst xmlns="http://schemas.openxmlformats.org/spreadsheetml/2006/main" count="4873" uniqueCount="299">
  <si>
    <t>Comparison</t>
  </si>
  <si>
    <t>Model</t>
  </si>
  <si>
    <t>System</t>
  </si>
  <si>
    <t>Share Mode</t>
  </si>
  <si>
    <t>Dataset</t>
  </si>
  <si>
    <t>Num Agents</t>
  </si>
  <si>
    <t>Malicious Agents</t>
  </si>
  <si>
    <t>Wrong→Correct</t>
  </si>
  <si>
    <t>Wrong→Different Wrong</t>
  </si>
  <si>
    <t>Wrong→Same Wrong</t>
  </si>
  <si>
    <t>Wrong→Malicious Wrong</t>
  </si>
  <si>
    <t>Correct→Wrong</t>
  </si>
  <si>
    <t>Correct→Malicious Wrong</t>
  </si>
  <si>
    <t>Correct→Correct</t>
  </si>
  <si>
    <t>Malicious Wrong Convergence</t>
  </si>
  <si>
    <t>Num Tasks</t>
  </si>
  <si>
    <t>Missed Patterns</t>
  </si>
  <si>
    <t>Baseline and Malicious Equal</t>
  </si>
  <si>
    <t>Task Doesn't Exist in Baseline</t>
  </si>
  <si>
    <t>Malicious Agent Answers Ground Truth</t>
  </si>
  <si>
    <t>Qwen, both, MAS</t>
  </si>
  <si>
    <t>Qwen2.5-3B-Instruct</t>
  </si>
  <si>
    <t>MAS</t>
  </si>
  <si>
    <t>both</t>
  </si>
  <si>
    <t>openai/gsm8k</t>
  </si>
  <si>
    <t>[]</t>
  </si>
  <si>
    <t>cais/mmlu</t>
  </si>
  <si>
    <t>ChilleD/StrategyQA</t>
  </si>
  <si>
    <t>tasksource/bigbench</t>
  </si>
  <si>
    <t>Olmo, both, MAS</t>
  </si>
  <si>
    <t>Olmo-3-7B-Instruct</t>
  </si>
  <si>
    <t>Llama, both, MAS</t>
  </si>
  <si>
    <t>Llama-3.2-3B-Instruct</t>
  </si>
  <si>
    <t>Qwen, both, SAS</t>
  </si>
  <si>
    <t>SAS</t>
  </si>
  <si>
    <t>Olmo, both, SAS</t>
  </si>
  <si>
    <t>Llama, both, SAS</t>
  </si>
  <si>
    <t>Qwen, GSM8K, MAS, both</t>
  </si>
  <si>
    <t>openai/gsm8k: No Mal Agent</t>
  </si>
  <si>
    <t>openai/gsm8k: Mal Agent 1</t>
  </si>
  <si>
    <t>openai/gsm8k: Mal Agent 1 &amp; 2</t>
  </si>
  <si>
    <t>Qwen, MMLU, MAS, both</t>
  </si>
  <si>
    <t>cais/mmlu: No Mal Agent</t>
  </si>
  <si>
    <t>cais/mmlu: Mal Agent 1</t>
  </si>
  <si>
    <t>cais/mmlu: Mal Agent 1 &amp; 2</t>
  </si>
  <si>
    <t>Qwen, StrategyQA, MAS, both</t>
  </si>
  <si>
    <t>ChilleD/StrategyQA: No Mal Agent</t>
  </si>
  <si>
    <t>ChilleD/StrategyQA: Mal Agent 1</t>
  </si>
  <si>
    <t>ChilleD/StrategyQA: Mal Agent 1 &amp; 2</t>
  </si>
  <si>
    <t>Qwen, BigBench, MAS, both</t>
  </si>
  <si>
    <t>tasksource/bigbench: No Mal Agent</t>
  </si>
  <si>
    <t>tasksource/bigbench: Mal Agent 1</t>
  </si>
  <si>
    <t>tasksource/bigbench: Mal Agent 1 &amp; 2</t>
  </si>
  <si>
    <t>Olmo, GSM8K, MAS, both</t>
  </si>
  <si>
    <t>Olmo, MMLU, MAS, both</t>
  </si>
  <si>
    <t>Olmo, StrategyQA, MAS, both</t>
  </si>
  <si>
    <t>Olmo, BigBench, MAS, both</t>
  </si>
  <si>
    <t>Olmo Think, GSM8K, MAS, both</t>
  </si>
  <si>
    <t>Olmo-3-7B-Think</t>
  </si>
  <si>
    <t>Olmo Think, MMLU, MAS, both</t>
  </si>
  <si>
    <t>Olmo Think, StrategyQA, MAS, both</t>
  </si>
  <si>
    <t>Olmo Think, BigBench, MAS, both</t>
  </si>
  <si>
    <t>Llama, GSM8K, MAS, both</t>
  </si>
  <si>
    <t>Llama, MMLU, MAS, both</t>
  </si>
  <si>
    <t>Llama, StrategyQA, MAS, both</t>
  </si>
  <si>
    <t>tasksource/bigbench: No Mal Agent - both</t>
  </si>
  <si>
    <t>tasksource/bigbench: Mal Agent 1 - both</t>
  </si>
  <si>
    <t>[0]</t>
  </si>
  <si>
    <t>tasksource/bigbench: Mal Agent 2 - both</t>
  </si>
  <si>
    <t>[1]</t>
  </si>
  <si>
    <t>tasksource/bigbench: Mal Agent 3 - both</t>
  </si>
  <si>
    <t>[2]</t>
  </si>
  <si>
    <t>Qwen, BigBench, MAS, answer</t>
  </si>
  <si>
    <t>answer</t>
  </si>
  <si>
    <t>tasksource/bigbench: No Mal Agent - answer</t>
  </si>
  <si>
    <t>tasksource/bigbench: Mal Agent 1 - answer</t>
  </si>
  <si>
    <t>tasksource/bigbench: Mal Agent 2 - answer</t>
  </si>
  <si>
    <t>tasksource/bigbench: Mal Agent 3 - answer</t>
  </si>
  <si>
    <t>Olmo, BigBench, MAS, answer</t>
  </si>
  <si>
    <t>Llama, BigBench, MAS, both</t>
  </si>
  <si>
    <t>Llama, BigBench, MAS, answer</t>
  </si>
  <si>
    <t>openai/gsm8k: No Mal Agent - both</t>
  </si>
  <si>
    <t>openai/gsm8k: Mal Agent 1 - both</t>
  </si>
  <si>
    <t>openai/gsm8k: Mal Agent 2 - both</t>
  </si>
  <si>
    <t>openai/gsm8k: Mal Agent 3 - both</t>
  </si>
  <si>
    <t>Qwen, GSM8K, MAS, answer</t>
  </si>
  <si>
    <t>openai/gsm8k: No Mal Agent - answer</t>
  </si>
  <si>
    <t>openai/gsm8k: Mal Agent 1 - answer</t>
  </si>
  <si>
    <t>openai/gsm8k: Mal Agent 2 - answer</t>
  </si>
  <si>
    <t>openai/gsm8k: Mal Agent 3 - answer</t>
  </si>
  <si>
    <t>Olmo, GSM8K, MAS, answer</t>
  </si>
  <si>
    <t>Llama, GSM8K, MAS, answer</t>
  </si>
  <si>
    <t>cais/mmlu: No Mal Agent - both</t>
  </si>
  <si>
    <t>cais/mmlu: Mal Agent 1 - both</t>
  </si>
  <si>
    <t>cais/mmlu: Mal Agent 2 - both</t>
  </si>
  <si>
    <t>cais/mmlu: Mal Agent 3 - both</t>
  </si>
  <si>
    <t>Qwen, MMLU, MAS, answer</t>
  </si>
  <si>
    <t>cais/mmlu: No Mal Agent - answer</t>
  </si>
  <si>
    <t>cais/mmlu: Mal Agent 1 - answer</t>
  </si>
  <si>
    <t>cais/mmlu: Mal Agent 2 - answer</t>
  </si>
  <si>
    <t>cais/mmlu: Mal Agent 3 - answer</t>
  </si>
  <si>
    <t>Olmo, MMLU, MAS, answer</t>
  </si>
  <si>
    <t>Llama, MMLU, MAS, answer</t>
  </si>
  <si>
    <t>ChilleD/StrategyQA: No Mal Agent - both</t>
  </si>
  <si>
    <t>ChilleD/StrategyQA: Mal Agent 1 - both</t>
  </si>
  <si>
    <t>ChilleD/StrategyQA: Mal Agent 2 - both</t>
  </si>
  <si>
    <t>ChilleD/StrategyQA: Mal Agent 3 - both</t>
  </si>
  <si>
    <t>Qwen, StrategyQA, MAS, answer</t>
  </si>
  <si>
    <t>ChilleD/StrategyQA: No Mal Agent - answer</t>
  </si>
  <si>
    <t>ChilleD/StrategyQA: Mal Agent 1 - answer</t>
  </si>
  <si>
    <t>ChilleD/StrategyQA: Mal Agent 2 - answer</t>
  </si>
  <si>
    <t>ChilleD/StrategyQA: Mal Agent 3 - answer</t>
  </si>
  <si>
    <t>Olmo, StrategyQA, MAS, answer</t>
  </si>
  <si>
    <t>Llama, StrategyQA, MAS, answer</t>
  </si>
  <si>
    <t>[0, 1]</t>
  </si>
  <si>
    <t>tasksource/bigbench: Mal Agent 1 &amp; 3</t>
  </si>
  <si>
    <t>[0, 2]</t>
  </si>
  <si>
    <t>tasksource/bigbench: Mal Agent 2 &amp; 3</t>
  </si>
  <si>
    <t>[1, 2]</t>
  </si>
  <si>
    <t>tasksource/bigbench: Mal Agent 1 &amp; 2 - both</t>
  </si>
  <si>
    <t>tasksource/bigbench: Mal Agent 1 &amp; 3 - both</t>
  </si>
  <si>
    <t>tasksource/bigbench: Mal Agent 2 &amp; 3 - both</t>
  </si>
  <si>
    <t>openai/gsm8k: Mal Agent 1 &amp; 3</t>
  </si>
  <si>
    <t>openai/gsm8k: Mal Agent 2 &amp; 3</t>
  </si>
  <si>
    <t>openai/gsm8k: Mal Agent 1 &amp; 2 - both</t>
  </si>
  <si>
    <t>openai/gsm8k: Mal Agent 1 &amp; 3 - both</t>
  </si>
  <si>
    <t>openai/gsm8k: Mal Agent 2 &amp; 3 - both</t>
  </si>
  <si>
    <t>cais/mmlu: Mal Agent 1 &amp; 3</t>
  </si>
  <si>
    <t>cais/mmlu: Mal Agent 2 &amp; 3</t>
  </si>
  <si>
    <t>cais/mmlu: Mal Agent 1 &amp; 2 - both</t>
  </si>
  <si>
    <t>cais/mmlu: Mal Agent 1 &amp; 3 - both</t>
  </si>
  <si>
    <t>cais/mmlu: Mal Agent 2 &amp; 3 - both</t>
  </si>
  <si>
    <t>ChilleD/StrategyQA: Mal Agent 1 &amp; 3</t>
  </si>
  <si>
    <t>ChilleD/StrategyQA: Mal Agent 2 &amp; 3</t>
  </si>
  <si>
    <t>ChilleD/StrategyQA: Mal Agent 1 &amp; 2 - both</t>
  </si>
  <si>
    <t>ChilleD/StrategyQA: Mal Agent 1 &amp; 3 - both</t>
  </si>
  <si>
    <t>ChilleD/StrategyQA: Mal Agent 2 &amp; 3 - both</t>
  </si>
  <si>
    <t>Qwen, GSM8K, MAS</t>
  </si>
  <si>
    <t>Both</t>
  </si>
  <si>
    <t>openai/gsm8k: Both Share-mode</t>
  </si>
  <si>
    <t>Reasoning</t>
  </si>
  <si>
    <t>openai/gsm8k: Reasoning Share-mode</t>
  </si>
  <si>
    <t>Answer</t>
  </si>
  <si>
    <t>openai/gsm8k: Answer Share-mode</t>
  </si>
  <si>
    <t>Qwen, MMLU, MAS</t>
  </si>
  <si>
    <t>cais/mmlu: Both Share-mode</t>
  </si>
  <si>
    <t>cais/mmlu: Reasoning Share-mode</t>
  </si>
  <si>
    <t>cais/mmlu: Answer Share-mode</t>
  </si>
  <si>
    <t>Qwen, StrategyQA, MAS</t>
  </si>
  <si>
    <t>ChilleD/StrategyQA: Both Share-mode</t>
  </si>
  <si>
    <t>ChilleD/StrategyQA: Reasoning Share-mode</t>
  </si>
  <si>
    <t>ChilleD/StrategyQA: Answer Share-mode</t>
  </si>
  <si>
    <t>Qwen, BigBench, MAS</t>
  </si>
  <si>
    <t>tasksource/bigbench both</t>
  </si>
  <si>
    <t>tasksource/bigbench reasoning</t>
  </si>
  <si>
    <t>tasksource/bigbench answer</t>
  </si>
  <si>
    <t>Olmo, GSM8K, MAS</t>
  </si>
  <si>
    <t>Olmo, MMLU, MAS</t>
  </si>
  <si>
    <t>Olmo, StrategyQA, MAS</t>
  </si>
  <si>
    <t>Olmo, BigBench, MAS</t>
  </si>
  <si>
    <t>tasksource/bigbench: Both Share-mode</t>
  </si>
  <si>
    <t>tasksource/bigbench: Reasoning Share-mode</t>
  </si>
  <si>
    <t>tasksource/bigbench: Answer Share-mode</t>
  </si>
  <si>
    <t>Llama, GSM8K, MAS</t>
  </si>
  <si>
    <t>Llama, MMLU, MAS</t>
  </si>
  <si>
    <t>Llama, StrategyQA, MAS</t>
  </si>
  <si>
    <t>Llama, BigBench, MAS</t>
  </si>
  <si>
    <t xml:space="preserve">How many are skipped (%)? </t>
  </si>
  <si>
    <t>AVERAGE</t>
  </si>
  <si>
    <t>MAX</t>
  </si>
  <si>
    <t>MIN</t>
  </si>
  <si>
    <t>AVERAGE - No Think</t>
  </si>
  <si>
    <t>MAX  - No Think</t>
  </si>
  <si>
    <t>MIN  - No Think</t>
  </si>
  <si>
    <t>AVERAGE - Think</t>
  </si>
  <si>
    <t>MAX  - Think</t>
  </si>
  <si>
    <t>MIN  - Think</t>
  </si>
  <si>
    <t>Only ground-truth check</t>
  </si>
  <si>
    <t>Baseline checks</t>
  </si>
  <si>
    <t>One Malicious Agent
Both Share-Mode</t>
  </si>
  <si>
    <t>Malicious Agent 1</t>
  </si>
  <si>
    <t>Malicious Agent 2</t>
  </si>
  <si>
    <t>Malicious Agent 3</t>
  </si>
  <si>
    <t>GSM8K</t>
  </si>
  <si>
    <t>MMLU</t>
  </si>
  <si>
    <t xml:space="preserve">StrategyQA </t>
  </si>
  <si>
    <t>Sports</t>
  </si>
  <si>
    <t>Qwen2.5</t>
  </si>
  <si>
    <t>Olmo 3</t>
  </si>
  <si>
    <t>Llama 3.2</t>
  </si>
  <si>
    <t>Wrong→Wrong</t>
  </si>
  <si>
    <t>Converges to malicious wrong</t>
  </si>
  <si>
    <t>Olmo 3 Think</t>
  </si>
  <si>
    <t>Malicious wrong convergence</t>
  </si>
  <si>
    <t>Share-Mode</t>
  </si>
  <si>
    <t>One Malicious Agent
Both Share-Mode
Instruct vs. Think</t>
  </si>
  <si>
    <t>Malicious Agent 1 and 2</t>
  </si>
  <si>
    <t>Malicious Agent 1 and 3</t>
  </si>
  <si>
    <t>Malicious Agent 2 and 3</t>
  </si>
  <si>
    <t>Two Malicious Agent
Both Share-Mode
Instruct vs. Think</t>
  </si>
  <si>
    <t>Two Malicious Agents
Both Share-Mode</t>
  </si>
  <si>
    <t>Share-Mode
Accuracy</t>
  </si>
  <si>
    <t>AVG.</t>
  </si>
  <si>
    <t>One Malicious Agent
Accuracy</t>
  </si>
  <si>
    <t>One Malicious Agent
Answer Share-Mode</t>
  </si>
  <si>
    <t>Share-mode</t>
  </si>
  <si>
    <t>tasksource/bigbench: Mal Agent 3</t>
  </si>
  <si>
    <t>tasksource/bigbench: Mal Agent 2</t>
  </si>
  <si>
    <t>ChilleD/StrategyQA: Mal Agent 3</t>
  </si>
  <si>
    <t>ChilleD/StrategyQA: Mal Agent 2</t>
  </si>
  <si>
    <t>cais/mmlu: Mal Agent 3</t>
  </si>
  <si>
    <t>cais/mmlu: Mal Agent 2</t>
  </si>
  <si>
    <t>openai/gsm8k: Mal Agent 3</t>
  </si>
  <si>
    <t>openai/gsm8k: Mal Agent 2</t>
  </si>
  <si>
    <t>One IR-CA Agent
Both Share-Mode</t>
  </si>
  <si>
    <t>IR-CA Agent 1</t>
  </si>
  <si>
    <t>IR-CA Agent 2</t>
  </si>
  <si>
    <t>IR-CA Agent 3</t>
  </si>
  <si>
    <t>IR-CA Agent 1 &amp; 2</t>
  </si>
  <si>
    <t>IR-CA Agent 1 &amp; 3</t>
  </si>
  <si>
    <t>IR-CA Agent 2 &amp; 3</t>
  </si>
  <si>
    <t>Two IR-CA Agent
Both Share-Mode</t>
  </si>
  <si>
    <t>One ES Agent
Both Share-Mode</t>
  </si>
  <si>
    <t>ES Agent 1</t>
  </si>
  <si>
    <t>ES Agent 2</t>
  </si>
  <si>
    <t>ES Agent 1 &amp; 2</t>
  </si>
  <si>
    <t>ES Agent 1 &amp; 3</t>
  </si>
  <si>
    <t>ES Agent 3</t>
  </si>
  <si>
    <t>ES Agent 2 &amp; 3</t>
  </si>
  <si>
    <t>Two ES Agent
Both Share-Mode</t>
  </si>
  <si>
    <t>CR-IA Agents</t>
  </si>
  <si>
    <t>Wrong→CR-IA Wrong</t>
  </si>
  <si>
    <t>Correct→CR-IA Wrong</t>
  </si>
  <si>
    <t>CR-IA Wrong Convergence</t>
  </si>
  <si>
    <t>Baseline and CR-IA Equal</t>
  </si>
  <si>
    <t>CR-IA Agent Answers Ground Truth</t>
  </si>
  <si>
    <t>One CR-IA Agent
Accuracy</t>
  </si>
  <si>
    <t>CR-IA Agent 1</t>
  </si>
  <si>
    <t>CR-IA Agent 2</t>
  </si>
  <si>
    <t>CR-IA Agent 3</t>
  </si>
  <si>
    <t>CR-IA wrong convergence</t>
  </si>
  <si>
    <t>Start out correct</t>
  </si>
  <si>
    <t>stretqa lavere llama i 2 positioner</t>
  </si>
  <si>
    <t>Sports på alle olmo</t>
  </si>
  <si>
    <t xml:space="preserve">Sport på alle qwen, og strateqa på </t>
  </si>
  <si>
    <t>One CR-IA Agent
Both Share-Mode</t>
  </si>
  <si>
    <t>Two CR-IA Agent
Both Share-Mode</t>
  </si>
  <si>
    <t>CR-IA Agent 1 &amp; 2</t>
  </si>
  <si>
    <t>CR-IA Agent 1 &amp; 3</t>
  </si>
  <si>
    <t>CR-IA Agent 2 &amp; 3</t>
  </si>
  <si>
    <t>Correct→Wrong (with malicious wrong)</t>
  </si>
  <si>
    <t>Only olmo avg</t>
  </si>
  <si>
    <t>=</t>
  </si>
  <si>
    <t>Baseline
Accuracy</t>
  </si>
  <si>
    <t>Both share-mode</t>
  </si>
  <si>
    <t>only think average</t>
  </si>
  <si>
    <t>Propagation rate</t>
  </si>
  <si>
    <t>recovery potential</t>
  </si>
  <si>
    <t>CR-IA Agents Have Same Answer
Both Share-Mode</t>
  </si>
  <si>
    <t>CR-IA Agent 1 and 2</t>
  </si>
  <si>
    <t>CR-IA Agent 1 and 3</t>
  </si>
  <si>
    <t>CR-IA Agent 2 and 3</t>
  </si>
  <si>
    <t>Number</t>
  </si>
  <si>
    <t>Percentage</t>
  </si>
  <si>
    <t>Percentage  our of tasks</t>
  </si>
  <si>
    <t>Number same answer</t>
  </si>
  <si>
    <t>Number propagation rate</t>
  </si>
  <si>
    <t>Number malicious propagation rate</t>
  </si>
  <si>
    <t>Number correct-to-correct</t>
  </si>
  <si>
    <t>Percenateg propagation</t>
  </si>
  <si>
    <t>Percenateg malicious propagation</t>
  </si>
  <si>
    <r>
      <t>Malicious Agents Have Different</t>
    </r>
    <r>
      <rPr>
        <sz val="11"/>
        <color theme="1"/>
        <rFont val="Calibri"/>
        <family val="2"/>
        <scheme val="minor"/>
      </rPr>
      <t xml:space="preserve"> Answer</t>
    </r>
    <r>
      <rPr>
        <b/>
        <sz val="11"/>
        <color theme="1"/>
        <rFont val="Calibri"/>
        <family val="2"/>
        <scheme val="minor"/>
      </rPr>
      <t xml:space="preserve">
Both Share-Mode</t>
    </r>
  </si>
  <si>
    <t>CR-IA Agents Have DIfferent Answer
Both Share-Mode</t>
  </si>
  <si>
    <t>CR-IA Agents Have Different Answer
Both Share-Mode</t>
  </si>
  <si>
    <t>Percenateg correct-to-correct</t>
  </si>
  <si>
    <t>One ES Agent
Both Share-Mode
Instruct vs. Think</t>
  </si>
  <si>
    <t>One Malicious Agents
Both Share-Mode</t>
  </si>
  <si>
    <t>Two ES Agent
Both Share-Mode
Instruct vs. Think</t>
  </si>
  <si>
    <t>Number recovery rate</t>
  </si>
  <si>
    <t>Percenateg recovery</t>
  </si>
  <si>
    <t>Number  propagation rate</t>
  </si>
  <si>
    <r>
      <t>Malicious Agents Have Same</t>
    </r>
    <r>
      <rPr>
        <sz val="11"/>
        <color theme="1"/>
        <rFont val="Calibri"/>
        <family val="2"/>
        <scheme val="minor"/>
      </rPr>
      <t xml:space="preserve"> Answer</t>
    </r>
    <r>
      <rPr>
        <b/>
        <sz val="11"/>
        <color theme="1"/>
        <rFont val="Calibri"/>
        <family val="2"/>
        <scheme val="minor"/>
      </rPr>
      <t xml:space="preserve">
Both Share-Mode</t>
    </r>
  </si>
  <si>
    <t>ES Agents</t>
  </si>
  <si>
    <t>Wrong→ES Wrong</t>
  </si>
  <si>
    <t>Correct→ES Wrong</t>
  </si>
  <si>
    <t>ES Wrong Convergence</t>
  </si>
  <si>
    <t>Baseline and ES Equal</t>
  </si>
  <si>
    <t>ES Agent Answers Ground Truth</t>
  </si>
  <si>
    <t>One ES Agents
Both Share-Mode</t>
  </si>
  <si>
    <t>Two ES Agents
Both Share-Mode</t>
  </si>
  <si>
    <t>ES Agent 1 and 2</t>
  </si>
  <si>
    <t>ES Agent 1 and 3</t>
  </si>
  <si>
    <t>ES Agent 2 and 3</t>
  </si>
  <si>
    <t>Only olmo think avg</t>
  </si>
  <si>
    <t>Both Share-Mode
Instruct vs. Think, Baseline</t>
  </si>
  <si>
    <t>Total</t>
  </si>
  <si>
    <t>N/A</t>
  </si>
  <si>
    <t>Both baseline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</si>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</sst>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"/>
    <numFmt numFmtId="174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0" fontId="0" fillId="3" borderId="0" xfId="0" applyFill="1"/>
    <xf numFmtId="10" fontId="0" fillId="3" borderId="0" xfId="1" applyNumberFormat="1" applyFont="1" applyFill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3" fillId="0" borderId="0" xfId="0" applyFont="1" applyAlignment="1">
      <alignment horizontal="left" indent="2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/>
    <xf numFmtId="166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left" indent="2"/>
    </xf>
    <xf numFmtId="165" fontId="5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0" fontId="0" fillId="0" borderId="3" xfId="1" applyNumberFormat="1" applyFont="1" applyBorder="1"/>
    <xf numFmtId="165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indent="2"/>
    </xf>
    <xf numFmtId="165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2" fontId="0" fillId="0" borderId="2" xfId="0" applyNumberForma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2" fontId="3" fillId="0" borderId="0" xfId="0" applyNumberFormat="1" applyFont="1"/>
    <xf numFmtId="165" fontId="3" fillId="0" borderId="0" xfId="0" applyNumberFormat="1" applyFont="1"/>
    <xf numFmtId="0" fontId="3" fillId="3" borderId="0" xfId="0" applyFont="1" applyFill="1"/>
    <xf numFmtId="165" fontId="0" fillId="3" borderId="0" xfId="0" applyNumberFormat="1" applyFill="1"/>
    <xf numFmtId="2" fontId="0" fillId="3" borderId="0" xfId="0" applyNumberFormat="1" applyFill="1"/>
    <xf numFmtId="2" fontId="3" fillId="3" borderId="0" xfId="0" applyNumberFormat="1" applyFont="1" applyFill="1"/>
    <xf numFmtId="165" fontId="3" fillId="3" borderId="0" xfId="0" applyNumberFormat="1" applyFont="1" applyFill="1"/>
    <xf numFmtId="165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2" fontId="6" fillId="0" borderId="0" xfId="0" applyNumberFormat="1" applyFont="1"/>
    <xf numFmtId="0" fontId="0" fillId="0" borderId="0" xfId="0" applyAlignment="1">
      <alignment horizontal="left" vertical="center"/>
    </xf>
    <xf numFmtId="9" fontId="0" fillId="0" borderId="0" xfId="1" applyFont="1"/>
    <xf numFmtId="0" fontId="0" fillId="0" borderId="7" xfId="0" applyBorder="1"/>
    <xf numFmtId="165" fontId="6" fillId="0" borderId="0" xfId="0" applyNumberFormat="1" applyFont="1"/>
    <xf numFmtId="165" fontId="6" fillId="0" borderId="0" xfId="0" applyNumberFormat="1" applyFont="1" applyAlignment="1">
      <alignment horizontal="center" vertical="center"/>
    </xf>
    <xf numFmtId="0" fontId="0" fillId="3" borderId="7" xfId="0" applyFill="1" applyBorder="1"/>
    <xf numFmtId="164" fontId="0" fillId="4" borderId="0" xfId="1" applyNumberFormat="1" applyFont="1" applyFill="1"/>
    <xf numFmtId="1" fontId="0" fillId="3" borderId="0" xfId="0" applyNumberFormat="1" applyFill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2" fontId="0" fillId="0" borderId="6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/>
    <xf numFmtId="165" fontId="0" fillId="0" borderId="0" xfId="0" applyNumberForma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174" fontId="0" fillId="0" borderId="0" xfId="0" applyNumberFormat="1"/>
    <xf numFmtId="166" fontId="0" fillId="0" borderId="0" xfId="0" applyNumberForma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2" xfId="0" applyFont="1" applyBorder="1"/>
    <xf numFmtId="2" fontId="6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165" fontId="9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6" fillId="0" borderId="1" xfId="0" applyFont="1" applyBorder="1"/>
    <xf numFmtId="0" fontId="7" fillId="0" borderId="0" xfId="0" applyFont="1" applyAlignment="1">
      <alignment horizontal="left" indent="2"/>
    </xf>
    <xf numFmtId="166" fontId="9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left" indent="2"/>
    </xf>
    <xf numFmtId="0" fontId="6" fillId="0" borderId="0" xfId="0" applyFont="1" applyAlignment="1">
      <alignment horizontal="left"/>
    </xf>
    <xf numFmtId="165" fontId="6" fillId="0" borderId="2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Border="1"/>
    <xf numFmtId="0" fontId="3" fillId="0" borderId="0" xfId="0" applyFont="1" applyBorder="1" applyAlignment="1">
      <alignment horizontal="left" indent="2"/>
    </xf>
    <xf numFmtId="1" fontId="0" fillId="0" borderId="2" xfId="0" applyNumberFormat="1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10" fontId="0" fillId="0" borderId="2" xfId="1" applyNumberFormat="1" applyFont="1" applyBorder="1"/>
    <xf numFmtId="10" fontId="0" fillId="0" borderId="0" xfId="1" applyNumberFormat="1" applyFont="1" applyBorder="1"/>
    <xf numFmtId="1" fontId="6" fillId="0" borderId="2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74" fontId="6" fillId="0" borderId="0" xfId="0" applyNumberFormat="1" applyFont="1" applyAlignment="1">
      <alignment horizontal="center" vertical="center"/>
    </xf>
    <xf numFmtId="165" fontId="0" fillId="0" borderId="0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2" xfId="0" applyNumberFormat="1" applyBorder="1"/>
    <xf numFmtId="165" fontId="0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3" borderId="0" xfId="0" applyFont="1" applyFill="1" applyAlignment="1">
      <alignment horizontal="left" indent="2"/>
    </xf>
    <xf numFmtId="0" fontId="7" fillId="0" borderId="4" xfId="0" applyFont="1" applyBorder="1" applyAlignment="1">
      <alignment horizontal="left" indent="2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/>
    <xf numFmtId="0" fontId="7" fillId="0" borderId="0" xfId="0" applyFont="1" applyBorder="1" applyAlignment="1">
      <alignment horizontal="left" indent="2"/>
    </xf>
    <xf numFmtId="2" fontId="6" fillId="0" borderId="0" xfId="0" applyNumberFormat="1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2" fontId="7" fillId="0" borderId="0" xfId="0" applyNumberFormat="1" applyFont="1" applyBorder="1" applyAlignment="1">
      <alignment horizontal="center" vertical="center"/>
    </xf>
    <xf numFmtId="166" fontId="6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165" fontId="7" fillId="0" borderId="0" xfId="0" applyNumberFormat="1" applyFont="1"/>
    <xf numFmtId="2" fontId="6" fillId="5" borderId="0" xfId="0" applyNumberFormat="1" applyFont="1" applyFill="1"/>
    <xf numFmtId="165" fontId="7" fillId="5" borderId="0" xfId="0" applyNumberFormat="1" applyFont="1" applyFill="1"/>
    <xf numFmtId="165" fontId="6" fillId="5" borderId="0" xfId="0" applyNumberFormat="1" applyFont="1" applyFill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colors>
    <mruColors>
      <color rgb="FF77BA86"/>
      <color rgb="FFE49C76"/>
      <color rgb="FF708EBF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Accuracy, One CR-IA Agent Experiments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'CR-IA'!$Q$121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'CR-IA'!$R$119:$AE$120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CR-IA Agent 1</c:v>
                  </c:pt>
                  <c:pt idx="5">
                    <c:v>CR-IA Agent 2</c:v>
                  </c:pt>
                  <c:pt idx="10">
                    <c:v>CR-IA Agent 3</c:v>
                  </c:pt>
                </c:lvl>
              </c:multiLvlStrCache>
            </c:multiLvlStrRef>
          </c:cat>
          <c:val>
            <c:numRef>
              <c:f>'CR-IA'!$R$121:$AE$121</c:f>
              <c:numCache>
                <c:formatCode>0.00</c:formatCode>
                <c:ptCount val="14"/>
                <c:pt idx="0" formatCode="0.0">
                  <c:v>73.880597014925371</c:v>
                </c:pt>
                <c:pt idx="1">
                  <c:v>7.0103092783505154</c:v>
                </c:pt>
                <c:pt idx="2" formatCode="0.0">
                  <c:v>37.771739130434781</c:v>
                </c:pt>
                <c:pt idx="3" formatCode="0.0">
                  <c:v>69.396551724137922</c:v>
                </c:pt>
                <c:pt idx="5" formatCode="0.0">
                  <c:v>75.742574257425744</c:v>
                </c:pt>
                <c:pt idx="6">
                  <c:v>7.908704883227176</c:v>
                </c:pt>
                <c:pt idx="7" formatCode="0.0">
                  <c:v>43.448940269749521</c:v>
                </c:pt>
                <c:pt idx="8" formatCode="0.0">
                  <c:v>70.796460176991147</c:v>
                </c:pt>
                <c:pt idx="10" formatCode="0.0">
                  <c:v>75.919732441471581</c:v>
                </c:pt>
                <c:pt idx="11">
                  <c:v>7.8158458244111353</c:v>
                </c:pt>
                <c:pt idx="12" formatCode="0.0">
                  <c:v>45.067698259187623</c:v>
                </c:pt>
                <c:pt idx="13" formatCode="0.0">
                  <c:v>79.439252336448604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C-A844-B855-19E02390FE06}"/>
            </c:ext>
          </c:extLst>
        </c:ser>
        <c:ser>
          <c:idx val="1"/>
          <c:order val="1"/>
          <c:tx>
            <c:strRef>
              <c:f>'CR-IA'!$Q$122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'CR-IA'!$R$119:$AE$120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CR-IA Agent 1</c:v>
                  </c:pt>
                  <c:pt idx="5">
                    <c:v>CR-IA Agent 2</c:v>
                  </c:pt>
                  <c:pt idx="10">
                    <c:v>CR-IA Agent 3</c:v>
                  </c:pt>
                </c:lvl>
              </c:multiLvlStrCache>
            </c:multiLvlStrRef>
          </c:cat>
          <c:val>
            <c:numRef>
              <c:f>'CR-IA'!$R$122:$AE$122</c:f>
              <c:numCache>
                <c:formatCode>0.00</c:formatCode>
                <c:ptCount val="14"/>
                <c:pt idx="0" formatCode="0.0">
                  <c:v>67.5</c:v>
                </c:pt>
                <c:pt idx="1">
                  <c:v>6.8008705114254617</c:v>
                </c:pt>
                <c:pt idx="2" formatCode="0.0">
                  <c:v>49.340659340659343</c:v>
                </c:pt>
                <c:pt idx="3" formatCode="0.0">
                  <c:v>46.601941747572816</c:v>
                </c:pt>
                <c:pt idx="5" formatCode="0.0">
                  <c:v>69.457013574660635</c:v>
                </c:pt>
                <c:pt idx="6">
                  <c:v>8.2964601769911503</c:v>
                </c:pt>
                <c:pt idx="7" formatCode="0.0">
                  <c:v>48.44632768361582</c:v>
                </c:pt>
                <c:pt idx="8" formatCode="0.0">
                  <c:v>44.067796610169495</c:v>
                </c:pt>
                <c:pt idx="10" formatCode="0.0">
                  <c:v>73.32814930015553</c:v>
                </c:pt>
                <c:pt idx="11">
                  <c:v>8.0874316939890711</c:v>
                </c:pt>
                <c:pt idx="12" formatCode="0.0">
                  <c:v>52.644230769230774</c:v>
                </c:pt>
                <c:pt idx="13" formatCode="0.0">
                  <c:v>63.855421686746993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C-A844-B855-19E02390FE06}"/>
            </c:ext>
          </c:extLst>
        </c:ser>
        <c:ser>
          <c:idx val="2"/>
          <c:order val="2"/>
          <c:tx>
            <c:strRef>
              <c:f>'CR-IA'!$Q$123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'CR-IA'!$R$119:$AE$120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CR-IA Agent 1</c:v>
                  </c:pt>
                  <c:pt idx="5">
                    <c:v>CR-IA Agent 2</c:v>
                  </c:pt>
                  <c:pt idx="10">
                    <c:v>CR-IA Agent 3</c:v>
                  </c:pt>
                </c:lvl>
              </c:multiLvlStrCache>
            </c:multiLvlStrRef>
          </c:cat>
          <c:val>
            <c:numRef>
              <c:f>'CR-IA'!$R$123:$AE$123</c:f>
              <c:numCache>
                <c:formatCode>0.00</c:formatCode>
                <c:ptCount val="14"/>
                <c:pt idx="0" formatCode="0.0">
                  <c:v>60.627674750356633</c:v>
                </c:pt>
                <c:pt idx="1">
                  <c:v>6.2727272727272734</c:v>
                </c:pt>
                <c:pt idx="2" formatCode="0.0">
                  <c:v>45.415472779369622</c:v>
                </c:pt>
                <c:pt idx="3" formatCode="0.0">
                  <c:v>41.573033707865171</c:v>
                </c:pt>
                <c:pt idx="5" formatCode="0.0">
                  <c:v>52.243125904486256</c:v>
                </c:pt>
                <c:pt idx="6">
                  <c:v>7.1955719557195579</c:v>
                </c:pt>
                <c:pt idx="7" formatCode="0.0">
                  <c:v>39.104477611940297</c:v>
                </c:pt>
                <c:pt idx="8" formatCode="0.0">
                  <c:v>42.696629213483149</c:v>
                </c:pt>
                <c:pt idx="10" formatCode="0.0">
                  <c:v>59</c:v>
                </c:pt>
                <c:pt idx="11">
                  <c:v>6.8609022556390968</c:v>
                </c:pt>
                <c:pt idx="12" formatCode="0.0">
                  <c:v>39.002932551319645</c:v>
                </c:pt>
                <c:pt idx="13" formatCode="0.0">
                  <c:v>38.235294117647058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3C-A844-B855-19E02390F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216640"/>
        <c:axId val="229226944"/>
      </c:barChart>
      <c:scatterChart>
        <c:scatterStyle val="lineMarker"/>
        <c:varyColors val="0"/>
        <c:ser>
          <c:idx val="3"/>
          <c:order val="3"/>
          <c:tx>
            <c:strRef>
              <c:f>'CR-IA'!$Q$124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'CR-IA'!$R$119:$AE$120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CR-IA Agent 1</c:v>
                  </c:pt>
                  <c:pt idx="5">
                    <c:v>CR-IA Agent 2</c:v>
                  </c:pt>
                  <c:pt idx="10">
                    <c:v>CR-IA Agent 3</c:v>
                  </c:pt>
                </c:lvl>
              </c:multiLvlStrCache>
            </c:multiLvlStrRef>
          </c:xVal>
          <c:yVal>
            <c:numRef>
              <c:f>'CR-IA'!$R$124:$AE$124</c:f>
              <c:numCache>
                <c:formatCode>0.00</c:formatCode>
                <c:ptCount val="14"/>
                <c:pt idx="0" formatCode="0.0">
                  <c:v>67.336090588427339</c:v>
                </c:pt>
                <c:pt idx="1">
                  <c:v>6.6946356875010835</c:v>
                </c:pt>
                <c:pt idx="2" formatCode="0.0">
                  <c:v>44.175957083487923</c:v>
                </c:pt>
                <c:pt idx="3" formatCode="0.0">
                  <c:v>52.523842393191963</c:v>
                </c:pt>
                <c:pt idx="5" formatCode="0.0">
                  <c:v>65.814237912190876</c:v>
                </c:pt>
                <c:pt idx="6">
                  <c:v>7.8002456719792947</c:v>
                </c:pt>
                <c:pt idx="7" formatCode="0.0">
                  <c:v>43.666581855101875</c:v>
                </c:pt>
                <c:pt idx="8" formatCode="0.0">
                  <c:v>52.520295333547928</c:v>
                </c:pt>
                <c:pt idx="10" formatCode="0.0">
                  <c:v>69.415960580542375</c:v>
                </c:pt>
                <c:pt idx="11">
                  <c:v>7.5880599246797678</c:v>
                </c:pt>
                <c:pt idx="12" formatCode="0.0">
                  <c:v>45.571620526579352</c:v>
                </c:pt>
                <c:pt idx="13" formatCode="0.0">
                  <c:v>60.509989380280878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3C-A844-B855-19E02390F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16640"/>
        <c:axId val="229226944"/>
      </c:scatterChart>
      <c:catAx>
        <c:axId val="2292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9226944"/>
        <c:crosses val="autoZero"/>
        <c:auto val="1"/>
        <c:lblAlgn val="ctr"/>
        <c:lblOffset val="100"/>
        <c:noMultiLvlLbl val="0"/>
      </c:catAx>
      <c:valAx>
        <c:axId val="229226944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Accuracy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921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Accuracy, Two CR-IA Agents Experiments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'CR-IA'!$Q$121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'CR-IA'!$R$145:$AE$146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CR-IA Agent 1 &amp; 2</c:v>
                  </c:pt>
                  <c:pt idx="5">
                    <c:v>CR-IA Agent 1 &amp; 3</c:v>
                  </c:pt>
                  <c:pt idx="10">
                    <c:v>CR-IA Agent 2 &amp; 3</c:v>
                  </c:pt>
                </c:lvl>
              </c:multiLvlStrCache>
            </c:multiLvlStrRef>
          </c:cat>
          <c:val>
            <c:numRef>
              <c:f>'CR-IA'!$R$147:$AE$147</c:f>
              <c:numCache>
                <c:formatCode>0.00</c:formatCode>
                <c:ptCount val="14"/>
                <c:pt idx="0" formatCode="0.0">
                  <c:v>74.946695095948826</c:v>
                </c:pt>
                <c:pt idx="1">
                  <c:v>6.517094017094017</c:v>
                </c:pt>
                <c:pt idx="2" formatCode="0.0">
                  <c:v>26.004728132387708</c:v>
                </c:pt>
                <c:pt idx="3" formatCode="0.0">
                  <c:v>52.459016393442617</c:v>
                </c:pt>
                <c:pt idx="5" formatCode="0.0">
                  <c:v>76.282051282051285</c:v>
                </c:pt>
                <c:pt idx="6">
                  <c:v>6.4724919093851137</c:v>
                </c:pt>
                <c:pt idx="7" formatCode="0.0">
                  <c:v>29.561200923787531</c:v>
                </c:pt>
                <c:pt idx="8" formatCode="0.0">
                  <c:v>65.333333333333343</c:v>
                </c:pt>
                <c:pt idx="10" formatCode="0.0">
                  <c:v>77.618522601984566</c:v>
                </c:pt>
                <c:pt idx="11">
                  <c:v>7.6074972436604194</c:v>
                </c:pt>
                <c:pt idx="12" formatCode="0.0">
                  <c:v>34.924623115577887</c:v>
                </c:pt>
                <c:pt idx="13" formatCode="0.0">
                  <c:v>73.913043478260875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E-FA47-8FD8-A86D24CF7AAB}"/>
            </c:ext>
          </c:extLst>
        </c:ser>
        <c:ser>
          <c:idx val="1"/>
          <c:order val="1"/>
          <c:tx>
            <c:strRef>
              <c:f>'CR-IA'!$Q$122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'CR-IA'!$R$145:$AE$146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CR-IA Agent 1 &amp; 2</c:v>
                  </c:pt>
                  <c:pt idx="5">
                    <c:v>CR-IA Agent 1 &amp; 3</c:v>
                  </c:pt>
                  <c:pt idx="10">
                    <c:v>CR-IA Agent 2 &amp; 3</c:v>
                  </c:pt>
                </c:lvl>
              </c:multiLvlStrCache>
            </c:multiLvlStrRef>
          </c:cat>
          <c:val>
            <c:numRef>
              <c:f>'CR-IA'!$R$148:$AE$148</c:f>
              <c:numCache>
                <c:formatCode>0.00</c:formatCode>
                <c:ptCount val="14"/>
                <c:pt idx="0" formatCode="0.0">
                  <c:v>56.458333333333336</c:v>
                </c:pt>
                <c:pt idx="1">
                  <c:v>5.9350503919372901</c:v>
                </c:pt>
                <c:pt idx="2" formatCode="0.0">
                  <c:v>35.416666666666671</c:v>
                </c:pt>
                <c:pt idx="3" formatCode="0.0">
                  <c:v>37.288135593220339</c:v>
                </c:pt>
                <c:pt idx="5" formatCode="0.0">
                  <c:v>58.723404255319153</c:v>
                </c:pt>
                <c:pt idx="6">
                  <c:v>5.0343249427917618</c:v>
                </c:pt>
                <c:pt idx="7" formatCode="0.0">
                  <c:v>32.236842105263158</c:v>
                </c:pt>
                <c:pt idx="8" formatCode="0.0">
                  <c:v>37.5</c:v>
                </c:pt>
                <c:pt idx="10" formatCode="0.0">
                  <c:v>63.616071428571431</c:v>
                </c:pt>
                <c:pt idx="11">
                  <c:v>6.8604651162790695</c:v>
                </c:pt>
                <c:pt idx="12" formatCode="0.0">
                  <c:v>40.873015873015866</c:v>
                </c:pt>
                <c:pt idx="13" formatCode="0.0">
                  <c:v>30.952380952380949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E-FA47-8FD8-A86D24CF7AAB}"/>
            </c:ext>
          </c:extLst>
        </c:ser>
        <c:ser>
          <c:idx val="2"/>
          <c:order val="2"/>
          <c:tx>
            <c:strRef>
              <c:f>'CR-IA'!$Q$123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'CR-IA'!$R$145:$AE$146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CR-IA Agent 1 &amp; 2</c:v>
                  </c:pt>
                  <c:pt idx="5">
                    <c:v>CR-IA Agent 1 &amp; 3</c:v>
                  </c:pt>
                  <c:pt idx="10">
                    <c:v>CR-IA Agent 2 &amp; 3</c:v>
                  </c:pt>
                </c:lvl>
              </c:multiLvlStrCache>
            </c:multiLvlStrRef>
          </c:cat>
          <c:val>
            <c:numRef>
              <c:f>'CR-IA'!$R$149:$AE$149</c:f>
              <c:numCache>
                <c:formatCode>0.00</c:formatCode>
                <c:ptCount val="14"/>
                <c:pt idx="0" formatCode="0.0">
                  <c:v>55.488721804511279</c:v>
                </c:pt>
                <c:pt idx="1">
                  <c:v>6.9029850746268657</c:v>
                </c:pt>
                <c:pt idx="2" formatCode="0.0">
                  <c:v>41.896024464831811</c:v>
                </c:pt>
                <c:pt idx="3" formatCode="0.0">
                  <c:v>31.25</c:v>
                </c:pt>
                <c:pt idx="5" formatCode="0.0">
                  <c:v>50.693374422187979</c:v>
                </c:pt>
                <c:pt idx="6">
                  <c:v>6.616257088846881</c:v>
                </c:pt>
                <c:pt idx="7" formatCode="0.0">
                  <c:v>40.522875816993462</c:v>
                </c:pt>
                <c:pt idx="8" formatCode="0.0">
                  <c:v>28.169014084507044</c:v>
                </c:pt>
                <c:pt idx="10" formatCode="0.0">
                  <c:v>54.878048780487802</c:v>
                </c:pt>
                <c:pt idx="11">
                  <c:v>6.2737642585551328</c:v>
                </c:pt>
                <c:pt idx="12" formatCode="0.0">
                  <c:v>37.428571428571431</c:v>
                </c:pt>
                <c:pt idx="13" formatCode="0.0">
                  <c:v>35.443037974683548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BE-FA47-8FD8-A86D24CF7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216640"/>
        <c:axId val="229226944"/>
      </c:barChart>
      <c:scatterChart>
        <c:scatterStyle val="lineMarker"/>
        <c:varyColors val="0"/>
        <c:ser>
          <c:idx val="3"/>
          <c:order val="3"/>
          <c:tx>
            <c:strRef>
              <c:f>'CR-IA'!$Q$124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'CR-IA'!$R$119:$AE$120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CR-IA Agent 1</c:v>
                  </c:pt>
                  <c:pt idx="5">
                    <c:v>CR-IA Agent 2</c:v>
                  </c:pt>
                  <c:pt idx="10">
                    <c:v>CR-IA Agent 3</c:v>
                  </c:pt>
                </c:lvl>
              </c:multiLvlStrCache>
            </c:multiLvlStrRef>
          </c:xVal>
          <c:yVal>
            <c:numRef>
              <c:f>'CR-IA'!$R$150:$AE$150</c:f>
              <c:numCache>
                <c:formatCode>0.00</c:formatCode>
                <c:ptCount val="14"/>
                <c:pt idx="0" formatCode="0.0">
                  <c:v>62.297916744597813</c:v>
                </c:pt>
                <c:pt idx="1">
                  <c:v>6.4517098278860585</c:v>
                </c:pt>
                <c:pt idx="2" formatCode="0.0">
                  <c:v>34.439139754628734</c:v>
                </c:pt>
                <c:pt idx="3" formatCode="0.0">
                  <c:v>40.332383995554316</c:v>
                </c:pt>
                <c:pt idx="5" formatCode="0.0">
                  <c:v>61.899609986519472</c:v>
                </c:pt>
                <c:pt idx="6">
                  <c:v>6.0410246470079185</c:v>
                </c:pt>
                <c:pt idx="7" formatCode="0.0">
                  <c:v>34.106972948681381</c:v>
                </c:pt>
                <c:pt idx="8" formatCode="0.0">
                  <c:v>43.66744913928013</c:v>
                </c:pt>
                <c:pt idx="10" formatCode="0.0">
                  <c:v>65.370880937014604</c:v>
                </c:pt>
                <c:pt idx="11">
                  <c:v>6.9139088728315405</c:v>
                </c:pt>
                <c:pt idx="12" formatCode="0.0">
                  <c:v>37.742070139055059</c:v>
                </c:pt>
                <c:pt idx="13" formatCode="0.0">
                  <c:v>46.769487468441788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BE-FA47-8FD8-A86D24CF7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16640"/>
        <c:axId val="229226944"/>
      </c:scatterChart>
      <c:catAx>
        <c:axId val="2292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9226944"/>
        <c:crosses val="autoZero"/>
        <c:auto val="1"/>
        <c:lblAlgn val="ctr"/>
        <c:lblOffset val="100"/>
        <c:noMultiLvlLbl val="0"/>
      </c:catAx>
      <c:valAx>
        <c:axId val="229226944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Accuracy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921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Accuracy, 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dataset!$A$53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8E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D17-464C-918E-4D51DA7AA118}"/>
              </c:ext>
            </c:extLst>
          </c:dPt>
          <c:cat>
            <c:strRef>
              <c:f>dataset!$B$51:$E$52</c:f>
              <c:strCache>
                <c:ptCount val="4"/>
                <c:pt idx="0">
                  <c:v>GSM8K</c:v>
                </c:pt>
                <c:pt idx="1">
                  <c:v>MMLU</c:v>
                </c:pt>
                <c:pt idx="2">
                  <c:v>StrategyQA </c:v>
                </c:pt>
                <c:pt idx="3">
                  <c:v>Sports</c:v>
                </c:pt>
              </c:strCache>
            </c:strRef>
          </c:cat>
          <c:val>
            <c:numRef>
              <c:f>dataset!$B$53:$E$53</c:f>
              <c:numCache>
                <c:formatCode>0.00</c:formatCode>
                <c:ptCount val="4"/>
                <c:pt idx="0" formatCode="0.0">
                  <c:v>73.2</c:v>
                </c:pt>
                <c:pt idx="1">
                  <c:v>8.3417085427135689</c:v>
                </c:pt>
                <c:pt idx="2" formatCode="0.0">
                  <c:v>41.37426900584795</c:v>
                </c:pt>
                <c:pt idx="3" formatCode="0.0">
                  <c:v>57.65306122448979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7-464C-918E-4D51DA7AA118}"/>
            </c:ext>
          </c:extLst>
        </c:ser>
        <c:ser>
          <c:idx val="1"/>
          <c:order val="1"/>
          <c:tx>
            <c:strRef>
              <c:f>dataset!$A$54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strRef>
              <c:f>dataset!$B$51:$E$52</c:f>
              <c:strCache>
                <c:ptCount val="4"/>
                <c:pt idx="0">
                  <c:v>GSM8K</c:v>
                </c:pt>
                <c:pt idx="1">
                  <c:v>MMLU</c:v>
                </c:pt>
                <c:pt idx="2">
                  <c:v>StrategyQA </c:v>
                </c:pt>
                <c:pt idx="3">
                  <c:v>Sports</c:v>
                </c:pt>
              </c:strCache>
            </c:strRef>
          </c:cat>
          <c:val>
            <c:numRef>
              <c:f>dataset!$B$54:$E$54</c:f>
              <c:numCache>
                <c:formatCode>0.00</c:formatCode>
                <c:ptCount val="4"/>
                <c:pt idx="0" formatCode="0.0">
                  <c:v>72.172172172172168</c:v>
                </c:pt>
                <c:pt idx="1">
                  <c:v>8.9089089089089093</c:v>
                </c:pt>
                <c:pt idx="2" formatCode="0.0">
                  <c:v>46.334310850439884</c:v>
                </c:pt>
                <c:pt idx="3" formatCode="0.0">
                  <c:v>40.609137055837564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7-464C-918E-4D51DA7AA118}"/>
            </c:ext>
          </c:extLst>
        </c:ser>
        <c:ser>
          <c:idx val="2"/>
          <c:order val="2"/>
          <c:tx>
            <c:strRef>
              <c:f>dataset!$A$55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strRef>
              <c:f>dataset!$B$51:$E$52</c:f>
              <c:strCache>
                <c:ptCount val="4"/>
                <c:pt idx="0">
                  <c:v>GSM8K</c:v>
                </c:pt>
                <c:pt idx="1">
                  <c:v>MMLU</c:v>
                </c:pt>
                <c:pt idx="2">
                  <c:v>StrategyQA </c:v>
                </c:pt>
                <c:pt idx="3">
                  <c:v>Sports</c:v>
                </c:pt>
              </c:strCache>
            </c:strRef>
          </c:cat>
          <c:val>
            <c:numRef>
              <c:f>dataset!$B$55:$E$55</c:f>
              <c:numCache>
                <c:formatCode>0.00</c:formatCode>
                <c:ptCount val="4"/>
                <c:pt idx="0" formatCode="0.0">
                  <c:v>64.413938753959883</c:v>
                </c:pt>
                <c:pt idx="1">
                  <c:v>7.5995174909529553</c:v>
                </c:pt>
                <c:pt idx="2" formatCode="0.0">
                  <c:v>45.424292845257902</c:v>
                </c:pt>
                <c:pt idx="3" formatCode="0.0">
                  <c:v>57.225433526011564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17-464C-918E-4D51DA7AA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08288"/>
        <c:axId val="214503808"/>
      </c:barChart>
      <c:scatterChart>
        <c:scatterStyle val="lineMarker"/>
        <c:varyColors val="0"/>
        <c:ser>
          <c:idx val="3"/>
          <c:order val="3"/>
          <c:tx>
            <c:strRef>
              <c:f>dataset!$A$56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1"/>
            <c:spPr>
              <a:noFill/>
              <a:ln w="22225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strRef>
              <c:f>dataset!$B$51:$E$52</c:f>
              <c:strCache>
                <c:ptCount val="4"/>
                <c:pt idx="0">
                  <c:v>GSM8K</c:v>
                </c:pt>
                <c:pt idx="1">
                  <c:v>MMLU</c:v>
                </c:pt>
                <c:pt idx="2">
                  <c:v>StrategyQA </c:v>
                </c:pt>
                <c:pt idx="3">
                  <c:v>Sports</c:v>
                </c:pt>
              </c:strCache>
            </c:strRef>
          </c:xVal>
          <c:yVal>
            <c:numRef>
              <c:f>dataset!$B$56:$E$56</c:f>
              <c:numCache>
                <c:formatCode>0.00</c:formatCode>
                <c:ptCount val="4"/>
                <c:pt idx="0" formatCode="0.0">
                  <c:v>69.928703642044013</c:v>
                </c:pt>
                <c:pt idx="1">
                  <c:v>8.2833783141918111</c:v>
                </c:pt>
                <c:pt idx="2" formatCode="0.0">
                  <c:v>44.377624233848572</c:v>
                </c:pt>
                <c:pt idx="3" formatCode="0.0">
                  <c:v>51.829210602112973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17-464C-918E-4D51DA7AA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08288"/>
        <c:axId val="214503808"/>
      </c:scatterChart>
      <c:catAx>
        <c:axId val="21450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14503808"/>
        <c:crosses val="autoZero"/>
        <c:auto val="1"/>
        <c:lblAlgn val="ctr"/>
        <c:lblOffset val="100"/>
        <c:noMultiLvlLbl val="0"/>
      </c:catAx>
      <c:valAx>
        <c:axId val="2145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1450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Accuracy, One ES Agent Experiments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early_stopping!$Q$155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early_stopping!$R$153:$AE$154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ES Agent 1</c:v>
                  </c:pt>
                  <c:pt idx="5">
                    <c:v>ES Agent 2</c:v>
                  </c:pt>
                  <c:pt idx="10">
                    <c:v>ES Agent 3</c:v>
                  </c:pt>
                </c:lvl>
              </c:multiLvlStrCache>
            </c:multiLvlStrRef>
          </c:cat>
          <c:val>
            <c:numRef>
              <c:f>early_stopping!$R$155:$AE$155</c:f>
              <c:numCache>
                <c:formatCode>0.0</c:formatCode>
                <c:ptCount val="14"/>
                <c:pt idx="0">
                  <c:v>72.5</c:v>
                </c:pt>
                <c:pt idx="1">
                  <c:v>8.3501006036217298</c:v>
                </c:pt>
                <c:pt idx="2">
                  <c:v>38.102189781021899</c:v>
                </c:pt>
                <c:pt idx="3">
                  <c:v>57.989690721649488</c:v>
                </c:pt>
                <c:pt idx="5">
                  <c:v>73.45</c:v>
                </c:pt>
                <c:pt idx="6">
                  <c:v>8.6016096579476855</c:v>
                </c:pt>
                <c:pt idx="7">
                  <c:v>40.320232896652108</c:v>
                </c:pt>
                <c:pt idx="8">
                  <c:v>58.121827411167509</c:v>
                </c:pt>
                <c:pt idx="10">
                  <c:v>72.222222222222229</c:v>
                </c:pt>
                <c:pt idx="11">
                  <c:v>8.433734939759038</c:v>
                </c:pt>
                <c:pt idx="12">
                  <c:v>41.10787172011662</c:v>
                </c:pt>
                <c:pt idx="13">
                  <c:v>58.928571428571431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6-4B4F-9523-61F911396996}"/>
            </c:ext>
          </c:extLst>
        </c:ser>
        <c:ser>
          <c:idx val="1"/>
          <c:order val="1"/>
          <c:tx>
            <c:strRef>
              <c:f>early_stopping!$Q$156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early_stopping!$R$153:$AE$154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ES Agent 1</c:v>
                  </c:pt>
                  <c:pt idx="5">
                    <c:v>ES Agent 2</c:v>
                  </c:pt>
                  <c:pt idx="10">
                    <c:v>ES Agent 3</c:v>
                  </c:pt>
                </c:lvl>
              </c:multiLvlStrCache>
            </c:multiLvlStrRef>
          </c:cat>
          <c:val>
            <c:numRef>
              <c:f>early_stopping!$R$156:$AE$156</c:f>
              <c:numCache>
                <c:formatCode>0.0</c:formatCode>
                <c:ptCount val="14"/>
                <c:pt idx="0">
                  <c:v>75.879396984924625</c:v>
                </c:pt>
                <c:pt idx="1">
                  <c:v>8.7790110998990922</c:v>
                </c:pt>
                <c:pt idx="2">
                  <c:v>47.94721407624634</c:v>
                </c:pt>
                <c:pt idx="3">
                  <c:v>45.876288659793815</c:v>
                </c:pt>
                <c:pt idx="5">
                  <c:v>76.411290322580641</c:v>
                </c:pt>
                <c:pt idx="6">
                  <c:v>9.0452261306532655</c:v>
                </c:pt>
                <c:pt idx="7">
                  <c:v>48.017621145374449</c:v>
                </c:pt>
                <c:pt idx="8">
                  <c:v>48.717948717948715</c:v>
                </c:pt>
                <c:pt idx="10">
                  <c:v>75.0251256281407</c:v>
                </c:pt>
                <c:pt idx="11">
                  <c:v>9.3875502008032132</c:v>
                </c:pt>
                <c:pt idx="12">
                  <c:v>46.764705882352942</c:v>
                </c:pt>
                <c:pt idx="13">
                  <c:v>45.91836734693878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26-4B4F-9523-61F911396996}"/>
            </c:ext>
          </c:extLst>
        </c:ser>
        <c:ser>
          <c:idx val="2"/>
          <c:order val="2"/>
          <c:tx>
            <c:strRef>
              <c:f>early_stopping!$Q$157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early_stopping!$R$153:$AE$154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ES Agent 1</c:v>
                  </c:pt>
                  <c:pt idx="5">
                    <c:v>ES Agent 2</c:v>
                  </c:pt>
                  <c:pt idx="10">
                    <c:v>ES Agent 3</c:v>
                  </c:pt>
                </c:lvl>
              </c:multiLvlStrCache>
            </c:multiLvlStrRef>
          </c:cat>
          <c:val>
            <c:numRef>
              <c:f>early_stopping!$R$157:$AE$157</c:f>
              <c:numCache>
                <c:formatCode>0.0</c:formatCode>
                <c:ptCount val="14"/>
                <c:pt idx="0">
                  <c:v>62.837045720984761</c:v>
                </c:pt>
                <c:pt idx="1">
                  <c:v>6.6298342541436464</c:v>
                </c:pt>
                <c:pt idx="2">
                  <c:v>43.432203389830505</c:v>
                </c:pt>
                <c:pt idx="3">
                  <c:v>67.142857142857139</c:v>
                </c:pt>
                <c:pt idx="5">
                  <c:v>64.571092831962403</c:v>
                </c:pt>
                <c:pt idx="6">
                  <c:v>6.9012178619756437</c:v>
                </c:pt>
                <c:pt idx="7">
                  <c:v>44.0625</c:v>
                </c:pt>
                <c:pt idx="8">
                  <c:v>61.923076923076927</c:v>
                </c:pt>
                <c:pt idx="10">
                  <c:v>64.677804295942721</c:v>
                </c:pt>
                <c:pt idx="11">
                  <c:v>7.584269662921348</c:v>
                </c:pt>
                <c:pt idx="12">
                  <c:v>43.501048218029354</c:v>
                </c:pt>
                <c:pt idx="13">
                  <c:v>63.934426229508198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26-4B4F-9523-61F911396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870336"/>
        <c:axId val="228883776"/>
      </c:barChart>
      <c:scatterChart>
        <c:scatterStyle val="lineMarker"/>
        <c:varyColors val="0"/>
        <c:ser>
          <c:idx val="3"/>
          <c:order val="3"/>
          <c:tx>
            <c:strRef>
              <c:f>early_stopping!$Q$158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  <a:round/>
              </a:ln>
              <a:effectLst/>
            </c:spPr>
          </c:errBars>
          <c:yVal>
            <c:numRef>
              <c:f>early_stopping!$R$158:$AE$158</c:f>
              <c:numCache>
                <c:formatCode>0.00</c:formatCode>
                <c:ptCount val="14"/>
                <c:pt idx="0" formatCode="0.0">
                  <c:v>70.405480901969796</c:v>
                </c:pt>
                <c:pt idx="1">
                  <c:v>7.9196486525548222</c:v>
                </c:pt>
                <c:pt idx="2" formatCode="0.0">
                  <c:v>43.16053574903291</c:v>
                </c:pt>
                <c:pt idx="3" formatCode="0.0">
                  <c:v>57.002945508100147</c:v>
                </c:pt>
                <c:pt idx="5" formatCode="0.0">
                  <c:v>71.477461051514354</c:v>
                </c:pt>
                <c:pt idx="6">
                  <c:v>8.1826845501921994</c:v>
                </c:pt>
                <c:pt idx="7" formatCode="0.0">
                  <c:v>44.133451347342181</c:v>
                </c:pt>
                <c:pt idx="8" formatCode="0.0">
                  <c:v>56.254284350731048</c:v>
                </c:pt>
                <c:pt idx="10" formatCode="0.0">
                  <c:v>70.641717382101888</c:v>
                </c:pt>
                <c:pt idx="11">
                  <c:v>8.4685182678278661</c:v>
                </c:pt>
                <c:pt idx="12" formatCode="0.0">
                  <c:v>43.791208606832974</c:v>
                </c:pt>
                <c:pt idx="13" formatCode="0.0">
                  <c:v>56.260455001672803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26-4B4F-9523-61F911396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870336"/>
        <c:axId val="228883776"/>
      </c:scatterChart>
      <c:catAx>
        <c:axId val="22887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8883776"/>
        <c:crosses val="autoZero"/>
        <c:auto val="1"/>
        <c:lblAlgn val="ctr"/>
        <c:lblOffset val="100"/>
        <c:noMultiLvlLbl val="0"/>
      </c:catAx>
      <c:valAx>
        <c:axId val="228883776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88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Accuracy, Two ES Agents Experiments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early_stopping!$Q$155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early_stopping!$R$201:$AE$202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ES Agent 1 &amp; 2</c:v>
                  </c:pt>
                  <c:pt idx="5">
                    <c:v>ES Agent 1 &amp; 3</c:v>
                  </c:pt>
                  <c:pt idx="10">
                    <c:v>ES Agent 2 &amp; 3</c:v>
                  </c:pt>
                </c:lvl>
              </c:multiLvlStrCache>
            </c:multiLvlStrRef>
          </c:cat>
          <c:val>
            <c:numRef>
              <c:f>early_stopping!$R$203:$AE$203</c:f>
              <c:numCache>
                <c:formatCode>0.00</c:formatCode>
                <c:ptCount val="14"/>
                <c:pt idx="0" formatCode="0.0">
                  <c:v>71.171171171171167</c:v>
                </c:pt>
                <c:pt idx="1">
                  <c:v>8.542713567839197</c:v>
                </c:pt>
                <c:pt idx="2" formatCode="0.0">
                  <c:v>36.734693877551017</c:v>
                </c:pt>
                <c:pt idx="3" formatCode="0.0">
                  <c:v>56.852791878172596</c:v>
                </c:pt>
                <c:pt idx="5" formatCode="0.0">
                  <c:v>71.543086172344687</c:v>
                </c:pt>
                <c:pt idx="6">
                  <c:v>8.358509566968781</c:v>
                </c:pt>
                <c:pt idx="7" formatCode="0.0">
                  <c:v>38.70967741935484</c:v>
                </c:pt>
                <c:pt idx="8" formatCode="0.0">
                  <c:v>57.868020304568532</c:v>
                </c:pt>
                <c:pt idx="10" formatCode="0.0">
                  <c:v>72.3</c:v>
                </c:pt>
                <c:pt idx="11">
                  <c:v>8.3249749247743221</c:v>
                </c:pt>
                <c:pt idx="12" formatCode="0.0">
                  <c:v>41.202346041055719</c:v>
                </c:pt>
                <c:pt idx="13" formatCode="0.0">
                  <c:v>59.390862944162436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6-7A44-81F0-6AB31C3556AA}"/>
            </c:ext>
          </c:extLst>
        </c:ser>
        <c:ser>
          <c:idx val="1"/>
          <c:order val="1"/>
          <c:tx>
            <c:strRef>
              <c:f>early_stopping!$Q$156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early_stopping!$R$201:$AE$202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ES Agent 1 &amp; 2</c:v>
                  </c:pt>
                  <c:pt idx="5">
                    <c:v>ES Agent 1 &amp; 3</c:v>
                  </c:pt>
                  <c:pt idx="10">
                    <c:v>ES Agent 2 &amp; 3</c:v>
                  </c:pt>
                </c:lvl>
              </c:multiLvlStrCache>
            </c:multiLvlStrRef>
          </c:cat>
          <c:val>
            <c:numRef>
              <c:f>early_stopping!$R$204:$AE$204</c:f>
              <c:numCache>
                <c:formatCode>0.00</c:formatCode>
                <c:ptCount val="14"/>
                <c:pt idx="0" formatCode="0.0">
                  <c:v>73.969849246231149</c:v>
                </c:pt>
                <c:pt idx="1">
                  <c:v>8.7261785356068202</c:v>
                </c:pt>
                <c:pt idx="2" formatCode="0.0">
                  <c:v>48.235294117647058</c:v>
                </c:pt>
                <c:pt idx="3" formatCode="0.0">
                  <c:v>48.73096446700508</c:v>
                </c:pt>
                <c:pt idx="5" formatCode="0.0">
                  <c:v>74.448897795591179</c:v>
                </c:pt>
                <c:pt idx="6">
                  <c:v>8.4422110552763812</c:v>
                </c:pt>
                <c:pt idx="7" formatCode="0.0">
                  <c:v>47.067448680351902</c:v>
                </c:pt>
                <c:pt idx="8" formatCode="0.0">
                  <c:v>44.387755102040813</c:v>
                </c:pt>
                <c:pt idx="10" formatCode="0.0">
                  <c:v>73.192771084337352</c:v>
                </c:pt>
                <c:pt idx="11">
                  <c:v>9.1365461847389557</c:v>
                </c:pt>
                <c:pt idx="12" formatCode="0.0">
                  <c:v>47.205882352941181</c:v>
                </c:pt>
                <c:pt idx="13" formatCode="0.0">
                  <c:v>46.192893401015226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D6-7A44-81F0-6AB31C3556AA}"/>
            </c:ext>
          </c:extLst>
        </c:ser>
        <c:ser>
          <c:idx val="2"/>
          <c:order val="2"/>
          <c:tx>
            <c:strRef>
              <c:f>early_stopping!$Q$157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early_stopping!$R$201:$AE$202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ES Agent 1 &amp; 2</c:v>
                  </c:pt>
                  <c:pt idx="5">
                    <c:v>ES Agent 1 &amp; 3</c:v>
                  </c:pt>
                  <c:pt idx="10">
                    <c:v>ES Agent 2 &amp; 3</c:v>
                  </c:pt>
                </c:lvl>
              </c:multiLvlStrCache>
            </c:multiLvlStrRef>
          </c:cat>
          <c:val>
            <c:numRef>
              <c:f>early_stopping!$R$205:$AE$205</c:f>
              <c:numCache>
                <c:formatCode>0.00</c:formatCode>
                <c:ptCount val="14"/>
                <c:pt idx="0" formatCode="0.0">
                  <c:v>65.380116959064324</c:v>
                </c:pt>
                <c:pt idx="1">
                  <c:v>6.4606741573033704</c:v>
                </c:pt>
                <c:pt idx="2" formatCode="0.0">
                  <c:v>42.241379310344826</c:v>
                </c:pt>
                <c:pt idx="3" formatCode="0.0">
                  <c:v>62.698412698412696</c:v>
                </c:pt>
                <c:pt idx="5" formatCode="0.0">
                  <c:v>64.056939501779354</c:v>
                </c:pt>
                <c:pt idx="6">
                  <c:v>7.3099415204678362</c:v>
                </c:pt>
                <c:pt idx="7" formatCode="0.0">
                  <c:v>46.15384615384616</c:v>
                </c:pt>
                <c:pt idx="8" formatCode="0.0">
                  <c:v>65.573770491803288</c:v>
                </c:pt>
                <c:pt idx="10" formatCode="0.0">
                  <c:v>64.656212303980695</c:v>
                </c:pt>
                <c:pt idx="11">
                  <c:v>7.401812688821753</c:v>
                </c:pt>
                <c:pt idx="12" formatCode="0.0">
                  <c:v>45.227272727272727</c:v>
                </c:pt>
                <c:pt idx="13" formatCode="0.0">
                  <c:v>64.347826086956516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D6-7A44-81F0-6AB31C355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870336"/>
        <c:axId val="228883776"/>
      </c:barChart>
      <c:scatterChart>
        <c:scatterStyle val="lineMarker"/>
        <c:varyColors val="0"/>
        <c:ser>
          <c:idx val="3"/>
          <c:order val="3"/>
          <c:tx>
            <c:strRef>
              <c:f>early_stopping!$Q$158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ysDash"/>
                <a:round/>
              </a:ln>
              <a:effectLst/>
            </c:spPr>
          </c:errBars>
          <c:yVal>
            <c:numRef>
              <c:f>early_stopping!$R$206:$AE$206</c:f>
              <c:numCache>
                <c:formatCode>0.00</c:formatCode>
                <c:ptCount val="14"/>
                <c:pt idx="0" formatCode="0.0">
                  <c:v>70.173712458822209</c:v>
                </c:pt>
                <c:pt idx="1">
                  <c:v>7.9098554202497953</c:v>
                </c:pt>
                <c:pt idx="2" formatCode="0.0">
                  <c:v>42.403789101847629</c:v>
                </c:pt>
                <c:pt idx="3" formatCode="0.0">
                  <c:v>56.094056347863464</c:v>
                </c:pt>
                <c:pt idx="5" formatCode="0.0">
                  <c:v>70.016307823238421</c:v>
                </c:pt>
                <c:pt idx="6">
                  <c:v>8.0368873809043322</c:v>
                </c:pt>
                <c:pt idx="7" formatCode="0.0">
                  <c:v>43.976990751184303</c:v>
                </c:pt>
                <c:pt idx="8" formatCode="0.0">
                  <c:v>55.943181966137537</c:v>
                </c:pt>
                <c:pt idx="10" formatCode="0.0">
                  <c:v>70.049661129439343</c:v>
                </c:pt>
                <c:pt idx="11">
                  <c:v>8.2877779327783436</c:v>
                </c:pt>
                <c:pt idx="12" formatCode="0.0">
                  <c:v>44.545167040423202</c:v>
                </c:pt>
                <c:pt idx="13" formatCode="0.0">
                  <c:v>56.643860810711395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D6-7A44-81F0-6AB31C355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870336"/>
        <c:axId val="228883776"/>
      </c:scatterChart>
      <c:catAx>
        <c:axId val="22887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8883776"/>
        <c:crosses val="autoZero"/>
        <c:auto val="1"/>
        <c:lblAlgn val="ctr"/>
        <c:lblOffset val="100"/>
        <c:noMultiLvlLbl val="0"/>
      </c:catAx>
      <c:valAx>
        <c:axId val="228883776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88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Accuracy, One IR-CA Agent Experiments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'IR-CA'!$Q$121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'IR-CA'!$R$119:$AE$120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IR-CA Agent 1</c:v>
                  </c:pt>
                  <c:pt idx="5">
                    <c:v>IR-CA Agent 2</c:v>
                  </c:pt>
                  <c:pt idx="10">
                    <c:v>IR-CA Agent 3</c:v>
                  </c:pt>
                </c:lvl>
              </c:multiLvlStrCache>
            </c:multiLvlStrRef>
          </c:cat>
          <c:val>
            <c:numRef>
              <c:f>'IR-CA'!$R$121:$AE$121</c:f>
              <c:numCache>
                <c:formatCode>0.00</c:formatCode>
                <c:ptCount val="14"/>
                <c:pt idx="0" formatCode="0.0">
                  <c:v>64.120603015075375</c:v>
                </c:pt>
                <c:pt idx="1">
                  <c:v>23.660262891809907</c:v>
                </c:pt>
                <c:pt idx="2" formatCode="0.0">
                  <c:v>58.469539375928676</c:v>
                </c:pt>
                <c:pt idx="3" formatCode="0.0">
                  <c:v>64.974619289340097</c:v>
                </c:pt>
                <c:pt idx="5" formatCode="0.0">
                  <c:v>64.264112903225808</c:v>
                </c:pt>
                <c:pt idx="6">
                  <c:v>22.165991902834008</c:v>
                </c:pt>
                <c:pt idx="7" formatCode="0.0">
                  <c:v>56.213017751479285</c:v>
                </c:pt>
                <c:pt idx="8" formatCode="0.0">
                  <c:v>58.928571428571431</c:v>
                </c:pt>
                <c:pt idx="10" formatCode="0.0">
                  <c:v>62.904858299595148</c:v>
                </c:pt>
                <c:pt idx="11">
                  <c:v>27.451971688574318</c:v>
                </c:pt>
                <c:pt idx="12" formatCode="0.0">
                  <c:v>64</c:v>
                </c:pt>
                <c:pt idx="13" formatCode="0.0">
                  <c:v>63.775510204081627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1-2842-B2A1-F8AD2FE70243}"/>
            </c:ext>
          </c:extLst>
        </c:ser>
        <c:ser>
          <c:idx val="1"/>
          <c:order val="1"/>
          <c:tx>
            <c:strRef>
              <c:f>'IR-CA'!$Q$122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'IR-CA'!$R$119:$AE$120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IR-CA Agent 1</c:v>
                  </c:pt>
                  <c:pt idx="5">
                    <c:v>IR-CA Agent 2</c:v>
                  </c:pt>
                  <c:pt idx="10">
                    <c:v>IR-CA Agent 3</c:v>
                  </c:pt>
                </c:lvl>
              </c:multiLvlStrCache>
            </c:multiLvlStrRef>
          </c:cat>
          <c:val>
            <c:numRef>
              <c:f>'IR-CA'!$R$122:$AE$122</c:f>
              <c:numCache>
                <c:formatCode>0.00</c:formatCode>
                <c:ptCount val="14"/>
                <c:pt idx="0" formatCode="0.0">
                  <c:v>78.928199791883458</c:v>
                </c:pt>
                <c:pt idx="1">
                  <c:v>28.446502057613166</c:v>
                </c:pt>
                <c:pt idx="2" formatCode="0.0">
                  <c:v>56.475903614457835</c:v>
                </c:pt>
                <c:pt idx="3" formatCode="0.0">
                  <c:v>73.298429319371735</c:v>
                </c:pt>
                <c:pt idx="5" formatCode="0.0">
                  <c:v>76.244813278008309</c:v>
                </c:pt>
                <c:pt idx="6">
                  <c:v>18.134715025906736</c:v>
                </c:pt>
                <c:pt idx="7" formatCode="0.0">
                  <c:v>52.552552552552548</c:v>
                </c:pt>
                <c:pt idx="8" formatCode="0.0">
                  <c:v>62.631578947368425</c:v>
                </c:pt>
                <c:pt idx="10" formatCode="0.0">
                  <c:v>78.482972136222912</c:v>
                </c:pt>
                <c:pt idx="11">
                  <c:v>15.612033195020746</c:v>
                </c:pt>
                <c:pt idx="12" formatCode="0.0">
                  <c:v>52.416918429003019</c:v>
                </c:pt>
                <c:pt idx="13" formatCode="0.0">
                  <c:v>60.05291005291005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61-2842-B2A1-F8AD2FE70243}"/>
            </c:ext>
          </c:extLst>
        </c:ser>
        <c:ser>
          <c:idx val="2"/>
          <c:order val="2"/>
          <c:tx>
            <c:strRef>
              <c:f>'IR-CA'!$Q$123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'IR-CA'!$R$119:$AE$120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IR-CA Agent 1</c:v>
                  </c:pt>
                  <c:pt idx="5">
                    <c:v>IR-CA Agent 2</c:v>
                  </c:pt>
                  <c:pt idx="10">
                    <c:v>IR-CA Agent 3</c:v>
                  </c:pt>
                </c:lvl>
              </c:multiLvlStrCache>
            </c:multiLvlStrRef>
          </c:cat>
          <c:val>
            <c:numRef>
              <c:f>'IR-CA'!$R$123:$AE$123</c:f>
              <c:numCache>
                <c:formatCode>0.00</c:formatCode>
                <c:ptCount val="14"/>
                <c:pt idx="0" formatCode="0.0">
                  <c:v>49.715909090909093</c:v>
                </c:pt>
                <c:pt idx="1">
                  <c:v>32.750397456279813</c:v>
                </c:pt>
                <c:pt idx="2" formatCode="0.0">
                  <c:v>61.296660117878197</c:v>
                </c:pt>
                <c:pt idx="3" formatCode="0.0">
                  <c:v>62.406015037593974</c:v>
                </c:pt>
                <c:pt idx="5" formatCode="0.0">
                  <c:v>54.718417047184168</c:v>
                </c:pt>
                <c:pt idx="6">
                  <c:v>15.671641791044777</c:v>
                </c:pt>
                <c:pt idx="7" formatCode="0.0">
                  <c:v>49.4</c:v>
                </c:pt>
                <c:pt idx="8" formatCode="0.0">
                  <c:v>59.71223021582734</c:v>
                </c:pt>
                <c:pt idx="10" formatCode="0.0">
                  <c:v>51.26782884310618</c:v>
                </c:pt>
                <c:pt idx="11">
                  <c:v>15.440000000000001</c:v>
                </c:pt>
                <c:pt idx="12" formatCode="0.0">
                  <c:v>49.509803921568626</c:v>
                </c:pt>
                <c:pt idx="13" formatCode="0.0">
                  <c:v>64.527027027027017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61-2842-B2A1-F8AD2FE70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870336"/>
        <c:axId val="228883776"/>
      </c:barChart>
      <c:scatterChart>
        <c:scatterStyle val="lineMarker"/>
        <c:varyColors val="0"/>
        <c:ser>
          <c:idx val="3"/>
          <c:order val="3"/>
          <c:tx>
            <c:strRef>
              <c:f>'IR-CA'!$Q$124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prstDash val="sysDash"/>
              </a:ln>
            </c:spPr>
          </c:errBars>
          <c:xVal>
            <c:multiLvlStrRef>
              <c:f>'IR-CA'!$R$119:$AE$120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IR-CA Agent 1</c:v>
                  </c:pt>
                  <c:pt idx="5">
                    <c:v>IR-CA Agent 2</c:v>
                  </c:pt>
                  <c:pt idx="10">
                    <c:v>IR-CA Agent 3</c:v>
                  </c:pt>
                </c:lvl>
              </c:multiLvlStrCache>
            </c:multiLvlStrRef>
          </c:xVal>
          <c:yVal>
            <c:numRef>
              <c:f>'IR-CA'!$R$124:$AE$124</c:f>
              <c:numCache>
                <c:formatCode>0.00</c:formatCode>
                <c:ptCount val="14"/>
                <c:pt idx="0" formatCode="0.0">
                  <c:v>64.254903965955975</c:v>
                </c:pt>
                <c:pt idx="1">
                  <c:v>28.285720801900965</c:v>
                </c:pt>
                <c:pt idx="2" formatCode="0.0">
                  <c:v>58.7473677027549</c:v>
                </c:pt>
                <c:pt idx="3" formatCode="0.0">
                  <c:v>66.893021215435269</c:v>
                </c:pt>
                <c:pt idx="5" formatCode="0.0">
                  <c:v>65.075781076139435</c:v>
                </c:pt>
                <c:pt idx="6">
                  <c:v>18.65744957326184</c:v>
                </c:pt>
                <c:pt idx="7" formatCode="0.0">
                  <c:v>52.72185676801061</c:v>
                </c:pt>
                <c:pt idx="8" formatCode="0.0">
                  <c:v>60.424126863922396</c:v>
                </c:pt>
                <c:pt idx="10" formatCode="0.0">
                  <c:v>64.218553092974744</c:v>
                </c:pt>
                <c:pt idx="11">
                  <c:v>19.501334961198353</c:v>
                </c:pt>
                <c:pt idx="12" formatCode="0.0">
                  <c:v>55.308907450190553</c:v>
                </c:pt>
                <c:pt idx="13" formatCode="0.0">
                  <c:v>62.785149094672896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61-2842-B2A1-F8AD2FE70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870336"/>
        <c:axId val="228883776"/>
      </c:scatterChart>
      <c:catAx>
        <c:axId val="22887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8883776"/>
        <c:crosses val="autoZero"/>
        <c:auto val="1"/>
        <c:lblAlgn val="ctr"/>
        <c:lblOffset val="100"/>
        <c:noMultiLvlLbl val="0"/>
      </c:catAx>
      <c:valAx>
        <c:axId val="228883776"/>
        <c:scaling>
          <c:orientation val="minMax"/>
          <c:max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Accuracy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887033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Accuracy, Two IR-CA Agents Experiments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'IR-CA'!$Q$143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'IR-CA'!$R$141:$AE$142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IR-CA Agent 1 &amp; 2</c:v>
                  </c:pt>
                  <c:pt idx="5">
                    <c:v>IR-CA Agent 1 &amp; 3</c:v>
                  </c:pt>
                  <c:pt idx="10">
                    <c:v>IR-CA Agent 2 &amp; 3</c:v>
                  </c:pt>
                </c:lvl>
              </c:multiLvlStrCache>
            </c:multiLvlStrRef>
          </c:cat>
          <c:val>
            <c:numRef>
              <c:f>'IR-CA'!$R$143:$AE$143</c:f>
              <c:numCache>
                <c:formatCode>0.00</c:formatCode>
                <c:ptCount val="14"/>
                <c:pt idx="0" formatCode="0.0">
                  <c:v>66.633064516129025</c:v>
                </c:pt>
                <c:pt idx="1">
                  <c:v>26.950354609929079</c:v>
                </c:pt>
                <c:pt idx="2" formatCode="0.0">
                  <c:v>55.05952380952381</c:v>
                </c:pt>
                <c:pt idx="3" formatCode="0.0">
                  <c:v>59.183673469387756</c:v>
                </c:pt>
                <c:pt idx="5" formatCode="0.0">
                  <c:v>67.611336032388664</c:v>
                </c:pt>
                <c:pt idx="6">
                  <c:v>26.687116564417181</c:v>
                </c:pt>
                <c:pt idx="7" formatCode="0.0">
                  <c:v>61.72465960665658</c:v>
                </c:pt>
                <c:pt idx="8" formatCode="0.0">
                  <c:v>59.693877551020407</c:v>
                </c:pt>
                <c:pt idx="10" formatCode="0.0">
                  <c:v>66.292134831460672</c:v>
                </c:pt>
                <c:pt idx="11">
                  <c:v>26.091370558375633</c:v>
                </c:pt>
                <c:pt idx="12" formatCode="0.0">
                  <c:v>59.286775631500745</c:v>
                </c:pt>
                <c:pt idx="13" formatCode="0.0">
                  <c:v>59.898477157360404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A-5049-AD6D-A364EA2C6C4B}"/>
            </c:ext>
          </c:extLst>
        </c:ser>
        <c:ser>
          <c:idx val="1"/>
          <c:order val="1"/>
          <c:tx>
            <c:strRef>
              <c:f>'IR-CA'!$Q$144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'IR-CA'!$R$141:$AE$142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IR-CA Agent 1 &amp; 2</c:v>
                  </c:pt>
                  <c:pt idx="5">
                    <c:v>IR-CA Agent 1 &amp; 3</c:v>
                  </c:pt>
                  <c:pt idx="10">
                    <c:v>IR-CA Agent 2 &amp; 3</c:v>
                  </c:pt>
                </c:lvl>
              </c:multiLvlStrCache>
            </c:multiLvlStrRef>
          </c:cat>
          <c:val>
            <c:numRef>
              <c:f>'IR-CA'!$R$144:$AE$144</c:f>
              <c:numCache>
                <c:formatCode>0.00</c:formatCode>
                <c:ptCount val="14"/>
                <c:pt idx="0" formatCode="0.0">
                  <c:v>71.492704826038164</c:v>
                </c:pt>
                <c:pt idx="1">
                  <c:v>38.28451882845188</c:v>
                </c:pt>
                <c:pt idx="2" formatCode="0.0">
                  <c:v>55.130168453292498</c:v>
                </c:pt>
                <c:pt idx="3" formatCode="0.0">
                  <c:v>79.255319148936167</c:v>
                </c:pt>
                <c:pt idx="5" formatCode="0.0">
                  <c:v>76.721311475409834</c:v>
                </c:pt>
                <c:pt idx="6">
                  <c:v>35.165975103734439</c:v>
                </c:pt>
                <c:pt idx="7" formatCode="0.0">
                  <c:v>54.434250764525991</c:v>
                </c:pt>
                <c:pt idx="8" formatCode="0.0">
                  <c:v>73.684210526315795</c:v>
                </c:pt>
                <c:pt idx="10" formatCode="0.0">
                  <c:v>78.93593919652551</c:v>
                </c:pt>
                <c:pt idx="11">
                  <c:v>22.851153039832287</c:v>
                </c:pt>
                <c:pt idx="12" formatCode="0.0">
                  <c:v>53.384615384615387</c:v>
                </c:pt>
                <c:pt idx="13" formatCode="0.0">
                  <c:v>65.78947368421052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A-5049-AD6D-A364EA2C6C4B}"/>
            </c:ext>
          </c:extLst>
        </c:ser>
        <c:ser>
          <c:idx val="2"/>
          <c:order val="2"/>
          <c:tx>
            <c:strRef>
              <c:f>'IR-CA'!$Q$145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'IR-CA'!$R$141:$AE$142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IR-CA Agent 1 &amp; 2</c:v>
                  </c:pt>
                  <c:pt idx="5">
                    <c:v>IR-CA Agent 1 &amp; 3</c:v>
                  </c:pt>
                  <c:pt idx="10">
                    <c:v>IR-CA Agent 2 &amp; 3</c:v>
                  </c:pt>
                </c:lvl>
              </c:multiLvlStrCache>
            </c:multiLvlStrRef>
          </c:cat>
          <c:val>
            <c:numRef>
              <c:f>'IR-CA'!$R$145:$AE$145</c:f>
              <c:numCache>
                <c:formatCode>0.00</c:formatCode>
                <c:ptCount val="14"/>
                <c:pt idx="0" formatCode="0.0">
                  <c:v>46.101694915254235</c:v>
                </c:pt>
                <c:pt idx="1">
                  <c:v>34.280639431616336</c:v>
                </c:pt>
                <c:pt idx="2" formatCode="0.0">
                  <c:v>53.862660944206013</c:v>
                </c:pt>
                <c:pt idx="3" formatCode="0.0">
                  <c:v>52.857142857142861</c:v>
                </c:pt>
                <c:pt idx="5" formatCode="0.0">
                  <c:v>52.992957746478879</c:v>
                </c:pt>
                <c:pt idx="6">
                  <c:v>37.5</c:v>
                </c:pt>
                <c:pt idx="7" formatCode="0.0">
                  <c:v>54.643628509719221</c:v>
                </c:pt>
                <c:pt idx="8" formatCode="0.0">
                  <c:v>56.643356643356647</c:v>
                </c:pt>
                <c:pt idx="10" formatCode="0.0">
                  <c:v>55.849056603773583</c:v>
                </c:pt>
                <c:pt idx="11">
                  <c:v>21.454545454545453</c:v>
                </c:pt>
                <c:pt idx="12" formatCode="0.0">
                  <c:v>46.171693735498842</c:v>
                </c:pt>
                <c:pt idx="13" formatCode="0.0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5A-5049-AD6D-A364EA2C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252480"/>
        <c:axId val="247201088"/>
      </c:barChart>
      <c:scatterChart>
        <c:scatterStyle val="lineMarker"/>
        <c:varyColors val="0"/>
        <c:ser>
          <c:idx val="3"/>
          <c:order val="3"/>
          <c:tx>
            <c:strRef>
              <c:f>'IR-CA'!$Q$146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'IR-CA'!$R$141:$AE$142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IR-CA Agent 1 &amp; 2</c:v>
                  </c:pt>
                  <c:pt idx="5">
                    <c:v>IR-CA Agent 1 &amp; 3</c:v>
                  </c:pt>
                  <c:pt idx="10">
                    <c:v>IR-CA Agent 2 &amp; 3</c:v>
                  </c:pt>
                </c:lvl>
              </c:multiLvlStrCache>
            </c:multiLvlStrRef>
          </c:xVal>
          <c:yVal>
            <c:numRef>
              <c:f>'IR-CA'!$R$146:$AE$146</c:f>
              <c:numCache>
                <c:formatCode>0.00</c:formatCode>
                <c:ptCount val="14"/>
                <c:pt idx="0" formatCode="0.0">
                  <c:v>61.409154752473803</c:v>
                </c:pt>
                <c:pt idx="1">
                  <c:v>33.171837623332429</c:v>
                </c:pt>
                <c:pt idx="2" formatCode="0.0">
                  <c:v>54.684117735674107</c:v>
                </c:pt>
                <c:pt idx="3" formatCode="0.0">
                  <c:v>63.765378491822268</c:v>
                </c:pt>
                <c:pt idx="5" formatCode="0.0">
                  <c:v>65.775201751425797</c:v>
                </c:pt>
                <c:pt idx="6">
                  <c:v>33.117697222717204</c:v>
                </c:pt>
                <c:pt idx="7" formatCode="0.0">
                  <c:v>56.934179626967271</c:v>
                </c:pt>
                <c:pt idx="8" formatCode="0.0">
                  <c:v>63.340481573564283</c:v>
                </c:pt>
                <c:pt idx="10" formatCode="0.0">
                  <c:v>67.025710210586581</c:v>
                </c:pt>
                <c:pt idx="11">
                  <c:v>23.465689684251128</c:v>
                </c:pt>
                <c:pt idx="12" formatCode="0.0">
                  <c:v>52.947694917204991</c:v>
                </c:pt>
                <c:pt idx="13" formatCode="0.0">
                  <c:v>60.64598361385697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5A-5049-AD6D-A364EA2C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252480"/>
        <c:axId val="247201088"/>
      </c:scatterChart>
      <c:catAx>
        <c:axId val="26325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47201088"/>
        <c:crosses val="autoZero"/>
        <c:auto val="1"/>
        <c:lblAlgn val="ctr"/>
        <c:lblOffset val="100"/>
        <c:noMultiLvlLbl val="0"/>
      </c:catAx>
      <c:valAx>
        <c:axId val="24720108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Accuracy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6325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Accuracy, One Malicious Agent Experiments, Both Share-Mode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malicious!$Q$201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malicious!$R$199:$AE$200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Malicious Agent 1</c:v>
                  </c:pt>
                  <c:pt idx="5">
                    <c:v>Malicious Agent 2</c:v>
                  </c:pt>
                  <c:pt idx="10">
                    <c:v>Malicious Agent 3</c:v>
                  </c:pt>
                </c:lvl>
              </c:multiLvlStrCache>
            </c:multiLvlStrRef>
          </c:cat>
          <c:val>
            <c:numRef>
              <c:f>malicious!$R$201:$AE$201</c:f>
              <c:numCache>
                <c:formatCode>0.00</c:formatCode>
                <c:ptCount val="14"/>
                <c:pt idx="0" formatCode="0.0">
                  <c:v>51.58898305084746</c:v>
                </c:pt>
                <c:pt idx="1">
                  <c:v>6.6394279877425948</c:v>
                </c:pt>
                <c:pt idx="2" formatCode="0.0">
                  <c:v>28.513071895424837</c:v>
                </c:pt>
                <c:pt idx="3" formatCode="0.0">
                  <c:v>54.237288135593225</c:v>
                </c:pt>
                <c:pt idx="5" formatCode="0.0">
                  <c:v>54.858934169278996</c:v>
                </c:pt>
                <c:pt idx="6">
                  <c:v>6.1203319502074693</c:v>
                </c:pt>
                <c:pt idx="7" formatCode="0.0">
                  <c:v>38.674033149171272</c:v>
                </c:pt>
                <c:pt idx="8" formatCode="0.0">
                  <c:v>58.870967741935488</c:v>
                </c:pt>
                <c:pt idx="10" formatCode="0.0">
                  <c:v>45.38300104931794</c:v>
                </c:pt>
                <c:pt idx="11">
                  <c:v>4.9163179916318001</c:v>
                </c:pt>
                <c:pt idx="12" formatCode="0.0">
                  <c:v>32.838589981447122</c:v>
                </c:pt>
                <c:pt idx="13" formatCode="0.0">
                  <c:v>58.148148148148152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A-4B48-B39D-5C7DCF13AA46}"/>
            </c:ext>
          </c:extLst>
        </c:ser>
        <c:ser>
          <c:idx val="1"/>
          <c:order val="1"/>
          <c:tx>
            <c:strRef>
              <c:f>malicious!$Q$202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malicious!$R$199:$AE$200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Malicious Agent 1</c:v>
                  </c:pt>
                  <c:pt idx="5">
                    <c:v>Malicious Agent 2</c:v>
                  </c:pt>
                  <c:pt idx="10">
                    <c:v>Malicious Agent 3</c:v>
                  </c:pt>
                </c:lvl>
              </c:multiLvlStrCache>
            </c:multiLvlStrRef>
          </c:cat>
          <c:val>
            <c:numRef>
              <c:f>malicious!$R$202:$AE$202</c:f>
              <c:numCache>
                <c:formatCode>0.00</c:formatCode>
                <c:ptCount val="14"/>
                <c:pt idx="0" formatCode="0.0">
                  <c:v>63.243546576879908</c:v>
                </c:pt>
                <c:pt idx="1">
                  <c:v>7.7045696068012752</c:v>
                </c:pt>
                <c:pt idx="2" formatCode="0.0">
                  <c:v>46.062271062271058</c:v>
                </c:pt>
                <c:pt idx="3" formatCode="0.0">
                  <c:v>43.70860927152318</c:v>
                </c:pt>
                <c:pt idx="5" formatCode="0.0">
                  <c:v>65.599999999999994</c:v>
                </c:pt>
                <c:pt idx="6">
                  <c:v>7.3806881243063263</c:v>
                </c:pt>
                <c:pt idx="7" formatCode="0.0">
                  <c:v>48.645833333333329</c:v>
                </c:pt>
                <c:pt idx="8" formatCode="0.0">
                  <c:v>52.727272727272734</c:v>
                </c:pt>
                <c:pt idx="10" formatCode="0.0">
                  <c:v>67.030567685589517</c:v>
                </c:pt>
                <c:pt idx="11">
                  <c:v>7.6840981856990398</c:v>
                </c:pt>
                <c:pt idx="12" formatCode="0.0">
                  <c:v>51.750972762645915</c:v>
                </c:pt>
                <c:pt idx="13" formatCode="0.0">
                  <c:v>49.545454545454547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A-4B48-B39D-5C7DCF13AA46}"/>
            </c:ext>
          </c:extLst>
        </c:ser>
        <c:ser>
          <c:idx val="2"/>
          <c:order val="2"/>
          <c:tx>
            <c:strRef>
              <c:f>malicious!$Q$203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malicious!$R$199:$AE$200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Malicious Agent 1</c:v>
                  </c:pt>
                  <c:pt idx="5">
                    <c:v>Malicious Agent 2</c:v>
                  </c:pt>
                  <c:pt idx="10">
                    <c:v>Malicious Agent 3</c:v>
                  </c:pt>
                </c:lvl>
              </c:multiLvlStrCache>
            </c:multiLvlStrRef>
          </c:cat>
          <c:val>
            <c:numRef>
              <c:f>malicious!$R$203:$AE$203</c:f>
              <c:numCache>
                <c:formatCode>0.00</c:formatCode>
                <c:ptCount val="14"/>
                <c:pt idx="0" formatCode="0.0">
                  <c:v>43.821138211382106</c:v>
                </c:pt>
                <c:pt idx="1">
                  <c:v>6.1702127659574471</c:v>
                </c:pt>
                <c:pt idx="2" formatCode="0.0">
                  <c:v>29.878048780487809</c:v>
                </c:pt>
                <c:pt idx="3" formatCode="0.0">
                  <c:v>44.623655913978496</c:v>
                </c:pt>
                <c:pt idx="5" formatCode="0.0">
                  <c:v>42.294520547945211</c:v>
                </c:pt>
                <c:pt idx="6">
                  <c:v>6.1571125265392785</c:v>
                </c:pt>
                <c:pt idx="7" formatCode="0.0">
                  <c:v>39.308176100628927</c:v>
                </c:pt>
                <c:pt idx="8" formatCode="0.0">
                  <c:v>52.150537634408607</c:v>
                </c:pt>
                <c:pt idx="10" formatCode="0.0">
                  <c:v>44.746376811594203</c:v>
                </c:pt>
                <c:pt idx="11">
                  <c:v>5.7142857142857153</c:v>
                </c:pt>
                <c:pt idx="12" formatCode="0.0">
                  <c:v>37.142857142857139</c:v>
                </c:pt>
                <c:pt idx="13" formatCode="0.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6A-4B48-B39D-5C7DCF13A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216640"/>
        <c:axId val="229226944"/>
      </c:barChart>
      <c:scatterChart>
        <c:scatterStyle val="lineMarker"/>
        <c:varyColors val="0"/>
        <c:ser>
          <c:idx val="3"/>
          <c:order val="3"/>
          <c:tx>
            <c:strRef>
              <c:f>malicious!$Q$204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malicious!$R$199:$AE$200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Malicious Agent 1</c:v>
                  </c:pt>
                  <c:pt idx="5">
                    <c:v>Malicious Agent 2</c:v>
                  </c:pt>
                  <c:pt idx="10">
                    <c:v>Malicious Agent 3</c:v>
                  </c:pt>
                </c:lvl>
              </c:multiLvlStrCache>
            </c:multiLvlStrRef>
          </c:xVal>
          <c:yVal>
            <c:numRef>
              <c:f>malicious!$R$204:$AE$204</c:f>
              <c:numCache>
                <c:formatCode>0.00</c:formatCode>
                <c:ptCount val="14"/>
                <c:pt idx="0" formatCode="0.0">
                  <c:v>52.884555946369822</c:v>
                </c:pt>
                <c:pt idx="1">
                  <c:v>6.8380701201671057</c:v>
                </c:pt>
                <c:pt idx="2" formatCode="0.0">
                  <c:v>34.817797246061239</c:v>
                </c:pt>
                <c:pt idx="3" formatCode="0.0">
                  <c:v>47.523184440364965</c:v>
                </c:pt>
                <c:pt idx="5" formatCode="0.0">
                  <c:v>54.25115157240807</c:v>
                </c:pt>
                <c:pt idx="6">
                  <c:v>6.5527108670176917</c:v>
                </c:pt>
                <c:pt idx="7" formatCode="0.0">
                  <c:v>42.209347527711181</c:v>
                </c:pt>
                <c:pt idx="8" formatCode="0.0">
                  <c:v>54.582926034538936</c:v>
                </c:pt>
                <c:pt idx="10" formatCode="0.0">
                  <c:v>52.386648515500553</c:v>
                </c:pt>
                <c:pt idx="11">
                  <c:v>6.1049006305388511</c:v>
                </c:pt>
                <c:pt idx="12" formatCode="0.0">
                  <c:v>40.577473295650059</c:v>
                </c:pt>
                <c:pt idx="13" formatCode="0.0">
                  <c:v>51.231200897867573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6A-4B48-B39D-5C7DCF13A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16640"/>
        <c:axId val="229226944"/>
      </c:scatterChart>
      <c:catAx>
        <c:axId val="2292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9226944"/>
        <c:crosses val="autoZero"/>
        <c:auto val="1"/>
        <c:lblAlgn val="ctr"/>
        <c:lblOffset val="100"/>
        <c:noMultiLvlLbl val="0"/>
      </c:catAx>
      <c:valAx>
        <c:axId val="22922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Accuracy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921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Accuracy, Two Malicious Agents Experiments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malicious!$Q$251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malicious!$R$249:$AE$250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Malicious Agent 1 and 2</c:v>
                  </c:pt>
                  <c:pt idx="5">
                    <c:v>Malicious Agent 1 and 3</c:v>
                  </c:pt>
                  <c:pt idx="10">
                    <c:v>Malicious Agent 2 and 3</c:v>
                  </c:pt>
                </c:lvl>
              </c:multiLvlStrCache>
            </c:multiLvlStrRef>
          </c:cat>
          <c:val>
            <c:numRef>
              <c:f>malicious!$R$251:$AE$251</c:f>
              <c:numCache>
                <c:formatCode>0.00</c:formatCode>
                <c:ptCount val="14"/>
                <c:pt idx="0" formatCode="0.0">
                  <c:v>59.77900552486188</c:v>
                </c:pt>
                <c:pt idx="1">
                  <c:v>6</c:v>
                </c:pt>
                <c:pt idx="2" formatCode="0.0">
                  <c:v>21.489001692047378</c:v>
                </c:pt>
                <c:pt idx="3" formatCode="0.0">
                  <c:v>70.103092783505147</c:v>
                </c:pt>
                <c:pt idx="5" formatCode="0.0">
                  <c:v>52.311161217587369</c:v>
                </c:pt>
                <c:pt idx="6">
                  <c:v>5.9384941675503722</c:v>
                </c:pt>
                <c:pt idx="7" formatCode="0.0">
                  <c:v>24.343257443082308</c:v>
                </c:pt>
                <c:pt idx="8" formatCode="0.0">
                  <c:v>68.269230769230774</c:v>
                </c:pt>
                <c:pt idx="10" formatCode="0.0">
                  <c:v>52.689352360043905</c:v>
                </c:pt>
                <c:pt idx="11">
                  <c:v>6.430868167202572</c:v>
                </c:pt>
                <c:pt idx="12" formatCode="0.0">
                  <c:v>29.668049792531122</c:v>
                </c:pt>
                <c:pt idx="13" formatCode="0.0">
                  <c:v>69.565217391304344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F-2C46-9F5B-5368DFDE20DD}"/>
            </c:ext>
          </c:extLst>
        </c:ser>
        <c:ser>
          <c:idx val="1"/>
          <c:order val="1"/>
          <c:tx>
            <c:strRef>
              <c:f>malicious!$Q$252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malicious!$R$249:$AE$250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Malicious Agent 1 and 2</c:v>
                  </c:pt>
                  <c:pt idx="5">
                    <c:v>Malicious Agent 1 and 3</c:v>
                  </c:pt>
                  <c:pt idx="10">
                    <c:v>Malicious Agent 2 and 3</c:v>
                  </c:pt>
                </c:lvl>
              </c:multiLvlStrCache>
            </c:multiLvlStrRef>
          </c:cat>
          <c:val>
            <c:numRef>
              <c:f>malicious!$R$252:$AE$252</c:f>
              <c:numCache>
                <c:formatCode>0.00</c:formatCode>
                <c:ptCount val="14"/>
                <c:pt idx="0" formatCode="0.0">
                  <c:v>49.245063879210221</c:v>
                </c:pt>
                <c:pt idx="1">
                  <c:v>6.5217391304347823</c:v>
                </c:pt>
                <c:pt idx="2" formatCode="0.0">
                  <c:v>37.164750957854409</c:v>
                </c:pt>
                <c:pt idx="3" formatCode="0.0">
                  <c:v>30.76923076923077</c:v>
                </c:pt>
                <c:pt idx="5" formatCode="0.0">
                  <c:v>53.712296983758705</c:v>
                </c:pt>
                <c:pt idx="6">
                  <c:v>7.5431034482758621</c:v>
                </c:pt>
                <c:pt idx="7" formatCode="0.0">
                  <c:v>35.294117647058819</c:v>
                </c:pt>
                <c:pt idx="8" formatCode="0.0">
                  <c:v>24.409448818897637</c:v>
                </c:pt>
                <c:pt idx="10" formatCode="0.0">
                  <c:v>65.402298850574709</c:v>
                </c:pt>
                <c:pt idx="11">
                  <c:v>7.042253521126761</c:v>
                </c:pt>
                <c:pt idx="12" formatCode="0.0">
                  <c:v>46.69338677354709</c:v>
                </c:pt>
                <c:pt idx="13" formatCode="0.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CF-2C46-9F5B-5368DFDE20DD}"/>
            </c:ext>
          </c:extLst>
        </c:ser>
        <c:ser>
          <c:idx val="2"/>
          <c:order val="2"/>
          <c:tx>
            <c:strRef>
              <c:f>malicious!$Q$253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malicious!$R$249:$AE$250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Malicious Agent 1 and 2</c:v>
                  </c:pt>
                  <c:pt idx="5">
                    <c:v>Malicious Agent 1 and 3</c:v>
                  </c:pt>
                  <c:pt idx="10">
                    <c:v>Malicious Agent 2 and 3</c:v>
                  </c:pt>
                </c:lvl>
              </c:multiLvlStrCache>
            </c:multiLvlStrRef>
          </c:cat>
          <c:val>
            <c:numRef>
              <c:f>malicious!$R$253:$AE$253</c:f>
              <c:numCache>
                <c:formatCode>0.00</c:formatCode>
                <c:ptCount val="14"/>
                <c:pt idx="0" formatCode="0.0">
                  <c:v>35.318275154004112</c:v>
                </c:pt>
                <c:pt idx="1">
                  <c:v>5.5066079295154191</c:v>
                </c:pt>
                <c:pt idx="2" formatCode="0.0">
                  <c:v>28.378378378378379</c:v>
                </c:pt>
                <c:pt idx="3" formatCode="0.0">
                  <c:v>42.168674698795186</c:v>
                </c:pt>
                <c:pt idx="5" formatCode="0.0">
                  <c:v>38.821138211382106</c:v>
                </c:pt>
                <c:pt idx="6">
                  <c:v>4.434589800443459</c:v>
                </c:pt>
                <c:pt idx="7" formatCode="0.0">
                  <c:v>29.042904290429043</c:v>
                </c:pt>
                <c:pt idx="8" formatCode="0.0">
                  <c:v>33.333333333333336</c:v>
                </c:pt>
                <c:pt idx="10" formatCode="0.0">
                  <c:v>36.92307692307692</c:v>
                </c:pt>
                <c:pt idx="11">
                  <c:v>6.0324825986078885</c:v>
                </c:pt>
                <c:pt idx="12" formatCode="0.0">
                  <c:v>36.43724696356275</c:v>
                </c:pt>
                <c:pt idx="13" formatCode="0.0">
                  <c:v>51.428571428571431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CF-2C46-9F5B-5368DFDE2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68864"/>
        <c:axId val="214523776"/>
      </c:barChart>
      <c:scatterChart>
        <c:scatterStyle val="lineMarker"/>
        <c:varyColors val="0"/>
        <c:ser>
          <c:idx val="3"/>
          <c:order val="3"/>
          <c:tx>
            <c:strRef>
              <c:f>malicious!$Q$254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3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malicious!$R$249:$AE$250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Malicious Agent 1 and 2</c:v>
                  </c:pt>
                  <c:pt idx="5">
                    <c:v>Malicious Agent 1 and 3</c:v>
                  </c:pt>
                  <c:pt idx="10">
                    <c:v>Malicious Agent 2 and 3</c:v>
                  </c:pt>
                </c:lvl>
              </c:multiLvlStrCache>
            </c:multiLvlStrRef>
          </c:xVal>
          <c:yVal>
            <c:numRef>
              <c:f>malicious!$R$254:$AE$254</c:f>
              <c:numCache>
                <c:formatCode>0.00</c:formatCode>
                <c:ptCount val="14"/>
                <c:pt idx="0" formatCode="0.0">
                  <c:v>48.114114852692069</c:v>
                </c:pt>
                <c:pt idx="1">
                  <c:v>6.0094490199833999</c:v>
                </c:pt>
                <c:pt idx="2" formatCode="0.0">
                  <c:v>29.010710342760053</c:v>
                </c:pt>
                <c:pt idx="3" formatCode="0.0">
                  <c:v>47.680332750510367</c:v>
                </c:pt>
                <c:pt idx="5" formatCode="0.0">
                  <c:v>48.281532137576058</c:v>
                </c:pt>
                <c:pt idx="6">
                  <c:v>5.972062472089898</c:v>
                </c:pt>
                <c:pt idx="7" formatCode="0.0">
                  <c:v>29.560093126856724</c:v>
                </c:pt>
                <c:pt idx="8" formatCode="0.0">
                  <c:v>42.004004307153913</c:v>
                </c:pt>
                <c:pt idx="10" formatCode="0.0">
                  <c:v>51.671576044565178</c:v>
                </c:pt>
                <c:pt idx="11">
                  <c:v>6.5018680956457402</c:v>
                </c:pt>
                <c:pt idx="12" formatCode="0.0">
                  <c:v>37.599561176546985</c:v>
                </c:pt>
                <c:pt idx="13" formatCode="0.0">
                  <c:v>53.66459627329192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CF-2C46-9F5B-5368DFDE2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68864"/>
        <c:axId val="214523776"/>
      </c:scatterChart>
      <c:catAx>
        <c:axId val="22966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14523776"/>
        <c:crosses val="autoZero"/>
        <c:auto val="1"/>
        <c:lblAlgn val="ctr"/>
        <c:lblOffset val="100"/>
        <c:noMultiLvlLbl val="0"/>
      </c:catAx>
      <c:valAx>
        <c:axId val="2145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966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Accuracy, One Malicious Agents Experiments, Answer Share-Mode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malicious!$Q$300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malicious!$R$298:$AE$299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Malicious Agent 1</c:v>
                  </c:pt>
                  <c:pt idx="5">
                    <c:v>Malicious Agent 2</c:v>
                  </c:pt>
                  <c:pt idx="10">
                    <c:v>Malicious Agent 3</c:v>
                  </c:pt>
                </c:lvl>
              </c:multiLvlStrCache>
            </c:multiLvlStrRef>
          </c:cat>
          <c:val>
            <c:numRef>
              <c:f>malicious!$R$300:$AE$300</c:f>
              <c:numCache>
                <c:formatCode>0.00</c:formatCode>
                <c:ptCount val="14"/>
                <c:pt idx="0" formatCode="0.0">
                  <c:v>68.943436499466387</c:v>
                </c:pt>
                <c:pt idx="1">
                  <c:v>7.3056994818652861</c:v>
                </c:pt>
                <c:pt idx="2" formatCode="0.0">
                  <c:v>30.148270181219111</c:v>
                </c:pt>
                <c:pt idx="3" formatCode="0.0">
                  <c:v>77.459016393442624</c:v>
                </c:pt>
                <c:pt idx="5" formatCode="0.0">
                  <c:v>68.34961997828448</c:v>
                </c:pt>
                <c:pt idx="6">
                  <c:v>6.2699256110520718</c:v>
                </c:pt>
                <c:pt idx="7" formatCode="0.0">
                  <c:v>34.834558823529406</c:v>
                </c:pt>
                <c:pt idx="8" formatCode="0.0">
                  <c:v>63.157894736842103</c:v>
                </c:pt>
                <c:pt idx="10" formatCode="0.0">
                  <c:v>64.162162162162161</c:v>
                </c:pt>
                <c:pt idx="11">
                  <c:v>6.7015706806282722</c:v>
                </c:pt>
                <c:pt idx="12" formatCode="0.0">
                  <c:v>34.750462107208875</c:v>
                </c:pt>
                <c:pt idx="13" formatCode="0.0">
                  <c:v>66.101694915254228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4-9149-91BC-FB6F7162BC1B}"/>
            </c:ext>
          </c:extLst>
        </c:ser>
        <c:ser>
          <c:idx val="1"/>
          <c:order val="1"/>
          <c:tx>
            <c:strRef>
              <c:f>malicious!$Q$301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malicious!$R$298:$AE$299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Malicious Agent 1</c:v>
                  </c:pt>
                  <c:pt idx="5">
                    <c:v>Malicious Agent 2</c:v>
                  </c:pt>
                  <c:pt idx="10">
                    <c:v>Malicious Agent 3</c:v>
                  </c:pt>
                </c:lvl>
              </c:multiLvlStrCache>
            </c:multiLvlStrRef>
          </c:cat>
          <c:val>
            <c:numRef>
              <c:f>malicious!$R$301:$AE$301</c:f>
              <c:numCache>
                <c:formatCode>0.00</c:formatCode>
                <c:ptCount val="14"/>
                <c:pt idx="0" formatCode="0.0">
                  <c:v>63.148584905660371</c:v>
                </c:pt>
                <c:pt idx="1">
                  <c:v>7.484076433121019</c:v>
                </c:pt>
                <c:pt idx="2" formatCode="0.0">
                  <c:v>48.083941605839414</c:v>
                </c:pt>
                <c:pt idx="3" formatCode="0.0">
                  <c:v>37.58169934640523</c:v>
                </c:pt>
                <c:pt idx="5" formatCode="0.0">
                  <c:v>65.327210103329506</c:v>
                </c:pt>
                <c:pt idx="6">
                  <c:v>7.5274725274725274</c:v>
                </c:pt>
                <c:pt idx="7" formatCode="0.0">
                  <c:v>56.126482213438734</c:v>
                </c:pt>
                <c:pt idx="8" formatCode="0.0">
                  <c:v>43.262411347517727</c:v>
                </c:pt>
                <c:pt idx="10" formatCode="0.0">
                  <c:v>64.243845252051585</c:v>
                </c:pt>
                <c:pt idx="11">
                  <c:v>8.1154684095860574</c:v>
                </c:pt>
                <c:pt idx="12" formatCode="0.0">
                  <c:v>54.95145631067961</c:v>
                </c:pt>
                <c:pt idx="13" formatCode="0.0">
                  <c:v>39.855072463768117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A4-9149-91BC-FB6F7162BC1B}"/>
            </c:ext>
          </c:extLst>
        </c:ser>
        <c:ser>
          <c:idx val="2"/>
          <c:order val="2"/>
          <c:tx>
            <c:strRef>
              <c:f>malicious!$Q$302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malicious!$R$298:$AE$299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Malicious Agent 1</c:v>
                  </c:pt>
                  <c:pt idx="5">
                    <c:v>Malicious Agent 2</c:v>
                  </c:pt>
                  <c:pt idx="10">
                    <c:v>Malicious Agent 3</c:v>
                  </c:pt>
                </c:lvl>
              </c:multiLvlStrCache>
            </c:multiLvlStrRef>
          </c:cat>
          <c:val>
            <c:numRef>
              <c:f>malicious!$R$302:$AE$302</c:f>
              <c:numCache>
                <c:formatCode>0.00</c:formatCode>
                <c:ptCount val="14"/>
                <c:pt idx="0" formatCode="0.0">
                  <c:v>65.596330275229349</c:v>
                </c:pt>
                <c:pt idx="1">
                  <c:v>7.0776255707762559</c:v>
                </c:pt>
                <c:pt idx="2" formatCode="0.0">
                  <c:v>43.768545994065278</c:v>
                </c:pt>
                <c:pt idx="3" formatCode="0.0">
                  <c:v>51.415094339622641</c:v>
                </c:pt>
                <c:pt idx="5" formatCode="0.0">
                  <c:v>66.165413533834595</c:v>
                </c:pt>
                <c:pt idx="6">
                  <c:v>7.5862068965517242</c:v>
                </c:pt>
                <c:pt idx="7" formatCode="0.0">
                  <c:v>39.696969696969695</c:v>
                </c:pt>
                <c:pt idx="8" formatCode="0.0">
                  <c:v>43.243243243243242</c:v>
                </c:pt>
                <c:pt idx="10" formatCode="0.0">
                  <c:v>66.602687140115165</c:v>
                </c:pt>
                <c:pt idx="11">
                  <c:v>8.0419580419580416</c:v>
                </c:pt>
                <c:pt idx="12" formatCode="0.0">
                  <c:v>40.78947368421052</c:v>
                </c:pt>
                <c:pt idx="13" formatCode="0.0">
                  <c:v>38.571428571428569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A4-9149-91BC-FB6F7162B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286656"/>
        <c:axId val="229292480"/>
      </c:barChart>
      <c:scatterChart>
        <c:scatterStyle val="lineMarker"/>
        <c:varyColors val="0"/>
        <c:ser>
          <c:idx val="3"/>
          <c:order val="3"/>
          <c:tx>
            <c:strRef>
              <c:f>malicious!$Q$303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malicious!$R$298:$AE$299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Malicious Agent 1</c:v>
                  </c:pt>
                  <c:pt idx="5">
                    <c:v>Malicious Agent 2</c:v>
                  </c:pt>
                  <c:pt idx="10">
                    <c:v>Malicious Agent 3</c:v>
                  </c:pt>
                </c:lvl>
              </c:multiLvlStrCache>
            </c:multiLvlStrRef>
          </c:xVal>
          <c:yVal>
            <c:numRef>
              <c:f>malicious!$R$303:$AE$303</c:f>
              <c:numCache>
                <c:formatCode>0.00</c:formatCode>
                <c:ptCount val="14"/>
                <c:pt idx="0" formatCode="0.0">
                  <c:v>65.896117226785364</c:v>
                </c:pt>
                <c:pt idx="1">
                  <c:v>7.28913382858752</c:v>
                </c:pt>
                <c:pt idx="2" formatCode="0.0">
                  <c:v>40.666919260374605</c:v>
                </c:pt>
                <c:pt idx="3" formatCode="0.0">
                  <c:v>55.485270026490163</c:v>
                </c:pt>
                <c:pt idx="5" formatCode="0.0">
                  <c:v>66.614081205149532</c:v>
                </c:pt>
                <c:pt idx="6">
                  <c:v>7.1278683450254405</c:v>
                </c:pt>
                <c:pt idx="7" formatCode="0.0">
                  <c:v>43.552670244645945</c:v>
                </c:pt>
                <c:pt idx="8" formatCode="0.0">
                  <c:v>49.887849775867686</c:v>
                </c:pt>
                <c:pt idx="10" formatCode="0.0">
                  <c:v>65.002898184776299</c:v>
                </c:pt>
                <c:pt idx="11">
                  <c:v>7.6196657107241235</c:v>
                </c:pt>
                <c:pt idx="12" formatCode="0.0">
                  <c:v>43.497130700699671</c:v>
                </c:pt>
                <c:pt idx="13" formatCode="0.0">
                  <c:v>48.176065316816981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A4-9149-91BC-FB6F7162B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86656"/>
        <c:axId val="229292480"/>
      </c:scatterChart>
      <c:catAx>
        <c:axId val="22928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9292480"/>
        <c:crosses val="autoZero"/>
        <c:auto val="1"/>
        <c:lblAlgn val="ctr"/>
        <c:lblOffset val="100"/>
        <c:noMultiLvlLbl val="0"/>
      </c:catAx>
      <c:valAx>
        <c:axId val="229292480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92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Accuracy, Share-Mode Both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malicious!$G$312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malicious!$H$310:$K$311</c:f>
              <c:multiLvlStrCache>
                <c:ptCount val="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</c:lvl>
                <c:lvl>
                  <c:pt idx="0">
                    <c:v>Both share-mode</c:v>
                  </c:pt>
                </c:lvl>
              </c:multiLvlStrCache>
            </c:multiLvlStrRef>
          </c:cat>
          <c:val>
            <c:numRef>
              <c:f>malicious!$H$312:$K$312</c:f>
              <c:numCache>
                <c:formatCode>0.0</c:formatCode>
                <c:ptCount val="4"/>
                <c:pt idx="0">
                  <c:v>75.099999999999994</c:v>
                </c:pt>
                <c:pt idx="1">
                  <c:v>9.2199999999999989</c:v>
                </c:pt>
                <c:pt idx="2">
                  <c:v>48.16</c:v>
                </c:pt>
                <c:pt idx="3">
                  <c:v>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A-374B-9311-D439F4BB5825}"/>
            </c:ext>
          </c:extLst>
        </c:ser>
        <c:ser>
          <c:idx val="1"/>
          <c:order val="1"/>
          <c:tx>
            <c:strRef>
              <c:f>malicious!$G$313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malicious!$H$310:$K$311</c:f>
              <c:multiLvlStrCache>
                <c:ptCount val="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</c:lvl>
                <c:lvl>
                  <c:pt idx="0">
                    <c:v>Both share-mode</c:v>
                  </c:pt>
                </c:lvl>
              </c:multiLvlStrCache>
            </c:multiLvlStrRef>
          </c:cat>
          <c:val>
            <c:numRef>
              <c:f>malicious!$H$313:$K$313</c:f>
              <c:numCache>
                <c:formatCode>0.0</c:formatCode>
                <c:ptCount val="4"/>
                <c:pt idx="0">
                  <c:v>84.008643976229067</c:v>
                </c:pt>
                <c:pt idx="1">
                  <c:v>8.1947011706715962</c:v>
                </c:pt>
                <c:pt idx="2">
                  <c:v>52.905811623246493</c:v>
                </c:pt>
                <c:pt idx="3">
                  <c:v>56.425702811244982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9A-374B-9311-D439F4BB5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607487"/>
        <c:axId val="240258559"/>
      </c:barChart>
      <c:scatterChart>
        <c:scatterStyle val="lineMarker"/>
        <c:varyColors val="0"/>
        <c:ser>
          <c:idx val="2"/>
          <c:order val="2"/>
          <c:tx>
            <c:strRef>
              <c:f>malicious!$G$314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26"/>
            <c:spPr>
              <a:noFill/>
              <a:ln w="2540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malicious!$H$310:$K$311</c:f>
              <c:multiLvlStrCache>
                <c:ptCount val="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</c:lvl>
                <c:lvl>
                  <c:pt idx="0">
                    <c:v>Both share-mode</c:v>
                  </c:pt>
                </c:lvl>
              </c:multiLvlStrCache>
            </c:multiLvlStrRef>
          </c:xVal>
          <c:yVal>
            <c:numRef>
              <c:f>malicious!$H$314:$K$314</c:f>
              <c:numCache>
                <c:formatCode>0.00</c:formatCode>
                <c:ptCount val="4"/>
                <c:pt idx="0" formatCode="0.0">
                  <c:v>79.554321988114538</c:v>
                </c:pt>
                <c:pt idx="1">
                  <c:v>8.7073505853357975</c:v>
                </c:pt>
                <c:pt idx="2" formatCode="0.0">
                  <c:v>50.532905811623245</c:v>
                </c:pt>
                <c:pt idx="3" formatCode="0.0">
                  <c:v>50.112851405622493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9A-374B-9311-D439F4BB5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607487"/>
        <c:axId val="240258559"/>
      </c:scatterChart>
      <c:catAx>
        <c:axId val="24460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40258559"/>
        <c:crosses val="autoZero"/>
        <c:auto val="1"/>
        <c:lblAlgn val="ctr"/>
        <c:lblOffset val="100"/>
        <c:noMultiLvlLbl val="0"/>
      </c:catAx>
      <c:valAx>
        <c:axId val="24025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4460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accuracy across all</a:t>
            </a:r>
            <a:r>
              <a:rPr lang="en-GB" baseline="0"/>
              <a:t> datasets for </a:t>
            </a:r>
            <a:r>
              <a:rPr lang="en-GB"/>
              <a:t>Instruct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'share-mode'!$A$86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strRef>
              <c:f>'share-mode'!$B$85:$D$85</c:f>
              <c:strCache>
                <c:ptCount val="3"/>
                <c:pt idx="0">
                  <c:v>Answer</c:v>
                </c:pt>
                <c:pt idx="1">
                  <c:v>Reasoning</c:v>
                </c:pt>
                <c:pt idx="2">
                  <c:v>Both</c:v>
                </c:pt>
              </c:strCache>
            </c:strRef>
          </c:cat>
          <c:val>
            <c:numRef>
              <c:f>'share-mode'!$B$86:$D$86</c:f>
              <c:numCache>
                <c:formatCode>0.0</c:formatCode>
                <c:ptCount val="3"/>
                <c:pt idx="0">
                  <c:v>42.678370493606025</c:v>
                </c:pt>
                <c:pt idx="1">
                  <c:v>44.763819611861436</c:v>
                </c:pt>
                <c:pt idx="2">
                  <c:v>44.706070866304259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6-6149-A31B-BB1D8B81DEB3}"/>
            </c:ext>
          </c:extLst>
        </c:ser>
        <c:ser>
          <c:idx val="1"/>
          <c:order val="1"/>
          <c:tx>
            <c:strRef>
              <c:f>'share-mode'!$A$87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strRef>
              <c:f>'share-mode'!$B$85:$D$85</c:f>
              <c:strCache>
                <c:ptCount val="3"/>
                <c:pt idx="0">
                  <c:v>Answer</c:v>
                </c:pt>
                <c:pt idx="1">
                  <c:v>Reasoning</c:v>
                </c:pt>
                <c:pt idx="2">
                  <c:v>Both</c:v>
                </c:pt>
              </c:strCache>
            </c:strRef>
          </c:cat>
          <c:val>
            <c:numRef>
              <c:f>'share-mode'!$B$87:$D$87</c:f>
              <c:numCache>
                <c:formatCode>0.0</c:formatCode>
                <c:ptCount val="3"/>
                <c:pt idx="0">
                  <c:v>44.562436741939088</c:v>
                </c:pt>
                <c:pt idx="1">
                  <c:v>43.477676472888234</c:v>
                </c:pt>
                <c:pt idx="2">
                  <c:v>44.089361158986314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6-6149-A31B-BB1D8B81DEB3}"/>
            </c:ext>
          </c:extLst>
        </c:ser>
        <c:ser>
          <c:idx val="2"/>
          <c:order val="2"/>
          <c:tx>
            <c:strRef>
              <c:f>'share-mode'!$A$88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strRef>
              <c:f>'share-mode'!$B$85:$D$85</c:f>
              <c:strCache>
                <c:ptCount val="3"/>
                <c:pt idx="0">
                  <c:v>Answer</c:v>
                </c:pt>
                <c:pt idx="1">
                  <c:v>Reasoning</c:v>
                </c:pt>
                <c:pt idx="2">
                  <c:v>Both</c:v>
                </c:pt>
              </c:strCache>
            </c:strRef>
          </c:cat>
          <c:val>
            <c:numRef>
              <c:f>'share-mode'!$B$88:$D$88</c:f>
              <c:numCache>
                <c:formatCode>0.0</c:formatCode>
                <c:ptCount val="3"/>
                <c:pt idx="0">
                  <c:v>47.729499146260167</c:v>
                </c:pt>
                <c:pt idx="1">
                  <c:v>43.14273742137614</c:v>
                </c:pt>
                <c:pt idx="2">
                  <c:v>45.005707870799057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6-6149-A31B-BB1D8B81D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119616"/>
        <c:axId val="1919121408"/>
      </c:barChart>
      <c:scatterChart>
        <c:scatterStyle val="lineMarker"/>
        <c:varyColors val="0"/>
        <c:ser>
          <c:idx val="3"/>
          <c:order val="3"/>
          <c:tx>
            <c:strRef>
              <c:f>'share-mode'!$A$89</c:f>
              <c:strCache>
                <c:ptCount val="1"/>
                <c:pt idx="0">
                  <c:v>AVG.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rgbClr val="77BA86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"/>
            <c:spPr>
              <a:noFill/>
              <a:ln w="25400" cap="sq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</c:errBars>
          <c:xVal>
            <c:strRef>
              <c:f>'share-mode'!$B$85:$D$85</c:f>
              <c:strCache>
                <c:ptCount val="3"/>
                <c:pt idx="0">
                  <c:v>Answer</c:v>
                </c:pt>
                <c:pt idx="1">
                  <c:v>Reasoning</c:v>
                </c:pt>
                <c:pt idx="2">
                  <c:v>Both</c:v>
                </c:pt>
              </c:strCache>
            </c:strRef>
          </c:xVal>
          <c:yVal>
            <c:numRef>
              <c:f>'share-mode'!$B$89:$D$89</c:f>
              <c:numCache>
                <c:formatCode>0.0</c:formatCode>
                <c:ptCount val="3"/>
                <c:pt idx="0">
                  <c:v>44.990102127268422</c:v>
                </c:pt>
                <c:pt idx="1">
                  <c:v>43.794744502041937</c:v>
                </c:pt>
                <c:pt idx="2">
                  <c:v>44.60037996536321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16-6149-A31B-BB1D8B81D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19616"/>
        <c:axId val="1919121408"/>
      </c:scatterChart>
      <c:catAx>
        <c:axId val="19191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19121408"/>
        <c:crosses val="autoZero"/>
        <c:auto val="1"/>
        <c:lblAlgn val="ctr"/>
        <c:lblOffset val="100"/>
        <c:noMultiLvlLbl val="0"/>
      </c:catAx>
      <c:valAx>
        <c:axId val="1919121408"/>
        <c:scaling>
          <c:orientation val="minMax"/>
          <c:max val="5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1911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'share-mode'!$B$85:$D$85</c:f>
              <c:strCache>
                <c:ptCount val="3"/>
                <c:pt idx="0">
                  <c:v>Answer</c:v>
                </c:pt>
                <c:pt idx="1">
                  <c:v>Reasoning</c:v>
                </c:pt>
                <c:pt idx="2">
                  <c:v>Both</c:v>
                </c:pt>
              </c:strCache>
            </c:strRef>
          </c:cat>
          <c:val>
            <c:numRef>
              <c:f>'share-mode'!$B$89:$D$89</c:f>
              <c:numCache>
                <c:formatCode>0.0</c:formatCode>
                <c:ptCount val="3"/>
                <c:pt idx="0">
                  <c:v>44.990102127268422</c:v>
                </c:pt>
                <c:pt idx="1">
                  <c:v>43.794744502041937</c:v>
                </c:pt>
                <c:pt idx="2">
                  <c:v>44.60037996536321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E-E14E-9142-F68613F54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527296"/>
        <c:axId val="2072285120"/>
      </c:barChart>
      <c:catAx>
        <c:axId val="198952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72285120"/>
        <c:crosses val="autoZero"/>
        <c:auto val="1"/>
        <c:lblAlgn val="ctr"/>
        <c:lblOffset val="100"/>
        <c:noMultiLvlLbl val="0"/>
      </c:catAx>
      <c:valAx>
        <c:axId val="2072285120"/>
        <c:scaling>
          <c:orientation val="minMax"/>
          <c:max val="5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8952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Accuracy, Share-Modes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'share-mode'!$A$65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'share-mode'!$B$63:$O$64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Answer</c:v>
                  </c:pt>
                  <c:pt idx="5">
                    <c:v>Reasoning</c:v>
                  </c:pt>
                  <c:pt idx="10">
                    <c:v>Both</c:v>
                  </c:pt>
                </c:lvl>
              </c:multiLvlStrCache>
            </c:multiLvlStrRef>
          </c:cat>
          <c:val>
            <c:numRef>
              <c:f>'share-mode'!$B$65:$O$65</c:f>
              <c:numCache>
                <c:formatCode>0.00</c:formatCode>
                <c:ptCount val="14"/>
                <c:pt idx="0" formatCode="0.0">
                  <c:v>72.545090180360731</c:v>
                </c:pt>
                <c:pt idx="1">
                  <c:v>8.5513078470824944</c:v>
                </c:pt>
                <c:pt idx="2" formatCode="0.0">
                  <c:v>39.617083946980856</c:v>
                </c:pt>
                <c:pt idx="3" formatCode="0.0">
                  <c:v>50</c:v>
                </c:pt>
                <c:pt idx="5" formatCode="0.0">
                  <c:v>73.10643977310643</c:v>
                </c:pt>
                <c:pt idx="6">
                  <c:v>8.5435586949209537</c:v>
                </c:pt>
                <c:pt idx="7" formatCode="0.0">
                  <c:v>38.35282651072125</c:v>
                </c:pt>
                <c:pt idx="8" formatCode="0.0">
                  <c:v>59.052453468697124</c:v>
                </c:pt>
                <c:pt idx="9" formatCode="General">
                  <c:v>0</c:v>
                </c:pt>
                <c:pt idx="10" formatCode="0.0">
                  <c:v>72.651287194918098</c:v>
                </c:pt>
                <c:pt idx="11">
                  <c:v>8.5676037483266398</c:v>
                </c:pt>
                <c:pt idx="12" formatCode="0.0">
                  <c:v>40.632603406326034</c:v>
                </c:pt>
                <c:pt idx="13" formatCode="0.0">
                  <c:v>56.97278911564625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8-1D49-8D07-6B3A6DB3CDB5}"/>
            </c:ext>
          </c:extLst>
        </c:ser>
        <c:ser>
          <c:idx val="1"/>
          <c:order val="1"/>
          <c:tx>
            <c:strRef>
              <c:f>'share-mode'!$A$66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'share-mode'!$B$63:$O$64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Answer</c:v>
                  </c:pt>
                  <c:pt idx="5">
                    <c:v>Reasoning</c:v>
                  </c:pt>
                  <c:pt idx="10">
                    <c:v>Both</c:v>
                  </c:pt>
                </c:lvl>
              </c:multiLvlStrCache>
            </c:multiLvlStrRef>
          </c:cat>
          <c:val>
            <c:numRef>
              <c:f>'share-mode'!$B$66:$O$66</c:f>
              <c:numCache>
                <c:formatCode>0.00</c:formatCode>
                <c:ptCount val="14"/>
                <c:pt idx="0" formatCode="0.0">
                  <c:v>72.311289245156985</c:v>
                </c:pt>
                <c:pt idx="1">
                  <c:v>8.7684069611780444</c:v>
                </c:pt>
                <c:pt idx="2" formatCode="0.0">
                  <c:v>52.5</c:v>
                </c:pt>
                <c:pt idx="3" formatCode="0.0">
                  <c:v>44.670050761421322</c:v>
                </c:pt>
                <c:pt idx="5" formatCode="0.0">
                  <c:v>75.718102872411492</c:v>
                </c:pt>
                <c:pt idx="6">
                  <c:v>8.4587094617184899</c:v>
                </c:pt>
                <c:pt idx="7" formatCode="0.0">
                  <c:v>45.686274509803923</c:v>
                </c:pt>
                <c:pt idx="8" formatCode="0.0">
                  <c:v>44.047619047619051</c:v>
                </c:pt>
                <c:pt idx="9" formatCode="General">
                  <c:v>0</c:v>
                </c:pt>
                <c:pt idx="10" formatCode="0.0">
                  <c:v>75.142378559463992</c:v>
                </c:pt>
                <c:pt idx="11">
                  <c:v>9.2219986586183751</c:v>
                </c:pt>
                <c:pt idx="12" formatCode="0.0">
                  <c:v>48.115516397454726</c:v>
                </c:pt>
                <c:pt idx="13" formatCode="0.0">
                  <c:v>43.877551020408163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8-1D49-8D07-6B3A6DB3CDB5}"/>
            </c:ext>
          </c:extLst>
        </c:ser>
        <c:ser>
          <c:idx val="2"/>
          <c:order val="2"/>
          <c:tx>
            <c:strRef>
              <c:f>'share-mode'!$A$67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'share-mode'!$B$63:$O$64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Answer</c:v>
                  </c:pt>
                  <c:pt idx="5">
                    <c:v>Reasoning</c:v>
                  </c:pt>
                  <c:pt idx="10">
                    <c:v>Both</c:v>
                  </c:pt>
                </c:lvl>
              </c:multiLvlStrCache>
            </c:multiLvlStrRef>
          </c:cat>
          <c:val>
            <c:numRef>
              <c:f>'share-mode'!$B$67:$O$67</c:f>
              <c:numCache>
                <c:formatCode>0.00</c:formatCode>
                <c:ptCount val="14"/>
                <c:pt idx="0" formatCode="0.0">
                  <c:v>66.868442292171096</c:v>
                </c:pt>
                <c:pt idx="1">
                  <c:v>7.3407202216066487</c:v>
                </c:pt>
                <c:pt idx="2" formatCode="0.0">
                  <c:v>46.601307189542482</c:v>
                </c:pt>
                <c:pt idx="3" formatCode="0.0">
                  <c:v>70.107526881720432</c:v>
                </c:pt>
                <c:pt idx="5" formatCode="0.0">
                  <c:v>64.407407407407405</c:v>
                </c:pt>
                <c:pt idx="6">
                  <c:v>6.9245463228271245</c:v>
                </c:pt>
                <c:pt idx="7" formatCode="0.0">
                  <c:v>43.183440399714485</c:v>
                </c:pt>
                <c:pt idx="8" formatCode="0.0">
                  <c:v>58.05555555555555</c:v>
                </c:pt>
                <c:pt idx="9" formatCode="General">
                  <c:v>0</c:v>
                </c:pt>
                <c:pt idx="10" formatCode="0.0">
                  <c:v>63.099347909474496</c:v>
                </c:pt>
                <c:pt idx="11">
                  <c:v>7.031963470319635</c:v>
                </c:pt>
                <c:pt idx="12" formatCode="0.0">
                  <c:v>40.696117804551548</c:v>
                </c:pt>
                <c:pt idx="13" formatCode="0.0">
                  <c:v>69.195402298850567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88-1D49-8D07-6B3A6DB3C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43296"/>
        <c:axId val="214541056"/>
      </c:barChart>
      <c:scatterChart>
        <c:scatterStyle val="lineMarker"/>
        <c:varyColors val="0"/>
        <c:ser>
          <c:idx val="3"/>
          <c:order val="3"/>
          <c:tx>
            <c:strRef>
              <c:f>'share-mode'!$A$68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fixedVal"/>
            <c:noEndCap val="1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1"/>
            <c:val val="0.33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'share-mode'!$B$63:$O$64</c:f>
              <c:multiLvlStrCache>
                <c:ptCount val="14"/>
                <c:lvl>
                  <c:pt idx="0">
                    <c:v>GSM8K</c:v>
                  </c:pt>
                  <c:pt idx="1">
                    <c:v>MMLU</c:v>
                  </c:pt>
                  <c:pt idx="2">
                    <c:v>StrategyQA </c:v>
                  </c:pt>
                  <c:pt idx="3">
                    <c:v>Sports</c:v>
                  </c:pt>
                  <c:pt idx="5">
                    <c:v>GSM8K</c:v>
                  </c:pt>
                  <c:pt idx="6">
                    <c:v>MMLU</c:v>
                  </c:pt>
                  <c:pt idx="7">
                    <c:v>StrategyQA </c:v>
                  </c:pt>
                  <c:pt idx="8">
                    <c:v>Sports</c:v>
                  </c:pt>
                  <c:pt idx="10">
                    <c:v>GSM8K</c:v>
                  </c:pt>
                  <c:pt idx="11">
                    <c:v>MMLU</c:v>
                  </c:pt>
                  <c:pt idx="12">
                    <c:v>StrategyQA </c:v>
                  </c:pt>
                  <c:pt idx="13">
                    <c:v>Sports</c:v>
                  </c:pt>
                </c:lvl>
                <c:lvl>
                  <c:pt idx="0">
                    <c:v>Answer</c:v>
                  </c:pt>
                  <c:pt idx="5">
                    <c:v>Reasoning</c:v>
                  </c:pt>
                  <c:pt idx="10">
                    <c:v>Both</c:v>
                  </c:pt>
                </c:lvl>
              </c:multiLvlStrCache>
            </c:multiLvlStrRef>
          </c:xVal>
          <c:yVal>
            <c:numRef>
              <c:f>'share-mode'!$B$68:$O$68</c:f>
              <c:numCache>
                <c:formatCode>0.00</c:formatCode>
                <c:ptCount val="14"/>
                <c:pt idx="0" formatCode="0.0">
                  <c:v>70.574940572562937</c:v>
                </c:pt>
                <c:pt idx="1">
                  <c:v>8.2201450099557292</c:v>
                </c:pt>
                <c:pt idx="2" formatCode="0.0">
                  <c:v>46.239463712174448</c:v>
                </c:pt>
                <c:pt idx="3" formatCode="0.0">
                  <c:v>54.92585921438058</c:v>
                </c:pt>
                <c:pt idx="5" formatCode="0.0">
                  <c:v>71.077316684308428</c:v>
                </c:pt>
                <c:pt idx="6">
                  <c:v>7.9756048264888575</c:v>
                </c:pt>
                <c:pt idx="7" formatCode="0.0">
                  <c:v>42.407513806746557</c:v>
                </c:pt>
                <c:pt idx="8" formatCode="0.0">
                  <c:v>53.718542690623906</c:v>
                </c:pt>
                <c:pt idx="10" formatCode="0.0">
                  <c:v>70.297671221285526</c:v>
                </c:pt>
                <c:pt idx="11">
                  <c:v>8.2738552924215494</c:v>
                </c:pt>
                <c:pt idx="12" formatCode="0.0">
                  <c:v>43.148079202777431</c:v>
                </c:pt>
                <c:pt idx="13" formatCode="0.0">
                  <c:v>56.681914144968324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88-1D49-8D07-6B3A6DB3C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43296"/>
        <c:axId val="214541056"/>
      </c:scatterChart>
      <c:catAx>
        <c:axId val="21454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14541056"/>
        <c:crosses val="autoZero"/>
        <c:auto val="1"/>
        <c:lblAlgn val="ctr"/>
        <c:lblOffset val="100"/>
        <c:tickMarkSkip val="1"/>
        <c:noMultiLvlLbl val="0"/>
      </c:catAx>
      <c:valAx>
        <c:axId val="21454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1454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371812</xdr:colOff>
      <xdr:row>113</xdr:row>
      <xdr:rowOff>69715</xdr:rowOff>
    </xdr:from>
    <xdr:to>
      <xdr:col>44</xdr:col>
      <xdr:colOff>83437</xdr:colOff>
      <xdr:row>139</xdr:row>
      <xdr:rowOff>13665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FFDA3-EBA2-F444-835B-EAB942075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144</xdr:row>
      <xdr:rowOff>-1</xdr:rowOff>
    </xdr:from>
    <xdr:to>
      <xdr:col>45</xdr:col>
      <xdr:colOff>642959</xdr:colOff>
      <xdr:row>170</xdr:row>
      <xdr:rowOff>155617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33B65C-1D35-E049-BD07-679EB997E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1466850</xdr:colOff>
      <xdr:row>24</xdr:row>
      <xdr:rowOff>158749</xdr:rowOff>
    </xdr:from>
    <xdr:to>
      <xdr:col>17</xdr:col>
      <xdr:colOff>331808</xdr:colOff>
      <xdr:row>51</xdr:row>
      <xdr:rowOff>102700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BE772-B56E-36D2-3E21-E5C20E343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60036</xdr:colOff>
      <xdr:row>123</xdr:row>
      <xdr:rowOff>36945</xdr:rowOff>
    </xdr:from>
    <xdr:to>
      <xdr:col>35</xdr:col>
      <xdr:colOff>300828</xdr:colOff>
      <xdr:row>150</xdr:row>
      <xdr:rowOff>23229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B221F-144B-6146-9583-841290E9C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299026</xdr:colOff>
      <xdr:row>188</xdr:row>
      <xdr:rowOff>114300</xdr:rowOff>
    </xdr:from>
    <xdr:to>
      <xdr:col>48</xdr:col>
      <xdr:colOff>370485</xdr:colOff>
      <xdr:row>215</xdr:row>
      <xdr:rowOff>79417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180EAC-DEB2-304A-8CED-B915F9444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469754</xdr:colOff>
      <xdr:row>91</xdr:row>
      <xdr:rowOff>22237</xdr:rowOff>
    </xdr:from>
    <xdr:to>
      <xdr:col>41</xdr:col>
      <xdr:colOff>541212</xdr:colOff>
      <xdr:row>118</xdr:row>
      <xdr:rowOff>8521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E5384-EDEC-7A1D-9B1E-BCCB1D846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936420</xdr:colOff>
      <xdr:row>151</xdr:row>
      <xdr:rowOff>98961</xdr:rowOff>
    </xdr:from>
    <xdr:to>
      <xdr:col>30</xdr:col>
      <xdr:colOff>499879</xdr:colOff>
      <xdr:row>178</xdr:row>
      <xdr:rowOff>85245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35CF13-3B8F-ECE5-DBC0-84E1E826E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602062</xdr:colOff>
      <xdr:row>167</xdr:row>
      <xdr:rowOff>183939</xdr:rowOff>
    </xdr:from>
    <xdr:to>
      <xdr:col>40</xdr:col>
      <xdr:colOff>673521</xdr:colOff>
      <xdr:row>194</xdr:row>
      <xdr:rowOff>170223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874944-5676-9D69-DD10-04C221D32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1424354</xdr:colOff>
      <xdr:row>255</xdr:row>
      <xdr:rowOff>62148</xdr:rowOff>
    </xdr:from>
    <xdr:to>
      <xdr:col>32</xdr:col>
      <xdr:colOff>225813</xdr:colOff>
      <xdr:row>282</xdr:row>
      <xdr:rowOff>48432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0CE127-2722-D623-4B81-39E609A0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159254</xdr:colOff>
      <xdr:row>293</xdr:row>
      <xdr:rowOff>79825</xdr:rowOff>
    </xdr:from>
    <xdr:to>
      <xdr:col>48</xdr:col>
      <xdr:colOff>230712</xdr:colOff>
      <xdr:row>320</xdr:row>
      <xdr:rowOff>44942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1D9ED7-9407-54D2-E62F-8471C1DD7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443785</xdr:colOff>
      <xdr:row>305</xdr:row>
      <xdr:rowOff>63477</xdr:rowOff>
    </xdr:from>
    <xdr:to>
      <xdr:col>23</xdr:col>
      <xdr:colOff>790410</xdr:colOff>
      <xdr:row>332</xdr:row>
      <xdr:rowOff>49761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CF8923-3BA5-B8B0-3EF9-665651B16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45082</xdr:colOff>
      <xdr:row>99</xdr:row>
      <xdr:rowOff>78154</xdr:rowOff>
    </xdr:from>
    <xdr:to>
      <xdr:col>8</xdr:col>
      <xdr:colOff>0</xdr:colOff>
      <xdr:row>116</xdr:row>
      <xdr:rowOff>175847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B2F2F01-7382-B89C-0C6D-0BA7B4203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1498600</xdr:colOff>
      <xdr:row>84</xdr:row>
      <xdr:rowOff>84667</xdr:rowOff>
    </xdr:from>
    <xdr:to>
      <xdr:col>12</xdr:col>
      <xdr:colOff>499534</xdr:colOff>
      <xdr:row>99</xdr:row>
      <xdr:rowOff>33867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CC1163F-0F80-8E1F-95F9-5E7DD73DA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255328</xdr:colOff>
      <xdr:row>123</xdr:row>
      <xdr:rowOff>246</xdr:rowOff>
    </xdr:from>
    <xdr:to>
      <xdr:col>13</xdr:col>
      <xdr:colOff>644287</xdr:colOff>
      <xdr:row>149</xdr:row>
      <xdr:rowOff>177030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37DE2-A6DF-2C15-B130-72B9291E8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E27B-3239-714E-B435-33ACEB7AC7C7}">
  <dimension ref="A1:BE164"/>
  <sheetViews>
    <sheetView topLeftCell="Z1" zoomScale="60" zoomScaleNormal="60" workbookViewId="0">
      <pane ySplit="1" topLeftCell="A106" activePane="bottomLeft" state="frozen"/>
      <selection activeCell="N1" sqref="N1"/>
      <selection pane="bottomLeft" activeCell="AX126" sqref="AX126"/>
    </sheetView>
  </sheetViews>
  <sheetFormatPr baseColWidth="10" defaultColWidth="8.83203125" defaultRowHeight="15" x14ac:dyDescent="0.2"/>
  <cols>
    <col min="1" max="1" width="31.33203125" bestFit="1" customWidth="1"/>
    <col min="2" max="2" width="20" customWidth="1"/>
    <col min="3" max="3" width="8" customWidth="1"/>
    <col min="4" max="4" width="12" customWidth="1"/>
    <col min="5" max="5" width="30" bestFit="1" customWidth="1"/>
    <col min="6" max="6" width="12" customWidth="1"/>
    <col min="7" max="7" width="18" customWidth="1"/>
    <col min="8" max="8" width="15" customWidth="1"/>
    <col min="9" max="9" width="20" customWidth="1"/>
    <col min="10" max="10" width="18" customWidth="1"/>
    <col min="11" max="11" width="20" customWidth="1"/>
    <col min="12" max="12" width="15" customWidth="1"/>
    <col min="13" max="13" width="20" customWidth="1"/>
    <col min="14" max="14" width="17" customWidth="1"/>
    <col min="15" max="15" width="20" customWidth="1"/>
    <col min="16" max="16" width="11" customWidth="1"/>
    <col min="17" max="17" width="17" customWidth="1"/>
    <col min="18" max="20" width="20" customWidth="1"/>
    <col min="25" max="25" width="39.6640625" customWidth="1"/>
    <col min="26" max="34" width="10.6640625" bestFit="1" customWidth="1"/>
    <col min="35" max="35" width="9" bestFit="1" customWidth="1"/>
    <col min="36" max="39" width="10.6640625" bestFit="1" customWidth="1"/>
    <col min="42" max="42" width="28.5" bestFit="1" customWidth="1"/>
  </cols>
  <sheetData>
    <row r="1" spans="1:22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230</v>
      </c>
      <c r="H1" s="1" t="s">
        <v>7</v>
      </c>
      <c r="I1" s="1" t="s">
        <v>8</v>
      </c>
      <c r="J1" s="1" t="s">
        <v>9</v>
      </c>
      <c r="K1" s="1" t="s">
        <v>231</v>
      </c>
      <c r="L1" s="1" t="s">
        <v>11</v>
      </c>
      <c r="M1" s="1" t="s">
        <v>232</v>
      </c>
      <c r="N1" s="1" t="s">
        <v>13</v>
      </c>
      <c r="O1" s="1" t="s">
        <v>233</v>
      </c>
      <c r="P1" s="1" t="s">
        <v>15</v>
      </c>
      <c r="Q1" s="1" t="s">
        <v>16</v>
      </c>
      <c r="R1" s="1" t="s">
        <v>234</v>
      </c>
      <c r="S1" s="1" t="s">
        <v>18</v>
      </c>
      <c r="T1" s="1" t="s">
        <v>235</v>
      </c>
    </row>
    <row r="2" spans="1:22" x14ac:dyDescent="0.2">
      <c r="A2" t="s">
        <v>37</v>
      </c>
      <c r="B2" t="s">
        <v>21</v>
      </c>
      <c r="C2" t="s">
        <v>22</v>
      </c>
      <c r="D2" t="s">
        <v>23</v>
      </c>
      <c r="E2" t="s">
        <v>38</v>
      </c>
      <c r="F2">
        <v>3</v>
      </c>
      <c r="G2" t="s">
        <v>25</v>
      </c>
      <c r="H2">
        <v>261</v>
      </c>
      <c r="I2">
        <v>234</v>
      </c>
      <c r="J2">
        <v>486</v>
      </c>
      <c r="K2">
        <v>0</v>
      </c>
      <c r="L2">
        <v>98</v>
      </c>
      <c r="M2">
        <v>0</v>
      </c>
      <c r="N2">
        <v>1912</v>
      </c>
      <c r="O2">
        <v>0</v>
      </c>
      <c r="P2">
        <v>997</v>
      </c>
      <c r="Q2">
        <v>0</v>
      </c>
      <c r="R2">
        <v>0</v>
      </c>
      <c r="S2">
        <v>0</v>
      </c>
      <c r="T2">
        <v>0</v>
      </c>
      <c r="U2" s="8">
        <f>(N2+L2+M2)*2/3</f>
        <v>1340</v>
      </c>
    </row>
    <row r="3" spans="1:22" x14ac:dyDescent="0.2">
      <c r="A3" t="s">
        <v>37</v>
      </c>
      <c r="B3" t="s">
        <v>21</v>
      </c>
      <c r="C3" t="s">
        <v>22</v>
      </c>
      <c r="D3" t="s">
        <v>23</v>
      </c>
      <c r="E3" t="s">
        <v>39</v>
      </c>
      <c r="F3">
        <v>3</v>
      </c>
      <c r="G3" t="s">
        <v>67</v>
      </c>
      <c r="H3">
        <v>239</v>
      </c>
      <c r="I3">
        <v>153</v>
      </c>
      <c r="J3">
        <v>76</v>
      </c>
      <c r="K3">
        <v>132</v>
      </c>
      <c r="L3">
        <v>51</v>
      </c>
      <c r="M3">
        <v>78</v>
      </c>
      <c r="N3">
        <v>1147</v>
      </c>
      <c r="O3">
        <v>210</v>
      </c>
      <c r="P3">
        <v>938</v>
      </c>
      <c r="Q3">
        <v>0</v>
      </c>
      <c r="R3">
        <v>18</v>
      </c>
      <c r="S3">
        <v>3</v>
      </c>
      <c r="T3">
        <v>39</v>
      </c>
      <c r="U3">
        <f>(N3+L3+M3)</f>
        <v>1276</v>
      </c>
      <c r="V3" s="2">
        <f>(U$2-U3)/U$2</f>
        <v>4.7761194029850747E-2</v>
      </c>
    </row>
    <row r="4" spans="1:22" x14ac:dyDescent="0.2">
      <c r="A4" t="s">
        <v>37</v>
      </c>
      <c r="B4" t="s">
        <v>21</v>
      </c>
      <c r="C4" t="s">
        <v>22</v>
      </c>
      <c r="D4" t="s">
        <v>23</v>
      </c>
      <c r="E4" t="s">
        <v>213</v>
      </c>
      <c r="F4">
        <v>3</v>
      </c>
      <c r="G4" t="s">
        <v>69</v>
      </c>
      <c r="H4">
        <v>204</v>
      </c>
      <c r="I4">
        <v>190</v>
      </c>
      <c r="J4">
        <v>124</v>
      </c>
      <c r="K4">
        <v>42</v>
      </c>
      <c r="L4">
        <v>54</v>
      </c>
      <c r="M4">
        <v>31</v>
      </c>
      <c r="N4">
        <v>1173</v>
      </c>
      <c r="O4">
        <v>73</v>
      </c>
      <c r="P4">
        <v>909</v>
      </c>
      <c r="Q4">
        <v>0</v>
      </c>
      <c r="R4">
        <v>33</v>
      </c>
      <c r="S4">
        <v>2</v>
      </c>
      <c r="T4">
        <v>54</v>
      </c>
      <c r="U4">
        <f t="shared" ref="U4:U5" si="0">(N4+L4+M4)</f>
        <v>1258</v>
      </c>
      <c r="V4" s="2">
        <f t="shared" ref="V4:V5" si="1">(U$2-U4)/U$2</f>
        <v>6.1194029850746269E-2</v>
      </c>
    </row>
    <row r="5" spans="1:22" x14ac:dyDescent="0.2">
      <c r="A5" t="s">
        <v>37</v>
      </c>
      <c r="B5" t="s">
        <v>21</v>
      </c>
      <c r="C5" t="s">
        <v>22</v>
      </c>
      <c r="D5" t="s">
        <v>23</v>
      </c>
      <c r="E5" t="s">
        <v>212</v>
      </c>
      <c r="F5">
        <v>3</v>
      </c>
      <c r="G5" t="s">
        <v>71</v>
      </c>
      <c r="H5">
        <v>194</v>
      </c>
      <c r="I5">
        <v>205</v>
      </c>
      <c r="J5">
        <v>114</v>
      </c>
      <c r="K5">
        <v>41</v>
      </c>
      <c r="L5">
        <v>56</v>
      </c>
      <c r="M5">
        <v>16</v>
      </c>
      <c r="N5">
        <v>1168</v>
      </c>
      <c r="O5">
        <v>57</v>
      </c>
      <c r="P5">
        <v>897</v>
      </c>
      <c r="Q5">
        <v>0</v>
      </c>
      <c r="R5">
        <v>38</v>
      </c>
      <c r="S5">
        <v>3</v>
      </c>
      <c r="T5">
        <v>59</v>
      </c>
      <c r="U5">
        <f t="shared" si="0"/>
        <v>1240</v>
      </c>
      <c r="V5" s="2">
        <f t="shared" si="1"/>
        <v>7.4626865671641784E-2</v>
      </c>
    </row>
    <row r="6" spans="1:22" x14ac:dyDescent="0.2">
      <c r="A6" t="s">
        <v>41</v>
      </c>
      <c r="B6" t="s">
        <v>21</v>
      </c>
      <c r="C6" t="s">
        <v>22</v>
      </c>
      <c r="D6" t="s">
        <v>23</v>
      </c>
      <c r="E6" t="s">
        <v>42</v>
      </c>
      <c r="F6">
        <v>3</v>
      </c>
      <c r="G6" t="s">
        <v>25</v>
      </c>
      <c r="H6">
        <v>46</v>
      </c>
      <c r="I6">
        <v>1505</v>
      </c>
      <c r="J6">
        <v>1209</v>
      </c>
      <c r="K6">
        <v>0</v>
      </c>
      <c r="L6">
        <v>18</v>
      </c>
      <c r="M6">
        <v>0</v>
      </c>
      <c r="N6">
        <v>210</v>
      </c>
      <c r="O6">
        <v>0</v>
      </c>
      <c r="P6">
        <v>996</v>
      </c>
      <c r="Q6">
        <v>0</v>
      </c>
      <c r="R6">
        <v>0</v>
      </c>
      <c r="S6">
        <v>0</v>
      </c>
      <c r="T6">
        <v>0</v>
      </c>
      <c r="U6" s="8">
        <f>(N6+L6+M6)*2/3</f>
        <v>152</v>
      </c>
    </row>
    <row r="7" spans="1:22" x14ac:dyDescent="0.2">
      <c r="A7" t="s">
        <v>41</v>
      </c>
      <c r="B7" t="s">
        <v>21</v>
      </c>
      <c r="C7" t="s">
        <v>22</v>
      </c>
      <c r="D7" t="s">
        <v>23</v>
      </c>
      <c r="E7" t="s">
        <v>43</v>
      </c>
      <c r="F7">
        <v>3</v>
      </c>
      <c r="G7" t="s">
        <v>67</v>
      </c>
      <c r="H7">
        <v>37</v>
      </c>
      <c r="I7">
        <v>903</v>
      </c>
      <c r="J7">
        <v>168</v>
      </c>
      <c r="K7">
        <v>686</v>
      </c>
      <c r="L7">
        <v>11</v>
      </c>
      <c r="M7">
        <v>36</v>
      </c>
      <c r="N7">
        <v>99</v>
      </c>
      <c r="O7">
        <v>722</v>
      </c>
      <c r="P7">
        <v>970</v>
      </c>
      <c r="Q7">
        <v>0</v>
      </c>
      <c r="R7">
        <v>16</v>
      </c>
      <c r="S7">
        <v>2</v>
      </c>
      <c r="T7">
        <v>2</v>
      </c>
      <c r="U7">
        <f>(N7+L7+M7)</f>
        <v>146</v>
      </c>
      <c r="V7" s="2">
        <f>(U$6-U7)/U$6</f>
        <v>3.9473684210526314E-2</v>
      </c>
    </row>
    <row r="8" spans="1:22" x14ac:dyDescent="0.2">
      <c r="A8" t="s">
        <v>41</v>
      </c>
      <c r="B8" t="s">
        <v>21</v>
      </c>
      <c r="C8" t="s">
        <v>22</v>
      </c>
      <c r="D8" t="s">
        <v>23</v>
      </c>
      <c r="E8" t="s">
        <v>211</v>
      </c>
      <c r="F8">
        <v>3</v>
      </c>
      <c r="G8" t="s">
        <v>69</v>
      </c>
      <c r="H8">
        <v>38</v>
      </c>
      <c r="I8">
        <v>1123</v>
      </c>
      <c r="J8">
        <v>258</v>
      </c>
      <c r="K8">
        <v>329</v>
      </c>
      <c r="L8">
        <v>8</v>
      </c>
      <c r="M8">
        <v>17</v>
      </c>
      <c r="N8">
        <v>111</v>
      </c>
      <c r="O8">
        <v>346</v>
      </c>
      <c r="P8">
        <v>942</v>
      </c>
      <c r="Q8">
        <v>0</v>
      </c>
      <c r="R8">
        <v>40</v>
      </c>
      <c r="S8">
        <v>2</v>
      </c>
      <c r="T8">
        <v>7</v>
      </c>
      <c r="U8">
        <f t="shared" ref="U8:U9" si="2">(N8+L8+M8)</f>
        <v>136</v>
      </c>
      <c r="V8" s="2">
        <f t="shared" ref="V8:V9" si="3">(U$6-U8)/U$6</f>
        <v>0.10526315789473684</v>
      </c>
    </row>
    <row r="9" spans="1:22" x14ac:dyDescent="0.2">
      <c r="A9" t="s">
        <v>41</v>
      </c>
      <c r="B9" t="s">
        <v>21</v>
      </c>
      <c r="C9" t="s">
        <v>22</v>
      </c>
      <c r="D9" t="s">
        <v>23</v>
      </c>
      <c r="E9" t="s">
        <v>210</v>
      </c>
      <c r="F9">
        <v>3</v>
      </c>
      <c r="G9" t="s">
        <v>71</v>
      </c>
      <c r="H9">
        <v>28</v>
      </c>
      <c r="I9">
        <v>1112</v>
      </c>
      <c r="J9">
        <v>230</v>
      </c>
      <c r="K9">
        <v>358</v>
      </c>
      <c r="L9">
        <v>8</v>
      </c>
      <c r="M9">
        <v>14</v>
      </c>
      <c r="N9">
        <v>118</v>
      </c>
      <c r="O9">
        <v>372</v>
      </c>
      <c r="P9">
        <v>934</v>
      </c>
      <c r="Q9">
        <v>0</v>
      </c>
      <c r="R9">
        <v>49</v>
      </c>
      <c r="S9">
        <v>2</v>
      </c>
      <c r="T9">
        <v>6</v>
      </c>
      <c r="U9">
        <f t="shared" si="2"/>
        <v>140</v>
      </c>
      <c r="V9" s="2">
        <f t="shared" si="3"/>
        <v>7.8947368421052627E-2</v>
      </c>
    </row>
    <row r="10" spans="1:22" x14ac:dyDescent="0.2">
      <c r="A10" t="s">
        <v>45</v>
      </c>
      <c r="B10" t="s">
        <v>21</v>
      </c>
      <c r="C10" t="s">
        <v>22</v>
      </c>
      <c r="D10" t="s">
        <v>23</v>
      </c>
      <c r="E10" t="s">
        <v>46</v>
      </c>
      <c r="F10">
        <v>3</v>
      </c>
      <c r="G10" t="s">
        <v>25</v>
      </c>
      <c r="H10">
        <v>253</v>
      </c>
      <c r="I10">
        <v>365</v>
      </c>
      <c r="J10">
        <v>582</v>
      </c>
      <c r="K10">
        <v>0</v>
      </c>
      <c r="L10">
        <v>273</v>
      </c>
      <c r="M10">
        <v>0</v>
      </c>
      <c r="N10">
        <v>582</v>
      </c>
      <c r="O10">
        <v>0</v>
      </c>
      <c r="P10">
        <v>685</v>
      </c>
      <c r="Q10">
        <v>0</v>
      </c>
      <c r="R10">
        <v>0</v>
      </c>
      <c r="S10">
        <v>0</v>
      </c>
      <c r="T10">
        <v>0</v>
      </c>
      <c r="U10" s="8">
        <f>(N10+L10+M10)*2/3</f>
        <v>570</v>
      </c>
    </row>
    <row r="11" spans="1:22" x14ac:dyDescent="0.2">
      <c r="A11" t="s">
        <v>45</v>
      </c>
      <c r="B11" t="s">
        <v>21</v>
      </c>
      <c r="C11" t="s">
        <v>22</v>
      </c>
      <c r="D11" t="s">
        <v>23</v>
      </c>
      <c r="E11" t="s">
        <v>47</v>
      </c>
      <c r="F11">
        <v>3</v>
      </c>
      <c r="G11" t="s">
        <v>67</v>
      </c>
      <c r="H11">
        <v>138</v>
      </c>
      <c r="I11">
        <v>164</v>
      </c>
      <c r="J11">
        <v>74</v>
      </c>
      <c r="K11">
        <v>288</v>
      </c>
      <c r="L11">
        <v>44</v>
      </c>
      <c r="M11">
        <v>117</v>
      </c>
      <c r="N11">
        <v>279</v>
      </c>
      <c r="O11">
        <v>405</v>
      </c>
      <c r="P11">
        <v>552</v>
      </c>
      <c r="Q11">
        <v>0</v>
      </c>
      <c r="R11">
        <v>112</v>
      </c>
      <c r="S11">
        <v>2</v>
      </c>
      <c r="T11">
        <v>16</v>
      </c>
      <c r="U11">
        <f>(N11+L11+M11)</f>
        <v>440</v>
      </c>
      <c r="V11" s="2">
        <f>(U$10-U11)/U$10</f>
        <v>0.22807017543859648</v>
      </c>
    </row>
    <row r="12" spans="1:22" x14ac:dyDescent="0.2">
      <c r="A12" t="s">
        <v>45</v>
      </c>
      <c r="B12" t="s">
        <v>21</v>
      </c>
      <c r="C12" t="s">
        <v>22</v>
      </c>
      <c r="D12" t="s">
        <v>23</v>
      </c>
      <c r="E12" t="s">
        <v>209</v>
      </c>
      <c r="F12">
        <v>3</v>
      </c>
      <c r="G12" t="s">
        <v>69</v>
      </c>
      <c r="H12">
        <v>134</v>
      </c>
      <c r="I12">
        <v>235</v>
      </c>
      <c r="J12">
        <v>108</v>
      </c>
      <c r="K12">
        <v>163</v>
      </c>
      <c r="L12">
        <v>13</v>
      </c>
      <c r="M12">
        <v>68</v>
      </c>
      <c r="N12">
        <v>317</v>
      </c>
      <c r="O12">
        <v>231</v>
      </c>
      <c r="P12">
        <v>519</v>
      </c>
      <c r="Q12">
        <v>0</v>
      </c>
      <c r="R12">
        <v>144</v>
      </c>
      <c r="S12">
        <v>2</v>
      </c>
      <c r="T12">
        <v>14</v>
      </c>
      <c r="U12">
        <f t="shared" ref="U12:U13" si="4">(N12+L12+M12)</f>
        <v>398</v>
      </c>
      <c r="V12" s="2">
        <f t="shared" ref="V12:V13" si="5">(U$10-U12)/U$10</f>
        <v>0.30175438596491228</v>
      </c>
    </row>
    <row r="13" spans="1:22" x14ac:dyDescent="0.2">
      <c r="A13" t="s">
        <v>45</v>
      </c>
      <c r="B13" t="s">
        <v>21</v>
      </c>
      <c r="C13" t="s">
        <v>22</v>
      </c>
      <c r="D13" t="s">
        <v>23</v>
      </c>
      <c r="E13" t="s">
        <v>208</v>
      </c>
      <c r="F13">
        <v>3</v>
      </c>
      <c r="G13" t="s">
        <v>71</v>
      </c>
      <c r="H13">
        <v>127</v>
      </c>
      <c r="I13">
        <v>239</v>
      </c>
      <c r="J13">
        <v>104</v>
      </c>
      <c r="K13">
        <v>150</v>
      </c>
      <c r="L13">
        <v>25</v>
      </c>
      <c r="M13">
        <v>50</v>
      </c>
      <c r="N13">
        <v>339</v>
      </c>
      <c r="O13">
        <v>200</v>
      </c>
      <c r="P13">
        <v>517</v>
      </c>
      <c r="Q13">
        <v>0</v>
      </c>
      <c r="R13">
        <v>151</v>
      </c>
      <c r="S13">
        <v>2</v>
      </c>
      <c r="T13">
        <v>7</v>
      </c>
      <c r="U13">
        <f t="shared" si="4"/>
        <v>414</v>
      </c>
      <c r="V13" s="2">
        <f t="shared" si="5"/>
        <v>0.27368421052631581</v>
      </c>
    </row>
    <row r="14" spans="1:22" x14ac:dyDescent="0.2">
      <c r="A14" t="s">
        <v>49</v>
      </c>
      <c r="B14" t="s">
        <v>21</v>
      </c>
      <c r="C14" t="s">
        <v>22</v>
      </c>
      <c r="D14" t="s">
        <v>23</v>
      </c>
      <c r="E14" t="s">
        <v>50</v>
      </c>
      <c r="F14">
        <v>3</v>
      </c>
      <c r="G14" t="s">
        <v>25</v>
      </c>
      <c r="H14">
        <v>81</v>
      </c>
      <c r="I14">
        <v>6</v>
      </c>
      <c r="J14">
        <v>198</v>
      </c>
      <c r="K14">
        <v>0</v>
      </c>
      <c r="L14">
        <v>49</v>
      </c>
      <c r="M14">
        <v>0</v>
      </c>
      <c r="N14">
        <v>254</v>
      </c>
      <c r="O14">
        <v>0</v>
      </c>
      <c r="P14">
        <v>196</v>
      </c>
      <c r="Q14">
        <v>0</v>
      </c>
      <c r="R14">
        <v>0</v>
      </c>
      <c r="S14">
        <v>0</v>
      </c>
      <c r="T14">
        <v>0</v>
      </c>
      <c r="U14" s="8">
        <f>(N14+L14+M14)*2/3</f>
        <v>202</v>
      </c>
    </row>
    <row r="15" spans="1:22" x14ac:dyDescent="0.2">
      <c r="A15" t="s">
        <v>49</v>
      </c>
      <c r="B15" t="s">
        <v>21</v>
      </c>
      <c r="C15" t="s">
        <v>22</v>
      </c>
      <c r="D15" t="s">
        <v>23</v>
      </c>
      <c r="E15" t="s">
        <v>51</v>
      </c>
      <c r="F15">
        <v>3</v>
      </c>
      <c r="G15" t="s">
        <v>67</v>
      </c>
      <c r="H15">
        <v>14</v>
      </c>
      <c r="I15">
        <v>2</v>
      </c>
      <c r="J15">
        <v>0</v>
      </c>
      <c r="K15">
        <v>50</v>
      </c>
      <c r="L15">
        <v>0</v>
      </c>
      <c r="M15">
        <v>19</v>
      </c>
      <c r="N15">
        <v>147</v>
      </c>
      <c r="O15">
        <v>69</v>
      </c>
      <c r="P15">
        <v>116</v>
      </c>
      <c r="Q15">
        <v>0</v>
      </c>
      <c r="R15">
        <v>67</v>
      </c>
      <c r="S15">
        <v>1</v>
      </c>
      <c r="T15">
        <v>12</v>
      </c>
      <c r="U15">
        <f>(N15+L15+M15)</f>
        <v>166</v>
      </c>
      <c r="V15" s="2">
        <f>(U$14-U15)/U$14</f>
        <v>0.17821782178217821</v>
      </c>
    </row>
    <row r="16" spans="1:22" x14ac:dyDescent="0.2">
      <c r="A16" t="s">
        <v>49</v>
      </c>
      <c r="B16" t="s">
        <v>21</v>
      </c>
      <c r="C16" t="s">
        <v>22</v>
      </c>
      <c r="D16" t="s">
        <v>23</v>
      </c>
      <c r="E16" t="s">
        <v>207</v>
      </c>
      <c r="F16">
        <v>3</v>
      </c>
      <c r="G16" t="s">
        <v>69</v>
      </c>
      <c r="H16">
        <v>10</v>
      </c>
      <c r="I16">
        <v>0</v>
      </c>
      <c r="J16">
        <v>2</v>
      </c>
      <c r="K16">
        <v>44</v>
      </c>
      <c r="L16">
        <v>0</v>
      </c>
      <c r="M16">
        <v>20</v>
      </c>
      <c r="N16">
        <v>150</v>
      </c>
      <c r="O16">
        <v>64</v>
      </c>
      <c r="P16">
        <v>113</v>
      </c>
      <c r="Q16">
        <v>0</v>
      </c>
      <c r="R16">
        <v>69</v>
      </c>
      <c r="S16">
        <v>1</v>
      </c>
      <c r="T16">
        <v>14</v>
      </c>
      <c r="U16">
        <f t="shared" ref="U16:U17" si="6">(N16+L16+M16)</f>
        <v>170</v>
      </c>
      <c r="V16" s="2">
        <f t="shared" ref="V16:V17" si="7">(U$14-U16)/U$14</f>
        <v>0.15841584158415842</v>
      </c>
    </row>
    <row r="17" spans="1:22" x14ac:dyDescent="0.2">
      <c r="A17" t="s">
        <v>49</v>
      </c>
      <c r="B17" t="s">
        <v>21</v>
      </c>
      <c r="C17" t="s">
        <v>22</v>
      </c>
      <c r="D17" t="s">
        <v>23</v>
      </c>
      <c r="E17" t="s">
        <v>206</v>
      </c>
      <c r="F17">
        <v>3</v>
      </c>
      <c r="G17" t="s">
        <v>71</v>
      </c>
      <c r="H17">
        <v>17</v>
      </c>
      <c r="I17">
        <v>1</v>
      </c>
      <c r="J17">
        <v>0</v>
      </c>
      <c r="K17">
        <v>28</v>
      </c>
      <c r="L17">
        <v>0</v>
      </c>
      <c r="M17">
        <v>15</v>
      </c>
      <c r="N17">
        <v>153</v>
      </c>
      <c r="O17">
        <v>43</v>
      </c>
      <c r="P17">
        <v>107</v>
      </c>
      <c r="Q17">
        <v>0</v>
      </c>
      <c r="R17">
        <v>74</v>
      </c>
      <c r="S17">
        <v>1</v>
      </c>
      <c r="T17">
        <v>13</v>
      </c>
      <c r="U17">
        <f t="shared" si="6"/>
        <v>168</v>
      </c>
      <c r="V17" s="2">
        <f t="shared" si="7"/>
        <v>0.16831683168316833</v>
      </c>
    </row>
    <row r="18" spans="1:22" x14ac:dyDescent="0.2">
      <c r="A18" t="s">
        <v>53</v>
      </c>
      <c r="B18" t="s">
        <v>30</v>
      </c>
      <c r="C18" t="s">
        <v>22</v>
      </c>
      <c r="D18" t="s">
        <v>23</v>
      </c>
      <c r="E18" t="s">
        <v>38</v>
      </c>
      <c r="F18">
        <v>3</v>
      </c>
      <c r="G18" t="s">
        <v>25</v>
      </c>
      <c r="H18">
        <v>879</v>
      </c>
      <c r="I18">
        <v>483</v>
      </c>
      <c r="J18">
        <v>180</v>
      </c>
      <c r="K18">
        <v>0</v>
      </c>
      <c r="L18">
        <v>79</v>
      </c>
      <c r="M18">
        <v>0</v>
      </c>
      <c r="N18">
        <v>1364</v>
      </c>
      <c r="O18">
        <v>0</v>
      </c>
      <c r="P18">
        <v>995</v>
      </c>
      <c r="Q18">
        <v>0</v>
      </c>
      <c r="R18">
        <v>0</v>
      </c>
      <c r="S18">
        <v>0</v>
      </c>
      <c r="T18">
        <v>0</v>
      </c>
      <c r="U18" s="8">
        <f>(N18+L18+M18)*2/3</f>
        <v>962</v>
      </c>
    </row>
    <row r="19" spans="1:22" x14ac:dyDescent="0.2">
      <c r="A19" t="s">
        <v>53</v>
      </c>
      <c r="B19" t="s">
        <v>30</v>
      </c>
      <c r="C19" t="s">
        <v>22</v>
      </c>
      <c r="D19" t="s">
        <v>23</v>
      </c>
      <c r="E19" t="s">
        <v>39</v>
      </c>
      <c r="F19">
        <v>3</v>
      </c>
      <c r="G19" t="s">
        <v>67</v>
      </c>
      <c r="H19">
        <v>412</v>
      </c>
      <c r="I19">
        <v>199</v>
      </c>
      <c r="J19">
        <v>16</v>
      </c>
      <c r="K19">
        <v>135</v>
      </c>
      <c r="L19">
        <v>46</v>
      </c>
      <c r="M19">
        <v>33</v>
      </c>
      <c r="N19">
        <v>479</v>
      </c>
      <c r="O19">
        <v>168</v>
      </c>
      <c r="P19">
        <v>660</v>
      </c>
      <c r="Q19">
        <v>0</v>
      </c>
      <c r="R19">
        <v>42</v>
      </c>
      <c r="S19">
        <v>4</v>
      </c>
      <c r="T19">
        <v>284</v>
      </c>
      <c r="U19">
        <f>(N19+L19+M19)</f>
        <v>558</v>
      </c>
      <c r="V19" s="2">
        <f>(U$18-U19)/U$18</f>
        <v>0.41995841995841998</v>
      </c>
    </row>
    <row r="20" spans="1:22" x14ac:dyDescent="0.2">
      <c r="A20" t="s">
        <v>53</v>
      </c>
      <c r="B20" t="s">
        <v>30</v>
      </c>
      <c r="C20" t="s">
        <v>22</v>
      </c>
      <c r="D20" t="s">
        <v>23</v>
      </c>
      <c r="E20" t="s">
        <v>213</v>
      </c>
      <c r="F20">
        <v>3</v>
      </c>
      <c r="G20" t="s">
        <v>69</v>
      </c>
      <c r="H20">
        <v>381</v>
      </c>
      <c r="I20">
        <v>207</v>
      </c>
      <c r="J20">
        <v>28</v>
      </c>
      <c r="K20">
        <v>102</v>
      </c>
      <c r="L20">
        <v>47</v>
      </c>
      <c r="M20">
        <v>21</v>
      </c>
      <c r="N20">
        <v>540</v>
      </c>
      <c r="O20">
        <v>123</v>
      </c>
      <c r="P20">
        <v>663</v>
      </c>
      <c r="Q20">
        <v>0</v>
      </c>
      <c r="R20">
        <v>54</v>
      </c>
      <c r="S20">
        <v>4</v>
      </c>
      <c r="T20">
        <v>273</v>
      </c>
      <c r="U20">
        <f t="shared" ref="U20:U21" si="8">(N20+L20+M20)</f>
        <v>608</v>
      </c>
      <c r="V20" s="2">
        <f>(U$18-U20)/U$18</f>
        <v>0.367983367983368</v>
      </c>
    </row>
    <row r="21" spans="1:22" x14ac:dyDescent="0.2">
      <c r="A21" t="s">
        <v>53</v>
      </c>
      <c r="B21" t="s">
        <v>30</v>
      </c>
      <c r="C21" t="s">
        <v>22</v>
      </c>
      <c r="D21" t="s">
        <v>23</v>
      </c>
      <c r="E21" t="s">
        <v>212</v>
      </c>
      <c r="F21">
        <v>3</v>
      </c>
      <c r="G21" t="s">
        <v>71</v>
      </c>
      <c r="H21">
        <v>372</v>
      </c>
      <c r="I21">
        <v>183</v>
      </c>
      <c r="J21">
        <v>22</v>
      </c>
      <c r="K21">
        <v>89</v>
      </c>
      <c r="L21">
        <v>34</v>
      </c>
      <c r="M21">
        <v>15</v>
      </c>
      <c r="N21">
        <v>571</v>
      </c>
      <c r="O21">
        <v>104</v>
      </c>
      <c r="P21">
        <v>643</v>
      </c>
      <c r="Q21">
        <v>0</v>
      </c>
      <c r="R21">
        <v>68</v>
      </c>
      <c r="S21">
        <v>4</v>
      </c>
      <c r="T21">
        <v>271</v>
      </c>
      <c r="U21">
        <f t="shared" si="8"/>
        <v>620</v>
      </c>
      <c r="V21" s="2">
        <f>(U$18-U21)/U$18</f>
        <v>0.35550935550935553</v>
      </c>
    </row>
    <row r="22" spans="1:22" x14ac:dyDescent="0.2">
      <c r="A22" t="s">
        <v>54</v>
      </c>
      <c r="B22" t="s">
        <v>30</v>
      </c>
      <c r="C22" t="s">
        <v>22</v>
      </c>
      <c r="D22" t="s">
        <v>23</v>
      </c>
      <c r="E22" t="s">
        <v>42</v>
      </c>
      <c r="F22">
        <v>3</v>
      </c>
      <c r="G22" t="s">
        <v>25</v>
      </c>
      <c r="H22">
        <v>60</v>
      </c>
      <c r="I22">
        <v>1479</v>
      </c>
      <c r="J22">
        <v>1209</v>
      </c>
      <c r="K22">
        <v>0</v>
      </c>
      <c r="L22">
        <v>19</v>
      </c>
      <c r="M22">
        <v>0</v>
      </c>
      <c r="N22">
        <v>215</v>
      </c>
      <c r="O22">
        <v>0</v>
      </c>
      <c r="P22">
        <v>994</v>
      </c>
      <c r="Q22">
        <v>0</v>
      </c>
      <c r="R22">
        <v>0</v>
      </c>
      <c r="S22">
        <v>0</v>
      </c>
      <c r="T22">
        <v>0</v>
      </c>
      <c r="U22" s="8">
        <f>(N22+L22+M22)*2/3</f>
        <v>156</v>
      </c>
    </row>
    <row r="23" spans="1:22" x14ac:dyDescent="0.2">
      <c r="A23" t="s">
        <v>54</v>
      </c>
      <c r="B23" t="s">
        <v>30</v>
      </c>
      <c r="C23" t="s">
        <v>22</v>
      </c>
      <c r="D23" t="s">
        <v>23</v>
      </c>
      <c r="E23" t="s">
        <v>43</v>
      </c>
      <c r="F23">
        <v>3</v>
      </c>
      <c r="G23" t="s">
        <v>67</v>
      </c>
      <c r="H23">
        <v>45</v>
      </c>
      <c r="I23">
        <v>983</v>
      </c>
      <c r="J23">
        <v>152</v>
      </c>
      <c r="K23">
        <v>542</v>
      </c>
      <c r="L23">
        <v>12</v>
      </c>
      <c r="M23">
        <v>24</v>
      </c>
      <c r="N23">
        <v>80</v>
      </c>
      <c r="O23">
        <v>566</v>
      </c>
      <c r="P23">
        <v>919</v>
      </c>
      <c r="Q23">
        <v>0</v>
      </c>
      <c r="R23">
        <v>46</v>
      </c>
      <c r="S23">
        <v>5</v>
      </c>
      <c r="T23">
        <v>25</v>
      </c>
      <c r="U23">
        <f>(N23+L23+M23)</f>
        <v>116</v>
      </c>
      <c r="V23" s="2">
        <f>(U$22-U23)/U$22</f>
        <v>0.25641025641025639</v>
      </c>
    </row>
    <row r="24" spans="1:22" x14ac:dyDescent="0.2">
      <c r="A24" t="s">
        <v>54</v>
      </c>
      <c r="B24" t="s">
        <v>30</v>
      </c>
      <c r="C24" t="s">
        <v>22</v>
      </c>
      <c r="D24" t="s">
        <v>23</v>
      </c>
      <c r="E24" t="s">
        <v>211</v>
      </c>
      <c r="F24">
        <v>3</v>
      </c>
      <c r="G24" t="s">
        <v>69</v>
      </c>
      <c r="H24">
        <v>38</v>
      </c>
      <c r="I24">
        <v>1182</v>
      </c>
      <c r="J24">
        <v>232</v>
      </c>
      <c r="K24">
        <v>226</v>
      </c>
      <c r="L24">
        <v>12</v>
      </c>
      <c r="M24">
        <v>6</v>
      </c>
      <c r="N24">
        <v>112</v>
      </c>
      <c r="O24">
        <v>232</v>
      </c>
      <c r="P24">
        <v>904</v>
      </c>
      <c r="Q24">
        <v>0</v>
      </c>
      <c r="R24">
        <v>72</v>
      </c>
      <c r="S24">
        <v>5</v>
      </c>
      <c r="T24">
        <v>14</v>
      </c>
      <c r="U24">
        <f t="shared" ref="U24:U25" si="9">(N24+L24+M24)</f>
        <v>130</v>
      </c>
      <c r="V24" s="2">
        <f>(U$22-U24)/U$22</f>
        <v>0.16666666666666666</v>
      </c>
    </row>
    <row r="25" spans="1:22" x14ac:dyDescent="0.2">
      <c r="A25" t="s">
        <v>54</v>
      </c>
      <c r="B25" t="s">
        <v>30</v>
      </c>
      <c r="C25" t="s">
        <v>22</v>
      </c>
      <c r="D25" t="s">
        <v>23</v>
      </c>
      <c r="E25" t="s">
        <v>210</v>
      </c>
      <c r="F25">
        <v>3</v>
      </c>
      <c r="G25" t="s">
        <v>71</v>
      </c>
      <c r="H25">
        <v>33</v>
      </c>
      <c r="I25">
        <v>1202</v>
      </c>
      <c r="J25">
        <v>240</v>
      </c>
      <c r="K25">
        <v>223</v>
      </c>
      <c r="L25">
        <v>9</v>
      </c>
      <c r="M25">
        <v>8</v>
      </c>
      <c r="N25">
        <v>115</v>
      </c>
      <c r="O25">
        <v>231</v>
      </c>
      <c r="P25">
        <v>915</v>
      </c>
      <c r="Q25">
        <v>0</v>
      </c>
      <c r="R25">
        <v>67</v>
      </c>
      <c r="S25">
        <v>4</v>
      </c>
      <c r="T25">
        <v>9</v>
      </c>
      <c r="U25">
        <f t="shared" si="9"/>
        <v>132</v>
      </c>
      <c r="V25" s="2">
        <f>(U$22-U25)/U$22</f>
        <v>0.15384615384615385</v>
      </c>
    </row>
    <row r="26" spans="1:22" x14ac:dyDescent="0.2">
      <c r="A26" t="s">
        <v>55</v>
      </c>
      <c r="B26" t="s">
        <v>30</v>
      </c>
      <c r="C26" t="s">
        <v>22</v>
      </c>
      <c r="D26" t="s">
        <v>23</v>
      </c>
      <c r="E26" t="s">
        <v>46</v>
      </c>
      <c r="F26">
        <v>3</v>
      </c>
      <c r="G26" t="s">
        <v>25</v>
      </c>
      <c r="H26">
        <v>89</v>
      </c>
      <c r="I26">
        <v>325</v>
      </c>
      <c r="J26">
        <v>558</v>
      </c>
      <c r="K26">
        <v>0</v>
      </c>
      <c r="L26">
        <v>177</v>
      </c>
      <c r="M26">
        <v>0</v>
      </c>
      <c r="N26">
        <v>894</v>
      </c>
      <c r="O26">
        <v>0</v>
      </c>
      <c r="P26">
        <v>681</v>
      </c>
      <c r="Q26">
        <v>0</v>
      </c>
      <c r="R26">
        <v>0</v>
      </c>
      <c r="S26">
        <v>0</v>
      </c>
      <c r="T26">
        <v>0</v>
      </c>
      <c r="U26" s="8">
        <f>(N26+L26+M26)*2/3</f>
        <v>714</v>
      </c>
    </row>
    <row r="27" spans="1:22" x14ac:dyDescent="0.2">
      <c r="A27" t="s">
        <v>55</v>
      </c>
      <c r="B27" t="s">
        <v>30</v>
      </c>
      <c r="C27" t="s">
        <v>22</v>
      </c>
      <c r="D27" t="s">
        <v>23</v>
      </c>
      <c r="E27" t="s">
        <v>47</v>
      </c>
      <c r="F27">
        <v>3</v>
      </c>
      <c r="G27" t="s">
        <v>67</v>
      </c>
      <c r="H27">
        <v>56</v>
      </c>
      <c r="I27">
        <v>145</v>
      </c>
      <c r="J27">
        <v>70</v>
      </c>
      <c r="K27">
        <v>99</v>
      </c>
      <c r="L27">
        <v>71</v>
      </c>
      <c r="M27">
        <v>76</v>
      </c>
      <c r="N27">
        <v>393</v>
      </c>
      <c r="O27">
        <v>175</v>
      </c>
      <c r="P27">
        <v>455</v>
      </c>
      <c r="Q27">
        <v>0</v>
      </c>
      <c r="R27">
        <v>130</v>
      </c>
      <c r="S27">
        <v>1</v>
      </c>
      <c r="T27">
        <v>91</v>
      </c>
      <c r="U27">
        <f>(N27+L27+M27)</f>
        <v>540</v>
      </c>
      <c r="V27" s="2">
        <f>(U$26-U27)/U$26</f>
        <v>0.24369747899159663</v>
      </c>
    </row>
    <row r="28" spans="1:22" x14ac:dyDescent="0.2">
      <c r="A28" t="s">
        <v>55</v>
      </c>
      <c r="B28" t="s">
        <v>30</v>
      </c>
      <c r="C28" t="s">
        <v>22</v>
      </c>
      <c r="D28" t="s">
        <v>23</v>
      </c>
      <c r="E28" t="s">
        <v>209</v>
      </c>
      <c r="F28">
        <v>3</v>
      </c>
      <c r="G28" t="s">
        <v>69</v>
      </c>
      <c r="H28">
        <v>42</v>
      </c>
      <c r="I28">
        <v>146</v>
      </c>
      <c r="J28">
        <v>48</v>
      </c>
      <c r="K28">
        <v>76</v>
      </c>
      <c r="L28">
        <v>55</v>
      </c>
      <c r="M28">
        <v>40</v>
      </c>
      <c r="N28">
        <v>301</v>
      </c>
      <c r="O28">
        <v>116</v>
      </c>
      <c r="P28">
        <v>354</v>
      </c>
      <c r="Q28">
        <v>0</v>
      </c>
      <c r="R28">
        <v>156</v>
      </c>
      <c r="S28">
        <v>1</v>
      </c>
      <c r="T28">
        <v>169</v>
      </c>
      <c r="U28">
        <f t="shared" ref="U28:U29" si="10">(N28+L28+M28)</f>
        <v>396</v>
      </c>
      <c r="V28" s="2">
        <f>(U$26-U28)/U$26</f>
        <v>0.44537815126050423</v>
      </c>
    </row>
    <row r="29" spans="1:22" x14ac:dyDescent="0.2">
      <c r="A29" t="s">
        <v>55</v>
      </c>
      <c r="B29" t="s">
        <v>30</v>
      </c>
      <c r="C29" t="s">
        <v>22</v>
      </c>
      <c r="D29" t="s">
        <v>23</v>
      </c>
      <c r="E29" t="s">
        <v>208</v>
      </c>
      <c r="F29">
        <v>3</v>
      </c>
      <c r="G29" t="s">
        <v>71</v>
      </c>
      <c r="H29">
        <v>38</v>
      </c>
      <c r="I29">
        <v>157</v>
      </c>
      <c r="J29">
        <v>72</v>
      </c>
      <c r="K29">
        <v>57</v>
      </c>
      <c r="L29">
        <v>70</v>
      </c>
      <c r="M29">
        <v>38</v>
      </c>
      <c r="N29">
        <v>400</v>
      </c>
      <c r="O29">
        <v>95</v>
      </c>
      <c r="P29">
        <v>416</v>
      </c>
      <c r="Q29">
        <v>0</v>
      </c>
      <c r="R29">
        <v>142</v>
      </c>
      <c r="S29">
        <v>1</v>
      </c>
      <c r="T29">
        <v>120</v>
      </c>
      <c r="U29">
        <f t="shared" si="10"/>
        <v>508</v>
      </c>
      <c r="V29" s="2">
        <f>(U$26-U29)/U$26</f>
        <v>0.28851540616246496</v>
      </c>
    </row>
    <row r="30" spans="1:22" x14ac:dyDescent="0.2">
      <c r="A30" t="s">
        <v>56</v>
      </c>
      <c r="B30" t="s">
        <v>30</v>
      </c>
      <c r="C30" t="s">
        <v>22</v>
      </c>
      <c r="D30" t="s">
        <v>23</v>
      </c>
      <c r="E30" t="s">
        <v>50</v>
      </c>
      <c r="F30">
        <v>3</v>
      </c>
      <c r="G30" t="s">
        <v>25</v>
      </c>
      <c r="H30">
        <v>109</v>
      </c>
      <c r="I30">
        <v>155</v>
      </c>
      <c r="J30">
        <v>141</v>
      </c>
      <c r="K30">
        <v>0</v>
      </c>
      <c r="L30">
        <v>34</v>
      </c>
      <c r="M30">
        <v>0</v>
      </c>
      <c r="N30">
        <v>149</v>
      </c>
      <c r="O30">
        <v>0</v>
      </c>
      <c r="P30">
        <v>196</v>
      </c>
      <c r="Q30">
        <v>0</v>
      </c>
      <c r="R30">
        <v>0</v>
      </c>
      <c r="S30">
        <v>0</v>
      </c>
      <c r="T30">
        <v>0</v>
      </c>
      <c r="U30" s="8">
        <f>(N30+L30+M30)*2/3</f>
        <v>122</v>
      </c>
    </row>
    <row r="31" spans="1:22" x14ac:dyDescent="0.2">
      <c r="A31" t="s">
        <v>56</v>
      </c>
      <c r="B31" t="s">
        <v>30</v>
      </c>
      <c r="C31" t="s">
        <v>22</v>
      </c>
      <c r="D31" t="s">
        <v>23</v>
      </c>
      <c r="E31" t="s">
        <v>51</v>
      </c>
      <c r="F31">
        <v>3</v>
      </c>
      <c r="G31" t="s">
        <v>67</v>
      </c>
      <c r="H31">
        <v>42</v>
      </c>
      <c r="I31">
        <v>29</v>
      </c>
      <c r="J31">
        <v>8</v>
      </c>
      <c r="K31">
        <v>49</v>
      </c>
      <c r="L31">
        <v>5</v>
      </c>
      <c r="M31">
        <v>19</v>
      </c>
      <c r="N31">
        <v>54</v>
      </c>
      <c r="O31">
        <v>68</v>
      </c>
      <c r="P31">
        <v>103</v>
      </c>
      <c r="Q31">
        <v>0</v>
      </c>
      <c r="R31">
        <v>38</v>
      </c>
      <c r="S31">
        <v>1</v>
      </c>
      <c r="T31">
        <v>53</v>
      </c>
      <c r="U31">
        <f>(N31+L31+M31)</f>
        <v>78</v>
      </c>
      <c r="V31" s="2">
        <f>(U$30-U31)/U$30</f>
        <v>0.36065573770491804</v>
      </c>
    </row>
    <row r="32" spans="1:22" x14ac:dyDescent="0.2">
      <c r="A32" t="s">
        <v>56</v>
      </c>
      <c r="B32" t="s">
        <v>30</v>
      </c>
      <c r="C32" t="s">
        <v>22</v>
      </c>
      <c r="D32" t="s">
        <v>23</v>
      </c>
      <c r="E32" t="s">
        <v>207</v>
      </c>
      <c r="F32">
        <v>3</v>
      </c>
      <c r="G32" t="s">
        <v>69</v>
      </c>
      <c r="H32">
        <v>27</v>
      </c>
      <c r="I32">
        <v>32</v>
      </c>
      <c r="J32">
        <v>6</v>
      </c>
      <c r="K32">
        <v>21</v>
      </c>
      <c r="L32">
        <v>1</v>
      </c>
      <c r="M32">
        <v>6</v>
      </c>
      <c r="N32">
        <v>25</v>
      </c>
      <c r="O32">
        <v>27</v>
      </c>
      <c r="P32">
        <v>59</v>
      </c>
      <c r="Q32">
        <v>0</v>
      </c>
      <c r="R32">
        <v>57</v>
      </c>
      <c r="S32">
        <v>1</v>
      </c>
      <c r="T32">
        <v>80</v>
      </c>
      <c r="U32">
        <f t="shared" ref="U32:U33" si="11">(N32+L32+M32)</f>
        <v>32</v>
      </c>
      <c r="V32" s="2">
        <f>(U$30-U32)/U$30</f>
        <v>0.73770491803278693</v>
      </c>
    </row>
    <row r="33" spans="1:22" x14ac:dyDescent="0.2">
      <c r="A33" t="s">
        <v>56</v>
      </c>
      <c r="B33" t="s">
        <v>30</v>
      </c>
      <c r="C33" t="s">
        <v>22</v>
      </c>
      <c r="D33" t="s">
        <v>23</v>
      </c>
      <c r="E33" t="s">
        <v>206</v>
      </c>
      <c r="F33">
        <v>3</v>
      </c>
      <c r="G33" t="s">
        <v>71</v>
      </c>
      <c r="H33">
        <v>47</v>
      </c>
      <c r="I33">
        <v>30</v>
      </c>
      <c r="J33">
        <v>6</v>
      </c>
      <c r="K33">
        <v>15</v>
      </c>
      <c r="L33">
        <v>3</v>
      </c>
      <c r="M33">
        <v>6</v>
      </c>
      <c r="N33">
        <v>59</v>
      </c>
      <c r="O33">
        <v>21</v>
      </c>
      <c r="P33">
        <v>83</v>
      </c>
      <c r="Q33">
        <v>0</v>
      </c>
      <c r="R33">
        <v>54</v>
      </c>
      <c r="S33">
        <v>1</v>
      </c>
      <c r="T33">
        <v>57</v>
      </c>
      <c r="U33">
        <f t="shared" si="11"/>
        <v>68</v>
      </c>
      <c r="V33" s="2">
        <f>(U$30-U33)/U$30</f>
        <v>0.44262295081967212</v>
      </c>
    </row>
    <row r="34" spans="1:22" x14ac:dyDescent="0.2">
      <c r="A34" t="s">
        <v>62</v>
      </c>
      <c r="B34" t="s">
        <v>32</v>
      </c>
      <c r="C34" t="s">
        <v>22</v>
      </c>
      <c r="D34" t="s">
        <v>23</v>
      </c>
      <c r="E34" t="s">
        <v>38</v>
      </c>
      <c r="F34">
        <v>3</v>
      </c>
      <c r="G34" t="s">
        <v>25</v>
      </c>
      <c r="H34">
        <v>162</v>
      </c>
      <c r="I34">
        <v>312</v>
      </c>
      <c r="J34">
        <v>441</v>
      </c>
      <c r="K34">
        <v>0</v>
      </c>
      <c r="L34">
        <v>209</v>
      </c>
      <c r="M34">
        <v>0</v>
      </c>
      <c r="N34">
        <v>1483</v>
      </c>
      <c r="O34">
        <v>0</v>
      </c>
      <c r="P34">
        <v>869</v>
      </c>
      <c r="Q34">
        <v>0</v>
      </c>
      <c r="R34">
        <v>0</v>
      </c>
      <c r="S34">
        <v>0</v>
      </c>
      <c r="T34">
        <v>0</v>
      </c>
      <c r="U34" s="8">
        <f>(N34+L34+M34)*2/3</f>
        <v>1128</v>
      </c>
    </row>
    <row r="35" spans="1:22" x14ac:dyDescent="0.2">
      <c r="A35" t="s">
        <v>62</v>
      </c>
      <c r="B35" t="s">
        <v>32</v>
      </c>
      <c r="C35" t="s">
        <v>22</v>
      </c>
      <c r="D35" t="s">
        <v>23</v>
      </c>
      <c r="E35" t="s">
        <v>39</v>
      </c>
      <c r="F35">
        <v>3</v>
      </c>
      <c r="G35" t="s">
        <v>67</v>
      </c>
      <c r="H35">
        <v>101</v>
      </c>
      <c r="I35">
        <v>267</v>
      </c>
      <c r="J35">
        <v>16</v>
      </c>
      <c r="K35">
        <v>82</v>
      </c>
      <c r="L35">
        <v>156</v>
      </c>
      <c r="M35">
        <v>31</v>
      </c>
      <c r="N35">
        <v>749</v>
      </c>
      <c r="O35">
        <v>113</v>
      </c>
      <c r="P35">
        <v>701</v>
      </c>
      <c r="Q35">
        <v>0</v>
      </c>
      <c r="R35">
        <v>25</v>
      </c>
      <c r="S35">
        <v>73</v>
      </c>
      <c r="T35">
        <v>11</v>
      </c>
      <c r="U35">
        <f>(N35+L35+M35)</f>
        <v>936</v>
      </c>
      <c r="V35" s="73">
        <f>(U$34-U35)/U$34</f>
        <v>0.1702127659574468</v>
      </c>
    </row>
    <row r="36" spans="1:22" x14ac:dyDescent="0.2">
      <c r="A36" t="s">
        <v>62</v>
      </c>
      <c r="B36" t="s">
        <v>32</v>
      </c>
      <c r="C36" t="s">
        <v>22</v>
      </c>
      <c r="D36" t="s">
        <v>23</v>
      </c>
      <c r="E36" t="s">
        <v>213</v>
      </c>
      <c r="F36">
        <v>3</v>
      </c>
      <c r="G36" t="s">
        <v>69</v>
      </c>
      <c r="H36">
        <v>81</v>
      </c>
      <c r="I36">
        <v>356</v>
      </c>
      <c r="J36">
        <v>12</v>
      </c>
      <c r="K36">
        <v>39</v>
      </c>
      <c r="L36">
        <v>219</v>
      </c>
      <c r="M36">
        <v>34</v>
      </c>
      <c r="N36">
        <v>641</v>
      </c>
      <c r="O36">
        <v>73</v>
      </c>
      <c r="P36">
        <v>691</v>
      </c>
      <c r="Q36">
        <v>0</v>
      </c>
      <c r="R36">
        <v>8</v>
      </c>
      <c r="S36">
        <v>66</v>
      </c>
      <c r="T36">
        <v>6</v>
      </c>
      <c r="U36">
        <f t="shared" ref="U36:U37" si="12">(N36+L36+M36)</f>
        <v>894</v>
      </c>
      <c r="V36" s="73">
        <f>(U$34-U36)/U$34</f>
        <v>0.20744680851063829</v>
      </c>
    </row>
    <row r="37" spans="1:22" x14ac:dyDescent="0.2">
      <c r="A37" t="s">
        <v>62</v>
      </c>
      <c r="B37" t="s">
        <v>32</v>
      </c>
      <c r="C37" t="s">
        <v>22</v>
      </c>
      <c r="D37" t="s">
        <v>23</v>
      </c>
      <c r="E37" t="s">
        <v>212</v>
      </c>
      <c r="F37">
        <v>3</v>
      </c>
      <c r="G37" t="s">
        <v>71</v>
      </c>
      <c r="H37">
        <v>100</v>
      </c>
      <c r="I37">
        <v>348</v>
      </c>
      <c r="J37">
        <v>10</v>
      </c>
      <c r="K37">
        <v>24</v>
      </c>
      <c r="L37">
        <v>169</v>
      </c>
      <c r="M37">
        <v>23</v>
      </c>
      <c r="N37">
        <v>726</v>
      </c>
      <c r="O37">
        <v>47</v>
      </c>
      <c r="P37">
        <v>700</v>
      </c>
      <c r="Q37">
        <v>0</v>
      </c>
      <c r="R37">
        <v>2</v>
      </c>
      <c r="S37">
        <v>60</v>
      </c>
      <c r="T37">
        <v>7</v>
      </c>
      <c r="U37">
        <f t="shared" si="12"/>
        <v>918</v>
      </c>
      <c r="V37" s="73">
        <f>(U$34-U37)/U$34</f>
        <v>0.18617021276595744</v>
      </c>
    </row>
    <row r="38" spans="1:22" x14ac:dyDescent="0.2">
      <c r="A38" t="s">
        <v>63</v>
      </c>
      <c r="B38" t="s">
        <v>32</v>
      </c>
      <c r="C38" t="s">
        <v>22</v>
      </c>
      <c r="D38" t="s">
        <v>23</v>
      </c>
      <c r="E38" t="s">
        <v>42</v>
      </c>
      <c r="F38">
        <v>3</v>
      </c>
      <c r="G38" t="s">
        <v>25</v>
      </c>
      <c r="H38">
        <v>16</v>
      </c>
      <c r="I38">
        <v>734</v>
      </c>
      <c r="J38">
        <v>1275</v>
      </c>
      <c r="K38">
        <v>0</v>
      </c>
      <c r="L38">
        <v>27</v>
      </c>
      <c r="M38">
        <v>0</v>
      </c>
      <c r="N38">
        <v>138</v>
      </c>
      <c r="O38">
        <v>0</v>
      </c>
      <c r="P38">
        <v>730</v>
      </c>
      <c r="Q38">
        <v>0</v>
      </c>
      <c r="R38">
        <v>0</v>
      </c>
      <c r="S38">
        <v>0</v>
      </c>
      <c r="T38">
        <v>0</v>
      </c>
      <c r="U38" s="8">
        <f>(N38+L38+M38)*2/3</f>
        <v>110</v>
      </c>
    </row>
    <row r="39" spans="1:22" x14ac:dyDescent="0.2">
      <c r="A39" t="s">
        <v>63</v>
      </c>
      <c r="B39" t="s">
        <v>32</v>
      </c>
      <c r="C39" t="s">
        <v>22</v>
      </c>
      <c r="D39" t="s">
        <v>23</v>
      </c>
      <c r="E39" t="s">
        <v>43</v>
      </c>
      <c r="F39">
        <v>3</v>
      </c>
      <c r="G39" t="s">
        <v>67</v>
      </c>
      <c r="H39">
        <v>18</v>
      </c>
      <c r="I39">
        <v>642</v>
      </c>
      <c r="J39">
        <v>40</v>
      </c>
      <c r="K39">
        <v>330</v>
      </c>
      <c r="L39">
        <v>13</v>
      </c>
      <c r="M39">
        <v>6</v>
      </c>
      <c r="N39">
        <v>51</v>
      </c>
      <c r="O39">
        <v>336</v>
      </c>
      <c r="P39">
        <v>550</v>
      </c>
      <c r="Q39">
        <v>0</v>
      </c>
      <c r="R39">
        <v>12</v>
      </c>
      <c r="S39">
        <v>145</v>
      </c>
      <c r="T39">
        <v>0</v>
      </c>
      <c r="U39">
        <f>(N39+L39+M39)</f>
        <v>70</v>
      </c>
      <c r="V39" s="73">
        <f>(U$38-U39)/U$38</f>
        <v>0.36363636363636365</v>
      </c>
    </row>
    <row r="40" spans="1:22" x14ac:dyDescent="0.2">
      <c r="A40" t="s">
        <v>63</v>
      </c>
      <c r="B40" t="s">
        <v>32</v>
      </c>
      <c r="C40" t="s">
        <v>22</v>
      </c>
      <c r="D40" t="s">
        <v>23</v>
      </c>
      <c r="E40" t="s">
        <v>211</v>
      </c>
      <c r="F40">
        <v>3</v>
      </c>
      <c r="G40" t="s">
        <v>69</v>
      </c>
      <c r="H40">
        <v>7</v>
      </c>
      <c r="I40">
        <v>876</v>
      </c>
      <c r="J40">
        <v>36</v>
      </c>
      <c r="K40">
        <v>75</v>
      </c>
      <c r="L40">
        <v>15</v>
      </c>
      <c r="M40">
        <v>4</v>
      </c>
      <c r="N40">
        <v>71</v>
      </c>
      <c r="O40">
        <v>79</v>
      </c>
      <c r="P40">
        <v>542</v>
      </c>
      <c r="Q40">
        <v>0</v>
      </c>
      <c r="R40">
        <v>3</v>
      </c>
      <c r="S40">
        <v>129</v>
      </c>
      <c r="T40">
        <v>2</v>
      </c>
      <c r="U40">
        <f t="shared" ref="U40:U41" si="13">(N40+L40+M40)</f>
        <v>90</v>
      </c>
      <c r="V40" s="73">
        <f>(U$38-U40)/U$38</f>
        <v>0.18181818181818182</v>
      </c>
    </row>
    <row r="41" spans="1:22" x14ac:dyDescent="0.2">
      <c r="A41" t="s">
        <v>63</v>
      </c>
      <c r="B41" t="s">
        <v>32</v>
      </c>
      <c r="C41" t="s">
        <v>22</v>
      </c>
      <c r="D41" t="s">
        <v>23</v>
      </c>
      <c r="E41" t="s">
        <v>210</v>
      </c>
      <c r="F41">
        <v>3</v>
      </c>
      <c r="G41" t="s">
        <v>71</v>
      </c>
      <c r="H41">
        <v>18</v>
      </c>
      <c r="I41">
        <v>861</v>
      </c>
      <c r="J41">
        <v>24</v>
      </c>
      <c r="K41">
        <v>87</v>
      </c>
      <c r="L41">
        <v>15</v>
      </c>
      <c r="M41">
        <v>4</v>
      </c>
      <c r="N41">
        <v>55</v>
      </c>
      <c r="O41">
        <v>91</v>
      </c>
      <c r="P41">
        <v>532</v>
      </c>
      <c r="Q41">
        <v>0</v>
      </c>
      <c r="R41">
        <v>7</v>
      </c>
      <c r="S41">
        <v>136</v>
      </c>
      <c r="T41">
        <v>1</v>
      </c>
      <c r="U41">
        <f t="shared" si="13"/>
        <v>74</v>
      </c>
      <c r="V41" s="73">
        <f>(U$38-U41)/U$38</f>
        <v>0.32727272727272727</v>
      </c>
    </row>
    <row r="42" spans="1:22" x14ac:dyDescent="0.2">
      <c r="A42" t="s">
        <v>64</v>
      </c>
      <c r="B42" t="s">
        <v>32</v>
      </c>
      <c r="C42" t="s">
        <v>22</v>
      </c>
      <c r="D42" t="s">
        <v>23</v>
      </c>
      <c r="E42" t="s">
        <v>46</v>
      </c>
      <c r="F42">
        <v>3</v>
      </c>
      <c r="G42" t="s">
        <v>25</v>
      </c>
      <c r="H42">
        <v>85</v>
      </c>
      <c r="I42">
        <v>188</v>
      </c>
      <c r="J42">
        <v>573</v>
      </c>
      <c r="K42">
        <v>0</v>
      </c>
      <c r="L42">
        <v>125</v>
      </c>
      <c r="M42">
        <v>0</v>
      </c>
      <c r="N42">
        <v>523</v>
      </c>
      <c r="O42">
        <v>0</v>
      </c>
      <c r="P42">
        <v>498</v>
      </c>
      <c r="Q42">
        <v>0</v>
      </c>
      <c r="R42">
        <v>0</v>
      </c>
      <c r="S42">
        <v>0</v>
      </c>
      <c r="T42">
        <v>0</v>
      </c>
      <c r="U42" s="8">
        <f>(N42+L42+M42)*2/3</f>
        <v>432</v>
      </c>
    </row>
    <row r="43" spans="1:22" x14ac:dyDescent="0.2">
      <c r="A43" t="s">
        <v>64</v>
      </c>
      <c r="B43" t="s">
        <v>32</v>
      </c>
      <c r="C43" t="s">
        <v>22</v>
      </c>
      <c r="D43" t="s">
        <v>23</v>
      </c>
      <c r="E43" t="s">
        <v>47</v>
      </c>
      <c r="F43">
        <v>3</v>
      </c>
      <c r="G43" t="s">
        <v>67</v>
      </c>
      <c r="H43">
        <v>103</v>
      </c>
      <c r="I43">
        <v>134</v>
      </c>
      <c r="J43">
        <v>10</v>
      </c>
      <c r="K43">
        <v>117</v>
      </c>
      <c r="L43">
        <v>37</v>
      </c>
      <c r="M43">
        <v>83</v>
      </c>
      <c r="N43">
        <v>214</v>
      </c>
      <c r="O43">
        <v>200</v>
      </c>
      <c r="P43">
        <v>349</v>
      </c>
      <c r="Q43">
        <v>0</v>
      </c>
      <c r="R43">
        <v>52</v>
      </c>
      <c r="S43">
        <v>128</v>
      </c>
      <c r="T43">
        <v>6</v>
      </c>
      <c r="U43">
        <f>(N43+L43+M43)</f>
        <v>334</v>
      </c>
      <c r="V43" s="73">
        <f>(U$42-U43)/U$42</f>
        <v>0.22685185185185186</v>
      </c>
    </row>
    <row r="44" spans="1:22" x14ac:dyDescent="0.2">
      <c r="A44" t="s">
        <v>64</v>
      </c>
      <c r="B44" t="s">
        <v>32</v>
      </c>
      <c r="C44" t="s">
        <v>22</v>
      </c>
      <c r="D44" t="s">
        <v>23</v>
      </c>
      <c r="E44" t="s">
        <v>209</v>
      </c>
      <c r="F44">
        <v>3</v>
      </c>
      <c r="G44" t="s">
        <v>69</v>
      </c>
      <c r="H44">
        <v>43</v>
      </c>
      <c r="I44">
        <v>252</v>
      </c>
      <c r="J44">
        <v>10</v>
      </c>
      <c r="K44">
        <v>47</v>
      </c>
      <c r="L44">
        <v>27</v>
      </c>
      <c r="M44">
        <v>72</v>
      </c>
      <c r="N44">
        <v>219</v>
      </c>
      <c r="O44">
        <v>119</v>
      </c>
      <c r="P44">
        <v>335</v>
      </c>
      <c r="Q44">
        <v>0</v>
      </c>
      <c r="R44">
        <v>18</v>
      </c>
      <c r="S44">
        <v>129</v>
      </c>
      <c r="T44">
        <v>39</v>
      </c>
      <c r="U44">
        <f t="shared" ref="U44:U45" si="14">(N44+L44+M44)</f>
        <v>318</v>
      </c>
      <c r="V44" s="2">
        <f>(U$42-U44)/U$42</f>
        <v>0.2638888888888889</v>
      </c>
    </row>
    <row r="45" spans="1:22" x14ac:dyDescent="0.2">
      <c r="A45" t="s">
        <v>64</v>
      </c>
      <c r="B45" t="s">
        <v>32</v>
      </c>
      <c r="C45" t="s">
        <v>22</v>
      </c>
      <c r="D45" t="s">
        <v>23</v>
      </c>
      <c r="E45" t="s">
        <v>208</v>
      </c>
      <c r="F45">
        <v>3</v>
      </c>
      <c r="G45" t="s">
        <v>71</v>
      </c>
      <c r="H45">
        <v>39</v>
      </c>
      <c r="I45">
        <v>242</v>
      </c>
      <c r="J45">
        <v>6</v>
      </c>
      <c r="K45">
        <v>55</v>
      </c>
      <c r="L45">
        <v>31</v>
      </c>
      <c r="M45">
        <v>82</v>
      </c>
      <c r="N45">
        <v>227</v>
      </c>
      <c r="O45">
        <v>137</v>
      </c>
      <c r="P45">
        <v>341</v>
      </c>
      <c r="Q45">
        <v>0</v>
      </c>
      <c r="R45">
        <v>17</v>
      </c>
      <c r="S45">
        <v>116</v>
      </c>
      <c r="T45">
        <v>35</v>
      </c>
      <c r="U45">
        <f t="shared" si="14"/>
        <v>340</v>
      </c>
      <c r="V45" s="73">
        <f>(U$42-U45)/U$42</f>
        <v>0.21296296296296297</v>
      </c>
    </row>
    <row r="46" spans="1:22" x14ac:dyDescent="0.2">
      <c r="A46" t="s">
        <v>79</v>
      </c>
      <c r="B46" t="s">
        <v>32</v>
      </c>
      <c r="C46" t="s">
        <v>22</v>
      </c>
      <c r="D46" t="s">
        <v>23</v>
      </c>
      <c r="E46" t="s">
        <v>50</v>
      </c>
      <c r="F46">
        <v>3</v>
      </c>
      <c r="G46" t="s">
        <v>25</v>
      </c>
      <c r="H46">
        <v>38</v>
      </c>
      <c r="I46">
        <v>7</v>
      </c>
      <c r="J46">
        <v>87</v>
      </c>
      <c r="K46">
        <v>0</v>
      </c>
      <c r="L46">
        <v>40</v>
      </c>
      <c r="M46">
        <v>0</v>
      </c>
      <c r="N46">
        <v>263</v>
      </c>
      <c r="O46">
        <v>0</v>
      </c>
      <c r="P46">
        <v>145</v>
      </c>
      <c r="Q46">
        <v>0</v>
      </c>
      <c r="R46">
        <v>0</v>
      </c>
      <c r="S46">
        <v>0</v>
      </c>
      <c r="T46">
        <v>0</v>
      </c>
      <c r="U46" s="8">
        <f>(N46+L46+M46)*2/3</f>
        <v>202</v>
      </c>
    </row>
    <row r="47" spans="1:22" x14ac:dyDescent="0.2">
      <c r="A47" t="s">
        <v>79</v>
      </c>
      <c r="B47" t="s">
        <v>32</v>
      </c>
      <c r="C47" t="s">
        <v>22</v>
      </c>
      <c r="D47" t="s">
        <v>23</v>
      </c>
      <c r="E47" t="s">
        <v>51</v>
      </c>
      <c r="F47">
        <v>3</v>
      </c>
      <c r="G47" t="s">
        <v>67</v>
      </c>
      <c r="H47">
        <v>25</v>
      </c>
      <c r="I47">
        <v>2</v>
      </c>
      <c r="J47">
        <v>4</v>
      </c>
      <c r="K47">
        <v>15</v>
      </c>
      <c r="L47">
        <v>16</v>
      </c>
      <c r="M47">
        <v>67</v>
      </c>
      <c r="N47">
        <v>49</v>
      </c>
      <c r="O47">
        <v>82</v>
      </c>
      <c r="P47">
        <v>89</v>
      </c>
      <c r="Q47">
        <v>0</v>
      </c>
      <c r="R47">
        <v>19</v>
      </c>
      <c r="S47">
        <v>39</v>
      </c>
      <c r="T47">
        <v>15</v>
      </c>
      <c r="U47">
        <f>(N47+L47+M47)</f>
        <v>132</v>
      </c>
      <c r="V47" s="73">
        <f>(U$46-U47)/U$46</f>
        <v>0.34653465346534651</v>
      </c>
    </row>
    <row r="48" spans="1:22" x14ac:dyDescent="0.2">
      <c r="A48" t="s">
        <v>79</v>
      </c>
      <c r="B48" t="s">
        <v>32</v>
      </c>
      <c r="C48" t="s">
        <v>22</v>
      </c>
      <c r="D48" t="s">
        <v>23</v>
      </c>
      <c r="E48" t="s">
        <v>207</v>
      </c>
      <c r="F48">
        <v>3</v>
      </c>
      <c r="G48" t="s">
        <v>69</v>
      </c>
      <c r="H48">
        <v>10</v>
      </c>
      <c r="I48">
        <v>8</v>
      </c>
      <c r="J48">
        <v>8</v>
      </c>
      <c r="K48">
        <v>8</v>
      </c>
      <c r="L48">
        <v>27</v>
      </c>
      <c r="M48">
        <v>51</v>
      </c>
      <c r="N48">
        <v>66</v>
      </c>
      <c r="O48">
        <v>59</v>
      </c>
      <c r="P48">
        <v>89</v>
      </c>
      <c r="Q48">
        <v>0</v>
      </c>
      <c r="R48">
        <v>7</v>
      </c>
      <c r="S48">
        <v>37</v>
      </c>
      <c r="T48">
        <v>13</v>
      </c>
      <c r="U48">
        <f t="shared" ref="U48:U49" si="15">(N48+L48+M48)</f>
        <v>144</v>
      </c>
      <c r="V48" s="2">
        <f>(U$46-U48)/U$46</f>
        <v>0.28712871287128711</v>
      </c>
    </row>
    <row r="49" spans="1:56" ht="16" thickBot="1" x14ac:dyDescent="0.25">
      <c r="A49" t="s">
        <v>79</v>
      </c>
      <c r="B49" t="s">
        <v>32</v>
      </c>
      <c r="C49" t="s">
        <v>22</v>
      </c>
      <c r="D49" t="s">
        <v>23</v>
      </c>
      <c r="E49" t="s">
        <v>206</v>
      </c>
      <c r="F49">
        <v>3</v>
      </c>
      <c r="G49" t="s">
        <v>71</v>
      </c>
      <c r="H49">
        <v>17</v>
      </c>
      <c r="I49">
        <v>13</v>
      </c>
      <c r="J49">
        <v>0</v>
      </c>
      <c r="K49">
        <v>10</v>
      </c>
      <c r="L49">
        <v>30</v>
      </c>
      <c r="M49">
        <v>52</v>
      </c>
      <c r="N49">
        <v>48</v>
      </c>
      <c r="O49">
        <v>62</v>
      </c>
      <c r="P49">
        <v>85</v>
      </c>
      <c r="Q49">
        <v>0</v>
      </c>
      <c r="R49">
        <v>8</v>
      </c>
      <c r="S49">
        <v>41</v>
      </c>
      <c r="T49">
        <v>15</v>
      </c>
      <c r="U49">
        <f t="shared" si="15"/>
        <v>130</v>
      </c>
      <c r="V49" s="2">
        <f>(U$46-U49)/U$46</f>
        <v>0.35643564356435642</v>
      </c>
    </row>
    <row r="50" spans="1:56" x14ac:dyDescent="0.2">
      <c r="A50" s="69" t="s">
        <v>37</v>
      </c>
      <c r="B50" s="69" t="s">
        <v>21</v>
      </c>
      <c r="C50" s="69" t="s">
        <v>22</v>
      </c>
      <c r="D50" s="69" t="s">
        <v>23</v>
      </c>
      <c r="E50" s="69" t="s">
        <v>38</v>
      </c>
      <c r="F50" s="69">
        <v>3</v>
      </c>
      <c r="G50" s="69" t="s">
        <v>25</v>
      </c>
      <c r="H50" s="69">
        <v>261</v>
      </c>
      <c r="I50" s="69">
        <v>234</v>
      </c>
      <c r="J50" s="69">
        <v>486</v>
      </c>
      <c r="K50" s="69">
        <v>0</v>
      </c>
      <c r="L50" s="69">
        <v>98</v>
      </c>
      <c r="M50" s="69">
        <v>0</v>
      </c>
      <c r="N50" s="69">
        <v>1912</v>
      </c>
      <c r="O50" s="69">
        <v>0</v>
      </c>
      <c r="P50" s="69">
        <v>997</v>
      </c>
      <c r="Q50" s="69">
        <v>0</v>
      </c>
      <c r="R50" s="69">
        <v>0</v>
      </c>
      <c r="S50" s="69">
        <v>0</v>
      </c>
      <c r="T50" s="69">
        <v>0</v>
      </c>
      <c r="U50" s="8">
        <f>(N50+L50+M50)*1/3</f>
        <v>670</v>
      </c>
    </row>
    <row r="51" spans="1:56" x14ac:dyDescent="0.2">
      <c r="A51" t="s">
        <v>37</v>
      </c>
      <c r="B51" t="s">
        <v>21</v>
      </c>
      <c r="C51" t="s">
        <v>22</v>
      </c>
      <c r="D51" t="s">
        <v>23</v>
      </c>
      <c r="E51" t="s">
        <v>40</v>
      </c>
      <c r="F51">
        <v>3</v>
      </c>
      <c r="G51" t="s">
        <v>114</v>
      </c>
      <c r="H51">
        <v>137</v>
      </c>
      <c r="I51">
        <v>57</v>
      </c>
      <c r="J51">
        <v>38</v>
      </c>
      <c r="K51">
        <v>71</v>
      </c>
      <c r="L51">
        <v>24</v>
      </c>
      <c r="M51">
        <v>45</v>
      </c>
      <c r="N51">
        <v>566</v>
      </c>
      <c r="O51">
        <v>116</v>
      </c>
      <c r="P51">
        <v>938</v>
      </c>
      <c r="Q51">
        <v>0</v>
      </c>
      <c r="R51">
        <v>27</v>
      </c>
      <c r="S51">
        <v>3</v>
      </c>
      <c r="T51">
        <v>58</v>
      </c>
      <c r="U51">
        <f>(N51+L51+M51)</f>
        <v>635</v>
      </c>
      <c r="V51" s="2">
        <f>(U$50-U51)/U$50</f>
        <v>5.2238805970149252E-2</v>
      </c>
    </row>
    <row r="52" spans="1:56" x14ac:dyDescent="0.2">
      <c r="A52" t="s">
        <v>37</v>
      </c>
      <c r="B52" t="s">
        <v>21</v>
      </c>
      <c r="C52" t="s">
        <v>22</v>
      </c>
      <c r="D52" t="s">
        <v>23</v>
      </c>
      <c r="E52" t="s">
        <v>122</v>
      </c>
      <c r="F52">
        <v>3</v>
      </c>
      <c r="G52" t="s">
        <v>116</v>
      </c>
      <c r="H52">
        <v>130</v>
      </c>
      <c r="I52">
        <v>55</v>
      </c>
      <c r="J52">
        <v>37</v>
      </c>
      <c r="K52">
        <v>74</v>
      </c>
      <c r="L52">
        <v>13</v>
      </c>
      <c r="M52">
        <v>43</v>
      </c>
      <c r="N52">
        <v>584</v>
      </c>
      <c r="O52">
        <v>117</v>
      </c>
      <c r="P52">
        <v>936</v>
      </c>
      <c r="Q52">
        <v>0</v>
      </c>
      <c r="R52">
        <v>45</v>
      </c>
      <c r="S52">
        <v>3</v>
      </c>
      <c r="T52">
        <v>46</v>
      </c>
      <c r="U52">
        <f t="shared" ref="U52:U53" si="16">(N52+L52+M52)</f>
        <v>640</v>
      </c>
      <c r="V52" s="2">
        <f>(U$50-U52)/U$50</f>
        <v>4.4776119402985072E-2</v>
      </c>
    </row>
    <row r="53" spans="1:56" x14ac:dyDescent="0.2">
      <c r="A53" t="s">
        <v>37</v>
      </c>
      <c r="B53" t="s">
        <v>21</v>
      </c>
      <c r="C53" t="s">
        <v>22</v>
      </c>
      <c r="D53" t="s">
        <v>23</v>
      </c>
      <c r="E53" t="s">
        <v>123</v>
      </c>
      <c r="F53">
        <v>3</v>
      </c>
      <c r="G53" t="s">
        <v>118</v>
      </c>
      <c r="H53">
        <v>99</v>
      </c>
      <c r="I53">
        <v>83</v>
      </c>
      <c r="J53">
        <v>58</v>
      </c>
      <c r="K53">
        <v>30</v>
      </c>
      <c r="L53">
        <v>17</v>
      </c>
      <c r="M53">
        <v>15</v>
      </c>
      <c r="N53">
        <v>605</v>
      </c>
      <c r="O53">
        <v>45</v>
      </c>
      <c r="P53">
        <v>907</v>
      </c>
      <c r="Q53">
        <v>0</v>
      </c>
      <c r="R53">
        <v>80</v>
      </c>
      <c r="S53">
        <v>3</v>
      </c>
      <c r="T53">
        <v>75</v>
      </c>
      <c r="U53">
        <f t="shared" si="16"/>
        <v>637</v>
      </c>
      <c r="V53" s="2">
        <f>(U$50-U53)/U$50</f>
        <v>4.9253731343283584E-2</v>
      </c>
      <c r="Y53" s="131" t="s">
        <v>273</v>
      </c>
      <c r="Z53" s="118" t="s">
        <v>259</v>
      </c>
      <c r="AA53" s="118"/>
      <c r="AB53" s="118"/>
      <c r="AC53" s="118"/>
      <c r="AD53" s="99"/>
      <c r="AE53" s="118" t="s">
        <v>260</v>
      </c>
      <c r="AF53" s="118"/>
      <c r="AG53" s="118"/>
      <c r="AH53" s="118"/>
      <c r="AI53" s="99"/>
      <c r="AJ53" s="118" t="s">
        <v>261</v>
      </c>
      <c r="AK53" s="118"/>
      <c r="AL53" s="118"/>
      <c r="AM53" s="118"/>
      <c r="AP53" s="131" t="s">
        <v>258</v>
      </c>
      <c r="AQ53" s="118" t="s">
        <v>259</v>
      </c>
      <c r="AR53" s="118"/>
      <c r="AS53" s="118"/>
      <c r="AT53" s="118"/>
      <c r="AU53" s="99"/>
      <c r="AV53" s="118" t="s">
        <v>260</v>
      </c>
      <c r="AW53" s="118"/>
      <c r="AX53" s="118"/>
      <c r="AY53" s="118"/>
      <c r="AZ53" s="99"/>
      <c r="BA53" s="118" t="s">
        <v>261</v>
      </c>
      <c r="BB53" s="118"/>
      <c r="BC53" s="118"/>
      <c r="BD53" s="118"/>
    </row>
    <row r="54" spans="1:56" x14ac:dyDescent="0.2">
      <c r="A54" t="s">
        <v>41</v>
      </c>
      <c r="B54" t="s">
        <v>21</v>
      </c>
      <c r="C54" t="s">
        <v>22</v>
      </c>
      <c r="D54" t="s">
        <v>23</v>
      </c>
      <c r="E54" t="s">
        <v>42</v>
      </c>
      <c r="F54">
        <v>3</v>
      </c>
      <c r="G54" t="s">
        <v>25</v>
      </c>
      <c r="H54">
        <v>46</v>
      </c>
      <c r="I54">
        <v>1505</v>
      </c>
      <c r="J54">
        <v>1209</v>
      </c>
      <c r="K54">
        <v>0</v>
      </c>
      <c r="L54">
        <v>18</v>
      </c>
      <c r="M54">
        <v>0</v>
      </c>
      <c r="N54">
        <v>210</v>
      </c>
      <c r="O54">
        <v>0</v>
      </c>
      <c r="P54">
        <v>996</v>
      </c>
      <c r="Q54">
        <v>0</v>
      </c>
      <c r="R54">
        <v>0</v>
      </c>
      <c r="S54">
        <v>0</v>
      </c>
      <c r="T54">
        <v>0</v>
      </c>
      <c r="U54" s="8">
        <f>(N54+L54+M54)*1/3</f>
        <v>76</v>
      </c>
      <c r="Y54" s="132"/>
      <c r="Z54" s="99" t="s">
        <v>183</v>
      </c>
      <c r="AA54" s="99" t="s">
        <v>184</v>
      </c>
      <c r="AB54" s="99" t="s">
        <v>185</v>
      </c>
      <c r="AC54" s="99" t="s">
        <v>186</v>
      </c>
      <c r="AD54" s="99"/>
      <c r="AE54" s="99" t="s">
        <v>183</v>
      </c>
      <c r="AF54" s="99" t="s">
        <v>184</v>
      </c>
      <c r="AG54" s="99" t="s">
        <v>185</v>
      </c>
      <c r="AH54" s="99" t="s">
        <v>186</v>
      </c>
      <c r="AI54" s="99"/>
      <c r="AJ54" s="99" t="s">
        <v>183</v>
      </c>
      <c r="AK54" s="99" t="s">
        <v>184</v>
      </c>
      <c r="AL54" s="99" t="s">
        <v>185</v>
      </c>
      <c r="AM54" s="99" t="s">
        <v>186</v>
      </c>
      <c r="AP54" s="132"/>
      <c r="AQ54" s="99" t="s">
        <v>183</v>
      </c>
      <c r="AR54" s="99" t="s">
        <v>184</v>
      </c>
      <c r="AS54" s="99" t="s">
        <v>185</v>
      </c>
      <c r="AT54" s="99" t="s">
        <v>186</v>
      </c>
      <c r="AU54" s="99"/>
      <c r="AV54" s="99" t="s">
        <v>183</v>
      </c>
      <c r="AW54" s="99" t="s">
        <v>184</v>
      </c>
      <c r="AX54" s="99" t="s">
        <v>185</v>
      </c>
      <c r="AY54" s="99" t="s">
        <v>186</v>
      </c>
      <c r="AZ54" s="99"/>
      <c r="BA54" s="99" t="s">
        <v>183</v>
      </c>
      <c r="BB54" s="99" t="s">
        <v>184</v>
      </c>
      <c r="BC54" s="99" t="s">
        <v>185</v>
      </c>
      <c r="BD54" s="99" t="s">
        <v>186</v>
      </c>
    </row>
    <row r="55" spans="1:56" x14ac:dyDescent="0.2">
      <c r="A55" t="s">
        <v>41</v>
      </c>
      <c r="B55" t="s">
        <v>21</v>
      </c>
      <c r="C55" t="s">
        <v>22</v>
      </c>
      <c r="D55" t="s">
        <v>23</v>
      </c>
      <c r="E55" t="s">
        <v>44</v>
      </c>
      <c r="F55">
        <v>3</v>
      </c>
      <c r="G55" t="s">
        <v>114</v>
      </c>
      <c r="H55">
        <v>20</v>
      </c>
      <c r="I55">
        <v>327</v>
      </c>
      <c r="J55">
        <v>83</v>
      </c>
      <c r="K55">
        <v>439</v>
      </c>
      <c r="L55">
        <v>6</v>
      </c>
      <c r="M55">
        <v>20</v>
      </c>
      <c r="N55">
        <v>41</v>
      </c>
      <c r="O55">
        <v>459</v>
      </c>
      <c r="P55">
        <v>936</v>
      </c>
      <c r="Q55">
        <v>0</v>
      </c>
      <c r="R55">
        <v>57</v>
      </c>
      <c r="S55">
        <v>2</v>
      </c>
      <c r="T55">
        <v>10</v>
      </c>
      <c r="U55">
        <f>(N55+L55+M55)</f>
        <v>67</v>
      </c>
      <c r="V55" s="2">
        <f>(U$54-U55)/U$54</f>
        <v>0.11842105263157894</v>
      </c>
      <c r="Y55" s="100" t="s">
        <v>295</v>
      </c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P55" s="100" t="s">
        <v>295</v>
      </c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</row>
    <row r="56" spans="1:56" x14ac:dyDescent="0.2">
      <c r="A56" t="s">
        <v>41</v>
      </c>
      <c r="B56" t="s">
        <v>21</v>
      </c>
      <c r="C56" t="s">
        <v>22</v>
      </c>
      <c r="D56" t="s">
        <v>23</v>
      </c>
      <c r="E56" t="s">
        <v>127</v>
      </c>
      <c r="F56">
        <v>3</v>
      </c>
      <c r="G56" t="s">
        <v>116</v>
      </c>
      <c r="H56">
        <v>14</v>
      </c>
      <c r="I56">
        <v>324</v>
      </c>
      <c r="J56">
        <v>73</v>
      </c>
      <c r="K56">
        <v>452</v>
      </c>
      <c r="L56">
        <v>5</v>
      </c>
      <c r="M56">
        <v>13</v>
      </c>
      <c r="N56">
        <v>46</v>
      </c>
      <c r="O56">
        <v>465</v>
      </c>
      <c r="P56">
        <v>927</v>
      </c>
      <c r="Q56">
        <v>0</v>
      </c>
      <c r="R56">
        <v>57</v>
      </c>
      <c r="S56">
        <v>2</v>
      </c>
      <c r="T56">
        <v>17</v>
      </c>
      <c r="U56">
        <f t="shared" ref="U56:U57" si="17">(N56+L56+M56)</f>
        <v>64</v>
      </c>
      <c r="V56" s="2">
        <f>(U$54-U56)/U$54</f>
        <v>0.15789473684210525</v>
      </c>
      <c r="Y56" s="125" t="s">
        <v>187</v>
      </c>
      <c r="Z56" s="142">
        <v>157</v>
      </c>
      <c r="AA56" s="12">
        <v>492</v>
      </c>
      <c r="AB56" s="142">
        <v>166</v>
      </c>
      <c r="AC56" s="142">
        <v>1</v>
      </c>
      <c r="AD56" s="142"/>
      <c r="AE56" s="142">
        <v>144</v>
      </c>
      <c r="AF56" s="12">
        <v>505</v>
      </c>
      <c r="AG56" s="142">
        <v>148</v>
      </c>
      <c r="AH56" s="142">
        <v>2</v>
      </c>
      <c r="AI56" s="142"/>
      <c r="AJ56" s="142">
        <v>33</v>
      </c>
      <c r="AK56" s="142">
        <v>147</v>
      </c>
      <c r="AL56" s="142">
        <v>39</v>
      </c>
      <c r="AM56" s="142">
        <v>0</v>
      </c>
      <c r="AP56" s="125" t="s">
        <v>187</v>
      </c>
      <c r="AQ56" s="142">
        <v>781</v>
      </c>
      <c r="AR56" s="12">
        <v>444</v>
      </c>
      <c r="AS56" s="142">
        <v>257</v>
      </c>
      <c r="AT56" s="142">
        <v>60</v>
      </c>
      <c r="AU56" s="142"/>
      <c r="AV56" s="142">
        <v>792</v>
      </c>
      <c r="AW56" s="142">
        <v>422</v>
      </c>
      <c r="AX56" s="142">
        <v>285</v>
      </c>
      <c r="AY56" s="142">
        <v>73</v>
      </c>
      <c r="AZ56" s="142"/>
      <c r="BA56" s="142">
        <v>874</v>
      </c>
      <c r="BB56" s="142">
        <v>760</v>
      </c>
      <c r="BC56" s="142">
        <v>359</v>
      </c>
      <c r="BD56" s="142">
        <v>92</v>
      </c>
    </row>
    <row r="57" spans="1:56" x14ac:dyDescent="0.2">
      <c r="A57" t="s">
        <v>41</v>
      </c>
      <c r="B57" t="s">
        <v>21</v>
      </c>
      <c r="C57" t="s">
        <v>22</v>
      </c>
      <c r="D57" t="s">
        <v>23</v>
      </c>
      <c r="E57" t="s">
        <v>128</v>
      </c>
      <c r="F57">
        <v>3</v>
      </c>
      <c r="G57" t="s">
        <v>118</v>
      </c>
      <c r="H57">
        <v>11</v>
      </c>
      <c r="I57">
        <v>515</v>
      </c>
      <c r="J57">
        <v>112</v>
      </c>
      <c r="K57">
        <v>203</v>
      </c>
      <c r="L57">
        <v>4</v>
      </c>
      <c r="M57">
        <v>4</v>
      </c>
      <c r="N57">
        <v>58</v>
      </c>
      <c r="O57">
        <v>207</v>
      </c>
      <c r="P57">
        <v>907</v>
      </c>
      <c r="Q57">
        <v>0</v>
      </c>
      <c r="R57">
        <v>97</v>
      </c>
      <c r="S57">
        <v>2</v>
      </c>
      <c r="T57">
        <v>13</v>
      </c>
      <c r="U57">
        <f t="shared" si="17"/>
        <v>66</v>
      </c>
      <c r="V57" s="2">
        <f>(U$54-U57)/U$54</f>
        <v>0.13157894736842105</v>
      </c>
      <c r="Y57" s="125" t="s">
        <v>188</v>
      </c>
      <c r="Z57" s="142">
        <v>206</v>
      </c>
      <c r="AA57" s="142">
        <v>599</v>
      </c>
      <c r="AB57" s="142">
        <v>106</v>
      </c>
      <c r="AC57" s="142">
        <v>17</v>
      </c>
      <c r="AD57" s="142"/>
      <c r="AE57" s="142">
        <v>228</v>
      </c>
      <c r="AF57" s="142">
        <v>638</v>
      </c>
      <c r="AG57" s="142">
        <v>124</v>
      </c>
      <c r="AH57" s="142">
        <v>17</v>
      </c>
      <c r="AI57" s="142"/>
      <c r="AJ57" s="142">
        <v>169</v>
      </c>
      <c r="AK57" s="142">
        <v>565</v>
      </c>
      <c r="AL57" s="142">
        <v>65</v>
      </c>
      <c r="AM57" s="142">
        <v>12</v>
      </c>
      <c r="AP57" s="125" t="s">
        <v>188</v>
      </c>
      <c r="AQ57" s="142">
        <v>274</v>
      </c>
      <c r="AR57" s="142">
        <v>294</v>
      </c>
      <c r="AS57" s="142">
        <v>182</v>
      </c>
      <c r="AT57" s="142">
        <v>42</v>
      </c>
      <c r="AU57" s="142"/>
      <c r="AV57" s="142">
        <v>242</v>
      </c>
      <c r="AW57" s="142">
        <v>236</v>
      </c>
      <c r="AX57" s="142">
        <v>180</v>
      </c>
      <c r="AY57" s="142">
        <v>39</v>
      </c>
      <c r="AZ57" s="142"/>
      <c r="BA57" s="142">
        <v>279</v>
      </c>
      <c r="BB57" s="142">
        <v>295</v>
      </c>
      <c r="BC57" s="142">
        <v>187</v>
      </c>
      <c r="BD57" s="142">
        <v>30</v>
      </c>
    </row>
    <row r="58" spans="1:56" x14ac:dyDescent="0.2">
      <c r="A58" t="s">
        <v>45</v>
      </c>
      <c r="B58" t="s">
        <v>21</v>
      </c>
      <c r="C58" t="s">
        <v>22</v>
      </c>
      <c r="D58" t="s">
        <v>23</v>
      </c>
      <c r="E58" t="s">
        <v>46</v>
      </c>
      <c r="F58">
        <v>3</v>
      </c>
      <c r="G58" t="s">
        <v>25</v>
      </c>
      <c r="H58">
        <v>253</v>
      </c>
      <c r="I58">
        <v>365</v>
      </c>
      <c r="J58">
        <v>582</v>
      </c>
      <c r="K58">
        <v>0</v>
      </c>
      <c r="L58">
        <v>273</v>
      </c>
      <c r="M58">
        <v>0</v>
      </c>
      <c r="N58">
        <v>582</v>
      </c>
      <c r="O58">
        <v>0</v>
      </c>
      <c r="P58">
        <v>685</v>
      </c>
      <c r="Q58">
        <v>0</v>
      </c>
      <c r="R58">
        <v>0</v>
      </c>
      <c r="S58">
        <v>0</v>
      </c>
      <c r="T58">
        <v>0</v>
      </c>
      <c r="U58" s="8">
        <f>(N58+L58+M58)*1/3</f>
        <v>285</v>
      </c>
      <c r="Y58" s="125" t="s">
        <v>189</v>
      </c>
      <c r="Z58" s="142">
        <v>480</v>
      </c>
      <c r="AA58" s="142">
        <v>422</v>
      </c>
      <c r="AB58" s="142">
        <v>154</v>
      </c>
      <c r="AC58" s="142">
        <v>33</v>
      </c>
      <c r="AD58" s="142"/>
      <c r="AE58" s="142">
        <v>450</v>
      </c>
      <c r="AF58" s="142">
        <v>378</v>
      </c>
      <c r="AG58" s="142">
        <v>135</v>
      </c>
      <c r="AH58" s="142">
        <v>24</v>
      </c>
      <c r="AI58" s="142"/>
      <c r="AJ58" s="142">
        <v>349</v>
      </c>
      <c r="AK58" s="142">
        <v>251</v>
      </c>
      <c r="AL58" s="142">
        <v>122</v>
      </c>
      <c r="AM58" s="142">
        <v>21</v>
      </c>
      <c r="AP58" s="125" t="s">
        <v>189</v>
      </c>
      <c r="AQ58" s="142">
        <v>185</v>
      </c>
      <c r="AR58" s="142">
        <v>114</v>
      </c>
      <c r="AS58" s="142">
        <v>173</v>
      </c>
      <c r="AT58" s="142">
        <v>47</v>
      </c>
      <c r="AU58" s="142"/>
      <c r="AV58" s="142">
        <v>199</v>
      </c>
      <c r="AW58" s="142">
        <v>151</v>
      </c>
      <c r="AX58" s="142">
        <v>171</v>
      </c>
      <c r="AY58" s="142">
        <v>47</v>
      </c>
      <c r="AZ58" s="142"/>
      <c r="BA58" s="142">
        <v>307</v>
      </c>
      <c r="BB58" s="142">
        <v>275</v>
      </c>
      <c r="BC58" s="142">
        <v>228</v>
      </c>
      <c r="BD58" s="142">
        <v>58</v>
      </c>
    </row>
    <row r="59" spans="1:56" x14ac:dyDescent="0.2">
      <c r="A59" t="s">
        <v>45</v>
      </c>
      <c r="B59" t="s">
        <v>21</v>
      </c>
      <c r="C59" t="s">
        <v>22</v>
      </c>
      <c r="D59" t="s">
        <v>23</v>
      </c>
      <c r="E59" t="s">
        <v>48</v>
      </c>
      <c r="F59">
        <v>3</v>
      </c>
      <c r="G59" t="s">
        <v>114</v>
      </c>
      <c r="H59">
        <v>33</v>
      </c>
      <c r="I59">
        <v>55</v>
      </c>
      <c r="J59">
        <v>30</v>
      </c>
      <c r="K59">
        <v>169</v>
      </c>
      <c r="L59">
        <v>4</v>
      </c>
      <c r="M59">
        <v>55</v>
      </c>
      <c r="N59">
        <v>77</v>
      </c>
      <c r="O59">
        <v>224</v>
      </c>
      <c r="P59">
        <v>423</v>
      </c>
      <c r="Q59">
        <v>0</v>
      </c>
      <c r="R59">
        <v>234</v>
      </c>
      <c r="S59">
        <v>2</v>
      </c>
      <c r="T59">
        <v>126</v>
      </c>
      <c r="U59">
        <f>(N59+L59+M59)</f>
        <v>136</v>
      </c>
      <c r="V59" s="2">
        <f>(U$58-U59)/U$58</f>
        <v>0.52280701754385961</v>
      </c>
      <c r="Y59" s="15" t="s">
        <v>278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P59" s="15" t="s">
        <v>278</v>
      </c>
      <c r="AQ59" s="145"/>
      <c r="AR59" s="27"/>
      <c r="AS59" s="27"/>
      <c r="AT59" s="27"/>
      <c r="AU59" s="27"/>
      <c r="AV59" s="145"/>
      <c r="AW59" s="145"/>
      <c r="AX59" s="145"/>
      <c r="AY59" s="145"/>
      <c r="AZ59" s="145"/>
      <c r="BA59" s="145"/>
      <c r="BB59" s="145"/>
      <c r="BC59" s="145"/>
      <c r="BD59" s="145"/>
    </row>
    <row r="60" spans="1:56" x14ac:dyDescent="0.2">
      <c r="A60" t="s">
        <v>45</v>
      </c>
      <c r="B60" t="s">
        <v>21</v>
      </c>
      <c r="C60" t="s">
        <v>22</v>
      </c>
      <c r="D60" t="s">
        <v>23</v>
      </c>
      <c r="E60" t="s">
        <v>132</v>
      </c>
      <c r="F60">
        <v>3</v>
      </c>
      <c r="G60" t="s">
        <v>116</v>
      </c>
      <c r="H60">
        <v>36</v>
      </c>
      <c r="I60">
        <v>52</v>
      </c>
      <c r="J60">
        <v>27</v>
      </c>
      <c r="K60">
        <v>167</v>
      </c>
      <c r="L60">
        <v>9</v>
      </c>
      <c r="M60">
        <v>50</v>
      </c>
      <c r="N60">
        <v>92</v>
      </c>
      <c r="O60">
        <v>217</v>
      </c>
      <c r="P60">
        <v>433</v>
      </c>
      <c r="Q60">
        <v>0</v>
      </c>
      <c r="R60">
        <v>244</v>
      </c>
      <c r="S60">
        <v>2</v>
      </c>
      <c r="T60">
        <v>111</v>
      </c>
      <c r="U60">
        <f t="shared" ref="U60:U61" si="18">(N60+L60+M60)</f>
        <v>151</v>
      </c>
      <c r="V60" s="2">
        <f>(U$58-U60)/U$58</f>
        <v>0.47017543859649125</v>
      </c>
      <c r="Y60" s="136" t="s">
        <v>187</v>
      </c>
      <c r="Z60" s="147">
        <v>15</v>
      </c>
      <c r="AA60" s="12">
        <v>5</v>
      </c>
      <c r="AB60" s="147">
        <v>3</v>
      </c>
      <c r="AC60" s="147">
        <v>0</v>
      </c>
      <c r="AD60" s="147"/>
      <c r="AE60" s="147">
        <v>10</v>
      </c>
      <c r="AF60" s="12">
        <v>2</v>
      </c>
      <c r="AG60" s="147">
        <v>2</v>
      </c>
      <c r="AH60" s="147">
        <v>0</v>
      </c>
      <c r="AI60" s="147"/>
      <c r="AJ60" s="147">
        <v>7</v>
      </c>
      <c r="AK60" s="147">
        <v>1</v>
      </c>
      <c r="AL60" s="147">
        <v>4</v>
      </c>
      <c r="AM60" s="147">
        <v>0</v>
      </c>
      <c r="AP60" s="136" t="s">
        <v>187</v>
      </c>
      <c r="AQ60" s="147">
        <v>122</v>
      </c>
      <c r="AR60" s="12">
        <v>15</v>
      </c>
      <c r="AS60" s="147">
        <v>30</v>
      </c>
      <c r="AT60" s="147">
        <v>5</v>
      </c>
      <c r="AU60" s="147"/>
      <c r="AV60" s="147">
        <v>120</v>
      </c>
      <c r="AW60" s="147">
        <v>12</v>
      </c>
      <c r="AX60" s="147">
        <v>34</v>
      </c>
      <c r="AY60" s="147">
        <v>7</v>
      </c>
      <c r="AZ60" s="147"/>
      <c r="BA60" s="147">
        <v>92</v>
      </c>
      <c r="BB60" s="147">
        <v>10</v>
      </c>
      <c r="BC60" s="147">
        <v>38</v>
      </c>
      <c r="BD60" s="147">
        <v>2</v>
      </c>
    </row>
    <row r="61" spans="1:56" x14ac:dyDescent="0.2">
      <c r="A61" t="s">
        <v>45</v>
      </c>
      <c r="B61" t="s">
        <v>21</v>
      </c>
      <c r="C61" t="s">
        <v>22</v>
      </c>
      <c r="D61" t="s">
        <v>23</v>
      </c>
      <c r="E61" t="s">
        <v>133</v>
      </c>
      <c r="F61">
        <v>3</v>
      </c>
      <c r="G61" t="s">
        <v>118</v>
      </c>
      <c r="H61">
        <v>42</v>
      </c>
      <c r="I61">
        <v>94</v>
      </c>
      <c r="J61">
        <v>40</v>
      </c>
      <c r="K61">
        <v>85</v>
      </c>
      <c r="L61">
        <v>6</v>
      </c>
      <c r="M61">
        <v>34</v>
      </c>
      <c r="N61">
        <v>97</v>
      </c>
      <c r="O61">
        <v>119</v>
      </c>
      <c r="P61">
        <v>398</v>
      </c>
      <c r="Q61">
        <v>0</v>
      </c>
      <c r="R61">
        <v>314</v>
      </c>
      <c r="S61">
        <v>2</v>
      </c>
      <c r="T61">
        <v>108</v>
      </c>
      <c r="U61">
        <f t="shared" si="18"/>
        <v>137</v>
      </c>
      <c r="V61" s="2">
        <f>(U$58-U61)/U$58</f>
        <v>0.51929824561403504</v>
      </c>
      <c r="Y61" s="136" t="s">
        <v>188</v>
      </c>
      <c r="Z61" s="147">
        <v>48</v>
      </c>
      <c r="AA61" s="12">
        <v>7</v>
      </c>
      <c r="AB61" s="147">
        <v>4</v>
      </c>
      <c r="AC61" s="147">
        <v>4</v>
      </c>
      <c r="AD61" s="147"/>
      <c r="AE61" s="147">
        <v>60</v>
      </c>
      <c r="AF61" s="147">
        <v>9</v>
      </c>
      <c r="AG61" s="147">
        <v>6</v>
      </c>
      <c r="AH61" s="147">
        <v>2</v>
      </c>
      <c r="AI61" s="147"/>
      <c r="AJ61" s="147">
        <v>48</v>
      </c>
      <c r="AK61" s="147">
        <v>5</v>
      </c>
      <c r="AL61" s="147">
        <v>2</v>
      </c>
      <c r="AM61" s="147">
        <v>1</v>
      </c>
      <c r="AP61" s="136" t="s">
        <v>188</v>
      </c>
      <c r="AQ61" s="147">
        <v>80</v>
      </c>
      <c r="AR61" s="147">
        <v>10</v>
      </c>
      <c r="AS61" s="147">
        <v>10</v>
      </c>
      <c r="AT61" s="147">
        <v>9</v>
      </c>
      <c r="AU61" s="147"/>
      <c r="AV61" s="147">
        <v>67</v>
      </c>
      <c r="AW61" s="147">
        <v>5</v>
      </c>
      <c r="AX61" s="147">
        <v>12</v>
      </c>
      <c r="AY61" s="147">
        <v>7</v>
      </c>
      <c r="AZ61" s="147"/>
      <c r="BA61" s="147">
        <v>82</v>
      </c>
      <c r="BB61" s="147">
        <v>6</v>
      </c>
      <c r="BC61" s="147">
        <v>13</v>
      </c>
      <c r="BD61" s="147">
        <v>4</v>
      </c>
    </row>
    <row r="62" spans="1:56" x14ac:dyDescent="0.2">
      <c r="A62" t="s">
        <v>49</v>
      </c>
      <c r="B62" t="s">
        <v>21</v>
      </c>
      <c r="C62" t="s">
        <v>22</v>
      </c>
      <c r="D62" t="s">
        <v>23</v>
      </c>
      <c r="E62" t="s">
        <v>50</v>
      </c>
      <c r="F62">
        <v>3</v>
      </c>
      <c r="G62" t="s">
        <v>25</v>
      </c>
      <c r="H62">
        <v>81</v>
      </c>
      <c r="I62">
        <v>6</v>
      </c>
      <c r="J62">
        <v>198</v>
      </c>
      <c r="K62">
        <v>0</v>
      </c>
      <c r="L62">
        <v>49</v>
      </c>
      <c r="M62">
        <v>0</v>
      </c>
      <c r="N62">
        <v>254</v>
      </c>
      <c r="O62">
        <v>0</v>
      </c>
      <c r="P62">
        <v>196</v>
      </c>
      <c r="Q62">
        <v>0</v>
      </c>
      <c r="R62">
        <v>0</v>
      </c>
      <c r="S62">
        <v>0</v>
      </c>
      <c r="T62">
        <v>0</v>
      </c>
      <c r="U62" s="8">
        <f>(N62+L62+M62)*1/3</f>
        <v>101</v>
      </c>
      <c r="Y62" s="136" t="s">
        <v>189</v>
      </c>
      <c r="Z62" s="147">
        <v>34</v>
      </c>
      <c r="AA62" s="147">
        <v>3</v>
      </c>
      <c r="AB62" s="147">
        <v>11</v>
      </c>
      <c r="AC62" s="147">
        <v>2</v>
      </c>
      <c r="AD62" s="147"/>
      <c r="AE62" s="147">
        <v>27</v>
      </c>
      <c r="AF62" s="147">
        <v>2</v>
      </c>
      <c r="AG62" s="147">
        <v>8</v>
      </c>
      <c r="AH62" s="147">
        <v>4</v>
      </c>
      <c r="AI62" s="147"/>
      <c r="AJ62" s="147">
        <v>19</v>
      </c>
      <c r="AK62" s="147">
        <v>1</v>
      </c>
      <c r="AL62" s="147">
        <v>5</v>
      </c>
      <c r="AM62" s="157">
        <v>4</v>
      </c>
      <c r="AP62" s="136" t="s">
        <v>189</v>
      </c>
      <c r="AQ62" s="147">
        <v>11</v>
      </c>
      <c r="AR62" s="147">
        <v>0</v>
      </c>
      <c r="AS62" s="147">
        <v>18</v>
      </c>
      <c r="AT62" s="147">
        <v>4</v>
      </c>
      <c r="AU62" s="147"/>
      <c r="AV62" s="147">
        <v>10</v>
      </c>
      <c r="AW62" s="147">
        <v>3</v>
      </c>
      <c r="AX62" s="147">
        <v>22</v>
      </c>
      <c r="AY62" s="147">
        <v>3</v>
      </c>
      <c r="AZ62" s="147"/>
      <c r="BA62" s="147">
        <v>19</v>
      </c>
      <c r="BB62" s="147">
        <v>1</v>
      </c>
      <c r="BC62" s="147">
        <v>14</v>
      </c>
      <c r="BD62" s="147">
        <v>4</v>
      </c>
    </row>
    <row r="63" spans="1:56" x14ac:dyDescent="0.2">
      <c r="A63" t="s">
        <v>49</v>
      </c>
      <c r="B63" t="s">
        <v>21</v>
      </c>
      <c r="C63" t="s">
        <v>22</v>
      </c>
      <c r="D63" t="s">
        <v>23</v>
      </c>
      <c r="E63" t="s">
        <v>52</v>
      </c>
      <c r="F63">
        <v>3</v>
      </c>
      <c r="G63" t="s">
        <v>114</v>
      </c>
      <c r="H63">
        <v>5</v>
      </c>
      <c r="I63">
        <v>0</v>
      </c>
      <c r="J63">
        <v>0</v>
      </c>
      <c r="K63">
        <v>18</v>
      </c>
      <c r="L63">
        <v>0</v>
      </c>
      <c r="M63">
        <v>11</v>
      </c>
      <c r="N63">
        <v>27</v>
      </c>
      <c r="O63">
        <v>29</v>
      </c>
      <c r="P63">
        <v>61</v>
      </c>
      <c r="Q63">
        <v>0</v>
      </c>
      <c r="R63">
        <v>126</v>
      </c>
      <c r="S63">
        <v>1</v>
      </c>
      <c r="T63">
        <v>79</v>
      </c>
      <c r="U63">
        <f>(N63+L63+M63)</f>
        <v>38</v>
      </c>
      <c r="V63" s="2">
        <f>(U$62-U63)/U$62</f>
        <v>0.62376237623762376</v>
      </c>
      <c r="Y63" s="15" t="s">
        <v>266</v>
      </c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P63" s="15" t="s">
        <v>266</v>
      </c>
      <c r="AQ63" s="145"/>
      <c r="AR63" s="27"/>
      <c r="AS63" s="27"/>
      <c r="AT63" s="27"/>
      <c r="AU63" s="27"/>
      <c r="AV63" s="145"/>
      <c r="AW63" s="145"/>
      <c r="AX63" s="145"/>
      <c r="AY63" s="145"/>
      <c r="AZ63" s="145"/>
      <c r="BA63" s="145"/>
      <c r="BB63" s="145"/>
      <c r="BC63" s="145"/>
      <c r="BD63" s="145"/>
    </row>
    <row r="64" spans="1:56" x14ac:dyDescent="0.2">
      <c r="A64" t="s">
        <v>49</v>
      </c>
      <c r="B64" t="s">
        <v>21</v>
      </c>
      <c r="C64" t="s">
        <v>22</v>
      </c>
      <c r="D64" t="s">
        <v>23</v>
      </c>
      <c r="E64" t="s">
        <v>115</v>
      </c>
      <c r="F64">
        <v>3</v>
      </c>
      <c r="G64" t="s">
        <v>116</v>
      </c>
      <c r="H64">
        <v>7</v>
      </c>
      <c r="I64">
        <v>0</v>
      </c>
      <c r="J64">
        <v>0</v>
      </c>
      <c r="K64">
        <v>18</v>
      </c>
      <c r="L64">
        <v>0</v>
      </c>
      <c r="M64">
        <v>8</v>
      </c>
      <c r="N64">
        <v>42</v>
      </c>
      <c r="O64">
        <v>26</v>
      </c>
      <c r="P64">
        <v>75</v>
      </c>
      <c r="Q64">
        <v>0</v>
      </c>
      <c r="R64">
        <v>137</v>
      </c>
      <c r="S64">
        <v>1</v>
      </c>
      <c r="T64">
        <v>56</v>
      </c>
      <c r="U64">
        <f t="shared" ref="U64:U65" si="19">(N64+L64+M64)</f>
        <v>50</v>
      </c>
      <c r="V64" s="2">
        <f>(U$62-U64)/U$62</f>
        <v>0.50495049504950495</v>
      </c>
      <c r="Y64" s="136" t="s">
        <v>187</v>
      </c>
      <c r="Z64" s="12">
        <v>26</v>
      </c>
      <c r="AA64" s="12">
        <v>12</v>
      </c>
      <c r="AB64" s="12">
        <v>31</v>
      </c>
      <c r="AC64" s="12">
        <v>0</v>
      </c>
      <c r="AD64" s="12"/>
      <c r="AE64" s="12">
        <v>24</v>
      </c>
      <c r="AF64" s="12">
        <v>8</v>
      </c>
      <c r="AG64" s="12">
        <v>23</v>
      </c>
      <c r="AH64" s="12">
        <v>0</v>
      </c>
      <c r="AI64" s="12"/>
      <c r="AJ64" s="12">
        <v>2</v>
      </c>
      <c r="AK64" s="12">
        <v>1</v>
      </c>
      <c r="AL64" s="12">
        <v>4</v>
      </c>
      <c r="AM64" s="12">
        <v>0</v>
      </c>
      <c r="AP64" s="136" t="s">
        <v>187</v>
      </c>
      <c r="AQ64" s="146">
        <v>43</v>
      </c>
      <c r="AR64" s="12">
        <v>14</v>
      </c>
      <c r="AS64" s="12">
        <v>28</v>
      </c>
      <c r="AT64" s="12">
        <v>11</v>
      </c>
      <c r="AU64" s="12"/>
      <c r="AV64" s="146">
        <v>32</v>
      </c>
      <c r="AW64" s="146">
        <v>10</v>
      </c>
      <c r="AX64" s="146">
        <v>36</v>
      </c>
      <c r="AY64" s="146">
        <v>8</v>
      </c>
      <c r="AZ64" s="146"/>
      <c r="BA64" s="146">
        <v>30</v>
      </c>
      <c r="BB64" s="146">
        <v>7</v>
      </c>
      <c r="BC64" s="146">
        <v>36</v>
      </c>
      <c r="BD64" s="146">
        <v>4</v>
      </c>
    </row>
    <row r="65" spans="1:57" x14ac:dyDescent="0.2">
      <c r="A65" t="s">
        <v>49</v>
      </c>
      <c r="B65" t="s">
        <v>21</v>
      </c>
      <c r="C65" t="s">
        <v>22</v>
      </c>
      <c r="D65" t="s">
        <v>23</v>
      </c>
      <c r="E65" t="s">
        <v>117</v>
      </c>
      <c r="F65">
        <v>3</v>
      </c>
      <c r="G65" t="s">
        <v>118</v>
      </c>
      <c r="H65">
        <v>2</v>
      </c>
      <c r="I65">
        <v>0</v>
      </c>
      <c r="J65">
        <v>0</v>
      </c>
      <c r="K65">
        <v>20</v>
      </c>
      <c r="L65">
        <v>0</v>
      </c>
      <c r="M65">
        <v>4</v>
      </c>
      <c r="N65">
        <v>66</v>
      </c>
      <c r="O65">
        <v>24</v>
      </c>
      <c r="P65">
        <v>92</v>
      </c>
      <c r="Q65">
        <v>0</v>
      </c>
      <c r="R65">
        <v>140</v>
      </c>
      <c r="S65">
        <v>1</v>
      </c>
      <c r="T65">
        <v>38</v>
      </c>
      <c r="U65">
        <f t="shared" si="19"/>
        <v>70</v>
      </c>
      <c r="V65" s="2">
        <f>(U$62-U65)/U$62</f>
        <v>0.30693069306930693</v>
      </c>
      <c r="Y65" s="136" t="s">
        <v>188</v>
      </c>
      <c r="Z65" s="12">
        <v>16</v>
      </c>
      <c r="AA65" s="12">
        <v>9</v>
      </c>
      <c r="AB65" s="12">
        <v>18</v>
      </c>
      <c r="AC65" s="12">
        <v>2</v>
      </c>
      <c r="AD65" s="12"/>
      <c r="AE65" s="12">
        <v>14</v>
      </c>
      <c r="AF65" s="12">
        <v>10</v>
      </c>
      <c r="AG65" s="12">
        <v>32</v>
      </c>
      <c r="AH65" s="12">
        <v>0</v>
      </c>
      <c r="AI65" s="12"/>
      <c r="AJ65" s="12">
        <v>8</v>
      </c>
      <c r="AK65" s="12">
        <v>3</v>
      </c>
      <c r="AL65" s="12">
        <v>11</v>
      </c>
      <c r="AM65" s="12">
        <v>0</v>
      </c>
      <c r="AP65" s="136" t="s">
        <v>188</v>
      </c>
      <c r="AQ65" s="146">
        <v>25</v>
      </c>
      <c r="AR65" s="12">
        <v>9</v>
      </c>
      <c r="AS65" s="12">
        <v>33</v>
      </c>
      <c r="AT65" s="12">
        <v>9</v>
      </c>
      <c r="AU65" s="12"/>
      <c r="AV65" s="146">
        <v>27</v>
      </c>
      <c r="AW65" s="146">
        <v>8</v>
      </c>
      <c r="AX65" s="146">
        <v>38</v>
      </c>
      <c r="AY65" s="146">
        <v>6</v>
      </c>
      <c r="AZ65" s="146"/>
      <c r="BA65" s="146">
        <v>17</v>
      </c>
      <c r="BB65" s="146">
        <v>4</v>
      </c>
      <c r="BC65" s="146">
        <v>25</v>
      </c>
      <c r="BD65" s="146">
        <v>3</v>
      </c>
    </row>
    <row r="66" spans="1:57" x14ac:dyDescent="0.2">
      <c r="A66" t="s">
        <v>53</v>
      </c>
      <c r="B66" t="s">
        <v>30</v>
      </c>
      <c r="C66" t="s">
        <v>22</v>
      </c>
      <c r="D66" t="s">
        <v>23</v>
      </c>
      <c r="E66" t="s">
        <v>38</v>
      </c>
      <c r="F66">
        <v>3</v>
      </c>
      <c r="G66" t="s">
        <v>25</v>
      </c>
      <c r="H66">
        <v>879</v>
      </c>
      <c r="I66">
        <v>483</v>
      </c>
      <c r="J66">
        <v>180</v>
      </c>
      <c r="K66">
        <v>0</v>
      </c>
      <c r="L66">
        <v>79</v>
      </c>
      <c r="M66">
        <v>0</v>
      </c>
      <c r="N66">
        <v>1364</v>
      </c>
      <c r="O66">
        <v>0</v>
      </c>
      <c r="P66">
        <v>995</v>
      </c>
      <c r="Q66">
        <v>0</v>
      </c>
      <c r="R66">
        <v>0</v>
      </c>
      <c r="S66">
        <v>0</v>
      </c>
      <c r="T66">
        <v>0</v>
      </c>
      <c r="U66" s="8">
        <f>(N66+L66+M66)*1/3</f>
        <v>481</v>
      </c>
      <c r="Y66" s="32" t="s">
        <v>189</v>
      </c>
      <c r="Z66" s="12">
        <v>86</v>
      </c>
      <c r="AA66" s="12">
        <v>6</v>
      </c>
      <c r="AB66" s="12">
        <v>24</v>
      </c>
      <c r="AC66" s="12">
        <v>16</v>
      </c>
      <c r="AD66" s="12"/>
      <c r="AE66" s="12">
        <v>96</v>
      </c>
      <c r="AF66" s="12">
        <v>3</v>
      </c>
      <c r="AG66" s="12">
        <v>24</v>
      </c>
      <c r="AH66" s="12">
        <v>11</v>
      </c>
      <c r="AI66" s="12"/>
      <c r="AJ66" s="12">
        <v>54</v>
      </c>
      <c r="AK66" s="12">
        <v>3</v>
      </c>
      <c r="AL66" s="12">
        <v>19</v>
      </c>
      <c r="AM66" s="12">
        <v>8</v>
      </c>
      <c r="AP66" s="32" t="s">
        <v>189</v>
      </c>
      <c r="AQ66" s="146">
        <v>26</v>
      </c>
      <c r="AR66" s="12">
        <v>2</v>
      </c>
      <c r="AS66" s="12">
        <v>26</v>
      </c>
      <c r="AT66" s="12">
        <v>30</v>
      </c>
      <c r="AU66" s="12"/>
      <c r="AV66" s="146">
        <v>35</v>
      </c>
      <c r="AW66" s="146">
        <v>1</v>
      </c>
      <c r="AX66" s="146">
        <v>35</v>
      </c>
      <c r="AY66" s="146">
        <v>31</v>
      </c>
      <c r="AZ66" s="146"/>
      <c r="BA66" s="146">
        <v>58</v>
      </c>
      <c r="BB66" s="146">
        <v>4</v>
      </c>
      <c r="BC66" s="146">
        <v>34</v>
      </c>
      <c r="BD66" s="146">
        <v>32</v>
      </c>
    </row>
    <row r="67" spans="1:57" x14ac:dyDescent="0.2">
      <c r="A67" t="s">
        <v>53</v>
      </c>
      <c r="B67" t="s">
        <v>30</v>
      </c>
      <c r="C67" t="s">
        <v>22</v>
      </c>
      <c r="D67" t="s">
        <v>23</v>
      </c>
      <c r="E67" t="s">
        <v>40</v>
      </c>
      <c r="F67">
        <v>3</v>
      </c>
      <c r="G67" t="s">
        <v>114</v>
      </c>
      <c r="H67">
        <v>128</v>
      </c>
      <c r="I67">
        <v>74</v>
      </c>
      <c r="J67">
        <v>4</v>
      </c>
      <c r="K67">
        <v>90</v>
      </c>
      <c r="L67">
        <v>19</v>
      </c>
      <c r="M67">
        <v>22</v>
      </c>
      <c r="N67">
        <v>143</v>
      </c>
      <c r="O67">
        <v>112</v>
      </c>
      <c r="P67">
        <v>480</v>
      </c>
      <c r="Q67">
        <v>0</v>
      </c>
      <c r="R67">
        <v>87</v>
      </c>
      <c r="S67">
        <v>4</v>
      </c>
      <c r="T67">
        <v>618</v>
      </c>
      <c r="U67">
        <f>(N67+L67+M67)</f>
        <v>184</v>
      </c>
      <c r="V67" s="73">
        <f>(U$66-U67)/U$66</f>
        <v>0.61746361746361744</v>
      </c>
      <c r="Y67" s="15" t="s">
        <v>267</v>
      </c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P67" s="15" t="s">
        <v>267</v>
      </c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</row>
    <row r="68" spans="1:57" x14ac:dyDescent="0.2">
      <c r="A68" t="s">
        <v>53</v>
      </c>
      <c r="B68" t="s">
        <v>30</v>
      </c>
      <c r="C68" t="s">
        <v>22</v>
      </c>
      <c r="D68" t="s">
        <v>23</v>
      </c>
      <c r="E68" t="s">
        <v>122</v>
      </c>
      <c r="F68">
        <v>3</v>
      </c>
      <c r="G68" t="s">
        <v>116</v>
      </c>
      <c r="H68">
        <v>127</v>
      </c>
      <c r="I68">
        <v>72</v>
      </c>
      <c r="J68">
        <v>4</v>
      </c>
      <c r="K68">
        <v>77</v>
      </c>
      <c r="L68">
        <v>16</v>
      </c>
      <c r="M68">
        <v>25</v>
      </c>
      <c r="N68">
        <v>149</v>
      </c>
      <c r="O68">
        <v>102</v>
      </c>
      <c r="P68">
        <v>470</v>
      </c>
      <c r="Q68">
        <v>0</v>
      </c>
      <c r="R68">
        <v>73</v>
      </c>
      <c r="S68">
        <v>3</v>
      </c>
      <c r="T68">
        <v>607</v>
      </c>
      <c r="U68">
        <f t="shared" ref="U68:U69" si="20">(N68+L68+M68)</f>
        <v>190</v>
      </c>
      <c r="V68" s="2">
        <f>(U$66-U68)/U$66</f>
        <v>0.60498960498960497</v>
      </c>
      <c r="Y68" s="136" t="s">
        <v>187</v>
      </c>
      <c r="Z68" s="147">
        <v>19</v>
      </c>
      <c r="AA68" s="12">
        <v>11</v>
      </c>
      <c r="AB68" s="147">
        <v>27</v>
      </c>
      <c r="AC68" s="147">
        <v>0</v>
      </c>
      <c r="AD68" s="147"/>
      <c r="AE68" s="147">
        <v>22</v>
      </c>
      <c r="AF68" s="12">
        <v>6</v>
      </c>
      <c r="AG68" s="147">
        <v>18</v>
      </c>
      <c r="AH68" s="147">
        <v>0</v>
      </c>
      <c r="AI68" s="147"/>
      <c r="AJ68" s="147">
        <v>1</v>
      </c>
      <c r="AK68" s="147">
        <v>0</v>
      </c>
      <c r="AL68" s="147">
        <v>2</v>
      </c>
      <c r="AM68" s="147">
        <v>0</v>
      </c>
      <c r="AP68" s="136" t="s">
        <v>187</v>
      </c>
      <c r="AQ68" s="147">
        <v>26</v>
      </c>
      <c r="AR68" s="12">
        <v>9</v>
      </c>
      <c r="AS68" s="147">
        <v>28</v>
      </c>
      <c r="AT68" s="147">
        <v>11</v>
      </c>
      <c r="AU68" s="147"/>
      <c r="AV68" s="147">
        <v>21</v>
      </c>
      <c r="AW68" s="147">
        <v>7</v>
      </c>
      <c r="AX68" s="147">
        <v>32</v>
      </c>
      <c r="AY68" s="147">
        <v>8</v>
      </c>
      <c r="AZ68" s="147"/>
      <c r="BA68" s="147">
        <v>14</v>
      </c>
      <c r="BB68" s="147">
        <v>4</v>
      </c>
      <c r="BC68" s="147">
        <v>32</v>
      </c>
      <c r="BD68" s="147">
        <v>4</v>
      </c>
    </row>
    <row r="69" spans="1:57" x14ac:dyDescent="0.2">
      <c r="A69" t="s">
        <v>53</v>
      </c>
      <c r="B69" t="s">
        <v>30</v>
      </c>
      <c r="C69" t="s">
        <v>22</v>
      </c>
      <c r="D69" t="s">
        <v>23</v>
      </c>
      <c r="E69" t="s">
        <v>123</v>
      </c>
      <c r="F69">
        <v>3</v>
      </c>
      <c r="G69" t="s">
        <v>118</v>
      </c>
      <c r="H69">
        <v>130</v>
      </c>
      <c r="I69">
        <v>67</v>
      </c>
      <c r="J69">
        <v>11</v>
      </c>
      <c r="K69">
        <v>60</v>
      </c>
      <c r="L69">
        <v>12</v>
      </c>
      <c r="M69">
        <v>13</v>
      </c>
      <c r="N69">
        <v>155</v>
      </c>
      <c r="O69">
        <v>73</v>
      </c>
      <c r="P69">
        <v>448</v>
      </c>
      <c r="Q69">
        <v>0</v>
      </c>
      <c r="R69">
        <v>120</v>
      </c>
      <c r="S69">
        <v>3</v>
      </c>
      <c r="T69">
        <v>645</v>
      </c>
      <c r="U69">
        <f t="shared" si="20"/>
        <v>180</v>
      </c>
      <c r="V69" s="2">
        <f>(U$66-U69)/U$66</f>
        <v>0.62577962577962576</v>
      </c>
      <c r="Y69" s="136" t="s">
        <v>188</v>
      </c>
      <c r="Z69" s="147">
        <v>7</v>
      </c>
      <c r="AA69" s="147">
        <v>7</v>
      </c>
      <c r="AB69" s="147">
        <v>13</v>
      </c>
      <c r="AC69" s="147">
        <v>2</v>
      </c>
      <c r="AD69" s="147"/>
      <c r="AE69" s="147">
        <v>8</v>
      </c>
      <c r="AF69" s="147">
        <v>6</v>
      </c>
      <c r="AG69" s="147">
        <v>15</v>
      </c>
      <c r="AH69" s="147">
        <v>0</v>
      </c>
      <c r="AI69" s="147"/>
      <c r="AJ69" s="147">
        <v>3</v>
      </c>
      <c r="AK69" s="147">
        <v>1</v>
      </c>
      <c r="AL69" s="147">
        <v>4</v>
      </c>
      <c r="AM69" s="147">
        <v>0</v>
      </c>
      <c r="AP69" s="136" t="s">
        <v>188</v>
      </c>
      <c r="AQ69" s="147">
        <v>15</v>
      </c>
      <c r="AR69" s="147">
        <v>8</v>
      </c>
      <c r="AS69" s="147">
        <v>22</v>
      </c>
      <c r="AT69" s="147">
        <v>9</v>
      </c>
      <c r="AU69" s="147"/>
      <c r="AV69" s="147">
        <v>17</v>
      </c>
      <c r="AW69" s="147">
        <v>8</v>
      </c>
      <c r="AX69" s="147">
        <v>27</v>
      </c>
      <c r="AY69" s="147">
        <v>5</v>
      </c>
      <c r="AZ69" s="147"/>
      <c r="BA69" s="147">
        <v>10</v>
      </c>
      <c r="BB69" s="147">
        <v>3</v>
      </c>
      <c r="BC69" s="147">
        <v>10</v>
      </c>
      <c r="BD69" s="147">
        <v>1</v>
      </c>
    </row>
    <row r="70" spans="1:57" x14ac:dyDescent="0.2">
      <c r="A70" t="s">
        <v>54</v>
      </c>
      <c r="B70" t="s">
        <v>30</v>
      </c>
      <c r="C70" t="s">
        <v>22</v>
      </c>
      <c r="D70" t="s">
        <v>23</v>
      </c>
      <c r="E70" t="s">
        <v>42</v>
      </c>
      <c r="F70">
        <v>3</v>
      </c>
      <c r="G70" t="s">
        <v>25</v>
      </c>
      <c r="H70">
        <v>60</v>
      </c>
      <c r="I70">
        <v>1479</v>
      </c>
      <c r="J70">
        <v>1209</v>
      </c>
      <c r="K70">
        <v>0</v>
      </c>
      <c r="L70">
        <v>19</v>
      </c>
      <c r="M70">
        <v>0</v>
      </c>
      <c r="N70">
        <v>215</v>
      </c>
      <c r="O70">
        <v>0</v>
      </c>
      <c r="P70">
        <v>994</v>
      </c>
      <c r="Q70">
        <v>0</v>
      </c>
      <c r="R70">
        <v>0</v>
      </c>
      <c r="S70">
        <v>0</v>
      </c>
      <c r="T70">
        <v>0</v>
      </c>
      <c r="U70" s="8">
        <f>(N70+L70+M70)*1/3</f>
        <v>78</v>
      </c>
      <c r="Y70" s="32" t="s">
        <v>189</v>
      </c>
      <c r="Z70" s="35">
        <v>21</v>
      </c>
      <c r="AA70" s="35">
        <v>1</v>
      </c>
      <c r="AB70" s="35">
        <v>14</v>
      </c>
      <c r="AC70" s="35">
        <v>9</v>
      </c>
      <c r="AD70" s="35"/>
      <c r="AE70" s="35">
        <v>33</v>
      </c>
      <c r="AF70" s="35">
        <v>0</v>
      </c>
      <c r="AG70" s="35">
        <v>21</v>
      </c>
      <c r="AH70" s="35">
        <v>4</v>
      </c>
      <c r="AI70" s="35"/>
      <c r="AJ70" s="35">
        <v>2</v>
      </c>
      <c r="AK70" s="35">
        <v>0</v>
      </c>
      <c r="AL70" s="35">
        <v>8</v>
      </c>
      <c r="AM70" s="35">
        <v>2</v>
      </c>
      <c r="AP70" s="32" t="s">
        <v>189</v>
      </c>
      <c r="AQ70" s="35">
        <v>4</v>
      </c>
      <c r="AR70" s="35">
        <v>0</v>
      </c>
      <c r="AS70" s="35">
        <v>22</v>
      </c>
      <c r="AT70" s="35">
        <v>25</v>
      </c>
      <c r="AU70" s="35"/>
      <c r="AV70" s="35">
        <v>5</v>
      </c>
      <c r="AW70" s="35">
        <v>0</v>
      </c>
      <c r="AX70" s="35">
        <v>27</v>
      </c>
      <c r="AY70" s="35">
        <v>23</v>
      </c>
      <c r="AZ70" s="35"/>
      <c r="BA70" s="35">
        <v>9</v>
      </c>
      <c r="BB70" s="35">
        <v>0</v>
      </c>
      <c r="BC70" s="35">
        <v>21</v>
      </c>
      <c r="BD70" s="35">
        <v>20</v>
      </c>
    </row>
    <row r="71" spans="1:57" x14ac:dyDescent="0.2">
      <c r="A71" t="s">
        <v>54</v>
      </c>
      <c r="B71" t="s">
        <v>30</v>
      </c>
      <c r="C71" t="s">
        <v>22</v>
      </c>
      <c r="D71" t="s">
        <v>23</v>
      </c>
      <c r="E71" t="s">
        <v>44</v>
      </c>
      <c r="F71">
        <v>3</v>
      </c>
      <c r="G71" t="s">
        <v>114</v>
      </c>
      <c r="H71">
        <v>17</v>
      </c>
      <c r="I71">
        <v>408</v>
      </c>
      <c r="J71">
        <v>74</v>
      </c>
      <c r="K71">
        <v>340</v>
      </c>
      <c r="L71">
        <v>3</v>
      </c>
      <c r="M71">
        <v>15</v>
      </c>
      <c r="N71">
        <v>36</v>
      </c>
      <c r="O71">
        <v>355</v>
      </c>
      <c r="P71">
        <v>893</v>
      </c>
      <c r="Q71">
        <v>0</v>
      </c>
      <c r="R71">
        <v>89</v>
      </c>
      <c r="S71">
        <v>5</v>
      </c>
      <c r="T71">
        <v>40</v>
      </c>
      <c r="U71">
        <f>(N71+L71+M71)</f>
        <v>54</v>
      </c>
      <c r="V71" s="2">
        <f>(U$70-U71)/U$70</f>
        <v>0.30769230769230771</v>
      </c>
      <c r="Y71" s="135" t="s">
        <v>268</v>
      </c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P71" s="135" t="s">
        <v>268</v>
      </c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</row>
    <row r="72" spans="1:57" x14ac:dyDescent="0.2">
      <c r="A72" t="s">
        <v>54</v>
      </c>
      <c r="B72" t="s">
        <v>30</v>
      </c>
      <c r="C72" t="s">
        <v>22</v>
      </c>
      <c r="D72" t="s">
        <v>23</v>
      </c>
      <c r="E72" t="s">
        <v>127</v>
      </c>
      <c r="F72">
        <v>3</v>
      </c>
      <c r="G72" t="s">
        <v>116</v>
      </c>
      <c r="H72">
        <v>14</v>
      </c>
      <c r="I72">
        <v>420</v>
      </c>
      <c r="J72">
        <v>65</v>
      </c>
      <c r="K72">
        <v>327</v>
      </c>
      <c r="L72">
        <v>4</v>
      </c>
      <c r="M72">
        <v>14</v>
      </c>
      <c r="N72">
        <v>30</v>
      </c>
      <c r="O72">
        <v>341</v>
      </c>
      <c r="P72">
        <v>874</v>
      </c>
      <c r="Q72">
        <v>0</v>
      </c>
      <c r="R72">
        <v>100</v>
      </c>
      <c r="S72">
        <v>5</v>
      </c>
      <c r="T72">
        <v>45</v>
      </c>
      <c r="U72">
        <f t="shared" ref="U72:U73" si="21">(N72+L72+M72)</f>
        <v>48</v>
      </c>
      <c r="V72" s="2">
        <f>(U$70-U72)/U$70</f>
        <v>0.38461538461538464</v>
      </c>
      <c r="Y72" s="16" t="s">
        <v>187</v>
      </c>
      <c r="Z72" s="12">
        <v>33</v>
      </c>
      <c r="AA72" s="12">
        <v>6</v>
      </c>
      <c r="AB72" s="12">
        <v>20</v>
      </c>
      <c r="AC72" s="12">
        <v>0</v>
      </c>
      <c r="AD72" s="12"/>
      <c r="AE72" s="12">
        <v>27</v>
      </c>
      <c r="AF72" s="12">
        <v>9</v>
      </c>
      <c r="AG72" s="12">
        <v>18</v>
      </c>
      <c r="AH72" s="12">
        <v>2</v>
      </c>
      <c r="AI72" s="12"/>
      <c r="AJ72" s="12">
        <v>5</v>
      </c>
      <c r="AK72" s="12">
        <v>3</v>
      </c>
      <c r="AL72" s="12">
        <v>4</v>
      </c>
      <c r="AM72" s="12">
        <v>0</v>
      </c>
      <c r="AP72" s="16" t="s">
        <v>187</v>
      </c>
      <c r="AQ72" s="12">
        <v>533</v>
      </c>
      <c r="AR72" s="12">
        <v>35</v>
      </c>
      <c r="AS72" s="12">
        <v>57</v>
      </c>
      <c r="AT72" s="12">
        <v>27</v>
      </c>
      <c r="AU72" s="12"/>
      <c r="AV72" s="12">
        <v>557</v>
      </c>
      <c r="AW72" s="12">
        <v>37</v>
      </c>
      <c r="AX72" s="12">
        <v>74</v>
      </c>
      <c r="AY72" s="12">
        <v>40</v>
      </c>
      <c r="AZ72" s="12"/>
      <c r="BA72" s="12">
        <v>600</v>
      </c>
      <c r="BB72" s="12">
        <v>55</v>
      </c>
      <c r="BC72" s="12">
        <v>93</v>
      </c>
      <c r="BD72" s="12">
        <v>66</v>
      </c>
    </row>
    <row r="73" spans="1:57" x14ac:dyDescent="0.2">
      <c r="A73" t="s">
        <v>54</v>
      </c>
      <c r="B73" t="s">
        <v>30</v>
      </c>
      <c r="C73" t="s">
        <v>22</v>
      </c>
      <c r="D73" t="s">
        <v>23</v>
      </c>
      <c r="E73" t="s">
        <v>128</v>
      </c>
      <c r="F73">
        <v>3</v>
      </c>
      <c r="G73" t="s">
        <v>118</v>
      </c>
      <c r="H73">
        <v>11</v>
      </c>
      <c r="I73">
        <v>536</v>
      </c>
      <c r="J73">
        <v>88</v>
      </c>
      <c r="K73">
        <v>170</v>
      </c>
      <c r="L73">
        <v>3</v>
      </c>
      <c r="M73">
        <v>4</v>
      </c>
      <c r="N73">
        <v>48</v>
      </c>
      <c r="O73">
        <v>174</v>
      </c>
      <c r="P73">
        <v>860</v>
      </c>
      <c r="Q73">
        <v>0</v>
      </c>
      <c r="R73">
        <v>140</v>
      </c>
      <c r="S73">
        <v>4</v>
      </c>
      <c r="T73">
        <v>44</v>
      </c>
      <c r="U73">
        <f t="shared" si="21"/>
        <v>55</v>
      </c>
      <c r="V73" s="2">
        <f>(U$70-U73)/U$70</f>
        <v>0.29487179487179488</v>
      </c>
      <c r="Y73" s="16" t="s">
        <v>188</v>
      </c>
      <c r="Z73" s="12">
        <v>56</v>
      </c>
      <c r="AA73" s="12">
        <v>14</v>
      </c>
      <c r="AB73" s="12">
        <v>25</v>
      </c>
      <c r="AC73" s="12">
        <v>3</v>
      </c>
      <c r="AD73" s="12"/>
      <c r="AE73" s="12">
        <v>66</v>
      </c>
      <c r="AF73" s="12">
        <v>12</v>
      </c>
      <c r="AG73" s="12">
        <v>22</v>
      </c>
      <c r="AH73" s="12">
        <v>4</v>
      </c>
      <c r="AI73" s="12"/>
      <c r="AJ73" s="12">
        <v>57</v>
      </c>
      <c r="AK73" s="12">
        <v>15</v>
      </c>
      <c r="AL73" s="12">
        <v>17</v>
      </c>
      <c r="AM73" s="12">
        <v>1</v>
      </c>
      <c r="AP73" s="16" t="s">
        <v>188</v>
      </c>
      <c r="AQ73" s="12">
        <v>87</v>
      </c>
      <c r="AR73" s="12">
        <v>22</v>
      </c>
      <c r="AS73" s="12">
        <v>63</v>
      </c>
      <c r="AT73" s="12">
        <v>6</v>
      </c>
      <c r="AU73" s="12"/>
      <c r="AV73" s="12">
        <v>83</v>
      </c>
      <c r="AW73" s="12">
        <v>18</v>
      </c>
      <c r="AX73" s="12">
        <v>58</v>
      </c>
      <c r="AY73" s="12">
        <v>8</v>
      </c>
      <c r="AZ73" s="12"/>
      <c r="BA73" s="12">
        <v>98</v>
      </c>
      <c r="BB73" s="156">
        <v>33</v>
      </c>
      <c r="BC73" s="12">
        <v>71</v>
      </c>
      <c r="BD73" s="12">
        <v>7</v>
      </c>
    </row>
    <row r="74" spans="1:57" x14ac:dyDescent="0.2">
      <c r="A74" t="s">
        <v>55</v>
      </c>
      <c r="B74" t="s">
        <v>30</v>
      </c>
      <c r="C74" t="s">
        <v>22</v>
      </c>
      <c r="D74" t="s">
        <v>23</v>
      </c>
      <c r="E74" t="s">
        <v>46</v>
      </c>
      <c r="F74">
        <v>3</v>
      </c>
      <c r="G74" t="s">
        <v>25</v>
      </c>
      <c r="H74">
        <v>89</v>
      </c>
      <c r="I74">
        <v>325</v>
      </c>
      <c r="J74">
        <v>558</v>
      </c>
      <c r="K74">
        <v>0</v>
      </c>
      <c r="L74">
        <v>177</v>
      </c>
      <c r="M74">
        <v>0</v>
      </c>
      <c r="N74">
        <v>894</v>
      </c>
      <c r="O74">
        <v>0</v>
      </c>
      <c r="P74">
        <v>681</v>
      </c>
      <c r="Q74">
        <v>0</v>
      </c>
      <c r="R74">
        <v>0</v>
      </c>
      <c r="S74">
        <v>0</v>
      </c>
      <c r="T74">
        <v>0</v>
      </c>
      <c r="U74" s="8">
        <f>(N74+L74+M74)*1/3</f>
        <v>357</v>
      </c>
      <c r="Y74" s="32" t="s">
        <v>189</v>
      </c>
      <c r="Z74" s="12">
        <v>217</v>
      </c>
      <c r="AA74" s="12">
        <v>24</v>
      </c>
      <c r="AB74" s="12">
        <v>17</v>
      </c>
      <c r="AC74" s="12">
        <v>10</v>
      </c>
      <c r="AD74" s="12"/>
      <c r="AE74" s="12">
        <v>191</v>
      </c>
      <c r="AF74" s="12">
        <v>11</v>
      </c>
      <c r="AG74" s="12">
        <v>17</v>
      </c>
      <c r="AH74" s="12">
        <v>6</v>
      </c>
      <c r="AI74" s="12"/>
      <c r="AJ74" s="12">
        <v>177</v>
      </c>
      <c r="AK74" s="12">
        <v>14</v>
      </c>
      <c r="AL74" s="12">
        <v>27</v>
      </c>
      <c r="AM74" s="12">
        <v>6</v>
      </c>
      <c r="AP74" s="32" t="s">
        <v>189</v>
      </c>
      <c r="AQ74" s="12">
        <v>107</v>
      </c>
      <c r="AR74" s="12">
        <v>10</v>
      </c>
      <c r="AS74" s="12">
        <v>91</v>
      </c>
      <c r="AT74" s="12">
        <v>9</v>
      </c>
      <c r="AU74" s="12"/>
      <c r="AV74" s="12">
        <v>101</v>
      </c>
      <c r="AW74" s="12">
        <v>19</v>
      </c>
      <c r="AX74" s="12">
        <v>77</v>
      </c>
      <c r="AY74" s="12">
        <v>7</v>
      </c>
      <c r="AZ74" s="12"/>
      <c r="BA74" s="12">
        <v>145</v>
      </c>
      <c r="BB74" s="12">
        <v>17</v>
      </c>
      <c r="BC74" s="12">
        <v>85</v>
      </c>
      <c r="BD74" s="12">
        <v>14</v>
      </c>
    </row>
    <row r="75" spans="1:57" x14ac:dyDescent="0.2">
      <c r="A75" t="s">
        <v>55</v>
      </c>
      <c r="B75" t="s">
        <v>30</v>
      </c>
      <c r="C75" t="s">
        <v>22</v>
      </c>
      <c r="D75" t="s">
        <v>23</v>
      </c>
      <c r="E75" t="s">
        <v>48</v>
      </c>
      <c r="F75">
        <v>3</v>
      </c>
      <c r="G75" t="s">
        <v>114</v>
      </c>
      <c r="H75">
        <v>14</v>
      </c>
      <c r="I75">
        <v>49</v>
      </c>
      <c r="J75">
        <v>18</v>
      </c>
      <c r="K75">
        <v>68</v>
      </c>
      <c r="L75">
        <v>16</v>
      </c>
      <c r="M75">
        <v>35</v>
      </c>
      <c r="N75">
        <v>88</v>
      </c>
      <c r="O75">
        <v>103</v>
      </c>
      <c r="P75">
        <v>288</v>
      </c>
      <c r="Q75">
        <v>0</v>
      </c>
      <c r="R75">
        <v>265</v>
      </c>
      <c r="S75">
        <v>1</v>
      </c>
      <c r="T75">
        <v>310</v>
      </c>
      <c r="U75">
        <f>(N75+L75+M75)</f>
        <v>139</v>
      </c>
      <c r="V75" s="2">
        <f>(U$74-U75)/U$74</f>
        <v>0.61064425770308128</v>
      </c>
      <c r="Y75" s="100" t="s">
        <v>263</v>
      </c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P75" s="100" t="s">
        <v>263</v>
      </c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</row>
    <row r="76" spans="1:57" x14ac:dyDescent="0.2">
      <c r="A76" t="s">
        <v>55</v>
      </c>
      <c r="B76" t="s">
        <v>30</v>
      </c>
      <c r="C76" t="s">
        <v>22</v>
      </c>
      <c r="D76" t="s">
        <v>23</v>
      </c>
      <c r="E76" t="s">
        <v>132</v>
      </c>
      <c r="F76">
        <v>3</v>
      </c>
      <c r="G76" t="s">
        <v>116</v>
      </c>
      <c r="H76">
        <v>18</v>
      </c>
      <c r="I76">
        <v>61</v>
      </c>
      <c r="J76">
        <v>22</v>
      </c>
      <c r="K76">
        <v>53</v>
      </c>
      <c r="L76">
        <v>28</v>
      </c>
      <c r="M76">
        <v>42</v>
      </c>
      <c r="N76">
        <v>80</v>
      </c>
      <c r="O76">
        <v>95</v>
      </c>
      <c r="P76">
        <v>304</v>
      </c>
      <c r="Q76">
        <v>0</v>
      </c>
      <c r="R76">
        <v>259</v>
      </c>
      <c r="S76">
        <v>1</v>
      </c>
      <c r="T76">
        <v>279</v>
      </c>
      <c r="U76">
        <f t="shared" ref="U76:U77" si="22">(N76+L76+M76)</f>
        <v>150</v>
      </c>
      <c r="V76" s="2">
        <f>(U$74-U76)/U$74</f>
        <v>0.57983193277310929</v>
      </c>
      <c r="Y76" s="125" t="s">
        <v>187</v>
      </c>
      <c r="Z76" s="143">
        <f>Z56/$P$51*100</f>
        <v>16.737739872068229</v>
      </c>
      <c r="AA76" s="143">
        <f>AA56/$P$55*100</f>
        <v>52.564102564102569</v>
      </c>
      <c r="AB76" s="143">
        <f>AB56/$P$59*100</f>
        <v>39.243498817966902</v>
      </c>
      <c r="AC76" s="143">
        <f>AC56/$P$63*100</f>
        <v>1.639344262295082</v>
      </c>
      <c r="AD76" s="143"/>
      <c r="AE76" s="143">
        <f>AE56/$P$52*100</f>
        <v>15.384615384615385</v>
      </c>
      <c r="AF76" s="143">
        <f>AF56/$P$56*100</f>
        <v>54.476806903991374</v>
      </c>
      <c r="AG76" s="143">
        <f>AG56/$P$60*100</f>
        <v>34.18013856812933</v>
      </c>
      <c r="AH76" s="143">
        <f>AH56/$P$64*100</f>
        <v>2.666666666666667</v>
      </c>
      <c r="AI76" s="143"/>
      <c r="AJ76" s="143">
        <f>AJ56/$P$53*100</f>
        <v>3.6383682469680267</v>
      </c>
      <c r="AK76" s="143">
        <f>AK56/$P$57*100</f>
        <v>16.207276736493938</v>
      </c>
      <c r="AL76" s="143">
        <f>AL56/$P$61*100</f>
        <v>9.7989949748743719</v>
      </c>
      <c r="AM76" s="143">
        <f>AM56/$P$65*100</f>
        <v>0</v>
      </c>
      <c r="AP76" s="125" t="s">
        <v>187</v>
      </c>
      <c r="AQ76" s="107">
        <f>AQ56/$P$51*100</f>
        <v>83.262260127931768</v>
      </c>
      <c r="AR76" s="107">
        <f>AR56/$P$55*100</f>
        <v>47.435897435897431</v>
      </c>
      <c r="AS76" s="107">
        <f>AS56/$P$59*100</f>
        <v>60.756501182033098</v>
      </c>
      <c r="AT76" s="107">
        <f>AT56/$P$63*100</f>
        <v>98.360655737704917</v>
      </c>
      <c r="AU76" s="107"/>
      <c r="AV76" s="107">
        <f>AV56/$P$52*100</f>
        <v>84.615384615384613</v>
      </c>
      <c r="AW76" s="107">
        <f>AW56/$P$56*100</f>
        <v>45.523193096008626</v>
      </c>
      <c r="AX76" s="107">
        <f>AX56/$P$60*100</f>
        <v>65.819861431870677</v>
      </c>
      <c r="AY76" s="107">
        <f>AY56/$P$64*100</f>
        <v>97.333333333333343</v>
      </c>
      <c r="AZ76" s="107"/>
      <c r="BA76" s="107">
        <f>BA56/$P$53*100</f>
        <v>96.361631753031972</v>
      </c>
      <c r="BB76" s="107">
        <f>BB56/$P$57*100</f>
        <v>83.792723263506062</v>
      </c>
      <c r="BC76" s="107">
        <f>BC56/$P$61*100</f>
        <v>90.201005025125625</v>
      </c>
      <c r="BD76" s="107">
        <f>BD56/$P$65*100</f>
        <v>100</v>
      </c>
    </row>
    <row r="77" spans="1:57" x14ac:dyDescent="0.2">
      <c r="A77" t="s">
        <v>55</v>
      </c>
      <c r="B77" t="s">
        <v>30</v>
      </c>
      <c r="C77" t="s">
        <v>22</v>
      </c>
      <c r="D77" t="s">
        <v>23</v>
      </c>
      <c r="E77" t="s">
        <v>133</v>
      </c>
      <c r="F77">
        <v>3</v>
      </c>
      <c r="G77" t="s">
        <v>118</v>
      </c>
      <c r="H77">
        <v>15</v>
      </c>
      <c r="I77">
        <v>64</v>
      </c>
      <c r="J77">
        <v>18</v>
      </c>
      <c r="K77">
        <v>31</v>
      </c>
      <c r="L77">
        <v>22</v>
      </c>
      <c r="M77">
        <v>14</v>
      </c>
      <c r="N77">
        <v>88</v>
      </c>
      <c r="O77">
        <v>45</v>
      </c>
      <c r="P77">
        <v>252</v>
      </c>
      <c r="Q77">
        <v>0</v>
      </c>
      <c r="R77">
        <v>309</v>
      </c>
      <c r="S77">
        <v>1</v>
      </c>
      <c r="T77">
        <v>344</v>
      </c>
      <c r="U77">
        <f t="shared" si="22"/>
        <v>124</v>
      </c>
      <c r="V77" s="2">
        <f>(U$74-U77)/U$74</f>
        <v>0.65266106442577032</v>
      </c>
      <c r="Y77" s="125" t="s">
        <v>188</v>
      </c>
      <c r="Z77" s="143">
        <f>Z57/$P$67*100</f>
        <v>42.916666666666664</v>
      </c>
      <c r="AA77" s="143">
        <f>AA57/$P$71*100</f>
        <v>67.077267637178053</v>
      </c>
      <c r="AB77" s="143">
        <f>AB57/$P$75*100</f>
        <v>36.805555555555557</v>
      </c>
      <c r="AC77" s="143">
        <f>AC57/$P$79*100</f>
        <v>28.8135593220339</v>
      </c>
      <c r="AD77" s="143"/>
      <c r="AE77" s="143">
        <f>AE57/$P$68*100</f>
        <v>48.51063829787234</v>
      </c>
      <c r="AF77" s="143">
        <f>AF57/$P$72*100</f>
        <v>72.997711670480541</v>
      </c>
      <c r="AG77" s="143">
        <f>AG57/$P$76*100</f>
        <v>40.789473684210527</v>
      </c>
      <c r="AH77" s="143">
        <f>AH57/$P$80*100</f>
        <v>30.357142857142854</v>
      </c>
      <c r="AI77" s="143"/>
      <c r="AJ77" s="143">
        <f>AJ57/$P$69*100</f>
        <v>37.723214285714285</v>
      </c>
      <c r="AK77" s="143">
        <f>AK57/$P$73*100</f>
        <v>65.697674418604649</v>
      </c>
      <c r="AL77" s="143">
        <f>AL57/$P$77*100</f>
        <v>25.793650793650798</v>
      </c>
      <c r="AM77" s="143">
        <f>AM57/$P$81*100</f>
        <v>28.571428571428569</v>
      </c>
      <c r="AP77" s="125" t="s">
        <v>188</v>
      </c>
      <c r="AQ77" s="107">
        <f>AQ57/$P$67*100</f>
        <v>57.083333333333329</v>
      </c>
      <c r="AR77" s="107">
        <f>AR57/$P$71*100</f>
        <v>32.922732362821947</v>
      </c>
      <c r="AS77" s="107">
        <f>AS57/$P$75*100</f>
        <v>63.194444444444443</v>
      </c>
      <c r="AT77" s="107">
        <f>AT57/$P$79*100</f>
        <v>71.186440677966104</v>
      </c>
      <c r="AU77" s="107"/>
      <c r="AV77" s="107">
        <f>AV57/$P$68*100</f>
        <v>51.489361702127653</v>
      </c>
      <c r="AW77" s="107">
        <f>AW57/$P$72*100</f>
        <v>27.002288329519452</v>
      </c>
      <c r="AX77" s="107">
        <f>AX57/$P$76*100</f>
        <v>59.210526315789465</v>
      </c>
      <c r="AY77" s="107">
        <f>AY57/$P$80*100</f>
        <v>69.642857142857139</v>
      </c>
      <c r="AZ77" s="107"/>
      <c r="BA77" s="107">
        <f>BA57/$P$69*100</f>
        <v>62.276785714285708</v>
      </c>
      <c r="BB77" s="107">
        <f>BB57/$P$73*100</f>
        <v>34.302325581395351</v>
      </c>
      <c r="BC77" s="107">
        <f>BC57/$P$77*100</f>
        <v>74.206349206349216</v>
      </c>
      <c r="BD77" s="107">
        <f>BD57/$P$81*100</f>
        <v>71.428571428571431</v>
      </c>
    </row>
    <row r="78" spans="1:57" x14ac:dyDescent="0.2">
      <c r="A78" t="s">
        <v>56</v>
      </c>
      <c r="B78" t="s">
        <v>30</v>
      </c>
      <c r="C78" t="s">
        <v>22</v>
      </c>
      <c r="D78" t="s">
        <v>23</v>
      </c>
      <c r="E78" t="s">
        <v>50</v>
      </c>
      <c r="F78">
        <v>3</v>
      </c>
      <c r="G78" t="s">
        <v>25</v>
      </c>
      <c r="H78">
        <v>109</v>
      </c>
      <c r="I78">
        <v>155</v>
      </c>
      <c r="J78">
        <v>141</v>
      </c>
      <c r="K78">
        <v>0</v>
      </c>
      <c r="L78">
        <v>34</v>
      </c>
      <c r="M78">
        <v>0</v>
      </c>
      <c r="N78">
        <v>149</v>
      </c>
      <c r="O78">
        <v>0</v>
      </c>
      <c r="P78">
        <v>196</v>
      </c>
      <c r="Q78">
        <v>0</v>
      </c>
      <c r="R78">
        <v>0</v>
      </c>
      <c r="S78">
        <v>0</v>
      </c>
      <c r="T78">
        <v>0</v>
      </c>
      <c r="U78" s="8">
        <f>(N78+L78+M78)*1/3</f>
        <v>61</v>
      </c>
      <c r="Y78" s="125" t="s">
        <v>189</v>
      </c>
      <c r="Z78" s="143">
        <f>Z58/$P$83*100</f>
        <v>72.180451127819538</v>
      </c>
      <c r="AA78" s="143">
        <f>AA58/$P$87*100</f>
        <v>78.731343283582092</v>
      </c>
      <c r="AB78" s="143">
        <f>AB58/$P$91*100</f>
        <v>47.094801223241589</v>
      </c>
      <c r="AC78" s="143">
        <f>AC58/$P$95*100</f>
        <v>41.25</v>
      </c>
      <c r="AD78" s="97">
        <f>AVERAGE(Z76:AC78)</f>
        <v>43.754527527709172</v>
      </c>
      <c r="AE78" s="143">
        <f>AE58/$P$84*100</f>
        <v>69.337442218798145</v>
      </c>
      <c r="AF78" s="143">
        <f>AF58/$P$88*100</f>
        <v>71.455576559546316</v>
      </c>
      <c r="AG78" s="143">
        <f>AG58/$P$92*100</f>
        <v>44.117647058823529</v>
      </c>
      <c r="AH78" s="143">
        <f>AH58/$P$96*100</f>
        <v>33.802816901408448</v>
      </c>
      <c r="AI78" s="97">
        <f>AVERAGE(AE76:AH78)</f>
        <v>43.173056397640458</v>
      </c>
      <c r="AJ78" s="143">
        <f>AJ58/$P$85*100</f>
        <v>53.201219512195117</v>
      </c>
      <c r="AK78" s="143">
        <f>AK58/$P$89*100</f>
        <v>47.718631178707227</v>
      </c>
      <c r="AL78" s="143">
        <f>AL58/$P$93*100</f>
        <v>34.857142857142861</v>
      </c>
      <c r="AM78" s="143">
        <f>AM58/$P$97*100</f>
        <v>26.582278481012654</v>
      </c>
      <c r="AN78" s="30">
        <f>AVERAGE(AJ76:AM78)</f>
        <v>29.149156671399371</v>
      </c>
      <c r="AP78" s="125" t="s">
        <v>189</v>
      </c>
      <c r="AQ78" s="107">
        <f>AQ58/$P$83*100</f>
        <v>27.819548872180448</v>
      </c>
      <c r="AR78" s="107">
        <f>AR58/$P$87*100</f>
        <v>21.268656716417912</v>
      </c>
      <c r="AS78" s="107">
        <f>AS58/$P$91*100</f>
        <v>52.905198776758411</v>
      </c>
      <c r="AT78" s="107">
        <f>AT58/$P$95*100</f>
        <v>58.75</v>
      </c>
      <c r="AU78" s="98">
        <f>AVERAGE(AQ76:AT78)</f>
        <v>56.245472472290821</v>
      </c>
      <c r="AV78" s="107">
        <f>AV58/$P$84*100</f>
        <v>30.662557781201848</v>
      </c>
      <c r="AW78" s="107">
        <f>AW58/$P$88*100</f>
        <v>28.544423440453688</v>
      </c>
      <c r="AX78" s="107">
        <f>AX58/$P$92*100</f>
        <v>55.882352941176471</v>
      </c>
      <c r="AY78" s="107">
        <f>AY58/$P$96*100</f>
        <v>66.197183098591552</v>
      </c>
      <c r="AZ78" s="98">
        <f>AVERAGE(AV76:AY78)</f>
        <v>56.826943602359542</v>
      </c>
      <c r="BA78" s="107">
        <f>BA58/$P$85*100</f>
        <v>46.798780487804883</v>
      </c>
      <c r="BB78" s="107">
        <f>BB58/$P$89*100</f>
        <v>52.281368821292773</v>
      </c>
      <c r="BC78" s="107">
        <f>BC58/$P$93*100</f>
        <v>65.142857142857153</v>
      </c>
      <c r="BD78" s="107">
        <f>BD58/$P$97*100</f>
        <v>73.417721518987349</v>
      </c>
      <c r="BE78" s="30">
        <f>AVERAGE(BA76:BD78)</f>
        <v>70.850843328600618</v>
      </c>
    </row>
    <row r="79" spans="1:57" x14ac:dyDescent="0.2">
      <c r="A79" t="s">
        <v>56</v>
      </c>
      <c r="B79" t="s">
        <v>30</v>
      </c>
      <c r="C79" t="s">
        <v>22</v>
      </c>
      <c r="D79" t="s">
        <v>23</v>
      </c>
      <c r="E79" t="s">
        <v>52</v>
      </c>
      <c r="F79">
        <v>3</v>
      </c>
      <c r="G79" t="s">
        <v>114</v>
      </c>
      <c r="H79">
        <v>13</v>
      </c>
      <c r="I79">
        <v>11</v>
      </c>
      <c r="J79">
        <v>1</v>
      </c>
      <c r="K79">
        <v>14</v>
      </c>
      <c r="L79">
        <v>0</v>
      </c>
      <c r="M79">
        <v>11</v>
      </c>
      <c r="N79">
        <v>9</v>
      </c>
      <c r="O79">
        <v>25</v>
      </c>
      <c r="P79">
        <v>59</v>
      </c>
      <c r="Q79">
        <v>0</v>
      </c>
      <c r="R79">
        <v>75</v>
      </c>
      <c r="S79">
        <v>1</v>
      </c>
      <c r="T79">
        <v>153</v>
      </c>
      <c r="U79">
        <f>(N79+L79+M79)</f>
        <v>20</v>
      </c>
      <c r="V79" s="2">
        <f>(U$78-U79)/U$78</f>
        <v>0.67213114754098358</v>
      </c>
      <c r="Y79" s="15" t="s">
        <v>279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P79" s="15" t="s">
        <v>279</v>
      </c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</row>
    <row r="80" spans="1:57" x14ac:dyDescent="0.2">
      <c r="A80" t="s">
        <v>56</v>
      </c>
      <c r="B80" t="s">
        <v>30</v>
      </c>
      <c r="C80" t="s">
        <v>22</v>
      </c>
      <c r="D80" t="s">
        <v>23</v>
      </c>
      <c r="E80" t="s">
        <v>115</v>
      </c>
      <c r="F80">
        <v>3</v>
      </c>
      <c r="G80" t="s">
        <v>116</v>
      </c>
      <c r="H80">
        <v>9</v>
      </c>
      <c r="I80">
        <v>11</v>
      </c>
      <c r="J80">
        <v>1</v>
      </c>
      <c r="K80">
        <v>17</v>
      </c>
      <c r="L80">
        <v>1</v>
      </c>
      <c r="M80">
        <v>5</v>
      </c>
      <c r="N80">
        <v>12</v>
      </c>
      <c r="O80">
        <v>22</v>
      </c>
      <c r="P80">
        <v>56</v>
      </c>
      <c r="Q80">
        <v>0</v>
      </c>
      <c r="R80">
        <v>80</v>
      </c>
      <c r="S80">
        <v>1</v>
      </c>
      <c r="T80">
        <v>147</v>
      </c>
      <c r="U80">
        <f t="shared" ref="U80:U81" si="23">(N80+L80+M80)</f>
        <v>18</v>
      </c>
      <c r="V80" s="2">
        <f>(U$78-U80)/U$78</f>
        <v>0.70491803278688525</v>
      </c>
      <c r="Y80" s="136" t="s">
        <v>187</v>
      </c>
      <c r="Z80" s="143">
        <f>Z60/$H$51*100</f>
        <v>10.948905109489052</v>
      </c>
      <c r="AA80" s="143">
        <f>AA60/$H$55*100</f>
        <v>25</v>
      </c>
      <c r="AB80" s="143">
        <f>AB60/$H$59*100</f>
        <v>9.0909090909090917</v>
      </c>
      <c r="AC80" s="143">
        <f>AC60/$H$63*100</f>
        <v>0</v>
      </c>
      <c r="AD80" s="71"/>
      <c r="AE80" s="143">
        <f>AE60/$H$52*100</f>
        <v>7.6923076923076925</v>
      </c>
      <c r="AF80" s="143">
        <f>AF60/$H$56*100</f>
        <v>14.285714285714285</v>
      </c>
      <c r="AG80" s="143">
        <f>AG60/$H$60*100</f>
        <v>5.5555555555555554</v>
      </c>
      <c r="AH80" s="143">
        <f>AH60/$H$64*100</f>
        <v>0</v>
      </c>
      <c r="AI80" s="71"/>
      <c r="AJ80" s="143">
        <f>AJ60/$H$53*100</f>
        <v>7.0707070707070701</v>
      </c>
      <c r="AK80" s="143">
        <f>AK60/$H$57*100</f>
        <v>9.0909090909090917</v>
      </c>
      <c r="AL80" s="143">
        <f>AL60/$H$61*100</f>
        <v>9.5238095238095237</v>
      </c>
      <c r="AM80" s="143">
        <f>AM60/$H$65*100</f>
        <v>0</v>
      </c>
      <c r="AP80" s="136" t="s">
        <v>187</v>
      </c>
      <c r="AQ80" s="107">
        <f>AQ60/$H$51*100</f>
        <v>89.051094890510953</v>
      </c>
      <c r="AR80" s="107">
        <f>AR60/$H$55*100</f>
        <v>75</v>
      </c>
      <c r="AS80" s="107">
        <f>AS60/$H$59*100</f>
        <v>90.909090909090907</v>
      </c>
      <c r="AT80" s="107">
        <f>AT60/$H$63*100</f>
        <v>100</v>
      </c>
      <c r="AU80" s="71"/>
      <c r="AV80" s="107">
        <f>AV60/$H$52*100</f>
        <v>92.307692307692307</v>
      </c>
      <c r="AW80" s="107">
        <f>AW60/$H$56*100</f>
        <v>85.714285714285708</v>
      </c>
      <c r="AX80" s="107">
        <f>AX60/$H$60*100</f>
        <v>94.444444444444443</v>
      </c>
      <c r="AY80" s="107">
        <f>AY60/$H$64*100</f>
        <v>100</v>
      </c>
      <c r="AZ80" s="71"/>
      <c r="BA80" s="107">
        <f>BA60/$H$53*100</f>
        <v>92.929292929292927</v>
      </c>
      <c r="BB80" s="107">
        <f>BB60/$H$57*100</f>
        <v>90.909090909090907</v>
      </c>
      <c r="BC80" s="107">
        <f>BC60/$H$61*100</f>
        <v>90.476190476190482</v>
      </c>
      <c r="BD80" s="107">
        <f>BD60/$H$65*100</f>
        <v>100</v>
      </c>
    </row>
    <row r="81" spans="1:57" x14ac:dyDescent="0.2">
      <c r="A81" t="s">
        <v>56</v>
      </c>
      <c r="B81" t="s">
        <v>30</v>
      </c>
      <c r="C81" t="s">
        <v>22</v>
      </c>
      <c r="D81" t="s">
        <v>23</v>
      </c>
      <c r="E81" t="s">
        <v>117</v>
      </c>
      <c r="F81">
        <v>3</v>
      </c>
      <c r="G81" t="s">
        <v>118</v>
      </c>
      <c r="H81">
        <v>5</v>
      </c>
      <c r="I81">
        <v>13</v>
      </c>
      <c r="J81">
        <v>0</v>
      </c>
      <c r="K81">
        <v>13</v>
      </c>
      <c r="L81">
        <v>2</v>
      </c>
      <c r="M81">
        <v>1</v>
      </c>
      <c r="N81">
        <v>8</v>
      </c>
      <c r="O81">
        <v>14</v>
      </c>
      <c r="P81">
        <v>42</v>
      </c>
      <c r="Q81">
        <v>0</v>
      </c>
      <c r="R81">
        <v>103</v>
      </c>
      <c r="S81">
        <v>1</v>
      </c>
      <c r="T81">
        <v>162</v>
      </c>
      <c r="U81">
        <f t="shared" si="23"/>
        <v>11</v>
      </c>
      <c r="V81" s="2">
        <f>(U$78-U81)/U$78</f>
        <v>0.81967213114754101</v>
      </c>
      <c r="Y81" s="136" t="s">
        <v>188</v>
      </c>
      <c r="Z81" s="143">
        <f>Z61/$H$67*100</f>
        <v>37.5</v>
      </c>
      <c r="AA81" s="143">
        <f>AA61/$H$71*100</f>
        <v>41.17647058823529</v>
      </c>
      <c r="AB81" s="143">
        <f>AB61/$H$75*100</f>
        <v>28.571428571428569</v>
      </c>
      <c r="AC81" s="143">
        <f>AC61/$H$79*100</f>
        <v>30.76923076923077</v>
      </c>
      <c r="AD81" s="71"/>
      <c r="AE81" s="143">
        <f>AE61/$H$68*100</f>
        <v>47.244094488188978</v>
      </c>
      <c r="AF81" s="143">
        <f>AF61/$H$72*100</f>
        <v>64.285714285714292</v>
      </c>
      <c r="AG81" s="143">
        <f>AG61/$H$76*100</f>
        <v>33.333333333333329</v>
      </c>
      <c r="AH81" s="143">
        <f>AH61/$H$80*100</f>
        <v>22.222222222222221</v>
      </c>
      <c r="AI81" s="71"/>
      <c r="AJ81" s="143">
        <f>AJ61/$H$69*100</f>
        <v>36.923076923076927</v>
      </c>
      <c r="AK81" s="143">
        <f>AK61/$H$73*100</f>
        <v>45.454545454545453</v>
      </c>
      <c r="AL81" s="143">
        <f>AL61/$H$77*100</f>
        <v>13.333333333333334</v>
      </c>
      <c r="AM81" s="143">
        <f>AM61/$H$81*100</f>
        <v>20</v>
      </c>
      <c r="AP81" s="136" t="s">
        <v>188</v>
      </c>
      <c r="AQ81" s="107">
        <f>AQ61/$H$67*100</f>
        <v>62.5</v>
      </c>
      <c r="AR81" s="107">
        <f>AR61/$H$71*100</f>
        <v>58.82352941176471</v>
      </c>
      <c r="AS81" s="107">
        <f>AS61/$H$75*100</f>
        <v>71.428571428571431</v>
      </c>
      <c r="AT81" s="107">
        <f>AT61/$H$79*100</f>
        <v>69.230769230769226</v>
      </c>
      <c r="AU81" s="71"/>
      <c r="AV81" s="107">
        <f>AV61/$H$68*100</f>
        <v>52.755905511811022</v>
      </c>
      <c r="AW81" s="107">
        <f>AW61/$H$72*100</f>
        <v>35.714285714285715</v>
      </c>
      <c r="AX81" s="107">
        <f>AX61/$H$76*100</f>
        <v>66.666666666666657</v>
      </c>
      <c r="AY81" s="107">
        <f>AY61/$H$80*100</f>
        <v>77.777777777777786</v>
      </c>
      <c r="AZ81" s="71"/>
      <c r="BA81" s="107">
        <f>BA61/$H$69*100</f>
        <v>63.076923076923073</v>
      </c>
      <c r="BB81" s="107">
        <f>BB61/$H$73*100</f>
        <v>54.54545454545454</v>
      </c>
      <c r="BC81" s="107">
        <f>BC61/$H$77*100</f>
        <v>86.666666666666671</v>
      </c>
      <c r="BD81" s="107">
        <f>BD61/$H$81*100</f>
        <v>80</v>
      </c>
    </row>
    <row r="82" spans="1:57" x14ac:dyDescent="0.2">
      <c r="A82" t="s">
        <v>62</v>
      </c>
      <c r="B82" t="s">
        <v>32</v>
      </c>
      <c r="C82" t="s">
        <v>22</v>
      </c>
      <c r="D82" t="s">
        <v>23</v>
      </c>
      <c r="E82" t="s">
        <v>38</v>
      </c>
      <c r="F82">
        <v>3</v>
      </c>
      <c r="G82" t="s">
        <v>25</v>
      </c>
      <c r="H82">
        <v>162</v>
      </c>
      <c r="I82">
        <v>312</v>
      </c>
      <c r="J82">
        <v>441</v>
      </c>
      <c r="K82">
        <v>0</v>
      </c>
      <c r="L82">
        <v>209</v>
      </c>
      <c r="M82">
        <v>0</v>
      </c>
      <c r="N82">
        <v>1483</v>
      </c>
      <c r="O82">
        <v>0</v>
      </c>
      <c r="P82">
        <v>869</v>
      </c>
      <c r="Q82">
        <v>0</v>
      </c>
      <c r="R82">
        <v>0</v>
      </c>
      <c r="S82">
        <v>0</v>
      </c>
      <c r="T82">
        <v>0</v>
      </c>
      <c r="U82" s="8">
        <f>(N82+L82+M82)*1/3</f>
        <v>564</v>
      </c>
      <c r="Y82" s="32" t="s">
        <v>189</v>
      </c>
      <c r="Z82" s="143">
        <f>Z62/$H$83*100</f>
        <v>75.555555555555557</v>
      </c>
      <c r="AA82" s="143">
        <f>AA62/$H$87*100</f>
        <v>100</v>
      </c>
      <c r="AB82" s="143">
        <f>AB62/$H$91*100</f>
        <v>37.931034482758619</v>
      </c>
      <c r="AC82" s="143">
        <f>AC62/$H$95*100</f>
        <v>33.333333333333329</v>
      </c>
      <c r="AD82" s="30">
        <f>AVERAGE(Z80:AC82)</f>
        <v>35.823072291745021</v>
      </c>
      <c r="AE82" s="143">
        <f>AE62/$H$84*100</f>
        <v>72.972972972972968</v>
      </c>
      <c r="AF82" s="143">
        <f>AF62/$H$88*100</f>
        <v>40</v>
      </c>
      <c r="AG82" s="143">
        <f>AG62/$H$92*100</f>
        <v>26.666666666666668</v>
      </c>
      <c r="AH82" s="143">
        <f>AH62/$H$96*100</f>
        <v>57.142857142857139</v>
      </c>
      <c r="AI82" s="30">
        <f>AVERAGE(AE80:AH82)</f>
        <v>32.616786553794434</v>
      </c>
      <c r="AJ82" s="143">
        <f>AJ62/$H$85*100</f>
        <v>50</v>
      </c>
      <c r="AK82" s="143">
        <f>AK62/$H$89*100</f>
        <v>50</v>
      </c>
      <c r="AL82" s="143">
        <f>AL62/$H$93*100</f>
        <v>26.315789473684209</v>
      </c>
      <c r="AM82" s="143">
        <f>AM62/$H$97*100</f>
        <v>50</v>
      </c>
      <c r="AN82" s="30">
        <f>AVERAGE(AJ80:AM82)</f>
        <v>26.476014239172134</v>
      </c>
      <c r="AP82" s="32" t="s">
        <v>189</v>
      </c>
      <c r="AQ82" s="107">
        <f>AQ62/$H$83*100</f>
        <v>24.444444444444443</v>
      </c>
      <c r="AR82" s="107">
        <f>AR62/$H$87*100</f>
        <v>0</v>
      </c>
      <c r="AS82" s="107">
        <f>AS62/$H$91*100</f>
        <v>62.068965517241381</v>
      </c>
      <c r="AT82" s="107">
        <f>AT62/$H$95*100</f>
        <v>66.666666666666657</v>
      </c>
      <c r="AU82" s="30">
        <f>AVERAGE(AQ80:AT82)</f>
        <v>64.176927708254979</v>
      </c>
      <c r="AV82" s="107">
        <f>AV62/$H$84*100</f>
        <v>27.027027027027028</v>
      </c>
      <c r="AW82" s="107">
        <f>AW62/$H$88*100</f>
        <v>60</v>
      </c>
      <c r="AX82" s="107">
        <f>AX62/$H$92*100</f>
        <v>73.333333333333329</v>
      </c>
      <c r="AY82" s="107">
        <f>AY62/$H$96*100</f>
        <v>42.857142857142854</v>
      </c>
      <c r="AZ82" s="30">
        <f>AVERAGE(AV80:AY82)</f>
        <v>67.383213446205573</v>
      </c>
      <c r="BA82" s="107">
        <f>BA62/$H$85*100</f>
        <v>50</v>
      </c>
      <c r="BB82" s="107">
        <f>BB62/$H$89*100</f>
        <v>50</v>
      </c>
      <c r="BC82" s="107">
        <f>BC62/$H$93*100</f>
        <v>73.68421052631578</v>
      </c>
      <c r="BD82" s="107">
        <f>BD62/$H$97*100</f>
        <v>50</v>
      </c>
      <c r="BE82" s="30">
        <f>AVERAGE(BA80:BD82)</f>
        <v>73.52398576082787</v>
      </c>
    </row>
    <row r="83" spans="1:57" x14ac:dyDescent="0.2">
      <c r="A83" t="s">
        <v>62</v>
      </c>
      <c r="B83" t="s">
        <v>32</v>
      </c>
      <c r="C83" t="s">
        <v>22</v>
      </c>
      <c r="D83" t="s">
        <v>23</v>
      </c>
      <c r="E83" t="s">
        <v>40</v>
      </c>
      <c r="F83">
        <v>3</v>
      </c>
      <c r="G83" t="s">
        <v>114</v>
      </c>
      <c r="H83">
        <v>45</v>
      </c>
      <c r="I83">
        <v>138</v>
      </c>
      <c r="J83">
        <v>1</v>
      </c>
      <c r="K83">
        <v>45</v>
      </c>
      <c r="L83">
        <v>87</v>
      </c>
      <c r="M83">
        <v>25</v>
      </c>
      <c r="N83">
        <v>324</v>
      </c>
      <c r="O83">
        <v>70</v>
      </c>
      <c r="P83">
        <v>665</v>
      </c>
      <c r="Q83">
        <v>0</v>
      </c>
      <c r="R83">
        <v>21</v>
      </c>
      <c r="S83">
        <v>68</v>
      </c>
      <c r="T83">
        <v>9</v>
      </c>
      <c r="U83">
        <f>(N83+L83+M83)</f>
        <v>436</v>
      </c>
      <c r="V83" s="73">
        <f>(U$82-U83)/U$82</f>
        <v>0.22695035460992907</v>
      </c>
      <c r="Y83" s="15" t="s">
        <v>269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P83" s="15" t="s">
        <v>269</v>
      </c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</row>
    <row r="84" spans="1:57" x14ac:dyDescent="0.2">
      <c r="A84" t="s">
        <v>62</v>
      </c>
      <c r="B84" t="s">
        <v>32</v>
      </c>
      <c r="C84" t="s">
        <v>22</v>
      </c>
      <c r="D84" t="s">
        <v>23</v>
      </c>
      <c r="E84" t="s">
        <v>122</v>
      </c>
      <c r="F84">
        <v>3</v>
      </c>
      <c r="G84" t="s">
        <v>116</v>
      </c>
      <c r="H84">
        <v>37</v>
      </c>
      <c r="I84">
        <v>145</v>
      </c>
      <c r="J84">
        <v>2</v>
      </c>
      <c r="K84">
        <v>42</v>
      </c>
      <c r="L84">
        <v>93</v>
      </c>
      <c r="M84">
        <v>38</v>
      </c>
      <c r="N84">
        <v>292</v>
      </c>
      <c r="O84">
        <v>80</v>
      </c>
      <c r="P84">
        <v>649</v>
      </c>
      <c r="Q84">
        <v>0</v>
      </c>
      <c r="R84">
        <v>20</v>
      </c>
      <c r="S84">
        <v>64</v>
      </c>
      <c r="T84">
        <v>6</v>
      </c>
      <c r="U84">
        <f t="shared" ref="U84:U85" si="24">(N84+L84+M84)</f>
        <v>423</v>
      </c>
      <c r="V84" s="73">
        <f>(U$82-U84)/U$82</f>
        <v>0.25</v>
      </c>
      <c r="Y84" s="136" t="s">
        <v>187</v>
      </c>
      <c r="Z84" s="143">
        <f>Z64/($L$51+$M$51)*100</f>
        <v>37.681159420289859</v>
      </c>
      <c r="AA84" s="143">
        <f>AA64/($L$55+$M$55)*100</f>
        <v>46.153846153846153</v>
      </c>
      <c r="AB84" s="143">
        <f>AB64/($L$59+$M$59)*100</f>
        <v>52.542372881355938</v>
      </c>
      <c r="AC84" s="143">
        <f>AC64/($L$63+$M$63)*100</f>
        <v>0</v>
      </c>
      <c r="AD84" s="71"/>
      <c r="AE84" s="143">
        <f>AE64/($L$52+$M$52)*100</f>
        <v>42.857142857142854</v>
      </c>
      <c r="AF84" s="143">
        <f>AF64/($L$56+$M$56)*100</f>
        <v>44.444444444444443</v>
      </c>
      <c r="AG84" s="143">
        <f>AG64/($L$60+$M$60)*100</f>
        <v>38.983050847457626</v>
      </c>
      <c r="AH84" s="143">
        <f>AH64/($L$64+$M$64)*100</f>
        <v>0</v>
      </c>
      <c r="AI84" s="71"/>
      <c r="AJ84" s="143">
        <f>AJ64/($L$53+$M$53)*100</f>
        <v>6.25</v>
      </c>
      <c r="AK84" s="143">
        <f>AK64/($L$57+$M$57)*100</f>
        <v>12.5</v>
      </c>
      <c r="AL84" s="143">
        <f>AL64/($L$61+$M$61)*100</f>
        <v>10</v>
      </c>
      <c r="AM84" s="143">
        <f>AM64/($L$65+$M$65)*100</f>
        <v>0</v>
      </c>
      <c r="AP84" s="136" t="s">
        <v>187</v>
      </c>
      <c r="AQ84" s="71">
        <f>AQ64/($L$51+$M$51)*100</f>
        <v>62.318840579710141</v>
      </c>
      <c r="AR84" s="71">
        <f>AR64/($L$55+$M$55)*100</f>
        <v>53.846153846153847</v>
      </c>
      <c r="AS84" s="71">
        <f>AS64/($L$59+$M$59)*100</f>
        <v>47.457627118644069</v>
      </c>
      <c r="AT84" s="71">
        <f>AT64/($L$63+$M$63)*100</f>
        <v>100</v>
      </c>
      <c r="AU84" s="71"/>
      <c r="AV84" s="71">
        <f>AV64/($L$52+$M$52)*100</f>
        <v>57.142857142857139</v>
      </c>
      <c r="AW84" s="71">
        <f>AW64/($L$56+$M$56)*100</f>
        <v>55.555555555555557</v>
      </c>
      <c r="AX84" s="71">
        <f>AX64/($L$60+$M$60)*100</f>
        <v>61.016949152542374</v>
      </c>
      <c r="AY84" s="71">
        <f>AY64/($L$64+$M$64)*100</f>
        <v>100</v>
      </c>
      <c r="AZ84" s="71"/>
      <c r="BA84" s="71">
        <f>BA64/($L$53+$M$53)*100</f>
        <v>93.75</v>
      </c>
      <c r="BB84" s="71">
        <f>BB64/($L$57+$M$57)*100</f>
        <v>87.5</v>
      </c>
      <c r="BC84" s="71">
        <f>BC64/($L$60+$M$60)*100</f>
        <v>61.016949152542374</v>
      </c>
      <c r="BD84" s="71">
        <f>BD64/($L$65+$M$65)*100</f>
        <v>100</v>
      </c>
    </row>
    <row r="85" spans="1:57" x14ac:dyDescent="0.2">
      <c r="A85" t="s">
        <v>62</v>
      </c>
      <c r="B85" t="s">
        <v>32</v>
      </c>
      <c r="C85" t="s">
        <v>22</v>
      </c>
      <c r="D85" t="s">
        <v>23</v>
      </c>
      <c r="E85" t="s">
        <v>123</v>
      </c>
      <c r="F85">
        <v>3</v>
      </c>
      <c r="G85" t="s">
        <v>118</v>
      </c>
      <c r="H85">
        <v>38</v>
      </c>
      <c r="I85">
        <v>165</v>
      </c>
      <c r="J85">
        <v>2</v>
      </c>
      <c r="K85">
        <v>17</v>
      </c>
      <c r="L85">
        <v>101</v>
      </c>
      <c r="M85">
        <v>11</v>
      </c>
      <c r="N85">
        <v>322</v>
      </c>
      <c r="O85">
        <v>28</v>
      </c>
      <c r="P85">
        <v>656</v>
      </c>
      <c r="Q85">
        <v>0</v>
      </c>
      <c r="R85">
        <v>13</v>
      </c>
      <c r="S85">
        <v>58</v>
      </c>
      <c r="T85">
        <v>7</v>
      </c>
      <c r="U85">
        <f t="shared" si="24"/>
        <v>434</v>
      </c>
      <c r="V85" s="73">
        <f>(U$82-U85)/U$82</f>
        <v>0.23049645390070922</v>
      </c>
      <c r="Y85" s="136" t="s">
        <v>188</v>
      </c>
      <c r="Z85" s="143">
        <f>Z65/($L$67+$M$67)*100</f>
        <v>39.024390243902438</v>
      </c>
      <c r="AA85" s="143">
        <f>AA65/($L$71+$M$71)*100</f>
        <v>50</v>
      </c>
      <c r="AB85" s="143">
        <f>AB65/($L$75+$M$75)*100</f>
        <v>35.294117647058826</v>
      </c>
      <c r="AC85" s="143">
        <f>AC65/($L$79+$M$79)*100</f>
        <v>18.181818181818183</v>
      </c>
      <c r="AD85" s="71"/>
      <c r="AE85" s="143">
        <f>AE65/($L$68+$M$68)*100</f>
        <v>34.146341463414636</v>
      </c>
      <c r="AF85" s="143">
        <f>AF65/($L$72+$M$72)*100</f>
        <v>55.555555555555557</v>
      </c>
      <c r="AG85" s="143">
        <f>AG65/($L$76+$M$76)*100</f>
        <v>45.714285714285715</v>
      </c>
      <c r="AH85" s="143">
        <f>AH65/($L$80+$M$80)*100</f>
        <v>0</v>
      </c>
      <c r="AI85" s="71"/>
      <c r="AJ85" s="143">
        <f>AJ65/($L$69+$M$69)*100</f>
        <v>32</v>
      </c>
      <c r="AK85" s="143">
        <f>AK65/($L$73+$M$73)*100</f>
        <v>42.857142857142854</v>
      </c>
      <c r="AL85" s="143">
        <f>AL65/($L$77+$M$77)*100</f>
        <v>30.555555555555557</v>
      </c>
      <c r="AM85" s="143">
        <f>AM65/($L$81+$M$81)*100</f>
        <v>0</v>
      </c>
      <c r="AP85" s="136" t="s">
        <v>188</v>
      </c>
      <c r="AQ85" s="71">
        <f>AQ65/($L$67+$M$67)*100</f>
        <v>60.975609756097562</v>
      </c>
      <c r="AR85" s="71">
        <f>AR65/($L$71+$M$71)*100</f>
        <v>50</v>
      </c>
      <c r="AS85" s="71">
        <f>AS65/($L$75+$M$75)*100</f>
        <v>64.705882352941174</v>
      </c>
      <c r="AT85" s="71">
        <f>AT65/($L$79+$M$79)*100</f>
        <v>81.818181818181827</v>
      </c>
      <c r="AU85" s="71"/>
      <c r="AV85" s="71">
        <f>AV65/($L$68+$M$68)*100</f>
        <v>65.853658536585371</v>
      </c>
      <c r="AW85" s="71">
        <f>AW65/($L$72+$M$72)*100</f>
        <v>44.444444444444443</v>
      </c>
      <c r="AX85" s="71">
        <f>AX65/($L$76+$M$76)*100</f>
        <v>54.285714285714285</v>
      </c>
      <c r="AY85" s="71">
        <f>AY65/($L$80+$M$80)*100</f>
        <v>100</v>
      </c>
      <c r="AZ85" s="71"/>
      <c r="BA85" s="71">
        <f>BA65/($L$69+$M$69)*100</f>
        <v>68</v>
      </c>
      <c r="BB85" s="71">
        <f>BB65/($L$73+$M$73)*100</f>
        <v>57.142857142857139</v>
      </c>
      <c r="BC85" s="71">
        <f>BC65/($L$77+$M$77)*100</f>
        <v>69.444444444444443</v>
      </c>
      <c r="BD85" s="71">
        <f>BD65/($L$80+$M$80)*100</f>
        <v>50</v>
      </c>
    </row>
    <row r="86" spans="1:57" x14ac:dyDescent="0.2">
      <c r="A86" t="s">
        <v>63</v>
      </c>
      <c r="B86" t="s">
        <v>32</v>
      </c>
      <c r="C86" t="s">
        <v>22</v>
      </c>
      <c r="D86" t="s">
        <v>23</v>
      </c>
      <c r="E86" t="s">
        <v>42</v>
      </c>
      <c r="F86">
        <v>3</v>
      </c>
      <c r="G86" t="s">
        <v>25</v>
      </c>
      <c r="H86">
        <v>16</v>
      </c>
      <c r="I86">
        <v>734</v>
      </c>
      <c r="J86">
        <v>1275</v>
      </c>
      <c r="K86">
        <v>0</v>
      </c>
      <c r="L86">
        <v>27</v>
      </c>
      <c r="M86">
        <v>0</v>
      </c>
      <c r="N86">
        <v>138</v>
      </c>
      <c r="O86">
        <v>0</v>
      </c>
      <c r="P86">
        <v>730</v>
      </c>
      <c r="Q86">
        <v>0</v>
      </c>
      <c r="R86">
        <v>0</v>
      </c>
      <c r="S86">
        <v>0</v>
      </c>
      <c r="T86">
        <v>0</v>
      </c>
      <c r="U86" s="8">
        <f>(N86+L86+M86)*1/3</f>
        <v>55</v>
      </c>
      <c r="Y86" s="32" t="s">
        <v>189</v>
      </c>
      <c r="Z86" s="143">
        <f>Z66/($L$83+$M$83)*100</f>
        <v>76.785714285714292</v>
      </c>
      <c r="AA86" s="143">
        <f>AA66/($L$87+$M$87)*100</f>
        <v>75</v>
      </c>
      <c r="AB86" s="143">
        <f>AB66/($L$91+$M$91)*100</f>
        <v>48</v>
      </c>
      <c r="AC86" s="143">
        <f>AC66/($L$95+$M$95)*100</f>
        <v>34.782608695652172</v>
      </c>
      <c r="AD86" s="30">
        <f>AVERAGE(Z84:AC86)</f>
        <v>42.787168959136487</v>
      </c>
      <c r="AE86" s="143">
        <f>AE66/($L$84+$M$84)*100</f>
        <v>73.282442748091597</v>
      </c>
      <c r="AF86" s="143">
        <f>AF66/($L$88+$M$88)*100</f>
        <v>75</v>
      </c>
      <c r="AG86" s="143">
        <f>AG66/($L$92+$M$92)*100</f>
        <v>40.677966101694921</v>
      </c>
      <c r="AH86" s="143">
        <f>AH66/($L$96+$M$96)*100</f>
        <v>26.190476190476193</v>
      </c>
      <c r="AI86" s="30">
        <f>AVERAGE(AE84:AH86)</f>
        <v>39.737642160213632</v>
      </c>
      <c r="AJ86" s="143">
        <f>AJ66/($L$85+$M$85)*100</f>
        <v>48.214285714285715</v>
      </c>
      <c r="AK86" s="143">
        <f>AK66/($L$89+$M$89)*100</f>
        <v>42.857142857142854</v>
      </c>
      <c r="AL86" s="143">
        <f>AL66/($L$93+$M$93)*100</f>
        <v>35.849056603773583</v>
      </c>
      <c r="AM86" s="143">
        <f>AM66/($L$97+$M$97)*100</f>
        <v>20</v>
      </c>
      <c r="AN86" s="30">
        <f>AVERAGE(AJ84:AM86)</f>
        <v>23.423598632325049</v>
      </c>
      <c r="AP86" s="32" t="s">
        <v>189</v>
      </c>
      <c r="AQ86" s="71">
        <f>AQ66/($L$83+$M$83)*100</f>
        <v>23.214285714285715</v>
      </c>
      <c r="AR86" s="71">
        <f>AR66/($L$87+$M$87)*100</f>
        <v>25</v>
      </c>
      <c r="AS86" s="71">
        <f>AS66/($L$91+$M$91)*100</f>
        <v>52</v>
      </c>
      <c r="AT86" s="71">
        <f>AT66/($L$95+$M$95)*100</f>
        <v>65.217391304347828</v>
      </c>
      <c r="AU86" s="30">
        <f>AVERAGE(AQ84:AT86)</f>
        <v>57.212831040863513</v>
      </c>
      <c r="AV86" s="71">
        <f>AV66/($L$84+$M$84)*100</f>
        <v>26.717557251908396</v>
      </c>
      <c r="AW86" s="71">
        <f>AW66/($L$88+$M$88)*100</f>
        <v>25</v>
      </c>
      <c r="AX86" s="71">
        <f>AX66/($L$92+$M$92)*100</f>
        <v>59.322033898305079</v>
      </c>
      <c r="AY86" s="71">
        <f>AY66/($L$96+$M$96)*100</f>
        <v>73.80952380952381</v>
      </c>
      <c r="AZ86" s="30">
        <f>AVERAGE(AV84:AY86)</f>
        <v>60.262357839786375</v>
      </c>
      <c r="BA86" s="71">
        <f>BA66/($L$85+$M$85)*100</f>
        <v>51.785714285714292</v>
      </c>
      <c r="BB86" s="71">
        <f>BB66/($L$89+$M$89)*100</f>
        <v>57.142857142857139</v>
      </c>
      <c r="BC86" s="71">
        <f>BC66/($L$93+$M$93)*100</f>
        <v>64.15094339622641</v>
      </c>
      <c r="BD86" s="71">
        <f>BD66/($L$97+$M$97)*100</f>
        <v>80</v>
      </c>
      <c r="BE86" s="30">
        <f>AVERAGE(BA84:BD86)</f>
        <v>69.994480463720151</v>
      </c>
    </row>
    <row r="87" spans="1:57" x14ac:dyDescent="0.2">
      <c r="A87" t="s">
        <v>63</v>
      </c>
      <c r="B87" t="s">
        <v>32</v>
      </c>
      <c r="C87" t="s">
        <v>22</v>
      </c>
      <c r="D87" t="s">
        <v>23</v>
      </c>
      <c r="E87" t="s">
        <v>44</v>
      </c>
      <c r="F87">
        <v>3</v>
      </c>
      <c r="G87" t="s">
        <v>114</v>
      </c>
      <c r="H87">
        <v>3</v>
      </c>
      <c r="I87">
        <v>313</v>
      </c>
      <c r="J87">
        <v>7</v>
      </c>
      <c r="K87">
        <v>171</v>
      </c>
      <c r="L87">
        <v>7</v>
      </c>
      <c r="M87">
        <v>1</v>
      </c>
      <c r="N87">
        <v>34</v>
      </c>
      <c r="O87">
        <v>172</v>
      </c>
      <c r="P87">
        <v>536</v>
      </c>
      <c r="Q87">
        <v>0</v>
      </c>
      <c r="R87">
        <v>11</v>
      </c>
      <c r="S87">
        <v>134</v>
      </c>
      <c r="T87">
        <v>0</v>
      </c>
      <c r="U87">
        <f>(N87+L87+M87)</f>
        <v>42</v>
      </c>
      <c r="V87" s="73">
        <f>(U$86-U87)/U$86</f>
        <v>0.23636363636363636</v>
      </c>
      <c r="Y87" s="15" t="s">
        <v>270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P87" s="15" t="s">
        <v>270</v>
      </c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</row>
    <row r="88" spans="1:57" x14ac:dyDescent="0.2">
      <c r="A88" t="s">
        <v>63</v>
      </c>
      <c r="B88" t="s">
        <v>32</v>
      </c>
      <c r="C88" t="s">
        <v>22</v>
      </c>
      <c r="D88" t="s">
        <v>23</v>
      </c>
      <c r="E88" t="s">
        <v>127</v>
      </c>
      <c r="F88">
        <v>3</v>
      </c>
      <c r="G88" t="s">
        <v>116</v>
      </c>
      <c r="H88">
        <v>5</v>
      </c>
      <c r="I88">
        <v>306</v>
      </c>
      <c r="J88">
        <v>5</v>
      </c>
      <c r="K88">
        <v>179</v>
      </c>
      <c r="L88">
        <v>4</v>
      </c>
      <c r="M88">
        <v>0</v>
      </c>
      <c r="N88">
        <v>30</v>
      </c>
      <c r="O88">
        <v>179</v>
      </c>
      <c r="P88">
        <v>529</v>
      </c>
      <c r="Q88">
        <v>0</v>
      </c>
      <c r="R88">
        <v>12</v>
      </c>
      <c r="S88">
        <v>143</v>
      </c>
      <c r="T88">
        <v>1</v>
      </c>
      <c r="U88">
        <f t="shared" ref="U88:U89" si="25">(N88+L88+M88)</f>
        <v>34</v>
      </c>
      <c r="V88" s="73">
        <f>(U$86-U88)/U$86</f>
        <v>0.38181818181818183</v>
      </c>
      <c r="Y88" s="136" t="s">
        <v>187</v>
      </c>
      <c r="Z88" s="143">
        <f>Z68/$M$51*100</f>
        <v>42.222222222222221</v>
      </c>
      <c r="AA88" s="143">
        <f>AA68/$M$55*100</f>
        <v>55.000000000000007</v>
      </c>
      <c r="AB88" s="143">
        <f>AB68/$M$59*100</f>
        <v>49.090909090909093</v>
      </c>
      <c r="AC88" s="143">
        <f>AC68/$M$63*100</f>
        <v>0</v>
      </c>
      <c r="AD88" s="71"/>
      <c r="AE88" s="143">
        <f>AE68/$M$52*100</f>
        <v>51.162790697674424</v>
      </c>
      <c r="AF88" s="143">
        <f>AF68/$M$56*100</f>
        <v>46.153846153846153</v>
      </c>
      <c r="AG88" s="143">
        <f>AG68/$M$60*100</f>
        <v>36</v>
      </c>
      <c r="AH88" s="143">
        <f>AH68/$M$64*100</f>
        <v>0</v>
      </c>
      <c r="AI88" s="71"/>
      <c r="AJ88" s="143">
        <f>AJ68/$M$53*100</f>
        <v>6.666666666666667</v>
      </c>
      <c r="AK88" s="143">
        <f>AK68/$M$57*100</f>
        <v>0</v>
      </c>
      <c r="AL88" s="143">
        <f>AL68/$M$61*100</f>
        <v>5.8823529411764701</v>
      </c>
      <c r="AM88" s="143">
        <f>AM68/$M$65*100</f>
        <v>0</v>
      </c>
      <c r="AP88" s="136" t="s">
        <v>187</v>
      </c>
      <c r="AQ88" s="107">
        <f>AQ68/$M$51*100</f>
        <v>57.777777777777771</v>
      </c>
      <c r="AR88" s="107">
        <f>AR68/$M$55*100</f>
        <v>45</v>
      </c>
      <c r="AS88" s="107">
        <f>AS68/$M$59*100</f>
        <v>50.909090909090907</v>
      </c>
      <c r="AT88" s="107">
        <f>AT68/$M$63*100</f>
        <v>100</v>
      </c>
      <c r="AU88" s="71"/>
      <c r="AV88" s="107">
        <f>AV68/$M$52*100</f>
        <v>48.837209302325576</v>
      </c>
      <c r="AW88" s="107">
        <f>AW68/$M$56*100</f>
        <v>53.846153846153847</v>
      </c>
      <c r="AX88" s="107">
        <f>AX68/$M$60*100</f>
        <v>64</v>
      </c>
      <c r="AY88" s="107">
        <f>AY68/$M$64*100</f>
        <v>100</v>
      </c>
      <c r="AZ88" s="71"/>
      <c r="BA88" s="107">
        <f>BA68/$M$53*100</f>
        <v>93.333333333333329</v>
      </c>
      <c r="BB88" s="107">
        <f>BB68/$M$57*100</f>
        <v>100</v>
      </c>
      <c r="BC88" s="107">
        <f>BC68/$M$61*100</f>
        <v>94.117647058823522</v>
      </c>
      <c r="BD88" s="107">
        <f>BD68/$M$65*100</f>
        <v>100</v>
      </c>
    </row>
    <row r="89" spans="1:57" x14ac:dyDescent="0.2">
      <c r="A89" t="s">
        <v>63</v>
      </c>
      <c r="B89" t="s">
        <v>32</v>
      </c>
      <c r="C89" t="s">
        <v>22</v>
      </c>
      <c r="D89" t="s">
        <v>23</v>
      </c>
      <c r="E89" t="s">
        <v>128</v>
      </c>
      <c r="F89">
        <v>3</v>
      </c>
      <c r="G89" t="s">
        <v>118</v>
      </c>
      <c r="H89">
        <v>2</v>
      </c>
      <c r="I89">
        <v>430</v>
      </c>
      <c r="J89">
        <v>10</v>
      </c>
      <c r="K89">
        <v>46</v>
      </c>
      <c r="L89">
        <v>7</v>
      </c>
      <c r="M89">
        <v>0</v>
      </c>
      <c r="N89">
        <v>31</v>
      </c>
      <c r="O89">
        <v>46</v>
      </c>
      <c r="P89">
        <v>526</v>
      </c>
      <c r="Q89">
        <v>0</v>
      </c>
      <c r="R89">
        <v>10</v>
      </c>
      <c r="S89">
        <v>148</v>
      </c>
      <c r="T89">
        <v>0</v>
      </c>
      <c r="U89">
        <f t="shared" si="25"/>
        <v>38</v>
      </c>
      <c r="V89" s="73">
        <f>(U$86-U89)/U$86</f>
        <v>0.30909090909090908</v>
      </c>
      <c r="Y89" s="136" t="s">
        <v>188</v>
      </c>
      <c r="Z89" s="143">
        <f>Z69/$M$67*100</f>
        <v>31.818181818181817</v>
      </c>
      <c r="AA89" s="143">
        <f>AA69/$M$71*100</f>
        <v>46.666666666666664</v>
      </c>
      <c r="AB89" s="143">
        <f>AB69/$M$75*100</f>
        <v>37.142857142857146</v>
      </c>
      <c r="AC89" s="143">
        <f>AC69/$M$79*100</f>
        <v>18.181818181818183</v>
      </c>
      <c r="AD89" s="71"/>
      <c r="AE89" s="143">
        <f>AE69/$M$68*100</f>
        <v>32</v>
      </c>
      <c r="AF89" s="143">
        <f>AF69/$M$72*100</f>
        <v>42.857142857142854</v>
      </c>
      <c r="AG89" s="143">
        <f>AG69/$M$76*100</f>
        <v>35.714285714285715</v>
      </c>
      <c r="AH89" s="143">
        <f>AH69/$M$80*100</f>
        <v>0</v>
      </c>
      <c r="AI89" s="71"/>
      <c r="AJ89" s="143">
        <f>AJ69/$M$69*100</f>
        <v>23.076923076923077</v>
      </c>
      <c r="AK89" s="143">
        <f>AK69/$M$73*100</f>
        <v>25</v>
      </c>
      <c r="AL89" s="143">
        <f>AL69/$M$77*100</f>
        <v>28.571428571428569</v>
      </c>
      <c r="AM89" s="143">
        <f>AM69/$M$81*100</f>
        <v>0</v>
      </c>
      <c r="AP89" s="136" t="s">
        <v>188</v>
      </c>
      <c r="AQ89" s="107">
        <f>AQ69/$M$67*100</f>
        <v>68.181818181818173</v>
      </c>
      <c r="AR89" s="107">
        <f>AR69/$M$71*100</f>
        <v>53.333333333333336</v>
      </c>
      <c r="AS89" s="107">
        <f>AS69/$M$75*100</f>
        <v>62.857142857142854</v>
      </c>
      <c r="AT89" s="107">
        <f>AT69/$M$79*100</f>
        <v>81.818181818181827</v>
      </c>
      <c r="AU89" s="71"/>
      <c r="AV89" s="107">
        <f>AV69/$M$68*100</f>
        <v>68</v>
      </c>
      <c r="AW89" s="107">
        <f>AW69/$M$72*100</f>
        <v>57.142857142857139</v>
      </c>
      <c r="AX89" s="107">
        <f>AX69/$M$76*100</f>
        <v>64.285714285714292</v>
      </c>
      <c r="AY89" s="107">
        <f>AY69/$M$80*100</f>
        <v>100</v>
      </c>
      <c r="AZ89" s="71"/>
      <c r="BA89" s="107">
        <f>BA69/$M$69*100</f>
        <v>76.923076923076934</v>
      </c>
      <c r="BB89" s="107">
        <f>BB69/$M$73*100</f>
        <v>75</v>
      </c>
      <c r="BC89" s="107">
        <f>BC69/$M$77*100</f>
        <v>71.428571428571431</v>
      </c>
      <c r="BD89" s="107">
        <f>BD69/$M$81*100</f>
        <v>100</v>
      </c>
    </row>
    <row r="90" spans="1:57" x14ac:dyDescent="0.2">
      <c r="A90" t="s">
        <v>64</v>
      </c>
      <c r="B90" t="s">
        <v>32</v>
      </c>
      <c r="C90" t="s">
        <v>22</v>
      </c>
      <c r="D90" t="s">
        <v>23</v>
      </c>
      <c r="E90" t="s">
        <v>46</v>
      </c>
      <c r="F90">
        <v>3</v>
      </c>
      <c r="G90" t="s">
        <v>25</v>
      </c>
      <c r="H90">
        <v>85</v>
      </c>
      <c r="I90">
        <v>188</v>
      </c>
      <c r="J90">
        <v>573</v>
      </c>
      <c r="K90">
        <v>0</v>
      </c>
      <c r="L90">
        <v>125</v>
      </c>
      <c r="M90">
        <v>0</v>
      </c>
      <c r="N90">
        <v>523</v>
      </c>
      <c r="O90">
        <v>0</v>
      </c>
      <c r="P90">
        <v>498</v>
      </c>
      <c r="Q90">
        <v>0</v>
      </c>
      <c r="R90">
        <v>0</v>
      </c>
      <c r="S90">
        <v>0</v>
      </c>
      <c r="T90">
        <v>0</v>
      </c>
      <c r="U90" s="8">
        <f>(N90+L90)*1/3</f>
        <v>216</v>
      </c>
      <c r="Y90" s="32" t="s">
        <v>189</v>
      </c>
      <c r="Z90" s="143">
        <f>Z70/$M$83*100</f>
        <v>84</v>
      </c>
      <c r="AA90" s="143">
        <f>AA70/$M$87*100</f>
        <v>100</v>
      </c>
      <c r="AB90" s="143">
        <f>AB70/$M$91*100</f>
        <v>38.888888888888893</v>
      </c>
      <c r="AC90" s="143">
        <f>AC70/$M$95*100</f>
        <v>26.47058823529412</v>
      </c>
      <c r="AD90" s="30">
        <f>AVERAGE(Z88:AC90)</f>
        <v>44.12351102056985</v>
      </c>
      <c r="AE90" s="143">
        <f>AE70/$M$84*100</f>
        <v>86.842105263157904</v>
      </c>
      <c r="AF90" s="107" t="s">
        <v>296</v>
      </c>
      <c r="AG90" s="143">
        <f>AG70/$M$92*100</f>
        <v>43.75</v>
      </c>
      <c r="AH90" s="143">
        <f>AH70/$M$96*100</f>
        <v>14.814814814814813</v>
      </c>
      <c r="AI90" s="30">
        <f>AVERAGE(AE88:AH90)</f>
        <v>35.390453227356538</v>
      </c>
      <c r="AJ90" s="143">
        <f>AJ70/$M$85*100</f>
        <v>18.181818181818183</v>
      </c>
      <c r="AK90" s="107" t="s">
        <v>296</v>
      </c>
      <c r="AL90" s="143">
        <f>AL70/$M$93*100</f>
        <v>27.586206896551722</v>
      </c>
      <c r="AM90" s="143">
        <f>AM70/$M$97*100</f>
        <v>9.0909090909090917</v>
      </c>
      <c r="AN90" s="7">
        <f>AVERAGE(AJ88:AM90)</f>
        <v>13.096027765952163</v>
      </c>
      <c r="AP90" s="32" t="s">
        <v>189</v>
      </c>
      <c r="AQ90" s="107">
        <f>AQ70/$M$83*100</f>
        <v>16</v>
      </c>
      <c r="AR90" s="107">
        <f>AR70/$M$87*100</f>
        <v>0</v>
      </c>
      <c r="AS90" s="107">
        <f>AS70/$M$91*100</f>
        <v>61.111111111111114</v>
      </c>
      <c r="AT90" s="107">
        <f>AT70/$M$95*100</f>
        <v>73.529411764705884</v>
      </c>
      <c r="AU90" s="30">
        <f>AVERAGE(AQ88:AT90)</f>
        <v>55.87648897943015</v>
      </c>
      <c r="AV90" s="107">
        <f>AV70/$M$84*100</f>
        <v>13.157894736842104</v>
      </c>
      <c r="AW90" s="107" t="s">
        <v>296</v>
      </c>
      <c r="AX90" s="107">
        <f>AX70/$M$92*100</f>
        <v>56.25</v>
      </c>
      <c r="AY90" s="107">
        <f>AY70/$M$96*100</f>
        <v>85.18518518518519</v>
      </c>
      <c r="AZ90" s="30">
        <f>AVERAGE(AV88:AY90)</f>
        <v>64.609546772643455</v>
      </c>
      <c r="BA90" s="107">
        <f>BA70/$M$85*100</f>
        <v>81.818181818181827</v>
      </c>
      <c r="BB90" s="107" t="s">
        <v>296</v>
      </c>
      <c r="BC90" s="107">
        <f>BC70/$M$93*100</f>
        <v>72.41379310344827</v>
      </c>
      <c r="BD90" s="107">
        <f>BD70/$M$97*100</f>
        <v>90.909090909090907</v>
      </c>
      <c r="BE90" s="7">
        <f>AVERAGE(BA88:BD90)</f>
        <v>86.903972234047842</v>
      </c>
    </row>
    <row r="91" spans="1:57" x14ac:dyDescent="0.2">
      <c r="A91" t="s">
        <v>64</v>
      </c>
      <c r="B91" t="s">
        <v>32</v>
      </c>
      <c r="C91" t="s">
        <v>22</v>
      </c>
      <c r="D91" t="s">
        <v>23</v>
      </c>
      <c r="E91" t="s">
        <v>48</v>
      </c>
      <c r="F91">
        <v>3</v>
      </c>
      <c r="G91" t="s">
        <v>114</v>
      </c>
      <c r="H91">
        <v>29</v>
      </c>
      <c r="I91">
        <v>64</v>
      </c>
      <c r="J91">
        <v>10</v>
      </c>
      <c r="K91">
        <v>66</v>
      </c>
      <c r="L91">
        <v>14</v>
      </c>
      <c r="M91">
        <v>36</v>
      </c>
      <c r="N91">
        <v>108</v>
      </c>
      <c r="O91">
        <v>102</v>
      </c>
      <c r="P91">
        <v>327</v>
      </c>
      <c r="Q91">
        <v>0</v>
      </c>
      <c r="R91">
        <v>68</v>
      </c>
      <c r="S91">
        <v>137</v>
      </c>
      <c r="T91">
        <v>35</v>
      </c>
      <c r="U91">
        <f>(N91+L91)</f>
        <v>122</v>
      </c>
      <c r="V91" s="2">
        <f>(U$90-U91)/U$90</f>
        <v>0.43518518518518517</v>
      </c>
      <c r="Y91" s="15" t="s">
        <v>274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P91" s="15" t="s">
        <v>274</v>
      </c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</row>
    <row r="92" spans="1:57" x14ac:dyDescent="0.2">
      <c r="A92" t="s">
        <v>64</v>
      </c>
      <c r="B92" t="s">
        <v>32</v>
      </c>
      <c r="C92" t="s">
        <v>22</v>
      </c>
      <c r="D92" t="s">
        <v>23</v>
      </c>
      <c r="E92" t="s">
        <v>132</v>
      </c>
      <c r="F92">
        <v>3</v>
      </c>
      <c r="G92" t="s">
        <v>116</v>
      </c>
      <c r="H92">
        <v>30</v>
      </c>
      <c r="I92">
        <v>72</v>
      </c>
      <c r="J92">
        <v>3</v>
      </c>
      <c r="K92">
        <v>48</v>
      </c>
      <c r="L92">
        <v>11</v>
      </c>
      <c r="M92">
        <v>48</v>
      </c>
      <c r="N92">
        <v>94</v>
      </c>
      <c r="O92">
        <v>96</v>
      </c>
      <c r="P92">
        <v>306</v>
      </c>
      <c r="Q92">
        <v>0</v>
      </c>
      <c r="R92">
        <v>72</v>
      </c>
      <c r="S92">
        <v>126</v>
      </c>
      <c r="T92">
        <v>47</v>
      </c>
      <c r="U92">
        <f>(N92+L92)</f>
        <v>105</v>
      </c>
      <c r="V92" s="2">
        <f>(U$90-U92)/U$90</f>
        <v>0.51388888888888884</v>
      </c>
      <c r="Y92" s="136" t="s">
        <v>187</v>
      </c>
      <c r="Z92" s="143">
        <f>Z72/$N$51*100</f>
        <v>5.830388692579505</v>
      </c>
      <c r="AA92" s="143">
        <f>AA72/$N$55*100</f>
        <v>14.634146341463413</v>
      </c>
      <c r="AB92" s="143">
        <f>AB72/$N$59*100</f>
        <v>25.97402597402597</v>
      </c>
      <c r="AC92" s="143">
        <f>AC72/$N$63*100</f>
        <v>0</v>
      </c>
      <c r="AD92" s="71"/>
      <c r="AE92" s="143">
        <f>AE72/$N$52*100</f>
        <v>4.6232876712328768</v>
      </c>
      <c r="AF92" s="143">
        <f>AF72/$N$56*100</f>
        <v>19.565217391304348</v>
      </c>
      <c r="AG92" s="143">
        <f>AG72/$N$60*100</f>
        <v>19.565217391304348</v>
      </c>
      <c r="AH92" s="143">
        <f>AH72/$N$64*100</f>
        <v>4.7619047619047619</v>
      </c>
      <c r="AI92" s="71"/>
      <c r="AJ92" s="143">
        <f>AJ72/$N$53*100</f>
        <v>0.82644628099173556</v>
      </c>
      <c r="AK92" s="143">
        <f>AK72/$N$57*100</f>
        <v>5.1724137931034484</v>
      </c>
      <c r="AL92" s="143">
        <f>AL72/$N$61*100</f>
        <v>4.1237113402061851</v>
      </c>
      <c r="AM92" s="143">
        <f>AM72/$N$65*100</f>
        <v>0</v>
      </c>
      <c r="AP92" s="136" t="s">
        <v>187</v>
      </c>
      <c r="AQ92" s="107">
        <f>AQ72/$N$51*100</f>
        <v>94.169611307420496</v>
      </c>
      <c r="AR92" s="107">
        <f>AR72/$N$55*100</f>
        <v>85.365853658536579</v>
      </c>
      <c r="AS92" s="107">
        <f>AS72/$N$59*100</f>
        <v>74.025974025974023</v>
      </c>
      <c r="AT92" s="107">
        <f>AT72/$N$63*100</f>
        <v>100</v>
      </c>
      <c r="AU92" s="71"/>
      <c r="AV92" s="107">
        <f>AV72/$N$52*100</f>
        <v>95.376712328767127</v>
      </c>
      <c r="AW92" s="107">
        <f>AW72/$N$56*100</f>
        <v>80.434782608695656</v>
      </c>
      <c r="AX92" s="107">
        <f>AX72/$N$60*100</f>
        <v>80.434782608695656</v>
      </c>
      <c r="AY92" s="107">
        <f>AY72/$N$64*100</f>
        <v>95.238095238095227</v>
      </c>
      <c r="AZ92" s="71"/>
      <c r="BA92" s="107">
        <f>BA72/$N$53*100</f>
        <v>99.173553719008268</v>
      </c>
      <c r="BB92" s="107">
        <f>BB72/$N$57*100</f>
        <v>94.827586206896555</v>
      </c>
      <c r="BC92" s="107">
        <f>BC72/$N$61*100</f>
        <v>95.876288659793815</v>
      </c>
      <c r="BD92" s="107">
        <f>BD72/$N$65*100</f>
        <v>100</v>
      </c>
    </row>
    <row r="93" spans="1:57" x14ac:dyDescent="0.2">
      <c r="A93" t="s">
        <v>64</v>
      </c>
      <c r="B93" t="s">
        <v>32</v>
      </c>
      <c r="C93" t="s">
        <v>22</v>
      </c>
      <c r="D93" t="s">
        <v>23</v>
      </c>
      <c r="E93" t="s">
        <v>133</v>
      </c>
      <c r="F93">
        <v>3</v>
      </c>
      <c r="G93" t="s">
        <v>118</v>
      </c>
      <c r="H93">
        <v>19</v>
      </c>
      <c r="I93">
        <v>134</v>
      </c>
      <c r="J93">
        <v>5</v>
      </c>
      <c r="K93">
        <v>27</v>
      </c>
      <c r="L93">
        <v>24</v>
      </c>
      <c r="M93">
        <v>29</v>
      </c>
      <c r="N93">
        <v>112</v>
      </c>
      <c r="O93">
        <v>56</v>
      </c>
      <c r="P93">
        <v>350</v>
      </c>
      <c r="Q93">
        <v>0</v>
      </c>
      <c r="R93">
        <v>43</v>
      </c>
      <c r="S93">
        <v>129</v>
      </c>
      <c r="T93">
        <v>50</v>
      </c>
      <c r="U93">
        <f>(N93+L93)</f>
        <v>136</v>
      </c>
      <c r="V93" s="73">
        <f>(U$90-U93)/U$90</f>
        <v>0.37037037037037035</v>
      </c>
      <c r="Y93" s="136" t="s">
        <v>188</v>
      </c>
      <c r="Z93" s="143">
        <f>Z73/$N$67*100</f>
        <v>39.16083916083916</v>
      </c>
      <c r="AA93" s="143">
        <f>AA73/$N$71*100</f>
        <v>38.888888888888893</v>
      </c>
      <c r="AB93" s="143">
        <f>AB73/$N$75*100</f>
        <v>28.40909090909091</v>
      </c>
      <c r="AC93" s="143">
        <f>AC73/$N$79*100</f>
        <v>33.333333333333329</v>
      </c>
      <c r="AD93" s="71"/>
      <c r="AE93" s="143">
        <f>AE73/$N$68*100</f>
        <v>44.29530201342282</v>
      </c>
      <c r="AF93" s="143">
        <f>AF73/$N$72*100</f>
        <v>40</v>
      </c>
      <c r="AG93" s="143">
        <f>AG73/$N$76*100</f>
        <v>27.500000000000004</v>
      </c>
      <c r="AH93" s="143">
        <f>AH73/$N$80*100</f>
        <v>33.333333333333329</v>
      </c>
      <c r="AI93" s="71"/>
      <c r="AJ93" s="143">
        <f>AJ73/$N$69*100</f>
        <v>36.774193548387096</v>
      </c>
      <c r="AK93" s="143">
        <f>AK73/$N$73*100</f>
        <v>31.25</v>
      </c>
      <c r="AL93" s="143">
        <f>AL73/$N$77*100</f>
        <v>19.318181818181817</v>
      </c>
      <c r="AM93" s="143">
        <f>AM73/$N$81*100</f>
        <v>12.5</v>
      </c>
      <c r="AP93" s="136" t="s">
        <v>188</v>
      </c>
      <c r="AQ93" s="107">
        <f>AQ73/$N$67*100</f>
        <v>60.839160839160847</v>
      </c>
      <c r="AR93" s="107">
        <f>AR73/$N$71*100</f>
        <v>61.111111111111114</v>
      </c>
      <c r="AS93" s="107">
        <f>AS73/$N$75*100</f>
        <v>71.590909090909093</v>
      </c>
      <c r="AT93" s="107">
        <f>AT73/$N$79*100</f>
        <v>66.666666666666657</v>
      </c>
      <c r="AU93" s="71"/>
      <c r="AV93" s="107">
        <f>AV73/$N$68*100</f>
        <v>55.70469798657718</v>
      </c>
      <c r="AW93" s="107">
        <f>AW73/$N$72*100</f>
        <v>60</v>
      </c>
      <c r="AX93" s="107">
        <f>AX73/$N$76*100</f>
        <v>72.5</v>
      </c>
      <c r="AY93" s="107">
        <f>AY73/$N$80*100</f>
        <v>66.666666666666657</v>
      </c>
      <c r="AZ93" s="71"/>
      <c r="BA93" s="107">
        <f>BA73/$N$69*100</f>
        <v>63.225806451612897</v>
      </c>
      <c r="BB93" s="107">
        <f>BB73/$N$73*100</f>
        <v>68.75</v>
      </c>
      <c r="BC93" s="107">
        <f>BC73/$N$77*100</f>
        <v>80.681818181818173</v>
      </c>
      <c r="BD93" s="107">
        <f>BD73/$N$81*100</f>
        <v>87.5</v>
      </c>
    </row>
    <row r="94" spans="1:57" x14ac:dyDescent="0.2">
      <c r="A94" t="s">
        <v>79</v>
      </c>
      <c r="B94" t="s">
        <v>32</v>
      </c>
      <c r="C94" t="s">
        <v>22</v>
      </c>
      <c r="D94" t="s">
        <v>23</v>
      </c>
      <c r="E94" t="s">
        <v>50</v>
      </c>
      <c r="F94">
        <v>3</v>
      </c>
      <c r="G94" t="s">
        <v>25</v>
      </c>
      <c r="H94">
        <v>38</v>
      </c>
      <c r="I94">
        <v>7</v>
      </c>
      <c r="J94">
        <v>87</v>
      </c>
      <c r="K94">
        <v>0</v>
      </c>
      <c r="L94">
        <v>40</v>
      </c>
      <c r="M94">
        <v>0</v>
      </c>
      <c r="N94">
        <v>263</v>
      </c>
      <c r="O94">
        <v>0</v>
      </c>
      <c r="P94">
        <v>145</v>
      </c>
      <c r="Q94">
        <v>0</v>
      </c>
      <c r="R94">
        <v>0</v>
      </c>
      <c r="S94">
        <v>0</v>
      </c>
      <c r="T94">
        <v>0</v>
      </c>
      <c r="U94" s="8">
        <f>(N94+L94)*1/3</f>
        <v>101</v>
      </c>
      <c r="Y94" s="32" t="s">
        <v>189</v>
      </c>
      <c r="Z94" s="143">
        <f>Z74/$N$83*100</f>
        <v>66.975308641975303</v>
      </c>
      <c r="AA94" s="143">
        <f>AA74/$N$87*100</f>
        <v>70.588235294117652</v>
      </c>
      <c r="AB94" s="143">
        <f>AB74/$N$91*100</f>
        <v>15.74074074074074</v>
      </c>
      <c r="AC94" s="143">
        <f>AC74/$N$95*100</f>
        <v>52.631578947368418</v>
      </c>
      <c r="AD94" s="30">
        <f>AVERAGE(Z92:AC94)</f>
        <v>32.680548077035276</v>
      </c>
      <c r="AE94" s="143">
        <f>AE74/$N$84*100</f>
        <v>65.410958904109577</v>
      </c>
      <c r="AF94" s="143">
        <f>AF74/$N$88*100</f>
        <v>36.666666666666664</v>
      </c>
      <c r="AG94" s="143">
        <f>AG74/$N$92*100</f>
        <v>18.085106382978726</v>
      </c>
      <c r="AH94" s="143">
        <f>AH74/$N$96*100</f>
        <v>46.153846153846153</v>
      </c>
      <c r="AI94" s="30">
        <f>AVERAGE(AE92:AH94)</f>
        <v>29.996736722508633</v>
      </c>
      <c r="AJ94" s="143">
        <f>AJ74/$N$85*100</f>
        <v>54.968944099378881</v>
      </c>
      <c r="AK94" s="143">
        <f>AK74/$N$89*100</f>
        <v>45.161290322580641</v>
      </c>
      <c r="AL94" s="143">
        <f>AL74/$N$93*100</f>
        <v>24.107142857142858</v>
      </c>
      <c r="AM94" s="143">
        <f>AM74/$N$97*100</f>
        <v>30</v>
      </c>
      <c r="AN94" s="7">
        <f>AVERAGE(AJ92:AM94)</f>
        <v>22.016860338331053</v>
      </c>
      <c r="AP94" s="32" t="s">
        <v>189</v>
      </c>
      <c r="AQ94" s="107">
        <f>AQ74/$N$83*100</f>
        <v>33.024691358024697</v>
      </c>
      <c r="AR94" s="107">
        <f>AR74/$N$87*100</f>
        <v>29.411764705882355</v>
      </c>
      <c r="AS94" s="107">
        <f>AS74/$N$91*100</f>
        <v>84.259259259259252</v>
      </c>
      <c r="AT94" s="107">
        <f>AT74/$N$95*100</f>
        <v>47.368421052631575</v>
      </c>
      <c r="AU94" s="30">
        <f>AVERAGE(AQ92:AT94)</f>
        <v>67.319451922964717</v>
      </c>
      <c r="AV94" s="107">
        <f>AV74/$N$84*100</f>
        <v>34.589041095890408</v>
      </c>
      <c r="AW94" s="107">
        <f>AW74/$N$88*100</f>
        <v>63.333333333333329</v>
      </c>
      <c r="AX94" s="107">
        <f>AX74/$N$92*100</f>
        <v>81.914893617021278</v>
      </c>
      <c r="AY94" s="107">
        <f>AY74/$N$96*100</f>
        <v>53.846153846153847</v>
      </c>
      <c r="AZ94" s="30">
        <f>AVERAGE(AV92:AY94)</f>
        <v>70.003263277491371</v>
      </c>
      <c r="BA94" s="107">
        <f>BA74/$N$85*100</f>
        <v>45.031055900621119</v>
      </c>
      <c r="BB94" s="107">
        <f>BB74/$N$89*100</f>
        <v>54.838709677419352</v>
      </c>
      <c r="BC94" s="107">
        <f>BC74/$N$93*100</f>
        <v>75.892857142857139</v>
      </c>
      <c r="BD94" s="107">
        <f>BD74/$N$97*100</f>
        <v>70</v>
      </c>
      <c r="BE94" s="7">
        <f>AVERAGE(BA92:BD94)</f>
        <v>77.983139661668943</v>
      </c>
    </row>
    <row r="95" spans="1:57" x14ac:dyDescent="0.2">
      <c r="A95" t="s">
        <v>79</v>
      </c>
      <c r="B95" t="s">
        <v>32</v>
      </c>
      <c r="C95" t="s">
        <v>22</v>
      </c>
      <c r="D95" t="s">
        <v>23</v>
      </c>
      <c r="E95" t="s">
        <v>52</v>
      </c>
      <c r="F95">
        <v>3</v>
      </c>
      <c r="G95" t="s">
        <v>114</v>
      </c>
      <c r="H95">
        <v>6</v>
      </c>
      <c r="I95">
        <v>5</v>
      </c>
      <c r="J95">
        <v>0</v>
      </c>
      <c r="K95">
        <v>4</v>
      </c>
      <c r="L95">
        <v>12</v>
      </c>
      <c r="M95">
        <v>34</v>
      </c>
      <c r="N95">
        <v>19</v>
      </c>
      <c r="O95">
        <v>38</v>
      </c>
      <c r="P95">
        <v>80</v>
      </c>
      <c r="Q95">
        <v>0</v>
      </c>
      <c r="R95">
        <v>20</v>
      </c>
      <c r="S95">
        <v>41</v>
      </c>
      <c r="T95">
        <v>33</v>
      </c>
    </row>
    <row r="96" spans="1:57" x14ac:dyDescent="0.2">
      <c r="A96" t="s">
        <v>79</v>
      </c>
      <c r="B96" t="s">
        <v>32</v>
      </c>
      <c r="C96" t="s">
        <v>22</v>
      </c>
      <c r="D96" t="s">
        <v>23</v>
      </c>
      <c r="E96" t="s">
        <v>115</v>
      </c>
      <c r="F96">
        <v>3</v>
      </c>
      <c r="G96" t="s">
        <v>116</v>
      </c>
      <c r="H96">
        <v>7</v>
      </c>
      <c r="I96">
        <v>2</v>
      </c>
      <c r="J96">
        <v>0</v>
      </c>
      <c r="K96">
        <v>7</v>
      </c>
      <c r="L96">
        <v>15</v>
      </c>
      <c r="M96">
        <v>27</v>
      </c>
      <c r="N96">
        <v>13</v>
      </c>
      <c r="O96">
        <v>34</v>
      </c>
      <c r="P96">
        <v>71</v>
      </c>
      <c r="Q96">
        <v>0</v>
      </c>
      <c r="R96">
        <v>21</v>
      </c>
      <c r="S96">
        <v>41</v>
      </c>
      <c r="T96">
        <v>44</v>
      </c>
    </row>
    <row r="97" spans="1:31" x14ac:dyDescent="0.2">
      <c r="A97" t="s">
        <v>79</v>
      </c>
      <c r="B97" t="s">
        <v>32</v>
      </c>
      <c r="C97" t="s">
        <v>22</v>
      </c>
      <c r="D97" t="s">
        <v>23</v>
      </c>
      <c r="E97" t="s">
        <v>117</v>
      </c>
      <c r="F97">
        <v>3</v>
      </c>
      <c r="G97" t="s">
        <v>118</v>
      </c>
      <c r="H97">
        <v>8</v>
      </c>
      <c r="I97">
        <v>8</v>
      </c>
      <c r="J97">
        <v>1</v>
      </c>
      <c r="K97">
        <v>2</v>
      </c>
      <c r="L97">
        <v>18</v>
      </c>
      <c r="M97">
        <v>22</v>
      </c>
      <c r="N97">
        <v>20</v>
      </c>
      <c r="O97">
        <v>24</v>
      </c>
      <c r="P97">
        <v>79</v>
      </c>
      <c r="Q97">
        <v>0</v>
      </c>
      <c r="R97">
        <v>12</v>
      </c>
      <c r="S97">
        <v>30</v>
      </c>
      <c r="T97">
        <v>38</v>
      </c>
    </row>
    <row r="102" spans="1:31" x14ac:dyDescent="0.2">
      <c r="A102" s="75" t="s">
        <v>245</v>
      </c>
      <c r="B102" s="77" t="s">
        <v>237</v>
      </c>
      <c r="C102" s="77"/>
      <c r="D102" s="77"/>
      <c r="E102" s="77"/>
      <c r="F102" s="78"/>
      <c r="G102" s="77" t="s">
        <v>238</v>
      </c>
      <c r="H102" s="77"/>
      <c r="I102" s="77"/>
      <c r="J102" s="77"/>
      <c r="L102" s="77" t="s">
        <v>239</v>
      </c>
      <c r="M102" s="77"/>
      <c r="N102" s="77"/>
      <c r="O102" s="77"/>
    </row>
    <row r="103" spans="1:31" x14ac:dyDescent="0.2">
      <c r="A103" s="76"/>
      <c r="B103" s="12" t="s">
        <v>183</v>
      </c>
      <c r="C103" s="12" t="s">
        <v>184</v>
      </c>
      <c r="D103" s="12" t="s">
        <v>185</v>
      </c>
      <c r="E103" s="12" t="s">
        <v>186</v>
      </c>
      <c r="F103" s="78"/>
      <c r="G103" s="12" t="s">
        <v>183</v>
      </c>
      <c r="H103" s="12" t="s">
        <v>184</v>
      </c>
      <c r="I103" s="12" t="s">
        <v>185</v>
      </c>
      <c r="J103" s="12" t="s">
        <v>186</v>
      </c>
      <c r="K103" s="14"/>
      <c r="L103" s="12" t="s">
        <v>183</v>
      </c>
      <c r="M103" s="12" t="s">
        <v>184</v>
      </c>
      <c r="N103" s="12" t="s">
        <v>185</v>
      </c>
      <c r="O103" s="12" t="s">
        <v>186</v>
      </c>
      <c r="Q103" s="49" t="s">
        <v>240</v>
      </c>
      <c r="R103" s="27"/>
      <c r="S103" s="27"/>
      <c r="T103" s="27"/>
      <c r="U103" s="27"/>
      <c r="V103" s="27"/>
      <c r="W103" s="27"/>
      <c r="X103" s="27"/>
      <c r="Y103" s="27"/>
      <c r="Z103" s="27"/>
      <c r="AA103" s="15"/>
      <c r="AB103" s="27"/>
      <c r="AC103" s="27"/>
      <c r="AD103" s="27"/>
      <c r="AE103" s="27"/>
    </row>
    <row r="104" spans="1:31" x14ac:dyDescent="0.2">
      <c r="A104" s="15" t="s">
        <v>7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Q104" s="16" t="s">
        <v>187</v>
      </c>
      <c r="R104" s="17">
        <f>$O$3/(($F$3-1)*$P$3)*100</f>
        <v>11.194029850746269</v>
      </c>
      <c r="S104" s="17">
        <f>$O$7/(($F$7-1)*$P$7)*100</f>
        <v>37.216494845360828</v>
      </c>
      <c r="T104" s="17">
        <f>$O$11/(($F$11-1)*$P$11)*100</f>
        <v>36.684782608695656</v>
      </c>
      <c r="U104" s="17">
        <f>$O$15/(($F$15-1)*$P$15)*100</f>
        <v>29.741379310344829</v>
      </c>
      <c r="V104" s="12"/>
      <c r="W104" s="18">
        <f>$O$4/(($F$4-1)*$P$4)*100</f>
        <v>4.0154015401540155</v>
      </c>
      <c r="X104" s="21">
        <f>$O$8/(($F$8-1)*$P$8)*100</f>
        <v>18.365180467091292</v>
      </c>
      <c r="Y104" s="17">
        <f>$O$12/(($F$12-1)*$P$12)*100</f>
        <v>22.254335260115607</v>
      </c>
      <c r="Z104" s="17">
        <f>$O$16/(($F$16-1)*$P$16)*100</f>
        <v>28.318584070796462</v>
      </c>
      <c r="AB104" s="19">
        <f>$O$5/(($F$5-1)*$P$5)*100</f>
        <v>3.1772575250836121</v>
      </c>
      <c r="AC104" s="17">
        <f>$O$9/(($F$9-1)*$P$9)*100</f>
        <v>19.914346895074946</v>
      </c>
      <c r="AD104" s="21">
        <f>$O$13/(($F$13-1)*$P$13)*100</f>
        <v>19.342359767891683</v>
      </c>
      <c r="AE104" s="21">
        <f>$O$17/(($F$17-1)*$P$17)*100</f>
        <v>20.093457943925234</v>
      </c>
    </row>
    <row r="105" spans="1:31" x14ac:dyDescent="0.2">
      <c r="A105" s="16" t="s">
        <v>187</v>
      </c>
      <c r="B105" s="17">
        <f>$H$3/(($F$3-1)*$P$3)*100</f>
        <v>12.739872068230277</v>
      </c>
      <c r="C105" s="18">
        <f>$H$7/(($F$7-1)*$P$7)*100</f>
        <v>1.9072164948453609</v>
      </c>
      <c r="D105" s="17">
        <f>$H$11/(($F$11-1)*$P$11)*100</f>
        <v>12.5</v>
      </c>
      <c r="E105" s="23">
        <f>$H$15/(($F$15-1)*$P$15)*100</f>
        <v>6.0344827586206895</v>
      </c>
      <c r="G105" s="17">
        <f>$H$4/(($F$4-1)*$P$4)*100</f>
        <v>11.221122112211221</v>
      </c>
      <c r="H105" s="18">
        <f>$H$8/(($F$8-1)*$P$8)*100</f>
        <v>2.0169851380042463</v>
      </c>
      <c r="I105" s="17">
        <f>$H$12/(($F$12-1)*$P$12)*100</f>
        <v>12.909441233140656</v>
      </c>
      <c r="J105" s="22">
        <f>$H$16/(($F$16-1)*$P$16)*100</f>
        <v>4.4247787610619467</v>
      </c>
      <c r="L105" s="21">
        <f>$H$5/(($F$5-1)*$P$5)*100</f>
        <v>10.813823857302118</v>
      </c>
      <c r="M105" s="22">
        <f>$H$9/(($F$9-1)*$P$9)*100</f>
        <v>1.4989293361884368</v>
      </c>
      <c r="N105" s="21">
        <f>$H$13/(($F$13-1)*$P$13)*100</f>
        <v>12.282398452611218</v>
      </c>
      <c r="O105" s="23">
        <f>$H$17/(($F$17-1)*$P$17)*100</f>
        <v>7.9439252336448591</v>
      </c>
      <c r="Q105" s="16" t="s">
        <v>188</v>
      </c>
      <c r="R105" s="17">
        <f>$O$19/(($F$19-1)*$P$19)*100</f>
        <v>12.727272727272727</v>
      </c>
      <c r="S105" s="17">
        <f>$O$23/(($F$23-1)*$P$23)*100</f>
        <v>30.794341675734493</v>
      </c>
      <c r="T105" s="17">
        <f>$O$27/(($F$27-1)*$P$27)*100</f>
        <v>19.230769230769234</v>
      </c>
      <c r="U105" s="17">
        <f>$O$31/(($F$31-1)*$P$31)*100</f>
        <v>33.009708737864081</v>
      </c>
      <c r="V105" s="12"/>
      <c r="W105" s="18">
        <f>$O$20/(($F$20-1)*$P$20)*100</f>
        <v>9.2760180995475121</v>
      </c>
      <c r="X105" s="17">
        <f>$O$24/(($F$24-1)*$P$24)*100</f>
        <v>12.831858407079647</v>
      </c>
      <c r="Y105" s="17">
        <f>$O$28/(($F$28-1)*$P$28)*100</f>
        <v>16.38418079096045</v>
      </c>
      <c r="Z105" s="17">
        <f>$O$32/(($F$32-1)*$P$32)*100</f>
        <v>22.881355932203391</v>
      </c>
      <c r="AB105" s="19">
        <f>$O$21/(($F$21-1)*$P$21)*100</f>
        <v>8.0870917573872472</v>
      </c>
      <c r="AC105" s="21">
        <f>$O$25/(($F$25-1)*$P$25)*100</f>
        <v>12.622950819672132</v>
      </c>
      <c r="AD105" s="21">
        <f>$O$29/(($F$29-1)*$P$29)*100</f>
        <v>11.41826923076923</v>
      </c>
      <c r="AE105" s="21">
        <f>$O$33/(($F$33-1)*$P$33)*100</f>
        <v>12.650602409638553</v>
      </c>
    </row>
    <row r="106" spans="1:31" x14ac:dyDescent="0.2">
      <c r="A106" s="16" t="s">
        <v>188</v>
      </c>
      <c r="B106" s="17">
        <f>$H$19/(($F$19-1)*$P$19)*100</f>
        <v>31.212121212121215</v>
      </c>
      <c r="C106" s="18">
        <f>$H$23/(($F$23-1)*$P$23)*100</f>
        <v>2.4483133841131663</v>
      </c>
      <c r="D106" s="23">
        <f>$H$27/(($F$27-1)*$P$27)*100</f>
        <v>6.1538461538461542</v>
      </c>
      <c r="E106" s="21">
        <f>$H$31/(($F$31-1)*$P$31)*100</f>
        <v>20.388349514563107</v>
      </c>
      <c r="F106" s="12"/>
      <c r="G106" s="21">
        <f>$H$20/(($F$20-1)*$P$20)*100</f>
        <v>28.733031674208142</v>
      </c>
      <c r="H106" s="18">
        <f>$H$24/(($F$24-1)*$P$24)*100</f>
        <v>2.1017699115044248</v>
      </c>
      <c r="I106" s="23">
        <f>$H$28/(($F$28-1)*$P$28)*100</f>
        <v>5.9322033898305087</v>
      </c>
      <c r="J106" s="17">
        <f>$H$32/(($F$32-1)*$P$32)*100</f>
        <v>22.881355932203391</v>
      </c>
      <c r="L106" s="17">
        <f>$H$21/(($F$21-1)*$P$21)*100</f>
        <v>28.92690513219285</v>
      </c>
      <c r="M106" s="19">
        <f>$H$25/(($F$25-1)*$P$25)*100</f>
        <v>1.8032786885245904</v>
      </c>
      <c r="N106" s="22">
        <f>$H$29/(($F$29-1)*$P$29)*100</f>
        <v>4.5673076923076916</v>
      </c>
      <c r="O106" s="17">
        <f>$H$33/(($F$33-1)*$P$33)*100</f>
        <v>28.313253012048197</v>
      </c>
      <c r="Q106" s="32" t="s">
        <v>189</v>
      </c>
      <c r="R106" s="18">
        <f>$O$35/(($F$35-1)*$P$35)*100</f>
        <v>8.0599144079885878</v>
      </c>
      <c r="S106" s="17">
        <f>$O$39/(($F$39-1)*$P$39)*100</f>
        <v>30.545454545454547</v>
      </c>
      <c r="T106" s="17">
        <f>$O$43/(($F$43-1)*$P$43)*100</f>
        <v>28.653295128939828</v>
      </c>
      <c r="U106" s="17">
        <f>$O$47/(($F$47-1)*$P$47)*100</f>
        <v>46.067415730337082</v>
      </c>
      <c r="V106" s="14"/>
      <c r="W106" s="18">
        <f>$O$36/(($F$36-1)*$P$36)*100</f>
        <v>5.2821997105643996</v>
      </c>
      <c r="X106" s="19">
        <f>$O$40/(($F$40-1)*$P$40)*100</f>
        <v>7.2878228782287824</v>
      </c>
      <c r="Y106" s="21">
        <f>$O$44/(($F$44-1)*$P$44)*100</f>
        <v>17.761194029850746</v>
      </c>
      <c r="Z106" s="21">
        <f>$O$48/(($F$48-1)*$P$48)*100</f>
        <v>33.146067415730336</v>
      </c>
      <c r="AA106" s="14"/>
      <c r="AB106" s="19">
        <f>$O$37/(($F$37-1)*$P$37)*100</f>
        <v>3.3571428571428572</v>
      </c>
      <c r="AC106" s="18">
        <f>$O$41/(($F$41-1)*$P$41)*100</f>
        <v>8.5526315789473681</v>
      </c>
      <c r="AD106" s="17">
        <f>$O$45/(($F$45-1)*$P$45)*100</f>
        <v>20.087976539589441</v>
      </c>
      <c r="AE106" s="17">
        <f>$O$49/(($F$49-1)*$P$49)*100</f>
        <v>36.470588235294116</v>
      </c>
    </row>
    <row r="107" spans="1:31" x14ac:dyDescent="0.2">
      <c r="A107" s="16" t="s">
        <v>189</v>
      </c>
      <c r="B107" s="23">
        <f>$H$35/(($F$35-1)*$P$35)*100</f>
        <v>7.2039942938659065</v>
      </c>
      <c r="C107" s="23">
        <f>$H$39/(($F$39-1)*$P$39)*100</f>
        <v>1.6363636363636365</v>
      </c>
      <c r="D107" s="17">
        <f>$H$43/(($F$43-1)*$P$43)*100</f>
        <v>14.756446991404012</v>
      </c>
      <c r="E107" s="17">
        <f>$H$47/(($F$47-1)*$P$47)*100</f>
        <v>14.04494382022472</v>
      </c>
      <c r="F107" s="12"/>
      <c r="G107" s="22">
        <f>$H$36/(($F$36-1)*$P$36)*100</f>
        <v>5.861070911722142</v>
      </c>
      <c r="H107" s="25">
        <f>$H$40/(($F$40-1)*$P$40)*100</f>
        <v>0.64575645756457567</v>
      </c>
      <c r="I107" s="18">
        <f>$H$44/(($F$44-1)*$P$44)*100</f>
        <v>6.4179104477611935</v>
      </c>
      <c r="J107" s="19">
        <f>$H$48/(($F$48-1)*$P$48)*100</f>
        <v>5.6179775280898872</v>
      </c>
      <c r="L107" s="23">
        <f>$H$37/(($F$37-1)*$P$37)*100</f>
        <v>7.1428571428571423</v>
      </c>
      <c r="M107" s="18">
        <f>$H$41/(($F$41-1)*$P$41)*100</f>
        <v>1.6917293233082706</v>
      </c>
      <c r="N107" s="19">
        <f>$H$45/(($F$45-1)*$P$45)*100</f>
        <v>5.7184750733137824</v>
      </c>
      <c r="O107" s="17">
        <f>$H$49/(($F$49-1)*$P$49)*100</f>
        <v>10</v>
      </c>
    </row>
    <row r="108" spans="1:31" x14ac:dyDescent="0.2">
      <c r="A108" s="15" t="s">
        <v>13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15"/>
      <c r="L108" s="27"/>
      <c r="M108" s="27"/>
      <c r="N108" s="27"/>
      <c r="O108" s="27"/>
    </row>
    <row r="109" spans="1:31" x14ac:dyDescent="0.2">
      <c r="A109" s="16" t="s">
        <v>187</v>
      </c>
      <c r="B109" s="21">
        <f>$N$3/(($F$3-1)*$P$3)*100</f>
        <v>61.140724946695087</v>
      </c>
      <c r="C109" s="19">
        <f>$N$7/(($F$7-1)*$P$7)*100</f>
        <v>5.1030927835051543</v>
      </c>
      <c r="D109" s="20">
        <f>$N$11/(($F$11-1)*$P$11)*100</f>
        <v>25.271739130434785</v>
      </c>
      <c r="E109" s="21">
        <f>$N$15/(($F$15-1)*$P$15)*100</f>
        <v>63.362068965517238</v>
      </c>
      <c r="F109" s="12"/>
      <c r="G109" s="17">
        <f>$N$4/(($F$4-1)*$P$4)*100</f>
        <v>64.521452145214525</v>
      </c>
      <c r="H109" s="23">
        <f>$N$8/(($F$8-1)*$P$8)*100</f>
        <v>5.8917197452229297</v>
      </c>
      <c r="I109" s="26">
        <f>$N$12/(($F$12-1)*$P$12)*100</f>
        <v>30.539499036608863</v>
      </c>
      <c r="J109" s="17">
        <f>$N$16/(($F$16-1)*$P$16)*100</f>
        <v>66.371681415929203</v>
      </c>
      <c r="L109" s="17">
        <f>$N$5/(($F$5-1)*$P$5)*100</f>
        <v>65.105908584169455</v>
      </c>
      <c r="M109" s="18">
        <f>$N$9/(($F$9-1)*$P$9)*100</f>
        <v>6.3169164882226987</v>
      </c>
      <c r="N109" s="26">
        <f>$N$13/(($F$13-1)*$P$13)*100</f>
        <v>32.785299806576404</v>
      </c>
      <c r="O109" s="17">
        <f>$N$17/(($F$17-1)*$P$17)*100</f>
        <v>71.495327102803742</v>
      </c>
    </row>
    <row r="110" spans="1:31" x14ac:dyDescent="0.2">
      <c r="A110" s="16" t="s">
        <v>188</v>
      </c>
      <c r="B110" s="20">
        <f>$N$19/(($F$19-1)*$P$19)*100</f>
        <v>36.287878787878789</v>
      </c>
      <c r="C110" s="22">
        <f>$N$23/(($F$23-1)*$P$23)*100</f>
        <v>4.3525571273122958</v>
      </c>
      <c r="D110" s="17">
        <f>$N$27/(($F$27-1)*$P$27)*100</f>
        <v>43.18681318681319</v>
      </c>
      <c r="E110" s="26">
        <f>$N$31/(($F$31-1)*$P$31)*100</f>
        <v>26.21359223300971</v>
      </c>
      <c r="F110" s="12"/>
      <c r="G110" s="26">
        <f>$N$20/(($F$20-1)*$P$20)*100</f>
        <v>40.723981900452486</v>
      </c>
      <c r="H110" s="18">
        <f>$N$24/(($F$24-1)*$P$24)*100</f>
        <v>6.1946902654867255</v>
      </c>
      <c r="I110" s="21">
        <f>$N$28/(($F$28-1)*$P$28)*100</f>
        <v>42.514124293785308</v>
      </c>
      <c r="J110" s="20">
        <f>$N$32/(($F$32-1)*$P$32)*100</f>
        <v>21.1864406779661</v>
      </c>
      <c r="L110" s="26">
        <f>$N$21/(($F$21-1)*$P$21)*100</f>
        <v>44.401244167962673</v>
      </c>
      <c r="M110" s="18">
        <f>$N$25/(($F$25-1)*$P$25)*100</f>
        <v>6.2841530054644812</v>
      </c>
      <c r="N110" s="17">
        <f>$N$29/(($F$29-1)*$P$29)*100</f>
        <v>48.07692307692308</v>
      </c>
      <c r="O110" s="17">
        <f>$N$33/(($F$33-1)*$P$33)*100</f>
        <v>35.542168674698793</v>
      </c>
    </row>
    <row r="111" spans="1:31" x14ac:dyDescent="0.2">
      <c r="A111" s="16" t="s">
        <v>189</v>
      </c>
      <c r="B111" s="17">
        <f>$N$35/(($F$35-1)*$P$35)*100</f>
        <v>53.423680456490729</v>
      </c>
      <c r="C111" s="19">
        <f>$N$39/(($F$39-1)*$P$39)*100</f>
        <v>4.6363636363636367</v>
      </c>
      <c r="D111" s="21">
        <f>$N$43/(($F$43-1)*$P$43)*100</f>
        <v>30.659025787965614</v>
      </c>
      <c r="E111" s="21">
        <f>$N$47/(($F$47-1)*$P$47)*100</f>
        <v>27.528089887640451</v>
      </c>
      <c r="F111" s="12"/>
      <c r="G111" s="21">
        <f>$N$36/(($F$36-1)*$P$36)*100</f>
        <v>46.382054992764111</v>
      </c>
      <c r="H111" s="18">
        <f>$N$40/(($F$40-1)*$P$40)*100</f>
        <v>6.5498154981549819</v>
      </c>
      <c r="I111" s="17">
        <f>$N$44/(($F$44-1)*$P$44)*100</f>
        <v>32.686567164179102</v>
      </c>
      <c r="J111" s="17">
        <f>$N$48/(($F$48-1)*$P$48)*100</f>
        <v>37.078651685393261</v>
      </c>
      <c r="L111" s="17">
        <f>$N$37/(($F$37-1)*$P$37)*100</f>
        <v>51.857142857142854</v>
      </c>
      <c r="M111" s="23">
        <f>$N$41/(($F$41-1)*$P$41)*100</f>
        <v>5.1691729323308264</v>
      </c>
      <c r="N111" s="17">
        <f>$N$45/(($F$45-1)*$P$45)*100</f>
        <v>33.284457478005862</v>
      </c>
      <c r="O111" s="26">
        <f>$N$49/(($F$49-1)*$P$49)*100</f>
        <v>28.235294117647058</v>
      </c>
    </row>
    <row r="112" spans="1:31" x14ac:dyDescent="0.2">
      <c r="A112" s="15" t="s">
        <v>190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15"/>
      <c r="L112" s="27"/>
      <c r="M112" s="27"/>
      <c r="N112" s="27"/>
      <c r="O112" s="27"/>
    </row>
    <row r="113" spans="1:31" x14ac:dyDescent="0.2">
      <c r="A113" s="16" t="s">
        <v>187</v>
      </c>
      <c r="B113" s="84">
        <f>($I$3+$J$3+$K$3)/(($F$3-1)*$P$3)*100</f>
        <v>19.243070362473347</v>
      </c>
      <c r="C113" s="84">
        <f>($I$7+$J$7+$K$7)/(($F$7-1)*$P$7)*100</f>
        <v>90.567010309278345</v>
      </c>
      <c r="D113" s="26">
        <f>($I$11+$J$11+$K$11)/(($F$11-1)*$P$11)*100</f>
        <v>47.644927536231883</v>
      </c>
      <c r="E113" s="21">
        <f>($I$15+$J$15+$K$15)/(($F$15-1)*$P$15)*100</f>
        <v>22.413793103448278</v>
      </c>
      <c r="F113" s="84"/>
      <c r="G113" s="84">
        <f>($I$4+$J$4+$K$4)/(($F$4-1)*$P$4)*100</f>
        <v>19.581958195819581</v>
      </c>
      <c r="H113" s="84">
        <f>($I$8+$J$8+$K$8)/(($F$8-1)*$P$8)*100</f>
        <v>90.764331210191088</v>
      </c>
      <c r="I113" s="20">
        <f>($I$12+$J$12+$K$12)/(($F$12-1)*$P$12)*100</f>
        <v>48.747591522157997</v>
      </c>
      <c r="J113" s="84">
        <f>($I$16+$J$16+$K$16)/(($F$16-1)*$P$16)*100</f>
        <v>20.353982300884958</v>
      </c>
      <c r="K113" s="84"/>
      <c r="L113" s="21">
        <f>($I$5+$J$5+$K$5)/(($F$5-1)*$P$5)*100</f>
        <v>20.066889632107024</v>
      </c>
      <c r="M113" s="21">
        <f>($I$9+$J$9+$K$9)/(($F$9-1)*$P$9)*100</f>
        <v>91.006423982869379</v>
      </c>
      <c r="N113" s="26">
        <f>($I$13+$J$13+$K$13)/(($F$13-1)*$P$13)*100</f>
        <v>47.678916827852994</v>
      </c>
      <c r="O113" s="84">
        <f>($I$17+$J$17+$K$17)/(($F$17-1)*$P$17)*100</f>
        <v>13.551401869158877</v>
      </c>
      <c r="P113" s="17">
        <f>AVERAGE(L113:O113)</f>
        <v>43.075908077997063</v>
      </c>
    </row>
    <row r="114" spans="1:31" x14ac:dyDescent="0.2">
      <c r="A114" s="16" t="s">
        <v>188</v>
      </c>
      <c r="B114" s="20">
        <f>($I$19+$J$19+$K$19)/(($F$19-1)*$P$19)*100</f>
        <v>26.515151515151516</v>
      </c>
      <c r="C114" s="21">
        <f>($I$23+$J$23+$K$23)/(($F$23-1)*$P$23)*100</f>
        <v>91.240478781284011</v>
      </c>
      <c r="D114" s="84">
        <f>($I$27+$J$27+$K$27)/(($F$27-1)*$P$27)*100</f>
        <v>34.505494505494504</v>
      </c>
      <c r="E114" s="26">
        <f>($I$31+$J$31+$K$31)/(($F$31-1)*$P$31)*100</f>
        <v>41.747572815533978</v>
      </c>
      <c r="F114" s="84"/>
      <c r="G114" s="84">
        <f>($I$20+$J$20+$K$20)/(($F$20-1)*$P$20)*100</f>
        <v>25.414781297134237</v>
      </c>
      <c r="H114" s="84">
        <f>($I$24+$J$24+$K$24)/(($F$24-1)*$P$24)*100</f>
        <v>90.707964601769902</v>
      </c>
      <c r="I114" s="21">
        <f>($I$28+$J$28+$K$28)/(($F$28-1)*$P$28)*100</f>
        <v>38.135593220338983</v>
      </c>
      <c r="J114" s="20">
        <f>($I$32+$J$32+$K$32)/(($F$32-1)*$P$32)*100</f>
        <v>50</v>
      </c>
      <c r="K114" s="84"/>
      <c r="L114" s="84">
        <f>($I$21+$J$21+$K$21)/(($F$21-1)*$P$21)*100</f>
        <v>22.861586314152412</v>
      </c>
      <c r="M114" s="84">
        <f>($I$25+$J$25+$K$25)/(($F$25-1)*$P$25)*100</f>
        <v>90.983606557377044</v>
      </c>
      <c r="N114" s="84">
        <f>($I$29+$J$29+$K$29)/(($F$29-1)*$P$29)*100</f>
        <v>34.375</v>
      </c>
      <c r="O114" s="26">
        <f>($I$33+$J$33+$K$33)/(($F$33-1)*$P$33)*100</f>
        <v>30.722891566265059</v>
      </c>
      <c r="P114" s="17">
        <f t="shared" ref="P114:P115" si="26">AVERAGE(L114:O114)</f>
        <v>44.735771109448628</v>
      </c>
    </row>
    <row r="115" spans="1:31" x14ac:dyDescent="0.2">
      <c r="A115" s="16" t="s">
        <v>189</v>
      </c>
      <c r="B115" s="84">
        <f>($I$35+$J$35+$K$35)/(($F$35-1)*$P$35)*100</f>
        <v>26.034236804564909</v>
      </c>
      <c r="C115" s="20">
        <f>($I$39+$J$39+$K$39)/(($F$39-1)*$P$39)*100</f>
        <v>92</v>
      </c>
      <c r="D115" s="84">
        <f>($I$43+$J$43+$K$43)/(($F$43-1)*$P$43)*100</f>
        <v>37.392550143266476</v>
      </c>
      <c r="E115" s="84">
        <f>($I$47+$J$47+$K$47)/(($F$47-1)*$P$47)*100</f>
        <v>11.797752808988763</v>
      </c>
      <c r="F115" s="84"/>
      <c r="G115" s="20">
        <f>($I$36+$J$36+$K$36)/(($F$36-1)*$P$36)*100</f>
        <v>29.450072358900144</v>
      </c>
      <c r="H115" s="26">
        <f>($I$40+$J$40+$K$40)/(($F$40-1)*$P$40)*100</f>
        <v>91.051660516605168</v>
      </c>
      <c r="I115" s="21">
        <f>($I$44+$J$44+$K$44)/(($F$44-1)*$P$44)*100</f>
        <v>46.119402985074629</v>
      </c>
      <c r="J115" s="21">
        <f>($I$48+$J$48+$K$48)/(($F$48-1)*$P$48)*100</f>
        <v>13.48314606741573</v>
      </c>
      <c r="K115" s="84"/>
      <c r="L115" s="26">
        <f>($I$37+$J$37+$K$37)/(($F$37-1)*$P$37)*100</f>
        <v>27.285714285714285</v>
      </c>
      <c r="M115" s="26">
        <f>($I$41+$J$41+$K$41)/(($F$41-1)*$P$41)*100</f>
        <v>91.353383458646618</v>
      </c>
      <c r="N115" s="84">
        <f>($I$45+$J$45+$K$45)/(($F$45-1)*$P$45)*100</f>
        <v>44.428152492668623</v>
      </c>
      <c r="O115" s="21">
        <f>($I$49+$J$49+$K$49)/(($F$49-1)*$P$49)*100</f>
        <v>13.529411764705882</v>
      </c>
      <c r="P115" s="17">
        <f t="shared" si="26"/>
        <v>44.149165500433853</v>
      </c>
    </row>
    <row r="116" spans="1:31" x14ac:dyDescent="0.2">
      <c r="A116" s="15" t="s">
        <v>11</v>
      </c>
      <c r="B116" s="27"/>
      <c r="C116" s="27"/>
      <c r="D116" s="27"/>
      <c r="E116" s="27"/>
      <c r="F116" s="27"/>
      <c r="G116" s="27"/>
      <c r="H116" s="27"/>
      <c r="I116" s="27"/>
      <c r="J116" s="27"/>
      <c r="L116" s="27"/>
      <c r="M116" s="27"/>
      <c r="N116" s="27"/>
      <c r="O116" s="27"/>
    </row>
    <row r="117" spans="1:31" x14ac:dyDescent="0.2">
      <c r="A117" s="16" t="s">
        <v>187</v>
      </c>
      <c r="B117" s="19">
        <f>($L$3+$M$3)/(($F$3-1)*$P$3)*100</f>
        <v>6.8763326226012795</v>
      </c>
      <c r="C117" s="22">
        <f>($L$7+$M$7)/(($F$7-1)*$P$7)*100</f>
        <v>2.4226804123711343</v>
      </c>
      <c r="D117" s="21">
        <f>($L$11+$M$11)/(($F$11-1)*$P$11)*100</f>
        <v>14.583333333333334</v>
      </c>
      <c r="E117" s="19">
        <f>($L$15+$M$15)/(($F$15-1)*$P$15)*100</f>
        <v>8.1896551724137936</v>
      </c>
      <c r="F117" s="84"/>
      <c r="G117" s="83">
        <f>($L$4+$M$4)/(($F$4-1)*$P$4)*100</f>
        <v>4.6754675467546756</v>
      </c>
      <c r="H117" s="83">
        <f>($L$8+$M$8)/(($F$8-1)*$P$8)*100</f>
        <v>1.3269639065817411</v>
      </c>
      <c r="I117" s="83">
        <f>($L$12+$M$12)/(($F$12-1)*$P$12)*100</f>
        <v>7.803468208092486</v>
      </c>
      <c r="J117" s="83">
        <f>($L$16+$M$16)/(($F$16-1)*$P$16)*100</f>
        <v>8.8495575221238933</v>
      </c>
      <c r="K117" s="84"/>
      <c r="L117" s="83">
        <f>($L$5+$M$5)/(($F$5-1)*$P$5)*100</f>
        <v>4.0133779264214047</v>
      </c>
      <c r="M117" s="83">
        <f>($L$9+$M$9)/(($F$9-1)*$P$9)*100</f>
        <v>1.1777301927194861</v>
      </c>
      <c r="N117" s="83">
        <f>($L$13+$M$13)/(($F$13-1)*$P$13)*100</f>
        <v>7.2533849129593806</v>
      </c>
      <c r="O117" s="83">
        <f>($L$17+$M$17)/(($F$17-1)*$P$17)*100</f>
        <v>7.009345794392523</v>
      </c>
      <c r="P117" s="17">
        <f>AVERAGE(L117:O117)</f>
        <v>4.8634597066231988</v>
      </c>
    </row>
    <row r="118" spans="1:31" x14ac:dyDescent="0.2">
      <c r="A118" s="16" t="s">
        <v>188</v>
      </c>
      <c r="B118" s="19">
        <f>($L$19+$M$19)/(($F$19-1)*$P$19)*100</f>
        <v>5.9848484848484844</v>
      </c>
      <c r="C118" s="19">
        <f>($L$23+$M$23)/(($F$23-1)*$P$23)*100</f>
        <v>1.958650707290533</v>
      </c>
      <c r="D118" s="21">
        <f>($L$27+$M$27)/(($F$27-1)*$P$27)*100</f>
        <v>16.153846153846153</v>
      </c>
      <c r="E118" s="21">
        <f>($L$31+$M$31)/(($F$31-1)*$P$31)*100</f>
        <v>11.650485436893204</v>
      </c>
      <c r="F118" s="84"/>
      <c r="G118" s="83">
        <f>($L$20+$M$20)/(($F$20-1)*$P$20)*100</f>
        <v>5.1282051282051277</v>
      </c>
      <c r="H118" s="87">
        <f>($L$24+$M$24)/(($F$24-1)*$P$24)*100</f>
        <v>0.99557522123893805</v>
      </c>
      <c r="I118" s="84">
        <f>($L$28+$M$28)/(($F$28-1)*$P$28)*100</f>
        <v>13.418079096045199</v>
      </c>
      <c r="J118" s="83">
        <f>($L$32+$M$32)/(($F$32-1)*$P$32)*100</f>
        <v>5.9322033898305087</v>
      </c>
      <c r="K118" s="84"/>
      <c r="L118" s="83">
        <f>($L$21+$M$21)/(($F$21-1)*$P$21)*100</f>
        <v>3.8102643856920686</v>
      </c>
      <c r="M118" s="87">
        <f>($L$25+$M$25)/(($F$25-1)*$P$25)*100</f>
        <v>0.9289617486338797</v>
      </c>
      <c r="N118" s="84">
        <f>($L$29+$M$29)/(($F$29-1)*$P$29)*100</f>
        <v>12.980769230769232</v>
      </c>
      <c r="O118" s="83">
        <f>($L$33+$M$33)/(($F$33-1)*$P$33)*100</f>
        <v>5.4216867469879517</v>
      </c>
      <c r="P118" s="17">
        <f t="shared" ref="P118" si="27">AVERAGE(L118:O118)</f>
        <v>5.7854205280207829</v>
      </c>
    </row>
    <row r="119" spans="1:31" x14ac:dyDescent="0.2">
      <c r="A119" s="16" t="s">
        <v>189</v>
      </c>
      <c r="B119" s="26">
        <f>($L$35+$M$35)/(($F$35-1)*$P$35)*100</f>
        <v>13.338088445078458</v>
      </c>
      <c r="C119" s="83">
        <f>($L$39+$M$39)/(($F$39-1)*$P$39)*100</f>
        <v>1.7272727272727273</v>
      </c>
      <c r="D119" s="20">
        <f>($L$43+$M$43)/(($F$43-1)*$P$43)*100</f>
        <v>17.191977077363894</v>
      </c>
      <c r="E119" s="26">
        <f>($L$47+$M$47)/(($F$47-1)*$P$47)*100</f>
        <v>46.629213483146067</v>
      </c>
      <c r="F119" s="84"/>
      <c r="G119" s="20">
        <f>($L$36+$M$36)/(($F$36-1)*$P$36)*100</f>
        <v>18.306801736613604</v>
      </c>
      <c r="H119" s="23">
        <f>($L$40+$M$40)/(($F$40-1)*$P$40)*100</f>
        <v>1.7527675276752765</v>
      </c>
      <c r="I119" s="26">
        <f>($L$44+$M$44)/(($F$44-1)*$P$44)*100</f>
        <v>14.776119402985074</v>
      </c>
      <c r="J119" s="26">
        <f>($L$48+$M$48)/(($F$48-1)*$P$48)*100</f>
        <v>43.820224719101127</v>
      </c>
      <c r="K119" s="84"/>
      <c r="L119" s="26">
        <f>($L$37+$M$37)/(($F$37-1)*$P$37)*100</f>
        <v>13.714285714285715</v>
      </c>
      <c r="M119" s="22">
        <f>($L$41+$M$41)/(($F$41-1)*$P$41)*100</f>
        <v>1.7857142857142856</v>
      </c>
      <c r="N119" s="26">
        <f>($L$45+$M$45)/(($F$45-1)*$P$45)*100</f>
        <v>16.568914956011728</v>
      </c>
      <c r="O119" s="20">
        <f>($L$49+$M$49)/(($F$49-1)*$P$49)*100</f>
        <v>48.235294117647058</v>
      </c>
      <c r="P119" s="17">
        <f>AVERAGE(L119:O119)</f>
        <v>20.076052268414696</v>
      </c>
      <c r="Q119" s="75" t="s">
        <v>236</v>
      </c>
      <c r="R119" s="77" t="s">
        <v>237</v>
      </c>
      <c r="S119" s="77"/>
      <c r="T119" s="77"/>
      <c r="U119" s="77"/>
      <c r="V119" s="78"/>
      <c r="W119" s="77" t="s">
        <v>238</v>
      </c>
      <c r="X119" s="77"/>
      <c r="Y119" s="77"/>
      <c r="Z119" s="77"/>
      <c r="AB119" s="77" t="s">
        <v>239</v>
      </c>
      <c r="AC119" s="77"/>
      <c r="AD119" s="77"/>
      <c r="AE119" s="77"/>
    </row>
    <row r="120" spans="1:31" x14ac:dyDescent="0.2">
      <c r="A120" s="49" t="s">
        <v>240</v>
      </c>
      <c r="B120" s="27"/>
      <c r="C120" s="27"/>
      <c r="D120" s="27"/>
      <c r="E120" s="27"/>
      <c r="F120" s="47"/>
      <c r="G120" s="27"/>
      <c r="H120" s="27"/>
      <c r="I120" s="27"/>
      <c r="J120" s="27"/>
      <c r="K120" s="47"/>
      <c r="L120" s="27"/>
      <c r="M120" s="27"/>
      <c r="N120" s="27"/>
      <c r="O120" s="27"/>
      <c r="P120" s="47">
        <f>AVERAGE(P117:P119)</f>
        <v>10.241644167686227</v>
      </c>
      <c r="Q120" s="76"/>
      <c r="R120" s="12" t="s">
        <v>183</v>
      </c>
      <c r="S120" s="12" t="s">
        <v>184</v>
      </c>
      <c r="T120" s="12" t="s">
        <v>185</v>
      </c>
      <c r="U120" s="12" t="s">
        <v>186</v>
      </c>
      <c r="V120" s="78"/>
      <c r="W120" s="12" t="s">
        <v>183</v>
      </c>
      <c r="X120" s="12" t="s">
        <v>184</v>
      </c>
      <c r="Y120" s="12" t="s">
        <v>185</v>
      </c>
      <c r="Z120" s="12" t="s">
        <v>186</v>
      </c>
      <c r="AB120" s="12" t="s">
        <v>183</v>
      </c>
      <c r="AC120" s="12" t="s">
        <v>184</v>
      </c>
      <c r="AD120" s="12" t="s">
        <v>185</v>
      </c>
      <c r="AE120" s="12" t="s">
        <v>186</v>
      </c>
    </row>
    <row r="121" spans="1:31" x14ac:dyDescent="0.2">
      <c r="A121" s="16" t="s">
        <v>187</v>
      </c>
      <c r="B121" s="21">
        <f>$O$3/(($F$3-1)*$P$3)*100</f>
        <v>11.194029850746269</v>
      </c>
      <c r="C121" s="20">
        <f>$O$7/(($F$7-1)*$P$7)*100</f>
        <v>37.216494845360828</v>
      </c>
      <c r="D121" s="20">
        <f>$O$11/(($F$11-1)*$P$11)*100</f>
        <v>36.684782608695656</v>
      </c>
      <c r="E121" s="21">
        <f>$O$15/(($F$15-1)*$P$15)*100</f>
        <v>29.741379310344829</v>
      </c>
      <c r="F121" s="17"/>
      <c r="G121" s="18">
        <f>$O$4/(($F$4-1)*$P$4)*100</f>
        <v>4.0154015401540155</v>
      </c>
      <c r="H121" s="26">
        <f>$O$8/(($F$8-1)*$P$8)*100</f>
        <v>18.365180467091292</v>
      </c>
      <c r="I121" s="26">
        <f>$O$12/(($F$12-1)*$P$12)*100</f>
        <v>22.254335260115607</v>
      </c>
      <c r="J121" s="17">
        <f>$O$16/(($F$16-1)*$P$16)*100</f>
        <v>28.318584070796462</v>
      </c>
      <c r="K121" s="17"/>
      <c r="L121" s="18">
        <f>$O$5/(($F$5-1)*$P$5)*100</f>
        <v>3.1772575250836121</v>
      </c>
      <c r="M121" s="26">
        <f>$O$9/(($F$9-1)*$P$9)*100</f>
        <v>19.914346895074946</v>
      </c>
      <c r="N121" s="17">
        <f>$O$13/(($F$13-1)*$P$13)*100</f>
        <v>19.342359767891683</v>
      </c>
      <c r="O121" s="17">
        <f>$O$17/(($F$17-1)*$P$17)*100</f>
        <v>20.093457943925234</v>
      </c>
      <c r="P121" s="17">
        <f>AVERAGE(L121:O121)</f>
        <v>15.631855532993868</v>
      </c>
      <c r="Q121" s="16" t="s">
        <v>187</v>
      </c>
      <c r="R121" s="30">
        <f t="shared" ref="R121:U123" si="28">B105+B109</f>
        <v>73.880597014925371</v>
      </c>
      <c r="S121" s="7">
        <f t="shared" si="28"/>
        <v>7.0103092783505154</v>
      </c>
      <c r="T121" s="30">
        <f t="shared" si="28"/>
        <v>37.771739130434781</v>
      </c>
      <c r="U121" s="30">
        <f t="shared" si="28"/>
        <v>69.396551724137922</v>
      </c>
      <c r="V121" s="30"/>
      <c r="W121" s="30">
        <f t="shared" ref="W121:Z123" si="29">G105+G109</f>
        <v>75.742574257425744</v>
      </c>
      <c r="X121" s="7">
        <f t="shared" si="29"/>
        <v>7.908704883227176</v>
      </c>
      <c r="Y121" s="30">
        <f t="shared" si="29"/>
        <v>43.448940269749521</v>
      </c>
      <c r="Z121" s="30">
        <f t="shared" si="29"/>
        <v>70.796460176991147</v>
      </c>
      <c r="AA121" s="30"/>
      <c r="AB121" s="30">
        <f t="shared" ref="AB121:AE123" si="30">L105+L109</f>
        <v>75.919732441471581</v>
      </c>
      <c r="AC121" s="7">
        <f t="shared" si="30"/>
        <v>7.8158458244111353</v>
      </c>
      <c r="AD121" s="30">
        <f t="shared" si="30"/>
        <v>45.067698259187623</v>
      </c>
      <c r="AE121" s="30">
        <f t="shared" si="30"/>
        <v>79.439252336448604</v>
      </c>
    </row>
    <row r="122" spans="1:31" x14ac:dyDescent="0.2">
      <c r="A122" s="16" t="s">
        <v>188</v>
      </c>
      <c r="B122" s="20">
        <f>$O$19/(($F$19-1)*$P$19)*100</f>
        <v>12.727272727272727</v>
      </c>
      <c r="C122" s="21">
        <f>$O$23/(($F$23-1)*$P$23)*100</f>
        <v>30.794341675734493</v>
      </c>
      <c r="D122" s="21">
        <f>$O$27/(($F$27-1)*$P$27)*100</f>
        <v>19.230769230769234</v>
      </c>
      <c r="E122" s="21">
        <f>$O$31/(($F$31-1)*$P$31)*100</f>
        <v>33.009708737864081</v>
      </c>
      <c r="F122" s="17"/>
      <c r="G122" s="23">
        <f>$O$20/(($F$20-1)*$P$20)*100</f>
        <v>9.2760180995475121</v>
      </c>
      <c r="H122" s="17">
        <f>$O$24/(($F$24-1)*$P$24)*100</f>
        <v>12.831858407079647</v>
      </c>
      <c r="I122" s="17">
        <f>$O$28/(($F$28-1)*$P$28)*100</f>
        <v>16.38418079096045</v>
      </c>
      <c r="J122" s="17">
        <f>$O$32/(($F$32-1)*$P$32)*100</f>
        <v>22.881355932203391</v>
      </c>
      <c r="K122" s="17"/>
      <c r="L122" s="23">
        <f>$O$21/(($F$21-1)*$P$21)*100</f>
        <v>8.0870917573872472</v>
      </c>
      <c r="M122" s="17">
        <f>$O$25/(($F$25-1)*$P$25)*100</f>
        <v>12.622950819672132</v>
      </c>
      <c r="N122" s="17">
        <f>$O$29/(($F$29-1)*$P$29)*100</f>
        <v>11.41826923076923</v>
      </c>
      <c r="O122" s="17">
        <f>$O$33/(($F$33-1)*$P$33)*100</f>
        <v>12.650602409638553</v>
      </c>
      <c r="P122" s="17">
        <f t="shared" ref="P122:P123" si="31">AVERAGE(L122:O122)</f>
        <v>11.19472855436679</v>
      </c>
      <c r="Q122" s="16" t="s">
        <v>188</v>
      </c>
      <c r="R122" s="30">
        <f t="shared" si="28"/>
        <v>67.5</v>
      </c>
      <c r="S122" s="7">
        <f t="shared" si="28"/>
        <v>6.8008705114254617</v>
      </c>
      <c r="T122" s="30">
        <f t="shared" si="28"/>
        <v>49.340659340659343</v>
      </c>
      <c r="U122" s="30">
        <f t="shared" si="28"/>
        <v>46.601941747572816</v>
      </c>
      <c r="V122" s="30"/>
      <c r="W122" s="30">
        <f t="shared" si="29"/>
        <v>69.457013574660635</v>
      </c>
      <c r="X122" s="7">
        <f t="shared" si="29"/>
        <v>8.2964601769911503</v>
      </c>
      <c r="Y122" s="30">
        <f t="shared" si="29"/>
        <v>48.44632768361582</v>
      </c>
      <c r="Z122" s="30">
        <f t="shared" si="29"/>
        <v>44.067796610169495</v>
      </c>
      <c r="AA122" s="7"/>
      <c r="AB122" s="30">
        <f t="shared" si="30"/>
        <v>73.32814930015553</v>
      </c>
      <c r="AC122" s="7">
        <f t="shared" si="30"/>
        <v>8.0874316939890711</v>
      </c>
      <c r="AD122" s="30">
        <f t="shared" si="30"/>
        <v>52.644230769230774</v>
      </c>
      <c r="AE122" s="30">
        <f t="shared" si="30"/>
        <v>63.855421686746993</v>
      </c>
    </row>
    <row r="123" spans="1:31" ht="16" thickBot="1" x14ac:dyDescent="0.25">
      <c r="A123" s="32" t="s">
        <v>189</v>
      </c>
      <c r="B123" s="19">
        <f>$O$35/(($F$35-1)*$P$35)*100</f>
        <v>8.0599144079885878</v>
      </c>
      <c r="C123" s="21">
        <f>$O$39/(($F$39-1)*$P$39)*100</f>
        <v>30.545454545454547</v>
      </c>
      <c r="D123" s="21">
        <f>$O$43/(($F$43-1)*$P$43)*100</f>
        <v>28.653295128939828</v>
      </c>
      <c r="E123" s="20">
        <f>$O$47/(($F$47-1)*$P$47)*100</f>
        <v>46.067415730337082</v>
      </c>
      <c r="F123" s="17"/>
      <c r="G123" s="18">
        <f>$O$36/(($F$36-1)*$P$36)*100</f>
        <v>5.2821997105643996</v>
      </c>
      <c r="H123" s="18">
        <f>$O$40/(($F$40-1)*$P$40)*100</f>
        <v>7.2878228782287824</v>
      </c>
      <c r="I123" s="17">
        <f>$O$44/(($F$44-1)*$P$44)*100</f>
        <v>17.761194029850746</v>
      </c>
      <c r="J123" s="26">
        <f>$O$48/(($F$48-1)*$P$48)*100</f>
        <v>33.146067415730336</v>
      </c>
      <c r="K123" s="17"/>
      <c r="L123" s="18">
        <f>$O$37/(($F$37-1)*$P$37)*100</f>
        <v>3.3571428571428572</v>
      </c>
      <c r="M123" s="18">
        <f>$O$41/(($F$41-1)*$P$41)*100</f>
        <v>8.5526315789473681</v>
      </c>
      <c r="N123" s="26">
        <f>$O$45/(($F$45-1)*$P$45)*100</f>
        <v>20.087976539589441</v>
      </c>
      <c r="O123" s="26">
        <f>$O$49/(($F$49-1)*$P$49)*100</f>
        <v>36.470588235294116</v>
      </c>
      <c r="P123" s="17">
        <f t="shared" si="31"/>
        <v>17.117084802743445</v>
      </c>
      <c r="Q123" s="40" t="s">
        <v>189</v>
      </c>
      <c r="R123" s="30">
        <f t="shared" si="28"/>
        <v>60.627674750356633</v>
      </c>
      <c r="S123" s="7">
        <f t="shared" si="28"/>
        <v>6.2727272727272734</v>
      </c>
      <c r="T123" s="30">
        <f t="shared" si="28"/>
        <v>45.415472779369622</v>
      </c>
      <c r="U123" s="30">
        <f t="shared" si="28"/>
        <v>41.573033707865171</v>
      </c>
      <c r="V123" s="30"/>
      <c r="W123" s="30">
        <f t="shared" si="29"/>
        <v>52.243125904486256</v>
      </c>
      <c r="X123" s="7">
        <f t="shared" si="29"/>
        <v>7.1955719557195579</v>
      </c>
      <c r="Y123" s="30">
        <f t="shared" si="29"/>
        <v>39.104477611940297</v>
      </c>
      <c r="Z123" s="30">
        <f t="shared" si="29"/>
        <v>42.696629213483149</v>
      </c>
      <c r="AB123" s="30">
        <f t="shared" si="30"/>
        <v>59</v>
      </c>
      <c r="AC123" s="7">
        <f t="shared" si="30"/>
        <v>6.8609022556390968</v>
      </c>
      <c r="AD123" s="30">
        <f t="shared" si="30"/>
        <v>39.002932551319645</v>
      </c>
      <c r="AE123" s="30">
        <f t="shared" si="30"/>
        <v>38.235294117647058</v>
      </c>
    </row>
    <row r="124" spans="1:31" ht="15" customHeight="1" x14ac:dyDescent="0.2">
      <c r="A124" s="49"/>
      <c r="B124" s="47">
        <f>SUM(B105+B109+B113+B117)</f>
        <v>100</v>
      </c>
      <c r="C124" s="47">
        <f>SUM(C105+C109+C113+C117)</f>
        <v>100</v>
      </c>
      <c r="D124" s="47">
        <f>SUM(D105+D109+D113+D117)</f>
        <v>99.999999999999986</v>
      </c>
      <c r="E124" s="47">
        <f>SUM(E105+E109+E113+E117)</f>
        <v>99.999999999999986</v>
      </c>
      <c r="F124" s="47"/>
      <c r="G124" s="47">
        <f>SUM(G105+G109+G113+G117)</f>
        <v>100</v>
      </c>
      <c r="H124" s="47">
        <f>SUM(H105+H109+H113+H117)</f>
        <v>100</v>
      </c>
      <c r="I124" s="47">
        <f>SUM(I105+I109+I113+I117)</f>
        <v>100</v>
      </c>
      <c r="J124" s="47">
        <f>SUM(J105+J109+J113+J117)</f>
        <v>100</v>
      </c>
      <c r="K124" s="47"/>
      <c r="L124" s="47">
        <f>SUM(L105+L109+L113+L117)</f>
        <v>100</v>
      </c>
      <c r="M124" s="47">
        <f>SUM(M105+M109+M113+M117)</f>
        <v>100</v>
      </c>
      <c r="N124" s="47">
        <f>SUM(N105+N109+N113+N117)</f>
        <v>100</v>
      </c>
      <c r="O124" s="47">
        <f>SUM(O105+O109+O113+O117)</f>
        <v>100</v>
      </c>
      <c r="Q124" s="16" t="s">
        <v>168</v>
      </c>
      <c r="R124" s="30">
        <f>AVERAGE(R121:R123)</f>
        <v>67.336090588427339</v>
      </c>
      <c r="S124" s="7">
        <f t="shared" ref="S124:AE124" si="32">AVERAGE(S121:S123)</f>
        <v>6.6946356875010835</v>
      </c>
      <c r="T124" s="30">
        <f t="shared" si="32"/>
        <v>44.175957083487923</v>
      </c>
      <c r="U124" s="30">
        <f t="shared" si="32"/>
        <v>52.523842393191963</v>
      </c>
      <c r="V124" s="30"/>
      <c r="W124" s="30">
        <f t="shared" si="32"/>
        <v>65.814237912190876</v>
      </c>
      <c r="X124" s="7">
        <f t="shared" si="32"/>
        <v>7.8002456719792947</v>
      </c>
      <c r="Y124" s="30">
        <f t="shared" si="32"/>
        <v>43.666581855101875</v>
      </c>
      <c r="Z124" s="30">
        <f t="shared" si="32"/>
        <v>52.520295333547928</v>
      </c>
      <c r="AA124" s="30"/>
      <c r="AB124" s="30">
        <f t="shared" si="32"/>
        <v>69.415960580542375</v>
      </c>
      <c r="AC124" s="7">
        <f t="shared" si="32"/>
        <v>7.5880599246797678</v>
      </c>
      <c r="AD124" s="30">
        <f t="shared" si="32"/>
        <v>45.571620526579352</v>
      </c>
      <c r="AE124" s="30">
        <f t="shared" si="32"/>
        <v>60.509989380280878</v>
      </c>
    </row>
    <row r="125" spans="1:31" x14ac:dyDescent="0.2">
      <c r="A125" s="16"/>
      <c r="B125" s="92">
        <f>SUM(B106+B110+B114+B118)</f>
        <v>100</v>
      </c>
      <c r="C125" s="92">
        <f>SUM(C106+C110+C114+C118)</f>
        <v>100</v>
      </c>
      <c r="D125" s="92">
        <f>SUM(D106+D110+D114+D118)</f>
        <v>100</v>
      </c>
      <c r="E125" s="92">
        <f>SUM(E106+E110+E114+E118)</f>
        <v>100</v>
      </c>
      <c r="F125" s="17"/>
      <c r="G125" s="17">
        <f>SUM(G106+G110+G114+G118)</f>
        <v>100</v>
      </c>
      <c r="H125" s="17">
        <f>SUM(H106+H110+H114+H118)</f>
        <v>99.999999999999986</v>
      </c>
      <c r="I125" s="17">
        <f>SUM(I106+I110+I114+I118)</f>
        <v>100</v>
      </c>
      <c r="J125" s="17">
        <f>SUM(J106+J110+J114+J118)</f>
        <v>100</v>
      </c>
      <c r="K125" s="17"/>
      <c r="L125" s="17">
        <f>SUM(L106+L110+L114+L118)</f>
        <v>100.00000000000001</v>
      </c>
      <c r="M125" s="17">
        <f>SUM(M106+M110+M114+M118)</f>
        <v>100</v>
      </c>
      <c r="N125" s="17">
        <f>SUM(N106+N110+N114+N118)</f>
        <v>100</v>
      </c>
      <c r="O125" s="17">
        <f>SUM(O106+O110+O114+O118)</f>
        <v>100</v>
      </c>
      <c r="S125" s="30">
        <f>AVERAGE(R124:U124)</f>
        <v>42.682631438152079</v>
      </c>
      <c r="X125" s="30">
        <f>AVERAGE(W124:Z124)</f>
        <v>42.450340193204994</v>
      </c>
      <c r="AC125" s="30">
        <f>AVERAGE(AB124:AE124)</f>
        <v>45.771407603020592</v>
      </c>
    </row>
    <row r="126" spans="1:31" x14ac:dyDescent="0.2">
      <c r="A126" s="16"/>
      <c r="B126" s="92">
        <f>SUM(B107+B111+B115+B119)</f>
        <v>100</v>
      </c>
      <c r="C126" s="92">
        <f>SUM(C107+C111+C115+C119)</f>
        <v>100.00000000000001</v>
      </c>
      <c r="D126" s="92">
        <f>SUM(D107+D111+D115+D119)</f>
        <v>100</v>
      </c>
      <c r="E126" s="92">
        <f>SUM(E107+E111+E115+E119)</f>
        <v>100</v>
      </c>
      <c r="F126" s="17"/>
      <c r="G126" s="17">
        <f>SUM(G107+G111+G115+G119)</f>
        <v>100</v>
      </c>
      <c r="H126" s="17">
        <f>SUM(H107+H111+H115+H119)</f>
        <v>100</v>
      </c>
      <c r="I126" s="17">
        <f>SUM(I107+I111+I115+I119)</f>
        <v>100</v>
      </c>
      <c r="J126" s="17">
        <f>SUM(J107+J111+J115+J119)</f>
        <v>100</v>
      </c>
      <c r="K126" s="17"/>
      <c r="L126" s="17">
        <f>SUM(L107+L111+L115+L119)</f>
        <v>100</v>
      </c>
      <c r="M126" s="17">
        <f>SUM(M107+M111+M115+M119)</f>
        <v>100.00000000000001</v>
      </c>
      <c r="N126" s="17">
        <f>SUM(N107+N111+N115+N119)</f>
        <v>100</v>
      </c>
      <c r="O126" s="17">
        <f>SUM(O107+O111+O115+O119)</f>
        <v>100</v>
      </c>
    </row>
    <row r="127" spans="1:31" x14ac:dyDescent="0.2">
      <c r="A127" s="16"/>
      <c r="B127" s="18"/>
      <c r="C127" s="21"/>
      <c r="D127" s="21"/>
      <c r="E127" s="17"/>
      <c r="G127" s="19"/>
      <c r="H127" s="18"/>
      <c r="I127" s="17"/>
      <c r="J127" s="18"/>
      <c r="L127" s="18"/>
      <c r="M127" s="18"/>
      <c r="N127" s="17"/>
      <c r="O127" s="21"/>
    </row>
    <row r="128" spans="1:31" ht="32" x14ac:dyDescent="0.2">
      <c r="A128" s="10" t="s">
        <v>246</v>
      </c>
      <c r="B128" s="77" t="s">
        <v>247</v>
      </c>
      <c r="C128" s="77"/>
      <c r="D128" s="77"/>
      <c r="E128" s="77"/>
      <c r="F128" s="12"/>
      <c r="G128" s="77" t="s">
        <v>248</v>
      </c>
      <c r="H128" s="77"/>
      <c r="I128" s="77"/>
      <c r="J128" s="77"/>
      <c r="L128" s="77" t="s">
        <v>249</v>
      </c>
      <c r="M128" s="77"/>
      <c r="N128" s="77"/>
      <c r="O128" s="77"/>
    </row>
    <row r="129" spans="1:15" x14ac:dyDescent="0.2">
      <c r="A129" s="13"/>
      <c r="B129" s="12" t="s">
        <v>183</v>
      </c>
      <c r="C129" s="12" t="s">
        <v>184</v>
      </c>
      <c r="D129" s="12" t="s">
        <v>185</v>
      </c>
      <c r="E129" s="12" t="s">
        <v>186</v>
      </c>
      <c r="F129" s="12"/>
      <c r="G129" s="12" t="s">
        <v>183</v>
      </c>
      <c r="H129" s="12" t="s">
        <v>184</v>
      </c>
      <c r="I129" s="12" t="s">
        <v>185</v>
      </c>
      <c r="J129" s="12" t="s">
        <v>186</v>
      </c>
      <c r="K129" s="14"/>
      <c r="L129" s="12" t="s">
        <v>183</v>
      </c>
      <c r="M129" s="12" t="s">
        <v>184</v>
      </c>
      <c r="N129" s="12" t="s">
        <v>185</v>
      </c>
      <c r="O129" s="12" t="s">
        <v>186</v>
      </c>
    </row>
    <row r="130" spans="1:15" x14ac:dyDescent="0.2">
      <c r="A130" s="15" t="s">
        <v>7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x14ac:dyDescent="0.2">
      <c r="A131" s="16" t="s">
        <v>187</v>
      </c>
      <c r="B131" s="17">
        <f>$H$51/(($F$51-2)*$P$51)*100</f>
        <v>14.605543710021321</v>
      </c>
      <c r="C131" s="18">
        <f>$H$55/(($F$55-2)*$P$55)*100</f>
        <v>2.1367521367521367</v>
      </c>
      <c r="D131" s="19">
        <f>$H$59/(($F$59-2)*$P$59)*100</f>
        <v>7.8014184397163122</v>
      </c>
      <c r="E131" s="18">
        <f>$H$63/(($F$63-2)*$P$63)*100</f>
        <v>8.1967213114754092</v>
      </c>
      <c r="G131" s="17">
        <f>$H$52/(($F$52-2)*$P$52)*100</f>
        <v>13.888888888888889</v>
      </c>
      <c r="H131" s="18">
        <f>$H$56/(($F$56-2)*$P$56)*100</f>
        <v>1.5102481121898599</v>
      </c>
      <c r="I131" s="18">
        <f>$H$60/(($F$60-2)*$P$60)*100</f>
        <v>8.3140877598152425</v>
      </c>
      <c r="J131" s="23">
        <f>$H$64/(($F$64-2)*$P$64)*100</f>
        <v>9.3333333333333339</v>
      </c>
      <c r="L131" s="21">
        <f>$H$53/(($F$53-2)*$P$53)*100</f>
        <v>10.915104740904079</v>
      </c>
      <c r="M131" s="19">
        <f>$H$57/(($F$57-2)*$P$57)*100</f>
        <v>1.2127894156560088</v>
      </c>
      <c r="N131" s="17">
        <f>$H$61/(($F$61-2)*$P$61)*100</f>
        <v>10.552763819095476</v>
      </c>
      <c r="O131" s="22">
        <f>$H$65/(($F$65-2)*$P$65)*100</f>
        <v>2.1739130434782608</v>
      </c>
    </row>
    <row r="132" spans="1:15" x14ac:dyDescent="0.2">
      <c r="A132" s="16" t="s">
        <v>188</v>
      </c>
      <c r="B132" s="21">
        <f>$H$67/(($F$67-2)*$P$67)*100</f>
        <v>26.666666666666668</v>
      </c>
      <c r="C132" s="18">
        <f>$H$71/(($F$71-2)*$P$71)*100</f>
        <v>1.9036954087346025</v>
      </c>
      <c r="D132" s="22">
        <f>$H$75/(($F$75-2)*$P$75)*100</f>
        <v>4.8611111111111116</v>
      </c>
      <c r="E132" s="17">
        <f>$H$79/(($F$79-2)*$P$79)*100</f>
        <v>22.033898305084744</v>
      </c>
      <c r="F132" s="12"/>
      <c r="G132" s="17">
        <f>$H$68/(($F$68-2)*$P$68)*100</f>
        <v>27.021276595744681</v>
      </c>
      <c r="H132" s="18">
        <f>$H$72/(($F$72-2)*$P$72)*100</f>
        <v>1.6018306636155606</v>
      </c>
      <c r="I132" s="23">
        <f>$H$76/(($F$76-2)*$P$76)*100</f>
        <v>5.9210526315789469</v>
      </c>
      <c r="J132" s="17">
        <f>$H$80/(($F$80-2)*$P$80)*100</f>
        <v>16.071428571428573</v>
      </c>
      <c r="L132" s="17">
        <f>$H$69/(($F$69-2)*$P$69)*100</f>
        <v>29.017857142857146</v>
      </c>
      <c r="M132" s="19">
        <f>$H$73/(($F$73-2)*$P$73)*100</f>
        <v>1.2790697674418605</v>
      </c>
      <c r="N132" s="18">
        <f>$H$77/(($F$77-2)*$P$77)*100</f>
        <v>5.9523809523809517</v>
      </c>
      <c r="O132" s="21">
        <f>$H$81/(($F$81-2)*$P$81)*100</f>
        <v>11.904761904761903</v>
      </c>
    </row>
    <row r="133" spans="1:15" x14ac:dyDescent="0.2">
      <c r="A133" s="16" t="s">
        <v>189</v>
      </c>
      <c r="B133" s="23">
        <f>$H$83/(($F$83-2)*$P$83)*100</f>
        <v>6.7669172932330826</v>
      </c>
      <c r="C133" s="24">
        <f>$H$87/(($F$87-2)*$P$87)*100</f>
        <v>0.55970149253731338</v>
      </c>
      <c r="D133" s="18">
        <f>$H$91/(($F$91-2)*$P$91)*100</f>
        <v>8.8685015290519882</v>
      </c>
      <c r="E133" s="22">
        <f>$H$95/(($F$95-2)*$P$95)*100</f>
        <v>7.5</v>
      </c>
      <c r="F133" s="12"/>
      <c r="G133" s="22">
        <f>$H$84/(($F$84-2)*$P$84)*100</f>
        <v>5.7010785824345147</v>
      </c>
      <c r="H133" s="24">
        <f>$H$88/(($F$88-2)*$P$88)*100</f>
        <v>0.94517958412098302</v>
      </c>
      <c r="I133" s="18">
        <f>$H$92/(($F$92-2)*$P$92)*100</f>
        <v>9.8039215686274517</v>
      </c>
      <c r="J133" s="18">
        <f>$H$96/(($F$96-2)*$P$96)*100</f>
        <v>9.8591549295774641</v>
      </c>
      <c r="L133" s="23">
        <f>$H$85/(($F$85-2)*$P$85)*100</f>
        <v>5.7926829268292686</v>
      </c>
      <c r="M133" s="25">
        <f>$H$89/(($F$89-2)*$P$89)*100</f>
        <v>0.38022813688212925</v>
      </c>
      <c r="N133" s="22">
        <f>$H$93/(($F$93-2)*$P$93)*100</f>
        <v>5.4285714285714288</v>
      </c>
      <c r="O133" s="17">
        <f>$H$97/(($F$97-2)*$P$97)*100</f>
        <v>10.126582278481013</v>
      </c>
    </row>
    <row r="134" spans="1:15" x14ac:dyDescent="0.2">
      <c r="A134" s="15" t="s">
        <v>13</v>
      </c>
      <c r="B134" s="27"/>
      <c r="C134" s="27"/>
      <c r="D134" s="27"/>
      <c r="E134" s="27"/>
      <c r="F134" s="27"/>
      <c r="G134" s="27"/>
      <c r="H134" s="27"/>
      <c r="I134" s="27"/>
      <c r="J134" s="27"/>
      <c r="K134" s="15"/>
      <c r="L134" s="27"/>
      <c r="M134" s="27"/>
      <c r="N134" s="27"/>
      <c r="O134" s="27"/>
    </row>
    <row r="135" spans="1:15" x14ac:dyDescent="0.2">
      <c r="A135" s="16" t="s">
        <v>187</v>
      </c>
      <c r="B135" s="21">
        <f>$N$51/(($F$51-2)*$P$51)*100</f>
        <v>60.341151385927503</v>
      </c>
      <c r="C135" s="19">
        <f>$N$55/(($F$55-2)*$P$55)*100</f>
        <v>4.3803418803418799</v>
      </c>
      <c r="D135" s="20">
        <f>$N$59/(($F$59-2)*$P$59)*100</f>
        <v>18.203309692671397</v>
      </c>
      <c r="E135" s="21">
        <f>$N$63/(($F$63-2)*$P$63)*100</f>
        <v>44.26229508196721</v>
      </c>
      <c r="F135" s="12"/>
      <c r="G135" s="17">
        <f>$N$52/(($F$52-2)*$P$52)*100</f>
        <v>62.393162393162392</v>
      </c>
      <c r="H135" s="18">
        <f>$N$56/(($F$56-2)*$P$56)*100</f>
        <v>4.9622437971952538</v>
      </c>
      <c r="I135" s="26">
        <f>$N$60/(($F$60-2)*$P$60)*100</f>
        <v>21.247113163972287</v>
      </c>
      <c r="J135" s="17">
        <f>$N$64/(($F$64-2)*$P$64)*100</f>
        <v>56.000000000000007</v>
      </c>
      <c r="L135" s="17">
        <f>$N$53/(($F$53-2)*$P$53)*100</f>
        <v>66.703417861080482</v>
      </c>
      <c r="M135" s="18">
        <f>$N$57/(($F$57-2)*$P$57)*100</f>
        <v>6.3947078280044103</v>
      </c>
      <c r="N135" s="26">
        <f>$N$61/(($F$61-2)*$P$61)*100</f>
        <v>24.371859296482413</v>
      </c>
      <c r="O135" s="17">
        <f>$N$65/(($F$65-2)*$P$65)*100</f>
        <v>71.739130434782609</v>
      </c>
    </row>
    <row r="136" spans="1:15" x14ac:dyDescent="0.2">
      <c r="A136" s="16" t="s">
        <v>188</v>
      </c>
      <c r="B136" s="20">
        <f>$N$67/(($F$67-2)*$P$67)*100</f>
        <v>29.791666666666668</v>
      </c>
      <c r="C136" s="23">
        <f>$N$71/(($F$71-2)*$P$71)*100</f>
        <v>4.0313549832026876</v>
      </c>
      <c r="D136" s="17">
        <f>$N$75/(($F$75-2)*$P$75)*100</f>
        <v>30.555555555555557</v>
      </c>
      <c r="E136" s="20">
        <f>$N$79/(($F$79-2)*$P$79)*100</f>
        <v>15.254237288135593</v>
      </c>
      <c r="F136" s="12"/>
      <c r="G136" s="26">
        <f>$N$68/(($F$68-2)*$P$68)*100</f>
        <v>31.702127659574469</v>
      </c>
      <c r="H136" s="22">
        <f>$N$72/(($F$72-2)*$P$72)*100</f>
        <v>3.4324942791762014</v>
      </c>
      <c r="I136" s="21">
        <f>$N$76/(($F$76-2)*$P$76)*100</f>
        <v>26.315789473684209</v>
      </c>
      <c r="J136" s="17">
        <f>$N$80/(($F$80-2)*$P$80)*100</f>
        <v>21.428571428571427</v>
      </c>
      <c r="L136" s="26">
        <f>$N$69/(($F$69-2)*$P$69)*100</f>
        <v>34.598214285714285</v>
      </c>
      <c r="M136" s="23">
        <f>$N$73/(($F$73-2)*$P$73)*100</f>
        <v>5.5813953488372094</v>
      </c>
      <c r="N136" s="17">
        <f>$N$77/(($F$77-2)*$P$77)*100</f>
        <v>34.920634920634917</v>
      </c>
      <c r="O136" s="26">
        <f>$N$81/(($F$81-2)*$P$81)*100</f>
        <v>19.047619047619047</v>
      </c>
    </row>
    <row r="137" spans="1:15" x14ac:dyDescent="0.2">
      <c r="A137" s="16" t="s">
        <v>189</v>
      </c>
      <c r="B137" s="17">
        <f>$N$83/(($F$83-2)*$P$83)*100</f>
        <v>48.721804511278194</v>
      </c>
      <c r="C137" s="18">
        <f>$N$87/(($F$87-2)*$P$87)*100</f>
        <v>6.3432835820895521</v>
      </c>
      <c r="D137" s="17">
        <f>$N$91/(($F$91-2)*$P$91)*100</f>
        <v>33.027522935779821</v>
      </c>
      <c r="E137" s="17">
        <f>$N$95/(($F$95-2)*$P$95)*100</f>
        <v>23.75</v>
      </c>
      <c r="F137" s="12"/>
      <c r="G137" s="21">
        <f>$N$84/(($F$84-2)*$P$84)*100</f>
        <v>44.992295839753467</v>
      </c>
      <c r="H137" s="19">
        <f>$N$88/(($F$88-2)*$P$88)*100</f>
        <v>5.6710775047258979</v>
      </c>
      <c r="I137" s="21">
        <f>$N$92/(($F$92-2)*$P$92)*100</f>
        <v>30.718954248366014</v>
      </c>
      <c r="J137" s="20">
        <f>$N$96/(($F$96-2)*$P$96)*100</f>
        <v>18.30985915492958</v>
      </c>
      <c r="L137" s="17">
        <f>$N$85/(($F$85-2)*$P$85)*100</f>
        <v>49.085365853658537</v>
      </c>
      <c r="M137" s="18">
        <f>$N$89/(($F$89-2)*$P$89)*100</f>
        <v>5.8935361216730033</v>
      </c>
      <c r="N137" s="17">
        <f>$N$93/(($F$93-2)*$P$93)*100</f>
        <v>32</v>
      </c>
      <c r="O137" s="17">
        <f>$N$97/(($F$97-2)*$P$97)*100</f>
        <v>25.316455696202532</v>
      </c>
    </row>
    <row r="138" spans="1:15" x14ac:dyDescent="0.2">
      <c r="A138" s="15" t="s">
        <v>190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15"/>
      <c r="L138" s="27"/>
      <c r="M138" s="27"/>
      <c r="N138" s="27"/>
      <c r="O138" s="27"/>
    </row>
    <row r="139" spans="1:15" x14ac:dyDescent="0.2">
      <c r="A139" s="16" t="s">
        <v>187</v>
      </c>
      <c r="B139" s="17">
        <f>($I$51+$J$51+$K$51)/(($F$51-2)*$P$51)*100</f>
        <v>17.697228144989339</v>
      </c>
      <c r="C139" s="17">
        <f>($I$55+$J$55+$K$55)/(($F$55-2)*$P$55)*100</f>
        <v>90.705128205128204</v>
      </c>
      <c r="D139" s="20">
        <f>($I$59+$J$59+$K$59)/(($F$59-2)*$P$59)*100</f>
        <v>60.047281323877066</v>
      </c>
      <c r="E139" s="21">
        <f>($I$63+$J$63+$K$63)/(($F$63-2)*$P$63)*100</f>
        <v>29.508196721311474</v>
      </c>
      <c r="F139" s="12"/>
      <c r="G139" s="17">
        <f>($I$52+$J$52+$K$52)/(($F$52-2)*$P$52)*100</f>
        <v>17.735042735042736</v>
      </c>
      <c r="H139" s="21">
        <f>($I$56+$J$56+$K$56)/(($F$56-2)*$P$56)*100</f>
        <v>91.585760517799358</v>
      </c>
      <c r="I139" s="26">
        <f>($I$60+$J$60+$K$60)/(($F$60-2)*$P$60)*100</f>
        <v>56.812933025404156</v>
      </c>
      <c r="J139" s="84">
        <f>($I$64+$J$64+$K$64)/(($F$64-2)*$P$64)*100</f>
        <v>24</v>
      </c>
      <c r="L139" s="21">
        <f>($I$53+$J$53+$K$53)/(($F$53-2)*$P$53)*100</f>
        <v>18.853362734288865</v>
      </c>
      <c r="M139" s="84">
        <f>($I$57+$J$57+$K$57)/(($F$57-2)*$P$57)*100</f>
        <v>91.510474090407939</v>
      </c>
      <c r="N139" s="26">
        <f>($I$61+$J$61+$K$61)/(($F$61-2)*$P$61)*100</f>
        <v>55.0251256281407</v>
      </c>
      <c r="O139" s="84">
        <f>($I$65+$J$65+$K$65)/(($F$65-2)*$P$65)*100</f>
        <v>21.739130434782609</v>
      </c>
    </row>
    <row r="140" spans="1:15" x14ac:dyDescent="0.2">
      <c r="A140" s="16" t="s">
        <v>188</v>
      </c>
      <c r="B140" s="20">
        <f>($I$67+$J$67+$K$67)/(($F$67-2)*$P$67)*100</f>
        <v>35</v>
      </c>
      <c r="C140" s="26">
        <f>($I$71+$J$71+$K$71)/(($F$71-2)*$P$71)*100</f>
        <v>92.049272116461367</v>
      </c>
      <c r="D140" s="21">
        <f>($I$75+$J$75+$K$75)/(($F$75-2)*$P$75)*100</f>
        <v>46.875</v>
      </c>
      <c r="E140" s="26">
        <f>($I$79+$J$79+$K$79)/(($F$79-2)*$P$79)*100</f>
        <v>44.067796610169488</v>
      </c>
      <c r="F140" s="12"/>
      <c r="G140" s="26">
        <f>($I$68+$J$68+$K$68)/(($F$68-2)*$P$68)*100</f>
        <v>32.553191489361701</v>
      </c>
      <c r="H140" s="20">
        <f>($I$72+$J$72+$K$72)/(($F$72-2)*$P$72)*100</f>
        <v>92.906178489702512</v>
      </c>
      <c r="I140" s="84">
        <f>($I$76+$J$76+$K$76)/(($F$76-2)*$P$76)*100</f>
        <v>44.736842105263158</v>
      </c>
      <c r="J140" s="26">
        <f>($I$80+$J$80+$K$80)/(($F$80-2)*$P$80)*100</f>
        <v>51.785714285714292</v>
      </c>
      <c r="L140" s="26">
        <f>($I$69+$J$69+$K$69)/(($F$69-2)*$P$69)*100</f>
        <v>30.803571428571431</v>
      </c>
      <c r="M140" s="84">
        <f>($I$73+$J$73+$K$73)/(($F$73-2)*$P$73)*100</f>
        <v>92.325581395348834</v>
      </c>
      <c r="N140" s="84">
        <f>($I$77+$J$77+$K$77)/(($F$77-2)*$P$77)*100</f>
        <v>44.841269841269842</v>
      </c>
      <c r="O140" s="20">
        <f>($I$81+$J$81+$K$81)/(($F$81-2)*$P$81)*100</f>
        <v>61.904761904761905</v>
      </c>
    </row>
    <row r="141" spans="1:15" ht="15" customHeight="1" x14ac:dyDescent="0.2">
      <c r="A141" s="16" t="s">
        <v>189</v>
      </c>
      <c r="B141" s="84">
        <f>($I$83+$J$83+$K$83)/(($F$83-2)*$P$83)*100</f>
        <v>27.669172932330827</v>
      </c>
      <c r="C141" s="84">
        <f>($I$87+$J$87+$K$87)/(($F$87-2)*$P$87)*100</f>
        <v>91.604477611940297</v>
      </c>
      <c r="D141" s="17">
        <f>($I$91+$J$91+$K$91)/(($F$91-2)*$P$91)*100</f>
        <v>42.813455657492355</v>
      </c>
      <c r="E141" s="17">
        <f>($I$95+$J$95+$K$95)/(($F$95-2)*$P$95)*100</f>
        <v>11.25</v>
      </c>
      <c r="F141" s="12"/>
      <c r="G141" s="21">
        <f>($I$84+$J$84+$K$84)/(($F$84-2)*$P$84)*100</f>
        <v>29.121725731895225</v>
      </c>
      <c r="H141" s="21">
        <f>($I$88+$J$88+$K$88)/(($F$88-2)*$P$88)*100</f>
        <v>92.627599243856324</v>
      </c>
      <c r="I141" s="17">
        <f>($I$92+$J$92+$K$92)/(($F$92-2)*$P$92)*100</f>
        <v>40.196078431372548</v>
      </c>
      <c r="J141" s="17">
        <f>($I$96+$J$96+$K$96)/(($F$96-2)*$P$96)*100</f>
        <v>12.676056338028168</v>
      </c>
      <c r="K141" s="14"/>
      <c r="L141" s="84">
        <f>($I$85+$J$85+$K$85)/(($F$85-2)*$P$85)*100</f>
        <v>28.04878048780488</v>
      </c>
      <c r="M141" s="26">
        <f>($I$89+$J$89+$K$89)/(($F$89-2)*$P$89)*100</f>
        <v>92.395437262357419</v>
      </c>
      <c r="N141" s="21">
        <f>($I$93+$J$93+$K$93)/(($F$93-2)*$P$93)*100</f>
        <v>47.428571428571431</v>
      </c>
      <c r="O141" s="21">
        <f>($I$97+$J$97+$K$97)/(($F$97-2)*$P$97)*100</f>
        <v>13.924050632911392</v>
      </c>
    </row>
    <row r="142" spans="1:15" x14ac:dyDescent="0.2">
      <c r="A142" s="15" t="s">
        <v>11</v>
      </c>
      <c r="B142" s="27"/>
      <c r="C142" s="27"/>
      <c r="D142" s="27"/>
      <c r="E142" s="27"/>
      <c r="F142" s="27"/>
      <c r="G142" s="27"/>
      <c r="H142" s="27"/>
      <c r="I142" s="27"/>
      <c r="J142" s="27"/>
      <c r="L142" s="27"/>
      <c r="M142" s="27"/>
      <c r="N142" s="27"/>
      <c r="O142" s="27"/>
    </row>
    <row r="143" spans="1:15" x14ac:dyDescent="0.2">
      <c r="A143" s="16" t="s">
        <v>187</v>
      </c>
      <c r="B143" s="19">
        <f>($L$51+$M$51)/(($F$51-2)*$P$51)*100</f>
        <v>7.3560767590618328</v>
      </c>
      <c r="C143" s="22">
        <f>($L$55+$M$55)/(($F$55-2)*$P$55)*100</f>
        <v>2.7777777777777777</v>
      </c>
      <c r="D143" s="21">
        <f>($L$59+$M$59)/(($F$59-2)*$P$59)*100</f>
        <v>13.947990543735225</v>
      </c>
      <c r="E143" s="21">
        <f>($L$63+$M$63)/(($F$63-2)*$P$63)*100</f>
        <v>18.032786885245901</v>
      </c>
      <c r="G143" s="18">
        <f>($L$52+$M$52)/(($F$52-2)*$P$52)*100</f>
        <v>5.982905982905983</v>
      </c>
      <c r="H143" s="18">
        <f>($L$56+$M$56)/(($F$56-2)*$P$56)*100</f>
        <v>1.9417475728155338</v>
      </c>
      <c r="I143" s="17">
        <f>($L$60+$M$60)/(($F$60-2)*$P$60)*100</f>
        <v>13.625866050808314</v>
      </c>
      <c r="J143" s="17">
        <f>($L$64+$M$64)/(($F$64-2)*$P$64)*100</f>
        <v>10.666666666666668</v>
      </c>
      <c r="L143" s="18">
        <f>($L$53+$M$53)/(($F$53-2)*$P$53)*100</f>
        <v>3.528114663726571</v>
      </c>
      <c r="M143" s="28">
        <f>($L$57+$M$57)/(($F$57-2)*$P$57)*100</f>
        <v>0.88202866593164275</v>
      </c>
      <c r="N143" s="17">
        <f>($L$61+$M$61)/(($F$61-2)*$P$61)*100</f>
        <v>10.050251256281408</v>
      </c>
      <c r="O143" s="18">
        <f>($L$65+$M$65)/(($F$65-2)*$P$65)*100</f>
        <v>4.3478260869565215</v>
      </c>
    </row>
    <row r="144" spans="1:15" x14ac:dyDescent="0.2">
      <c r="A144" s="16" t="s">
        <v>188</v>
      </c>
      <c r="B144" s="18">
        <f>($L$67+$M$67)/(($F$67-2)*$P$67)*100</f>
        <v>8.5416666666666661</v>
      </c>
      <c r="C144" s="18">
        <f>($L$71+$M$71)/(($F$71-2)*$P$71)*100</f>
        <v>2.0156774916013438</v>
      </c>
      <c r="D144" s="26">
        <f>($L$75+$M$75)/(($F$75-2)*$P$75)*100</f>
        <v>17.708333333333336</v>
      </c>
      <c r="E144" s="21">
        <f>($L$79+$M$79)/(($F$79-2)*$P$79)*100</f>
        <v>18.64406779661017</v>
      </c>
      <c r="G144" s="19">
        <f>($L$68+$M$68)/(($F$68-2)*$P$68)*100</f>
        <v>8.7234042553191493</v>
      </c>
      <c r="H144" s="22">
        <f>($L$72+$M$72)/(($F$72-2)*$P$72)*100</f>
        <v>2.0594965675057209</v>
      </c>
      <c r="I144" s="20">
        <f>($L$76+$M$76)/(($F$76-2)*$P$76)*100</f>
        <v>23.026315789473685</v>
      </c>
      <c r="J144" s="17">
        <f>($L$80+$M$80)/(($F$80-2)*$P$80)*100</f>
        <v>10.714285714285714</v>
      </c>
      <c r="L144" s="18">
        <f>($L$69+$M$69)/(($F$69-2)*$P$69)*100</f>
        <v>5.5803571428571432</v>
      </c>
      <c r="M144" s="28">
        <f>($L$73+$M$73)/(($F$73-2)*$P$73)*100</f>
        <v>0.81395348837209303</v>
      </c>
      <c r="N144" s="84">
        <f>($L$77+$M$77)/(($F$77-2)*$P$77)*100</f>
        <v>14.285714285714285</v>
      </c>
      <c r="O144" s="18">
        <f>($L$81+$M$81)/(($F$81-2)*$P$81)*100</f>
        <v>7.1428571428571423</v>
      </c>
    </row>
    <row r="145" spans="1:32" x14ac:dyDescent="0.2">
      <c r="A145" s="16" t="s">
        <v>189</v>
      </c>
      <c r="B145" s="26">
        <f>($L$83+$M$83)/(($F$83-2)*$P$83)*100</f>
        <v>16.842105263157894</v>
      </c>
      <c r="C145" s="19">
        <f>($L$87+$M$87)/(($F$87-2)*$P$87)*100</f>
        <v>1.4925373134328357</v>
      </c>
      <c r="D145" s="17">
        <f>($L$91+$M$91)/(($F$91-2)*$P$91)*100</f>
        <v>15.290519877675839</v>
      </c>
      <c r="E145" s="26">
        <f>($L$95+$M$95)/(($F$95-2)*$P$95)*100</f>
        <v>57.499999999999993</v>
      </c>
      <c r="G145" s="20">
        <f>($L$84+$M$84)/(($F$84-2)*$P$84)*100</f>
        <v>20.184899845916796</v>
      </c>
      <c r="H145" s="87">
        <f>($L$88+$M$88)/(($F$88-2)*$P$88)*100</f>
        <v>0.75614366729678639</v>
      </c>
      <c r="I145" s="21">
        <f>($L$92+$M$92)/(($F$92-2)*$P$92)*100</f>
        <v>19.281045751633989</v>
      </c>
      <c r="J145" s="20">
        <f>($L$96+$M$96)/(($F$96-2)*$P$96)*100</f>
        <v>59.154929577464785</v>
      </c>
      <c r="L145" s="26">
        <f>($L$85+$M$85)/(($F$85-2)*$P$85)*100</f>
        <v>17.073170731707318</v>
      </c>
      <c r="M145" s="23">
        <f>($L$89+$M$89)/(($F$89-2)*$P$89)*100</f>
        <v>1.3307984790874523</v>
      </c>
      <c r="N145" s="26">
        <f>($L$93+$M$93)/(($F$93-2)*$P$93)*100</f>
        <v>15.142857142857144</v>
      </c>
      <c r="O145" s="26">
        <f>($L$97+$M$97)/(($F$97-2)*$P$97)*100</f>
        <v>50.632911392405063</v>
      </c>
      <c r="Q145" s="75" t="s">
        <v>246</v>
      </c>
      <c r="R145" s="77" t="s">
        <v>247</v>
      </c>
      <c r="S145" s="77"/>
      <c r="T145" s="77"/>
      <c r="U145" s="77"/>
      <c r="V145" s="78"/>
      <c r="W145" s="77" t="s">
        <v>248</v>
      </c>
      <c r="X145" s="77"/>
      <c r="Y145" s="77"/>
      <c r="Z145" s="77"/>
      <c r="AB145" s="77" t="s">
        <v>249</v>
      </c>
      <c r="AC145" s="77"/>
      <c r="AD145" s="77"/>
      <c r="AE145" s="77"/>
      <c r="AF145" t="s">
        <v>168</v>
      </c>
    </row>
    <row r="146" spans="1:32" ht="15" customHeight="1" x14ac:dyDescent="0.2">
      <c r="A146" s="49" t="s">
        <v>193</v>
      </c>
      <c r="B146" s="27"/>
      <c r="C146" s="27"/>
      <c r="D146" s="27"/>
      <c r="E146" s="27"/>
      <c r="F146" s="27"/>
      <c r="G146" s="27"/>
      <c r="H146" s="27"/>
      <c r="I146" s="27"/>
      <c r="J146" s="27"/>
      <c r="K146" s="15"/>
      <c r="L146" s="27"/>
      <c r="M146" s="27"/>
      <c r="N146" s="27"/>
      <c r="O146" s="27"/>
      <c r="Q146" s="76"/>
      <c r="R146" s="12" t="s">
        <v>183</v>
      </c>
      <c r="S146" s="12" t="s">
        <v>184</v>
      </c>
      <c r="T146" s="12" t="s">
        <v>185</v>
      </c>
      <c r="U146" s="12" t="s">
        <v>186</v>
      </c>
      <c r="V146" s="78"/>
      <c r="W146" s="12" t="s">
        <v>183</v>
      </c>
      <c r="X146" s="12" t="s">
        <v>184</v>
      </c>
      <c r="Y146" s="12" t="s">
        <v>185</v>
      </c>
      <c r="Z146" s="12" t="s">
        <v>186</v>
      </c>
      <c r="AA146" s="14"/>
      <c r="AB146" s="12" t="s">
        <v>183</v>
      </c>
      <c r="AC146" s="12" t="s">
        <v>184</v>
      </c>
      <c r="AD146" s="12" t="s">
        <v>185</v>
      </c>
      <c r="AE146" s="12" t="s">
        <v>186</v>
      </c>
    </row>
    <row r="147" spans="1:32" x14ac:dyDescent="0.2">
      <c r="A147" s="16" t="s">
        <v>187</v>
      </c>
      <c r="B147" s="17">
        <f>$O$51/(($F$51-2)*$P$51)*100</f>
        <v>12.366737739872068</v>
      </c>
      <c r="C147" s="26">
        <f>$O$55/(($F$55-2)*$P$55)*100</f>
        <v>49.038461538461533</v>
      </c>
      <c r="D147" s="20">
        <f>$O$59/(($F$59-2)*$P$59)*100</f>
        <v>52.955082742316783</v>
      </c>
      <c r="E147" s="20">
        <f>$O$63/(($F$63-2)*$P$63)*100</f>
        <v>47.540983606557376</v>
      </c>
      <c r="F147" s="12"/>
      <c r="G147" s="21">
        <f>$O$52/(($F$52-2)*$P$52)*100</f>
        <v>12.5</v>
      </c>
      <c r="H147" s="20">
        <f>$O$56/(($F$56-2)*$P$56)*100</f>
        <v>50.161812297734635</v>
      </c>
      <c r="I147" s="26">
        <f>$O$60/(($F$60-2)*$P$60)*100</f>
        <v>50.115473441108549</v>
      </c>
      <c r="J147" s="17">
        <f>$O$64/(($F$64-2)*$P$64)*100</f>
        <v>34.666666666666671</v>
      </c>
      <c r="L147" s="18">
        <f>$O$53/(($F$53-2)*$P$53)*100</f>
        <v>4.9614112458654906</v>
      </c>
      <c r="M147" s="26">
        <f>$O$57/(($F$57-2)*$P$57)*100</f>
        <v>22.822491730981255</v>
      </c>
      <c r="N147" s="26">
        <f>$O$61/(($F$61-2)*$P$61)*100</f>
        <v>29.899497487437188</v>
      </c>
      <c r="O147" s="17">
        <f>$O$65/(($F$65-2)*$P$65)*100</f>
        <v>26.086956521739129</v>
      </c>
      <c r="Q147" s="16" t="s">
        <v>187</v>
      </c>
      <c r="R147" s="30">
        <f t="shared" ref="R147:U149" si="33">B131+B135</f>
        <v>74.946695095948826</v>
      </c>
      <c r="S147" s="7">
        <f t="shared" si="33"/>
        <v>6.517094017094017</v>
      </c>
      <c r="T147" s="30">
        <f t="shared" si="33"/>
        <v>26.004728132387708</v>
      </c>
      <c r="U147" s="30">
        <f t="shared" si="33"/>
        <v>52.459016393442617</v>
      </c>
      <c r="V147" s="30"/>
      <c r="W147" s="30">
        <f t="shared" ref="W147:Z149" si="34">G131+G135</f>
        <v>76.282051282051285</v>
      </c>
      <c r="X147" s="7">
        <f t="shared" si="34"/>
        <v>6.4724919093851137</v>
      </c>
      <c r="Y147" s="30">
        <f t="shared" si="34"/>
        <v>29.561200923787531</v>
      </c>
      <c r="Z147" s="30">
        <f t="shared" si="34"/>
        <v>65.333333333333343</v>
      </c>
      <c r="AA147" s="30"/>
      <c r="AB147" s="30">
        <f t="shared" ref="AB147:AE149" si="35">L131+L135</f>
        <v>77.618522601984566</v>
      </c>
      <c r="AC147" s="7">
        <f t="shared" si="35"/>
        <v>7.6074972436604194</v>
      </c>
      <c r="AD147" s="30">
        <f t="shared" si="35"/>
        <v>34.924623115577887</v>
      </c>
      <c r="AE147" s="30">
        <f t="shared" si="35"/>
        <v>73.913043478260875</v>
      </c>
      <c r="AF147" s="30">
        <f>AVERAGE(R147:U147,W147:Z147,AB147:AE147)</f>
        <v>44.303358127242859</v>
      </c>
    </row>
    <row r="148" spans="1:32" x14ac:dyDescent="0.2">
      <c r="A148" s="16" t="s">
        <v>188</v>
      </c>
      <c r="B148" s="20">
        <f>$O$67/(($F$67-2)*$P$67)*100</f>
        <v>23.333333333333332</v>
      </c>
      <c r="C148" s="21">
        <f>$O$71/(($F$71-2)*$P$71)*100</f>
        <v>39.753639417693172</v>
      </c>
      <c r="D148" s="21">
        <f>$O$75/(($F$75-2)*$P$75)*100</f>
        <v>35.763888888888893</v>
      </c>
      <c r="E148" s="21">
        <f>$O$79/(($F$79-2)*$P$79)*100</f>
        <v>42.372881355932201</v>
      </c>
      <c r="F148" s="12"/>
      <c r="G148" s="26">
        <f>$O$68/(($F$68-2)*$P$68)*100</f>
        <v>21.702127659574469</v>
      </c>
      <c r="H148" s="17">
        <f>$O$72/(($F$72-2)*$P$72)*100</f>
        <v>39.016018306636155</v>
      </c>
      <c r="I148" s="17">
        <f>$O$76/(($F$76-2)*$P$76)*100</f>
        <v>31.25</v>
      </c>
      <c r="J148" s="17">
        <f>$O$80/(($F$80-2)*$P$80)*100</f>
        <v>39.285714285714285</v>
      </c>
      <c r="L148" s="26">
        <f>$O$69/(($F$69-2)*$P$69)*100</f>
        <v>16.294642857142858</v>
      </c>
      <c r="M148" s="17">
        <f>$O$73/(($F$73-2)*$P$73)*100</f>
        <v>20.232558139534884</v>
      </c>
      <c r="N148" s="17">
        <f>$O$77/(($F$77-2)*$P$77)*100</f>
        <v>17.857142857142858</v>
      </c>
      <c r="O148" s="26">
        <f>$O$81/(($F$81-2)*$P$81)*100</f>
        <v>33.333333333333329</v>
      </c>
      <c r="Q148" s="16" t="s">
        <v>188</v>
      </c>
      <c r="R148" s="30">
        <f t="shared" si="33"/>
        <v>56.458333333333336</v>
      </c>
      <c r="S148" s="7">
        <f t="shared" si="33"/>
        <v>5.9350503919372901</v>
      </c>
      <c r="T148" s="30">
        <f t="shared" si="33"/>
        <v>35.416666666666671</v>
      </c>
      <c r="U148" s="30">
        <f t="shared" si="33"/>
        <v>37.288135593220339</v>
      </c>
      <c r="V148" s="30"/>
      <c r="W148" s="30">
        <f t="shared" si="34"/>
        <v>58.723404255319153</v>
      </c>
      <c r="X148" s="7">
        <f t="shared" si="34"/>
        <v>5.0343249427917618</v>
      </c>
      <c r="Y148" s="30">
        <f t="shared" si="34"/>
        <v>32.236842105263158</v>
      </c>
      <c r="Z148" s="30">
        <f t="shared" si="34"/>
        <v>37.5</v>
      </c>
      <c r="AA148" s="7"/>
      <c r="AB148" s="30">
        <f t="shared" si="35"/>
        <v>63.616071428571431</v>
      </c>
      <c r="AC148" s="7">
        <f t="shared" si="35"/>
        <v>6.8604651162790695</v>
      </c>
      <c r="AD148" s="30">
        <f t="shared" si="35"/>
        <v>40.873015873015866</v>
      </c>
      <c r="AE148" s="30">
        <f t="shared" si="35"/>
        <v>30.952380952380949</v>
      </c>
      <c r="AF148" s="30">
        <f t="shared" ref="AF148:AF149" si="36">AVERAGE(R148:U148,W148:Z148,AB148:AE148)</f>
        <v>34.241224221564913</v>
      </c>
    </row>
    <row r="149" spans="1:32" ht="16" thickBot="1" x14ac:dyDescent="0.25">
      <c r="A149" s="16" t="s">
        <v>189</v>
      </c>
      <c r="B149" s="17">
        <f>$O$83/(($F$83-2)*$P$83)*100</f>
        <v>10.526315789473683</v>
      </c>
      <c r="C149" s="17">
        <f>$O$87/(($F$87-2)*$P$87)*100</f>
        <v>32.089552238805972</v>
      </c>
      <c r="D149" s="17">
        <f>$O$91/(($F$91-2)*$P$91)*100</f>
        <v>31.192660550458719</v>
      </c>
      <c r="E149" s="26">
        <f>$O$95/(($F$95-2)*$P$95)*100</f>
        <v>47.5</v>
      </c>
      <c r="F149" s="12"/>
      <c r="G149" s="21">
        <f>$O$84/(($F$84-2)*$P$84)*100</f>
        <v>12.326656394453005</v>
      </c>
      <c r="H149" s="21">
        <f>$O$88/(($F$88-2)*$P$88)*100</f>
        <v>33.837429111531193</v>
      </c>
      <c r="I149" s="21">
        <f>$O$92/(($F$92-2)*$P$92)*100</f>
        <v>31.372549019607842</v>
      </c>
      <c r="J149" s="20">
        <f>$O$96/(($F$96-2)*$P$96)*100</f>
        <v>47.887323943661968</v>
      </c>
      <c r="L149" s="18">
        <f>$O$85/(($F$85-2)*$P$85)*100</f>
        <v>4.2682926829268295</v>
      </c>
      <c r="M149" s="18">
        <f>$O$89/(($F$89-2)*$P$89)*100</f>
        <v>8.7452471482889731</v>
      </c>
      <c r="N149" s="17">
        <f>$O$93/(($F$93-2)*$P$93)*100</f>
        <v>16</v>
      </c>
      <c r="O149" s="17">
        <f>$O$97/(($F$97-2)*$P$97)*100</f>
        <v>30.37974683544304</v>
      </c>
      <c r="Q149" s="40" t="s">
        <v>189</v>
      </c>
      <c r="R149" s="30">
        <f t="shared" si="33"/>
        <v>55.488721804511279</v>
      </c>
      <c r="S149" s="7">
        <f t="shared" si="33"/>
        <v>6.9029850746268657</v>
      </c>
      <c r="T149" s="30">
        <f t="shared" si="33"/>
        <v>41.896024464831811</v>
      </c>
      <c r="U149" s="30">
        <f t="shared" si="33"/>
        <v>31.25</v>
      </c>
      <c r="V149" s="30"/>
      <c r="W149" s="30">
        <f t="shared" si="34"/>
        <v>50.693374422187979</v>
      </c>
      <c r="X149" s="7">
        <f t="shared" si="34"/>
        <v>6.616257088846881</v>
      </c>
      <c r="Y149" s="30">
        <f t="shared" si="34"/>
        <v>40.522875816993462</v>
      </c>
      <c r="Z149" s="30">
        <f t="shared" si="34"/>
        <v>28.169014084507044</v>
      </c>
      <c r="AB149" s="30">
        <f t="shared" si="35"/>
        <v>54.878048780487802</v>
      </c>
      <c r="AC149" s="7">
        <f t="shared" si="35"/>
        <v>6.2737642585551328</v>
      </c>
      <c r="AD149" s="30">
        <f t="shared" si="35"/>
        <v>37.428571428571431</v>
      </c>
      <c r="AE149" s="30">
        <f t="shared" si="35"/>
        <v>35.443037974683548</v>
      </c>
      <c r="AF149" s="30">
        <f t="shared" si="36"/>
        <v>32.96355626656694</v>
      </c>
    </row>
    <row r="150" spans="1:32" x14ac:dyDescent="0.2">
      <c r="A150" s="49"/>
      <c r="B150" s="47">
        <f>SUM(B131+B135+B139+B143)</f>
        <v>100</v>
      </c>
      <c r="C150" s="47">
        <f t="shared" ref="C150:E150" si="37">SUM(C131+C135+C139+C143)</f>
        <v>100</v>
      </c>
      <c r="D150" s="47">
        <f t="shared" si="37"/>
        <v>100</v>
      </c>
      <c r="E150" s="47">
        <f t="shared" si="37"/>
        <v>99.999999999999986</v>
      </c>
      <c r="F150" s="47"/>
      <c r="G150" s="47">
        <f>SUM(G131+G135+G139+G143)</f>
        <v>100</v>
      </c>
      <c r="H150" s="47">
        <f t="shared" ref="H150:J150" si="38">SUM(H131+H135+H139+H143)</f>
        <v>100</v>
      </c>
      <c r="I150" s="47">
        <f t="shared" si="38"/>
        <v>100</v>
      </c>
      <c r="J150" s="47">
        <f t="shared" si="38"/>
        <v>100.00000000000001</v>
      </c>
      <c r="K150" s="47"/>
      <c r="L150" s="47">
        <f>SUM(L131+L135+L139+L143)</f>
        <v>100</v>
      </c>
      <c r="M150" s="47">
        <f t="shared" ref="M150:O150" si="39">SUM(M131+M135+M139+M143)</f>
        <v>100</v>
      </c>
      <c r="N150" s="47">
        <f t="shared" si="39"/>
        <v>100</v>
      </c>
      <c r="O150" s="47">
        <f t="shared" si="39"/>
        <v>100</v>
      </c>
      <c r="Q150" s="16" t="s">
        <v>168</v>
      </c>
      <c r="R150" s="30">
        <f>AVERAGE(R147:R149)</f>
        <v>62.297916744597813</v>
      </c>
      <c r="S150" s="7">
        <f t="shared" ref="S150:U150" si="40">AVERAGE(S147:S149)</f>
        <v>6.4517098278860585</v>
      </c>
      <c r="T150" s="30">
        <f t="shared" si="40"/>
        <v>34.439139754628734</v>
      </c>
      <c r="U150" s="30">
        <f t="shared" si="40"/>
        <v>40.332383995554316</v>
      </c>
      <c r="V150" s="30"/>
      <c r="W150" s="30">
        <f t="shared" ref="W150:Z150" si="41">AVERAGE(W147:W149)</f>
        <v>61.899609986519472</v>
      </c>
      <c r="X150" s="7">
        <f t="shared" si="41"/>
        <v>6.0410246470079185</v>
      </c>
      <c r="Y150" s="30">
        <f t="shared" si="41"/>
        <v>34.106972948681381</v>
      </c>
      <c r="Z150" s="30">
        <f t="shared" si="41"/>
        <v>43.66744913928013</v>
      </c>
      <c r="AA150" s="30"/>
      <c r="AB150" s="30">
        <f t="shared" ref="AB150:AE150" si="42">AVERAGE(AB147:AB149)</f>
        <v>65.370880937014604</v>
      </c>
      <c r="AC150" s="7">
        <f t="shared" si="42"/>
        <v>6.9139088728315405</v>
      </c>
      <c r="AD150" s="30">
        <f t="shared" si="42"/>
        <v>37.742070139055059</v>
      </c>
      <c r="AE150" s="30">
        <f t="shared" si="42"/>
        <v>46.769487468441788</v>
      </c>
    </row>
    <row r="151" spans="1:32" x14ac:dyDescent="0.2">
      <c r="A151" s="16"/>
      <c r="B151" s="47">
        <f t="shared" ref="B151:E151" si="43">SUM(B132+B136+B140+B144)</f>
        <v>100.00000000000001</v>
      </c>
      <c r="C151" s="47">
        <f t="shared" si="43"/>
        <v>100</v>
      </c>
      <c r="D151" s="47">
        <f t="shared" si="43"/>
        <v>100</v>
      </c>
      <c r="E151" s="47">
        <f t="shared" si="43"/>
        <v>100</v>
      </c>
      <c r="F151" s="17"/>
      <c r="G151" s="47">
        <f t="shared" ref="G151:J151" si="44">SUM(G132+G136+G140+G144)</f>
        <v>100.00000000000001</v>
      </c>
      <c r="H151" s="47">
        <f t="shared" si="44"/>
        <v>99.999999999999986</v>
      </c>
      <c r="I151" s="47">
        <f t="shared" si="44"/>
        <v>100</v>
      </c>
      <c r="J151" s="47">
        <f t="shared" si="44"/>
        <v>100</v>
      </c>
      <c r="K151" s="17"/>
      <c r="L151" s="47">
        <f t="shared" ref="L151:O151" si="45">SUM(L132+L136+L140+L144)</f>
        <v>100</v>
      </c>
      <c r="M151" s="47">
        <f t="shared" si="45"/>
        <v>100</v>
      </c>
      <c r="N151" s="47">
        <f t="shared" si="45"/>
        <v>100</v>
      </c>
      <c r="O151" s="47">
        <f t="shared" si="45"/>
        <v>100</v>
      </c>
      <c r="S151" s="30">
        <f>AVERAGE(R150:U150)</f>
        <v>35.880287580666732</v>
      </c>
      <c r="X151" s="30">
        <f>AVERAGE(W150:Z150)</f>
        <v>36.428764180372227</v>
      </c>
      <c r="AC151" s="30">
        <f>AVERAGE(AB150:AE150)</f>
        <v>39.199086854335746</v>
      </c>
    </row>
    <row r="152" spans="1:32" x14ac:dyDescent="0.2">
      <c r="A152" s="16"/>
      <c r="B152" s="47">
        <f t="shared" ref="B152:E152" si="46">SUM(B133+B137+B141+B145)</f>
        <v>100</v>
      </c>
      <c r="C152" s="47">
        <f t="shared" si="46"/>
        <v>100</v>
      </c>
      <c r="D152" s="47">
        <f t="shared" si="46"/>
        <v>100</v>
      </c>
      <c r="E152" s="47">
        <f t="shared" si="46"/>
        <v>100</v>
      </c>
      <c r="F152" s="17"/>
      <c r="G152" s="47">
        <f t="shared" ref="G152:J152" si="47">SUM(G133+G137+G141+G145)</f>
        <v>100</v>
      </c>
      <c r="H152" s="47">
        <f t="shared" si="47"/>
        <v>99.999999999999986</v>
      </c>
      <c r="I152" s="47">
        <f t="shared" si="47"/>
        <v>100</v>
      </c>
      <c r="J152" s="47">
        <f t="shared" si="47"/>
        <v>100</v>
      </c>
      <c r="K152" s="17"/>
      <c r="L152" s="47">
        <f t="shared" ref="L152:O152" si="48">SUM(L133+L137+L141+L145)</f>
        <v>100</v>
      </c>
      <c r="M152" s="47">
        <f t="shared" si="48"/>
        <v>100</v>
      </c>
      <c r="N152" s="47">
        <f t="shared" si="48"/>
        <v>100</v>
      </c>
      <c r="O152" s="47">
        <f t="shared" si="48"/>
        <v>100</v>
      </c>
      <c r="X152" s="2"/>
    </row>
    <row r="158" spans="1:32" x14ac:dyDescent="0.2">
      <c r="A158" s="15" t="s">
        <v>250</v>
      </c>
      <c r="B158" s="27"/>
      <c r="C158" s="27"/>
      <c r="D158" s="27"/>
      <c r="E158" s="27"/>
      <c r="F158" s="27"/>
      <c r="G158" s="27"/>
      <c r="H158" s="27"/>
      <c r="I158" s="27"/>
      <c r="J158" s="27"/>
      <c r="L158" s="27"/>
      <c r="M158" s="27"/>
      <c r="N158" s="27"/>
      <c r="O158" s="27"/>
    </row>
    <row r="159" spans="1:32" x14ac:dyDescent="0.2">
      <c r="A159" s="16" t="s">
        <v>187</v>
      </c>
      <c r="B159" s="19">
        <f>($L$51+$M$51)/(($F$51-2)*$P$51)*100</f>
        <v>7.3560767590618328</v>
      </c>
      <c r="C159" s="31">
        <f>($L$55+$M$55)/(($F$55-2)*$P$55)*100</f>
        <v>2.7777777777777777</v>
      </c>
      <c r="D159" s="28">
        <f>($L$59+$M$59)/(($F$59-2)*$P$59)*100</f>
        <v>13.947990543735225</v>
      </c>
      <c r="E159" s="19">
        <f>($L$63+$M$63)/(($F$63-2)*$P$63)*100</f>
        <v>18.032786885245901</v>
      </c>
      <c r="F159" s="12"/>
      <c r="G159" s="18">
        <f>$L$52/(($F$52-2)*$P$52)*100</f>
        <v>1.3888888888888888</v>
      </c>
      <c r="H159" s="28">
        <f>$L$56/(($F$56-2)*$P$56)*100</f>
        <v>0.53937432578209277</v>
      </c>
      <c r="I159" s="19">
        <f>$L$60/(($F$60-2)*$P$60)*100</f>
        <v>2.0785219399538106</v>
      </c>
      <c r="J159" s="19">
        <f>$L$64/(($F$64-2)*$P$64)*100</f>
        <v>0</v>
      </c>
      <c r="L159" s="18">
        <f>$L$53/(($F$53-2)*$P$53)*100</f>
        <v>1.8743109151047408</v>
      </c>
      <c r="M159" s="28">
        <f>$L$57/(($F$57-2)*$P$57)*100</f>
        <v>0.44101433296582138</v>
      </c>
      <c r="N159" s="17">
        <f>$L$61/(($F$61-2)*$P$61)*100</f>
        <v>1.5075376884422109</v>
      </c>
      <c r="O159" s="19">
        <f>$L$65/(($F$65-2)*$P$65)*100</f>
        <v>0</v>
      </c>
    </row>
    <row r="160" spans="1:32" x14ac:dyDescent="0.2">
      <c r="A160" s="16" t="s">
        <v>188</v>
      </c>
      <c r="B160" s="19">
        <f>($L$67+$M$67)/(($F$67-2)*$P$67)*100</f>
        <v>8.5416666666666661</v>
      </c>
      <c r="C160" s="28">
        <f>($L$71+$M$71)/(($F$71-2)*$P$71)*100</f>
        <v>2.0156774916013438</v>
      </c>
      <c r="D160" s="23">
        <f>($L$75+$M$75)/(($F$75-2)*$P$75)*100</f>
        <v>17.708333333333336</v>
      </c>
      <c r="E160" s="18">
        <f>($L$79+$M$79)/(($F$79-2)*$P$79)*100</f>
        <v>18.64406779661017</v>
      </c>
      <c r="F160" s="12"/>
      <c r="G160" s="18">
        <f>$L$68/(($F$68-2)*$P$68)*100</f>
        <v>3.4042553191489362</v>
      </c>
      <c r="H160" s="31">
        <f>$L$72/(($F$72-2)*$P$72)*100</f>
        <v>0.45766590389016021</v>
      </c>
      <c r="I160" s="22">
        <f>$L$76/(($F$76-2)*$P$76)*100</f>
        <v>9.2105263157894726</v>
      </c>
      <c r="J160" s="18">
        <f>$L$80/(($F$80-2)*$P$80)*100</f>
        <v>1.7857142857142856</v>
      </c>
      <c r="L160" s="18">
        <f>$L$69/(($F$69-2)*$P$69)*100</f>
        <v>2.6785714285714284</v>
      </c>
      <c r="M160" s="28">
        <f>$L$73/(($F$73-2)*$P$73)*100</f>
        <v>0.34883720930232559</v>
      </c>
      <c r="N160" s="23">
        <f>$L$77/(($F$77-2)*$P$77)*100</f>
        <v>8.7301587301587293</v>
      </c>
      <c r="O160" s="19">
        <f>$L$81/(($F$81-2)*$P$81)*100</f>
        <v>4.7619047619047619</v>
      </c>
    </row>
    <row r="161" spans="1:15" x14ac:dyDescent="0.2">
      <c r="A161" s="16" t="s">
        <v>189</v>
      </c>
      <c r="B161" s="26">
        <f>($L$83+$M$83)/(($F$83-2)*$P$83)*100</f>
        <v>16.842105263157894</v>
      </c>
      <c r="C161" s="23">
        <f>($L$87+$M$87)/(($F$87-2)*$P$87)*100</f>
        <v>1.4925373134328357</v>
      </c>
      <c r="D161" s="18">
        <f>($L$91+$M$91)/(($F$91-2)*$P$91)*100</f>
        <v>15.290519877675839</v>
      </c>
      <c r="E161" s="26">
        <f>($L$95+$M$95)/(($F$95-2)*$P$95)*100</f>
        <v>57.499999999999993</v>
      </c>
      <c r="F161" s="12"/>
      <c r="G161" s="26">
        <f>$L$84/(($F$84-2)*$P$84)*100</f>
        <v>14.329738058551616</v>
      </c>
      <c r="H161" s="24">
        <f>$L$88/(($F$88-2)*$P$88)*100</f>
        <v>0.75614366729678639</v>
      </c>
      <c r="I161" s="18">
        <f>$L$92/(($F$92-2)*$P$92)*100</f>
        <v>3.594771241830065</v>
      </c>
      <c r="J161" s="26">
        <f>$L$96/(($F$96-2)*$P$96)*100</f>
        <v>21.12676056338028</v>
      </c>
      <c r="L161" s="20">
        <f>$L$85/(($F$85-2)*$P$85)*100</f>
        <v>15.396341463414634</v>
      </c>
      <c r="M161" s="22">
        <f>$L$89/(($F$89-2)*$P$89)*100</f>
        <v>1.3307984790874523</v>
      </c>
      <c r="N161" s="19">
        <f>$L$93/(($F$93-2)*$P$93)*100</f>
        <v>6.8571428571428577</v>
      </c>
      <c r="O161" s="20">
        <f>$L$97/(($F$97-2)*$P$97)*100</f>
        <v>22.784810126582279</v>
      </c>
    </row>
    <row r="162" spans="1:15" x14ac:dyDescent="0.2">
      <c r="B162" s="19">
        <f>($L$51+$M$51)/(($F$51-2)*$P$51)*100</f>
        <v>7.3560767590618328</v>
      </c>
      <c r="C162" s="31">
        <f>($L$55+$M$55)/(($F$55-2)*$P$55)*100</f>
        <v>2.7777777777777777</v>
      </c>
      <c r="D162" s="28">
        <f>($L$59+$M$59)/(($F$59-2)*$P$59)*100</f>
        <v>13.947990543735225</v>
      </c>
      <c r="E162" s="19">
        <f>($L$63+$M$63)/(($F$63-2)*$P$63)*100</f>
        <v>18.032786885245901</v>
      </c>
      <c r="G162" s="19">
        <f>($L$52+$M$52)/(($F$52-2)*$P$52)*100</f>
        <v>5.982905982905983</v>
      </c>
      <c r="H162" s="31">
        <f>($L$56+$M$56)/(($F$56-2)*$P$56)*100</f>
        <v>1.9417475728155338</v>
      </c>
      <c r="I162" s="28">
        <f>($L$60+$M$60)/(($F$60-2)*$P$60)*100</f>
        <v>13.625866050808314</v>
      </c>
      <c r="J162" s="19">
        <f>($L$64+$M$64)/(($F$64-2)*$P$64)*100</f>
        <v>10.666666666666668</v>
      </c>
      <c r="L162" s="19">
        <f>($L$53+$M$53)/(($F$53-2)*$P$53)*100</f>
        <v>3.528114663726571</v>
      </c>
      <c r="M162" s="31">
        <f>($L$57+$M$57)/(($F$57-2)*$P$57)*100</f>
        <v>0.88202866593164275</v>
      </c>
      <c r="N162" s="28">
        <f>($L$61+$M$61)/(($F$61-2)*$P$61)*100</f>
        <v>10.050251256281408</v>
      </c>
      <c r="O162" s="19">
        <f>($L$65+$M$65)/(($F$65-2)*$P$65)*100</f>
        <v>4.3478260869565215</v>
      </c>
    </row>
    <row r="163" spans="1:15" x14ac:dyDescent="0.2">
      <c r="B163" s="19">
        <f>($L$67+$M$67)/(($F$67-2)*$P$67)*100</f>
        <v>8.5416666666666661</v>
      </c>
      <c r="C163" s="28">
        <f>($L$71+$M$71)/(($F$71-2)*$P$71)*100</f>
        <v>2.0156774916013438</v>
      </c>
      <c r="D163" s="23">
        <f>($L$75+$M$75)/(($F$75-2)*$P$75)*100</f>
        <v>17.708333333333336</v>
      </c>
      <c r="E163" s="18">
        <f>($L$79+$M$79)/(($F$79-2)*$P$79)*100</f>
        <v>18.64406779661017</v>
      </c>
      <c r="G163" s="19">
        <f>($L$68+$M$68)/(($F$68-2)*$P$68)*100</f>
        <v>8.7234042553191493</v>
      </c>
      <c r="H163" s="28">
        <f>($L$72+$M$72)/(($F$72-2)*$P$72)*100</f>
        <v>2.0594965675057209</v>
      </c>
      <c r="I163" s="23">
        <f>($L$76+$M$76)/(($F$76-2)*$P$76)*100</f>
        <v>23.026315789473685</v>
      </c>
      <c r="J163" s="18">
        <f>($L$80+$M$80)/(($F$80-2)*$P$80)*100</f>
        <v>10.714285714285714</v>
      </c>
      <c r="L163" s="19">
        <f>($L$69+$M$69)/(($F$69-2)*$P$69)*100</f>
        <v>5.5803571428571432</v>
      </c>
      <c r="M163" s="28">
        <f>($L$73+$M$73)/(($F$73-2)*$P$73)*100</f>
        <v>0.81395348837209303</v>
      </c>
      <c r="N163" s="23">
        <f>($L$77+$M$77)/(($F$77-2)*$P$77)*100</f>
        <v>14.285714285714285</v>
      </c>
      <c r="O163" s="18">
        <f>($L$81+$M$81)/(($F$81-2)*$P$81)*100</f>
        <v>7.1428571428571423</v>
      </c>
    </row>
    <row r="164" spans="1:15" x14ac:dyDescent="0.2">
      <c r="B164" s="26">
        <f>($L$83+$M$83)/(($F$83-2)*$P$83)*100</f>
        <v>16.842105263157894</v>
      </c>
      <c r="C164" s="23">
        <f>($L$87+$M$87)/(($F$87-2)*$P$87)*100</f>
        <v>1.4925373134328357</v>
      </c>
      <c r="D164" s="18">
        <f>($L$91+$M$91)/(($F$91-2)*$P$91)*100</f>
        <v>15.290519877675839</v>
      </c>
      <c r="E164" s="26">
        <f>($L$95+$M$95)/(($F$95-2)*$P$95)*100</f>
        <v>57.499999999999993</v>
      </c>
      <c r="G164" s="26">
        <f>($L$84+$M$84)/(($F$84-2)*$P$84)*100</f>
        <v>20.184899845916796</v>
      </c>
      <c r="H164" s="23">
        <f>($L$88+$M$88)/(($F$88-2)*$P$88)*100</f>
        <v>0.75614366729678639</v>
      </c>
      <c r="I164" s="18">
        <f>($L$92+$M$92)/(($F$92-2)*$P$92)*100</f>
        <v>19.281045751633989</v>
      </c>
      <c r="J164" s="26">
        <f>($L$96+$M$96)/(($F$96-2)*$P$96)*100</f>
        <v>59.154929577464785</v>
      </c>
      <c r="L164" s="26">
        <f>($L$85+$M$85)/(($F$85-2)*$P$85)*100</f>
        <v>17.073170731707318</v>
      </c>
      <c r="M164" s="23">
        <f>($L$89+$M$89)/(($F$89-2)*$P$89)*100</f>
        <v>1.3307984790874523</v>
      </c>
      <c r="N164" s="18">
        <f>($L$93+$M$93)/(($F$93-2)*$P$93)*100</f>
        <v>15.142857142857144</v>
      </c>
      <c r="O164" s="26">
        <f>($L$97+$M$97)/(($F$97-2)*$P$97)*100</f>
        <v>50.632911392405063</v>
      </c>
    </row>
  </sheetData>
  <mergeCells count="26">
    <mergeCell ref="AQ53:AT53"/>
    <mergeCell ref="AV53:AY53"/>
    <mergeCell ref="BA53:BD53"/>
    <mergeCell ref="Y53:Y54"/>
    <mergeCell ref="Z53:AC53"/>
    <mergeCell ref="AE53:AH53"/>
    <mergeCell ref="AJ53:AM53"/>
    <mergeCell ref="AP53:AP54"/>
    <mergeCell ref="B128:E128"/>
    <mergeCell ref="G128:J128"/>
    <mergeCell ref="L128:O128"/>
    <mergeCell ref="A102:A103"/>
    <mergeCell ref="B102:E102"/>
    <mergeCell ref="F102:F103"/>
    <mergeCell ref="G102:J102"/>
    <mergeCell ref="L102:O102"/>
    <mergeCell ref="Q119:Q120"/>
    <mergeCell ref="R119:U119"/>
    <mergeCell ref="V119:V120"/>
    <mergeCell ref="W119:Z119"/>
    <mergeCell ref="AB119:AE119"/>
    <mergeCell ref="Q145:Q146"/>
    <mergeCell ref="R145:U145"/>
    <mergeCell ref="V145:V146"/>
    <mergeCell ref="W145:Z145"/>
    <mergeCell ref="AB145:AE14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zoomScale="60" zoomScaleNormal="60" workbookViewId="0">
      <selection activeCell="H45" sqref="H45"/>
    </sheetView>
  </sheetViews>
  <sheetFormatPr baseColWidth="10" defaultColWidth="8.83203125" defaultRowHeight="15" x14ac:dyDescent="0.2"/>
  <cols>
    <col min="1" max="1" width="18" customWidth="1"/>
    <col min="2" max="2" width="20" customWidth="1"/>
    <col min="3" max="3" width="8" customWidth="1"/>
    <col min="4" max="4" width="12" customWidth="1"/>
    <col min="5" max="5" width="20" customWidth="1"/>
    <col min="6" max="6" width="12" customWidth="1"/>
    <col min="7" max="7" width="18" customWidth="1"/>
    <col min="8" max="8" width="15" customWidth="1"/>
    <col min="9" max="9" width="20" customWidth="1"/>
    <col min="10" max="10" width="18" customWidth="1"/>
    <col min="11" max="11" width="20" customWidth="1"/>
    <col min="12" max="12" width="15" customWidth="1"/>
    <col min="13" max="13" width="20" customWidth="1"/>
    <col min="14" max="14" width="17" customWidth="1"/>
    <col min="15" max="15" width="20" customWidth="1"/>
    <col min="16" max="16" width="11" customWidth="1"/>
    <col min="17" max="17" width="17" customWidth="1"/>
    <col min="18" max="20" width="20" customWidth="1"/>
  </cols>
  <sheetData>
    <row r="1" spans="1:2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3</v>
      </c>
      <c r="G2" t="s">
        <v>25</v>
      </c>
      <c r="H2">
        <v>261</v>
      </c>
      <c r="I2">
        <v>234</v>
      </c>
      <c r="J2">
        <v>486</v>
      </c>
      <c r="K2">
        <v>0</v>
      </c>
      <c r="L2">
        <v>98</v>
      </c>
      <c r="M2">
        <v>0</v>
      </c>
      <c r="N2">
        <v>1912</v>
      </c>
      <c r="O2">
        <v>0</v>
      </c>
      <c r="P2">
        <v>997</v>
      </c>
      <c r="Q2">
        <v>0</v>
      </c>
      <c r="R2">
        <v>0</v>
      </c>
      <c r="S2">
        <v>0</v>
      </c>
      <c r="T2">
        <v>0</v>
      </c>
    </row>
    <row r="3" spans="1:20" x14ac:dyDescent="0.2">
      <c r="A3" t="s">
        <v>20</v>
      </c>
      <c r="B3" t="s">
        <v>21</v>
      </c>
      <c r="C3" t="s">
        <v>22</v>
      </c>
      <c r="D3" t="s">
        <v>23</v>
      </c>
      <c r="E3" t="s">
        <v>26</v>
      </c>
      <c r="F3">
        <v>3</v>
      </c>
      <c r="G3" t="s">
        <v>25</v>
      </c>
      <c r="H3">
        <v>46</v>
      </c>
      <c r="I3">
        <v>1505</v>
      </c>
      <c r="J3">
        <v>1209</v>
      </c>
      <c r="K3">
        <v>0</v>
      </c>
      <c r="L3">
        <v>18</v>
      </c>
      <c r="M3">
        <v>0</v>
      </c>
      <c r="N3">
        <v>210</v>
      </c>
      <c r="O3">
        <v>0</v>
      </c>
      <c r="P3">
        <v>996</v>
      </c>
      <c r="Q3">
        <v>0</v>
      </c>
      <c r="R3">
        <v>0</v>
      </c>
      <c r="S3">
        <v>0</v>
      </c>
      <c r="T3">
        <v>0</v>
      </c>
    </row>
    <row r="4" spans="1:20" x14ac:dyDescent="0.2">
      <c r="A4" t="s">
        <v>20</v>
      </c>
      <c r="B4" t="s">
        <v>21</v>
      </c>
      <c r="C4" t="s">
        <v>22</v>
      </c>
      <c r="D4" t="s">
        <v>23</v>
      </c>
      <c r="E4" t="s">
        <v>27</v>
      </c>
      <c r="F4">
        <v>3</v>
      </c>
      <c r="G4" t="s">
        <v>25</v>
      </c>
      <c r="H4">
        <v>253</v>
      </c>
      <c r="I4">
        <v>365</v>
      </c>
      <c r="J4">
        <v>582</v>
      </c>
      <c r="K4">
        <v>0</v>
      </c>
      <c r="L4">
        <v>273</v>
      </c>
      <c r="M4">
        <v>0</v>
      </c>
      <c r="N4">
        <v>582</v>
      </c>
      <c r="O4">
        <v>0</v>
      </c>
      <c r="P4">
        <v>685</v>
      </c>
      <c r="Q4">
        <v>0</v>
      </c>
      <c r="R4">
        <v>0</v>
      </c>
      <c r="S4">
        <v>0</v>
      </c>
      <c r="T4">
        <v>0</v>
      </c>
    </row>
    <row r="5" spans="1:20" x14ac:dyDescent="0.2">
      <c r="A5" t="s">
        <v>20</v>
      </c>
      <c r="B5" t="s">
        <v>21</v>
      </c>
      <c r="C5" t="s">
        <v>22</v>
      </c>
      <c r="D5" t="s">
        <v>23</v>
      </c>
      <c r="E5" t="s">
        <v>28</v>
      </c>
      <c r="F5">
        <v>3</v>
      </c>
      <c r="G5" t="s">
        <v>25</v>
      </c>
      <c r="H5">
        <v>81</v>
      </c>
      <c r="I5">
        <v>6</v>
      </c>
      <c r="J5">
        <v>198</v>
      </c>
      <c r="K5">
        <v>0</v>
      </c>
      <c r="L5">
        <v>49</v>
      </c>
      <c r="M5">
        <v>0</v>
      </c>
      <c r="N5">
        <v>254</v>
      </c>
      <c r="O5">
        <v>0</v>
      </c>
      <c r="P5">
        <v>196</v>
      </c>
      <c r="Q5">
        <v>0</v>
      </c>
      <c r="R5">
        <v>0</v>
      </c>
      <c r="S5">
        <v>0</v>
      </c>
      <c r="T5">
        <v>0</v>
      </c>
    </row>
    <row r="6" spans="1:20" x14ac:dyDescent="0.2">
      <c r="A6" t="s">
        <v>29</v>
      </c>
      <c r="B6" t="s">
        <v>30</v>
      </c>
      <c r="C6" t="s">
        <v>22</v>
      </c>
      <c r="D6" t="s">
        <v>23</v>
      </c>
      <c r="E6" t="s">
        <v>24</v>
      </c>
      <c r="F6">
        <v>3</v>
      </c>
      <c r="G6" t="s">
        <v>25</v>
      </c>
      <c r="H6">
        <v>879</v>
      </c>
      <c r="I6">
        <v>483</v>
      </c>
      <c r="J6">
        <v>180</v>
      </c>
      <c r="K6">
        <v>0</v>
      </c>
      <c r="L6">
        <v>79</v>
      </c>
      <c r="M6">
        <v>0</v>
      </c>
      <c r="N6">
        <v>1364</v>
      </c>
      <c r="O6">
        <v>0</v>
      </c>
      <c r="P6">
        <v>995</v>
      </c>
      <c r="Q6">
        <v>0</v>
      </c>
      <c r="R6">
        <v>0</v>
      </c>
      <c r="S6">
        <v>0</v>
      </c>
      <c r="T6">
        <v>0</v>
      </c>
    </row>
    <row r="7" spans="1:20" x14ac:dyDescent="0.2">
      <c r="A7" t="s">
        <v>29</v>
      </c>
      <c r="B7" t="s">
        <v>30</v>
      </c>
      <c r="C7" t="s">
        <v>22</v>
      </c>
      <c r="D7" t="s">
        <v>23</v>
      </c>
      <c r="E7" t="s">
        <v>26</v>
      </c>
      <c r="F7">
        <v>3</v>
      </c>
      <c r="G7" t="s">
        <v>25</v>
      </c>
      <c r="H7">
        <v>60</v>
      </c>
      <c r="I7">
        <v>1479</v>
      </c>
      <c r="J7">
        <v>1209</v>
      </c>
      <c r="K7">
        <v>0</v>
      </c>
      <c r="L7">
        <v>19</v>
      </c>
      <c r="M7">
        <v>0</v>
      </c>
      <c r="N7">
        <v>215</v>
      </c>
      <c r="O7">
        <v>0</v>
      </c>
      <c r="P7">
        <v>994</v>
      </c>
      <c r="Q7">
        <v>0</v>
      </c>
      <c r="R7">
        <v>0</v>
      </c>
      <c r="S7">
        <v>0</v>
      </c>
      <c r="T7">
        <v>0</v>
      </c>
    </row>
    <row r="8" spans="1:20" x14ac:dyDescent="0.2">
      <c r="A8" t="s">
        <v>29</v>
      </c>
      <c r="B8" t="s">
        <v>30</v>
      </c>
      <c r="C8" t="s">
        <v>22</v>
      </c>
      <c r="D8" t="s">
        <v>23</v>
      </c>
      <c r="E8" t="s">
        <v>27</v>
      </c>
      <c r="F8">
        <v>3</v>
      </c>
      <c r="G8" t="s">
        <v>25</v>
      </c>
      <c r="H8">
        <v>89</v>
      </c>
      <c r="I8">
        <v>325</v>
      </c>
      <c r="J8">
        <v>558</v>
      </c>
      <c r="K8">
        <v>0</v>
      </c>
      <c r="L8">
        <v>177</v>
      </c>
      <c r="M8">
        <v>0</v>
      </c>
      <c r="N8">
        <v>894</v>
      </c>
      <c r="O8">
        <v>0</v>
      </c>
      <c r="P8">
        <v>681</v>
      </c>
      <c r="Q8">
        <v>0</v>
      </c>
      <c r="R8">
        <v>0</v>
      </c>
      <c r="S8">
        <v>0</v>
      </c>
      <c r="T8">
        <v>0</v>
      </c>
    </row>
    <row r="9" spans="1:20" x14ac:dyDescent="0.2">
      <c r="A9" t="s">
        <v>29</v>
      </c>
      <c r="B9" t="s">
        <v>30</v>
      </c>
      <c r="C9" t="s">
        <v>22</v>
      </c>
      <c r="D9" t="s">
        <v>23</v>
      </c>
      <c r="E9" t="s">
        <v>28</v>
      </c>
      <c r="F9">
        <v>3</v>
      </c>
      <c r="G9" t="s">
        <v>25</v>
      </c>
      <c r="H9">
        <v>109</v>
      </c>
      <c r="I9">
        <v>155</v>
      </c>
      <c r="J9">
        <v>141</v>
      </c>
      <c r="K9">
        <v>0</v>
      </c>
      <c r="L9">
        <v>34</v>
      </c>
      <c r="M9">
        <v>0</v>
      </c>
      <c r="N9">
        <v>149</v>
      </c>
      <c r="O9">
        <v>0</v>
      </c>
      <c r="P9">
        <v>196</v>
      </c>
      <c r="Q9">
        <v>0</v>
      </c>
      <c r="R9">
        <v>0</v>
      </c>
      <c r="S9">
        <v>0</v>
      </c>
      <c r="T9">
        <v>0</v>
      </c>
    </row>
    <row r="10" spans="1:20" x14ac:dyDescent="0.2">
      <c r="A10" t="s">
        <v>31</v>
      </c>
      <c r="B10" t="s">
        <v>32</v>
      </c>
      <c r="C10" t="s">
        <v>22</v>
      </c>
      <c r="D10" t="s">
        <v>23</v>
      </c>
      <c r="E10" t="s">
        <v>24</v>
      </c>
      <c r="F10">
        <v>3</v>
      </c>
      <c r="G10" t="s">
        <v>25</v>
      </c>
      <c r="H10">
        <v>162</v>
      </c>
      <c r="I10">
        <v>312</v>
      </c>
      <c r="J10">
        <v>441</v>
      </c>
      <c r="K10">
        <v>0</v>
      </c>
      <c r="L10">
        <v>209</v>
      </c>
      <c r="M10">
        <v>0</v>
      </c>
      <c r="N10">
        <v>1483</v>
      </c>
      <c r="O10">
        <v>0</v>
      </c>
      <c r="P10">
        <v>869</v>
      </c>
      <c r="Q10">
        <v>0</v>
      </c>
      <c r="R10">
        <v>0</v>
      </c>
      <c r="S10">
        <v>0</v>
      </c>
      <c r="T10">
        <v>0</v>
      </c>
    </row>
    <row r="11" spans="1:20" x14ac:dyDescent="0.2">
      <c r="A11" t="s">
        <v>31</v>
      </c>
      <c r="B11" t="s">
        <v>32</v>
      </c>
      <c r="C11" t="s">
        <v>22</v>
      </c>
      <c r="D11" t="s">
        <v>23</v>
      </c>
      <c r="E11" t="s">
        <v>26</v>
      </c>
      <c r="F11">
        <v>3</v>
      </c>
      <c r="G11" t="s">
        <v>25</v>
      </c>
      <c r="H11">
        <v>16</v>
      </c>
      <c r="I11">
        <v>734</v>
      </c>
      <c r="J11">
        <v>1275</v>
      </c>
      <c r="K11">
        <v>0</v>
      </c>
      <c r="L11">
        <v>27</v>
      </c>
      <c r="M11">
        <v>0</v>
      </c>
      <c r="N11">
        <v>138</v>
      </c>
      <c r="O11">
        <v>0</v>
      </c>
      <c r="P11">
        <v>730</v>
      </c>
      <c r="Q11">
        <v>0</v>
      </c>
      <c r="R11">
        <v>0</v>
      </c>
      <c r="S11">
        <v>0</v>
      </c>
      <c r="T11">
        <v>0</v>
      </c>
    </row>
    <row r="12" spans="1:20" x14ac:dyDescent="0.2">
      <c r="A12" t="s">
        <v>31</v>
      </c>
      <c r="B12" t="s">
        <v>32</v>
      </c>
      <c r="C12" t="s">
        <v>22</v>
      </c>
      <c r="D12" t="s">
        <v>23</v>
      </c>
      <c r="E12" t="s">
        <v>27</v>
      </c>
      <c r="F12">
        <v>3</v>
      </c>
      <c r="G12" t="s">
        <v>25</v>
      </c>
      <c r="H12">
        <v>85</v>
      </c>
      <c r="I12">
        <v>188</v>
      </c>
      <c r="J12">
        <v>573</v>
      </c>
      <c r="K12">
        <v>0</v>
      </c>
      <c r="L12">
        <v>125</v>
      </c>
      <c r="M12">
        <v>0</v>
      </c>
      <c r="N12">
        <v>523</v>
      </c>
      <c r="O12">
        <v>0</v>
      </c>
      <c r="P12">
        <v>498</v>
      </c>
      <c r="Q12">
        <v>0</v>
      </c>
      <c r="R12">
        <v>0</v>
      </c>
      <c r="S12">
        <v>0</v>
      </c>
      <c r="T12">
        <v>0</v>
      </c>
    </row>
    <row r="13" spans="1:20" x14ac:dyDescent="0.2">
      <c r="A13" t="s">
        <v>31</v>
      </c>
      <c r="B13" t="s">
        <v>32</v>
      </c>
      <c r="C13" t="s">
        <v>22</v>
      </c>
      <c r="D13" t="s">
        <v>23</v>
      </c>
      <c r="E13" t="s">
        <v>28</v>
      </c>
      <c r="F13">
        <v>3</v>
      </c>
      <c r="G13" t="s">
        <v>25</v>
      </c>
      <c r="H13">
        <v>38</v>
      </c>
      <c r="I13">
        <v>7</v>
      </c>
      <c r="J13">
        <v>87</v>
      </c>
      <c r="K13">
        <v>0</v>
      </c>
      <c r="L13">
        <v>40</v>
      </c>
      <c r="M13">
        <v>0</v>
      </c>
      <c r="N13">
        <v>263</v>
      </c>
      <c r="O13">
        <v>0</v>
      </c>
      <c r="P13">
        <v>145</v>
      </c>
      <c r="Q13">
        <v>0</v>
      </c>
      <c r="R13">
        <v>0</v>
      </c>
      <c r="S13">
        <v>0</v>
      </c>
      <c r="T13">
        <v>0</v>
      </c>
    </row>
    <row r="14" spans="1:20" x14ac:dyDescent="0.2">
      <c r="A14" t="s">
        <v>33</v>
      </c>
      <c r="B14" t="s">
        <v>21</v>
      </c>
      <c r="C14" t="s">
        <v>34</v>
      </c>
      <c r="D14" t="s">
        <v>23</v>
      </c>
      <c r="E14" t="s">
        <v>24</v>
      </c>
      <c r="F14">
        <v>1</v>
      </c>
      <c r="G14" t="s">
        <v>25</v>
      </c>
      <c r="H14">
        <v>87</v>
      </c>
      <c r="I14">
        <v>76</v>
      </c>
      <c r="J14">
        <v>166</v>
      </c>
      <c r="K14">
        <v>0</v>
      </c>
      <c r="L14">
        <v>26</v>
      </c>
      <c r="M14">
        <v>0</v>
      </c>
      <c r="N14">
        <v>645</v>
      </c>
      <c r="O14">
        <v>0</v>
      </c>
      <c r="P14">
        <v>1000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t="s">
        <v>33</v>
      </c>
      <c r="B15" t="s">
        <v>21</v>
      </c>
      <c r="C15" t="s">
        <v>34</v>
      </c>
      <c r="D15" t="s">
        <v>23</v>
      </c>
      <c r="E15" t="s">
        <v>26</v>
      </c>
      <c r="F15">
        <v>1</v>
      </c>
      <c r="G15" t="s">
        <v>25</v>
      </c>
      <c r="H15">
        <v>15</v>
      </c>
      <c r="I15">
        <v>462</v>
      </c>
      <c r="J15">
        <v>442</v>
      </c>
      <c r="K15">
        <v>0</v>
      </c>
      <c r="L15">
        <v>8</v>
      </c>
      <c r="M15">
        <v>0</v>
      </c>
      <c r="N15">
        <v>68</v>
      </c>
      <c r="O15">
        <v>0</v>
      </c>
      <c r="P15">
        <v>995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t="s">
        <v>33</v>
      </c>
      <c r="B16" t="s">
        <v>21</v>
      </c>
      <c r="C16" t="s">
        <v>34</v>
      </c>
      <c r="D16" t="s">
        <v>23</v>
      </c>
      <c r="E16" t="s">
        <v>27</v>
      </c>
      <c r="F16">
        <v>1</v>
      </c>
      <c r="G16" t="s">
        <v>25</v>
      </c>
      <c r="H16">
        <v>81</v>
      </c>
      <c r="I16">
        <v>123</v>
      </c>
      <c r="J16">
        <v>193</v>
      </c>
      <c r="K16">
        <v>0</v>
      </c>
      <c r="L16">
        <v>85</v>
      </c>
      <c r="M16">
        <v>0</v>
      </c>
      <c r="N16">
        <v>202</v>
      </c>
      <c r="O16">
        <v>0</v>
      </c>
      <c r="P16">
        <v>684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t="s">
        <v>33</v>
      </c>
      <c r="B17" t="s">
        <v>21</v>
      </c>
      <c r="C17" t="s">
        <v>34</v>
      </c>
      <c r="D17" t="s">
        <v>23</v>
      </c>
      <c r="E17" t="s">
        <v>28</v>
      </c>
      <c r="F17">
        <v>1</v>
      </c>
      <c r="G17" t="s">
        <v>25</v>
      </c>
      <c r="H17">
        <v>29</v>
      </c>
      <c r="I17">
        <v>3</v>
      </c>
      <c r="J17">
        <v>64</v>
      </c>
      <c r="K17">
        <v>0</v>
      </c>
      <c r="L17">
        <v>16</v>
      </c>
      <c r="M17">
        <v>0</v>
      </c>
      <c r="N17">
        <v>84</v>
      </c>
      <c r="O17">
        <v>0</v>
      </c>
      <c r="P17">
        <v>196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t="s">
        <v>35</v>
      </c>
      <c r="B18" t="s">
        <v>30</v>
      </c>
      <c r="C18" t="s">
        <v>34</v>
      </c>
      <c r="D18" t="s">
        <v>23</v>
      </c>
      <c r="E18" t="s">
        <v>24</v>
      </c>
      <c r="F18">
        <v>1</v>
      </c>
      <c r="G18" t="s">
        <v>25</v>
      </c>
      <c r="H18">
        <v>273</v>
      </c>
      <c r="I18">
        <v>143</v>
      </c>
      <c r="J18">
        <v>102</v>
      </c>
      <c r="K18">
        <v>0</v>
      </c>
      <c r="L18">
        <v>33</v>
      </c>
      <c r="M18">
        <v>0</v>
      </c>
      <c r="N18">
        <v>448</v>
      </c>
      <c r="O18">
        <v>0</v>
      </c>
      <c r="P18">
        <v>999</v>
      </c>
      <c r="Q18">
        <v>0</v>
      </c>
      <c r="R18">
        <v>0</v>
      </c>
      <c r="S18">
        <v>0</v>
      </c>
      <c r="T18">
        <v>0</v>
      </c>
    </row>
    <row r="19" spans="1:20" x14ac:dyDescent="0.2">
      <c r="A19" t="s">
        <v>35</v>
      </c>
      <c r="B19" t="s">
        <v>30</v>
      </c>
      <c r="C19" t="s">
        <v>34</v>
      </c>
      <c r="D19" t="s">
        <v>23</v>
      </c>
      <c r="E19" t="s">
        <v>26</v>
      </c>
      <c r="F19">
        <v>1</v>
      </c>
      <c r="G19" t="s">
        <v>25</v>
      </c>
      <c r="H19">
        <v>19</v>
      </c>
      <c r="I19">
        <v>463</v>
      </c>
      <c r="J19">
        <v>440</v>
      </c>
      <c r="K19">
        <v>0</v>
      </c>
      <c r="L19">
        <v>7</v>
      </c>
      <c r="M19">
        <v>0</v>
      </c>
      <c r="N19">
        <v>70</v>
      </c>
      <c r="O19">
        <v>0</v>
      </c>
      <c r="P19">
        <v>999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t="s">
        <v>35</v>
      </c>
      <c r="B20" t="s">
        <v>30</v>
      </c>
      <c r="C20" t="s">
        <v>34</v>
      </c>
      <c r="D20" t="s">
        <v>23</v>
      </c>
      <c r="E20" t="s">
        <v>27</v>
      </c>
      <c r="F20">
        <v>1</v>
      </c>
      <c r="G20" t="s">
        <v>25</v>
      </c>
      <c r="H20">
        <v>29</v>
      </c>
      <c r="I20">
        <v>99</v>
      </c>
      <c r="J20">
        <v>197</v>
      </c>
      <c r="K20">
        <v>0</v>
      </c>
      <c r="L20">
        <v>70</v>
      </c>
      <c r="M20">
        <v>0</v>
      </c>
      <c r="N20">
        <v>287</v>
      </c>
      <c r="O20">
        <v>0</v>
      </c>
      <c r="P20">
        <v>682</v>
      </c>
      <c r="Q20">
        <v>0</v>
      </c>
      <c r="R20">
        <v>0</v>
      </c>
      <c r="S20">
        <v>0</v>
      </c>
      <c r="T20">
        <v>0</v>
      </c>
    </row>
    <row r="21" spans="1:20" x14ac:dyDescent="0.2">
      <c r="A21" t="s">
        <v>35</v>
      </c>
      <c r="B21" t="s">
        <v>30</v>
      </c>
      <c r="C21" t="s">
        <v>34</v>
      </c>
      <c r="D21" t="s">
        <v>23</v>
      </c>
      <c r="E21" t="s">
        <v>28</v>
      </c>
      <c r="F21">
        <v>1</v>
      </c>
      <c r="G21" t="s">
        <v>25</v>
      </c>
      <c r="H21">
        <v>36</v>
      </c>
      <c r="I21">
        <v>49</v>
      </c>
      <c r="J21">
        <v>51</v>
      </c>
      <c r="K21">
        <v>0</v>
      </c>
      <c r="L21">
        <v>17</v>
      </c>
      <c r="M21">
        <v>0</v>
      </c>
      <c r="N21">
        <v>44</v>
      </c>
      <c r="O21">
        <v>0</v>
      </c>
      <c r="P21">
        <v>197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t="s">
        <v>36</v>
      </c>
      <c r="B22" t="s">
        <v>32</v>
      </c>
      <c r="C22" t="s">
        <v>34</v>
      </c>
      <c r="D22" t="s">
        <v>23</v>
      </c>
      <c r="E22" t="s">
        <v>24</v>
      </c>
      <c r="F22">
        <v>1</v>
      </c>
      <c r="G22" t="s">
        <v>25</v>
      </c>
      <c r="H22">
        <v>56</v>
      </c>
      <c r="I22">
        <v>95</v>
      </c>
      <c r="J22">
        <v>186</v>
      </c>
      <c r="K22">
        <v>0</v>
      </c>
      <c r="L22">
        <v>56</v>
      </c>
      <c r="M22">
        <v>0</v>
      </c>
      <c r="N22">
        <v>554</v>
      </c>
      <c r="O22">
        <v>0</v>
      </c>
      <c r="P22">
        <v>947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t="s">
        <v>36</v>
      </c>
      <c r="B23" t="s">
        <v>32</v>
      </c>
      <c r="C23" t="s">
        <v>34</v>
      </c>
      <c r="D23" t="s">
        <v>23</v>
      </c>
      <c r="E23" t="s">
        <v>26</v>
      </c>
      <c r="F23">
        <v>1</v>
      </c>
      <c r="G23" t="s">
        <v>25</v>
      </c>
      <c r="H23">
        <v>5</v>
      </c>
      <c r="I23">
        <v>244</v>
      </c>
      <c r="J23">
        <v>518</v>
      </c>
      <c r="K23">
        <v>0</v>
      </c>
      <c r="L23">
        <v>4</v>
      </c>
      <c r="M23">
        <v>0</v>
      </c>
      <c r="N23">
        <v>58</v>
      </c>
      <c r="O23">
        <v>0</v>
      </c>
      <c r="P23">
        <v>829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t="s">
        <v>36</v>
      </c>
      <c r="B24" t="s">
        <v>32</v>
      </c>
      <c r="C24" t="s">
        <v>34</v>
      </c>
      <c r="D24" t="s">
        <v>23</v>
      </c>
      <c r="E24" t="s">
        <v>27</v>
      </c>
      <c r="F24">
        <v>1</v>
      </c>
      <c r="G24" t="s">
        <v>25</v>
      </c>
      <c r="H24">
        <v>39</v>
      </c>
      <c r="I24">
        <v>63</v>
      </c>
      <c r="J24">
        <v>233</v>
      </c>
      <c r="K24">
        <v>0</v>
      </c>
      <c r="L24">
        <v>32</v>
      </c>
      <c r="M24">
        <v>0</v>
      </c>
      <c r="N24">
        <v>234</v>
      </c>
      <c r="O24">
        <v>0</v>
      </c>
      <c r="P24">
        <v>601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t="s">
        <v>36</v>
      </c>
      <c r="B25" t="s">
        <v>32</v>
      </c>
      <c r="C25" t="s">
        <v>34</v>
      </c>
      <c r="D25" t="s">
        <v>23</v>
      </c>
      <c r="E25" t="s">
        <v>28</v>
      </c>
      <c r="F25">
        <v>1</v>
      </c>
      <c r="G25" t="s">
        <v>25</v>
      </c>
      <c r="H25">
        <v>25</v>
      </c>
      <c r="I25">
        <v>0</v>
      </c>
      <c r="J25">
        <v>32</v>
      </c>
      <c r="K25">
        <v>0</v>
      </c>
      <c r="L25">
        <v>42</v>
      </c>
      <c r="M25">
        <v>0</v>
      </c>
      <c r="N25">
        <v>74</v>
      </c>
      <c r="O25">
        <v>0</v>
      </c>
      <c r="P25">
        <v>173</v>
      </c>
      <c r="Q25">
        <v>0</v>
      </c>
      <c r="R25">
        <v>0</v>
      </c>
      <c r="S25">
        <v>0</v>
      </c>
      <c r="T25">
        <v>0</v>
      </c>
    </row>
    <row r="28" spans="1:20" ht="15" customHeight="1" x14ac:dyDescent="0.2">
      <c r="A28" s="148" t="s">
        <v>34</v>
      </c>
      <c r="B28" s="149"/>
      <c r="C28" s="149"/>
      <c r="D28" s="149"/>
      <c r="E28" s="149"/>
      <c r="F28" s="78"/>
      <c r="G28" s="76"/>
      <c r="H28" s="76"/>
      <c r="I28" s="76"/>
      <c r="J28" s="76"/>
      <c r="K28" s="78"/>
      <c r="L28" s="76"/>
      <c r="M28" s="76"/>
      <c r="N28" s="76"/>
      <c r="O28" s="76"/>
    </row>
    <row r="29" spans="1:20" ht="16" x14ac:dyDescent="0.2">
      <c r="A29" s="148" t="s">
        <v>34</v>
      </c>
      <c r="B29" s="12" t="s">
        <v>183</v>
      </c>
      <c r="C29" s="12" t="s">
        <v>184</v>
      </c>
      <c r="D29" s="12" t="s">
        <v>185</v>
      </c>
      <c r="E29" s="12" t="s">
        <v>186</v>
      </c>
      <c r="F29" s="78"/>
      <c r="G29" s="12"/>
      <c r="H29" s="12"/>
      <c r="I29" s="12"/>
      <c r="J29" s="12"/>
      <c r="K29" s="78"/>
      <c r="L29" s="12"/>
      <c r="M29" s="12"/>
      <c r="N29" s="12"/>
      <c r="O29" s="12"/>
    </row>
    <row r="30" spans="1:20" x14ac:dyDescent="0.2">
      <c r="A30" s="15" t="s">
        <v>7</v>
      </c>
      <c r="B30" s="15"/>
      <c r="C30" s="15"/>
      <c r="D30" s="15"/>
      <c r="E30" s="15"/>
    </row>
    <row r="31" spans="1:20" x14ac:dyDescent="0.2">
      <c r="A31" s="16" t="s">
        <v>187</v>
      </c>
      <c r="B31" s="18">
        <f>$H$14/$P$14*100</f>
        <v>8.6999999999999993</v>
      </c>
      <c r="C31" s="18">
        <f>$H$15/$P$15*100</f>
        <v>1.5075376884422109</v>
      </c>
      <c r="D31" s="26">
        <f>$H$16/$P$16*100</f>
        <v>11.842105263157894</v>
      </c>
      <c r="E31" s="17">
        <f>$H$17/$P$17*100</f>
        <v>14.795918367346939</v>
      </c>
      <c r="F31" s="12"/>
      <c r="G31" s="19"/>
      <c r="H31" s="23"/>
      <c r="I31" s="26"/>
      <c r="J31" s="21"/>
      <c r="K31" s="12"/>
      <c r="L31" s="18"/>
      <c r="M31" s="18"/>
      <c r="N31" s="20"/>
      <c r="O31" s="17"/>
    </row>
    <row r="32" spans="1:20" x14ac:dyDescent="0.2">
      <c r="A32" s="16" t="s">
        <v>188</v>
      </c>
      <c r="B32" s="26">
        <f>$H$18/$P$18*100</f>
        <v>27.327327327327328</v>
      </c>
      <c r="C32" s="23">
        <f>$H$19/$P$19*100</f>
        <v>1.9019019019019021</v>
      </c>
      <c r="D32" s="18">
        <f>$H$20/$P$20*100</f>
        <v>4.2521994134897358</v>
      </c>
      <c r="E32" s="26">
        <f>$H$21/$P$21*100</f>
        <v>18.274111675126903</v>
      </c>
      <c r="F32" s="12"/>
      <c r="G32" s="20"/>
      <c r="H32" s="18"/>
      <c r="I32" s="18"/>
      <c r="J32" s="26"/>
      <c r="K32" s="12"/>
      <c r="L32" s="26"/>
      <c r="M32" s="22"/>
      <c r="N32" s="19"/>
      <c r="O32" s="26"/>
    </row>
    <row r="33" spans="1:15" x14ac:dyDescent="0.2">
      <c r="A33" s="16" t="s">
        <v>189</v>
      </c>
      <c r="B33" s="18">
        <f>$H$22/$P$22*100</f>
        <v>5.9134107708553323</v>
      </c>
      <c r="C33" s="28">
        <f>$H$23/$P$23*100</f>
        <v>0.60313630880579006</v>
      </c>
      <c r="D33" s="18">
        <f>$H$24/$P$24*100</f>
        <v>6.4891846921797001</v>
      </c>
      <c r="E33" s="17">
        <f>$H$25/$P$25*100</f>
        <v>14.450867052023122</v>
      </c>
      <c r="F33" s="12"/>
      <c r="G33" s="19"/>
      <c r="H33" s="31"/>
      <c r="I33" s="19"/>
      <c r="J33" s="18"/>
      <c r="K33" s="12"/>
      <c r="L33" s="18"/>
      <c r="M33" s="28"/>
      <c r="N33" s="18"/>
      <c r="O33" s="18"/>
    </row>
    <row r="34" spans="1:15" x14ac:dyDescent="0.2">
      <c r="A34" s="15" t="s">
        <v>13</v>
      </c>
      <c r="B34" s="15"/>
      <c r="C34" s="15"/>
      <c r="D34" s="15"/>
      <c r="E34" s="15"/>
    </row>
    <row r="35" spans="1:15" x14ac:dyDescent="0.2">
      <c r="A35" s="16" t="s">
        <v>187</v>
      </c>
      <c r="B35" s="26">
        <f>$N$14/$P$14*100</f>
        <v>64.5</v>
      </c>
      <c r="C35" s="18">
        <f>$N$15/$P$15*100</f>
        <v>6.8341708542713571</v>
      </c>
      <c r="D35" s="17">
        <f>$N$16/$P$16*100</f>
        <v>29.532163742690059</v>
      </c>
      <c r="E35" s="26">
        <f>$N$17/$P$17*100</f>
        <v>42.857142857142854</v>
      </c>
      <c r="G35" s="26"/>
      <c r="H35" s="23"/>
      <c r="I35" s="17"/>
      <c r="J35" s="21"/>
      <c r="L35" s="26"/>
      <c r="M35" s="19"/>
      <c r="N35" s="17"/>
      <c r="O35" s="17"/>
    </row>
    <row r="36" spans="1:15" x14ac:dyDescent="0.2">
      <c r="A36" s="16" t="s">
        <v>188</v>
      </c>
      <c r="B36" s="17">
        <f>$N$18/$P$18*100</f>
        <v>44.844844844844843</v>
      </c>
      <c r="C36" s="23">
        <f>$N$19/$P$19*100</f>
        <v>7.0070070070070072</v>
      </c>
      <c r="D36" s="26">
        <f>$N$20/$P$20*100</f>
        <v>42.08211143695015</v>
      </c>
      <c r="E36" s="17">
        <f>$N$21/$P$21*100</f>
        <v>22.335025380710661</v>
      </c>
      <c r="G36" s="17"/>
      <c r="H36" s="18"/>
      <c r="I36" s="26"/>
      <c r="J36" s="17"/>
      <c r="L36" s="21"/>
      <c r="M36" s="22"/>
      <c r="N36" s="26"/>
      <c r="O36" s="17"/>
    </row>
    <row r="37" spans="1:15" ht="16" thickBot="1" x14ac:dyDescent="0.25">
      <c r="A37" s="40" t="s">
        <v>189</v>
      </c>
      <c r="B37" s="17">
        <f>$N$22/$P$22*100</f>
        <v>58.500527983104547</v>
      </c>
      <c r="C37" s="18">
        <f>$N$23/$P$23*100</f>
        <v>6.9963811821471653</v>
      </c>
      <c r="D37" s="17">
        <f>$N$24/$P$24*100</f>
        <v>38.935108153078204</v>
      </c>
      <c r="E37" s="17">
        <f>$N$25/$P$25*100</f>
        <v>42.774566473988443</v>
      </c>
      <c r="G37" s="17"/>
      <c r="H37" s="18"/>
      <c r="I37" s="17"/>
      <c r="J37" s="26"/>
      <c r="L37" s="17"/>
      <c r="M37" s="18"/>
      <c r="N37" s="17"/>
      <c r="O37" s="20"/>
    </row>
    <row r="38" spans="1:15" x14ac:dyDescent="0.2">
      <c r="A38" s="15" t="s">
        <v>190</v>
      </c>
      <c r="B38" s="27"/>
      <c r="C38" s="27"/>
      <c r="D38" s="27"/>
      <c r="E38" s="27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2">
      <c r="A39" s="16" t="s">
        <v>187</v>
      </c>
      <c r="B39" s="26">
        <f>($I$14+$J$14)/$P$14*100</f>
        <v>24.2</v>
      </c>
      <c r="C39" s="17">
        <f>($I$15+$J$15)/$P$15*100</f>
        <v>90.854271356783926</v>
      </c>
      <c r="D39" s="17">
        <f>($I$16+$J$16)/$P$16*100</f>
        <v>46.198830409356724</v>
      </c>
      <c r="E39" s="17">
        <f>($I$17+$J$17)/$P$17*100</f>
        <v>34.183673469387756</v>
      </c>
      <c r="F39" s="12"/>
      <c r="G39" s="21"/>
      <c r="H39" s="20"/>
      <c r="I39" s="17"/>
      <c r="J39" s="21"/>
      <c r="K39" s="12"/>
      <c r="L39" s="17"/>
      <c r="M39" s="17"/>
      <c r="N39" s="21"/>
      <c r="O39" s="21"/>
    </row>
    <row r="40" spans="1:15" x14ac:dyDescent="0.2">
      <c r="A40" s="16" t="s">
        <v>188</v>
      </c>
      <c r="B40" s="17">
        <f>($I$18+$J$18)/$P$18*100</f>
        <v>24.524524524524523</v>
      </c>
      <c r="C40" s="26">
        <f>($I$19+$J$19)/$P$19*100</f>
        <v>90.39039039039038</v>
      </c>
      <c r="D40" s="26">
        <f>($I$20+$J$20)/$P$20*100</f>
        <v>43.401759530791786</v>
      </c>
      <c r="E40" s="17">
        <f>($I$21+$J$21)/$P$21*100</f>
        <v>50.761421319796952</v>
      </c>
      <c r="F40" s="12"/>
      <c r="G40" s="20"/>
      <c r="H40" s="17"/>
      <c r="I40" s="26"/>
      <c r="J40" s="21"/>
      <c r="K40" s="12"/>
      <c r="L40" s="26"/>
      <c r="M40" s="20"/>
      <c r="N40" s="20"/>
      <c r="O40" s="17"/>
    </row>
    <row r="41" spans="1:15" x14ac:dyDescent="0.2">
      <c r="A41" s="32" t="s">
        <v>189</v>
      </c>
      <c r="B41" s="17">
        <f>($I$22+$J$22)/$P$22*100</f>
        <v>29.672650475184792</v>
      </c>
      <c r="C41" s="17">
        <f>($I$23+$J$23)/$P$23*100</f>
        <v>91.917973462002408</v>
      </c>
      <c r="D41" s="17">
        <f>($I$24+$J$24)/$P$24*100</f>
        <v>49.25124792013311</v>
      </c>
      <c r="E41" s="26">
        <f>($I$25+$J$25)/$P$25*100</f>
        <v>18.497109826589593</v>
      </c>
      <c r="F41" s="12"/>
      <c r="G41" s="21"/>
      <c r="H41" s="17"/>
      <c r="I41" s="17"/>
      <c r="J41" s="26"/>
      <c r="K41" s="12"/>
      <c r="L41" s="17"/>
      <c r="M41" s="21"/>
      <c r="N41" s="17"/>
      <c r="O41" s="26"/>
    </row>
    <row r="42" spans="1:15" x14ac:dyDescent="0.2">
      <c r="A42" t="s">
        <v>11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x14ac:dyDescent="0.2">
      <c r="A43" s="16" t="s">
        <v>187</v>
      </c>
      <c r="B43" s="23">
        <f>$L$14/$P$14*100</f>
        <v>2.6</v>
      </c>
      <c r="C43" s="28">
        <f>$L$15/$P$15*100</f>
        <v>0.8040201005025126</v>
      </c>
      <c r="D43" s="17">
        <f>$L$16/$P$16*100</f>
        <v>12.426900584795321</v>
      </c>
      <c r="E43" s="23">
        <f>$L$17/$P$17*100</f>
        <v>8.1632653061224492</v>
      </c>
      <c r="F43" s="12"/>
      <c r="G43" s="18"/>
      <c r="H43" s="28"/>
      <c r="I43" s="17"/>
      <c r="J43" s="19"/>
      <c r="K43" s="12"/>
      <c r="L43" s="18"/>
      <c r="M43" s="25"/>
      <c r="N43" s="17"/>
      <c r="O43" s="18"/>
    </row>
    <row r="44" spans="1:15" x14ac:dyDescent="0.2">
      <c r="A44" s="16" t="s">
        <v>188</v>
      </c>
      <c r="B44" s="18">
        <f>$L$18/$P$18*100</f>
        <v>3.303303303303303</v>
      </c>
      <c r="C44" s="28">
        <f>$L$19/$P$19*100</f>
        <v>0.70070070070070067</v>
      </c>
      <c r="D44" s="17">
        <f>$L$20/$P$20*100</f>
        <v>10.263929618768328</v>
      </c>
      <c r="E44" s="18">
        <f>$L$21/$P$21*100</f>
        <v>8.6294416243654819</v>
      </c>
      <c r="F44" s="12"/>
      <c r="G44" s="22"/>
      <c r="H44" s="24"/>
      <c r="I44" s="17"/>
      <c r="J44" s="23"/>
      <c r="K44" s="12"/>
      <c r="L44" s="23"/>
      <c r="M44" s="28"/>
      <c r="N44" s="18"/>
      <c r="O44" s="23"/>
    </row>
    <row r="45" spans="1:15" x14ac:dyDescent="0.2">
      <c r="A45" s="16" t="s">
        <v>189</v>
      </c>
      <c r="B45" s="18">
        <f>$L$22/$P$22*100</f>
        <v>5.9134107708553323</v>
      </c>
      <c r="C45" s="24">
        <f>$L$23/$P$23*100</f>
        <v>0.48250904704463204</v>
      </c>
      <c r="D45" s="23">
        <f>$L$24/$P$24*100</f>
        <v>5.3244592346089847</v>
      </c>
      <c r="E45" s="17">
        <f>$L$25/$P$25*100</f>
        <v>24.277456647398843</v>
      </c>
      <c r="F45" s="12"/>
      <c r="G45" s="18"/>
      <c r="H45" s="18"/>
      <c r="I45" s="23"/>
      <c r="J45" s="17"/>
      <c r="K45" s="12"/>
      <c r="L45" s="18"/>
      <c r="M45" s="18"/>
      <c r="N45" s="23"/>
      <c r="O45" s="19"/>
    </row>
    <row r="46" spans="1:15" x14ac:dyDescent="0.2">
      <c r="B46" s="7">
        <f t="shared" ref="B46:E48" si="0">SUM(B31+B39+B43+B35)</f>
        <v>100</v>
      </c>
      <c r="C46" s="7">
        <f t="shared" si="0"/>
        <v>100.00000000000001</v>
      </c>
      <c r="D46" s="7">
        <f t="shared" si="0"/>
        <v>100</v>
      </c>
      <c r="E46" s="7">
        <f t="shared" si="0"/>
        <v>100</v>
      </c>
      <c r="G46" s="7"/>
      <c r="H46" s="7"/>
      <c r="I46" s="7"/>
      <c r="J46" s="7"/>
      <c r="L46" s="7"/>
      <c r="M46" s="7"/>
      <c r="N46" s="7"/>
      <c r="O46" s="7"/>
    </row>
    <row r="47" spans="1:15" x14ac:dyDescent="0.2">
      <c r="B47" s="7">
        <f t="shared" si="0"/>
        <v>100</v>
      </c>
      <c r="C47" s="7">
        <f t="shared" si="0"/>
        <v>100</v>
      </c>
      <c r="D47" s="7">
        <f t="shared" si="0"/>
        <v>100</v>
      </c>
      <c r="E47" s="7">
        <f t="shared" si="0"/>
        <v>100</v>
      </c>
      <c r="G47" s="7"/>
      <c r="H47" s="7"/>
      <c r="I47" s="7"/>
      <c r="J47" s="7"/>
      <c r="L47" s="7"/>
      <c r="M47" s="7"/>
      <c r="N47" s="7"/>
      <c r="O47" s="7"/>
    </row>
    <row r="48" spans="1:15" x14ac:dyDescent="0.2">
      <c r="B48" s="7">
        <f t="shared" si="0"/>
        <v>100</v>
      </c>
      <c r="C48" s="7">
        <f t="shared" si="0"/>
        <v>99.999999999999986</v>
      </c>
      <c r="D48" s="7">
        <f t="shared" si="0"/>
        <v>100</v>
      </c>
      <c r="E48" s="7">
        <f t="shared" si="0"/>
        <v>100</v>
      </c>
      <c r="G48" s="7"/>
      <c r="H48" s="7"/>
      <c r="I48" s="7"/>
      <c r="J48" s="7"/>
      <c r="L48" s="7"/>
      <c r="M48" s="7"/>
      <c r="N48" s="7"/>
      <c r="O48" s="7"/>
    </row>
    <row r="51" spans="1:16" x14ac:dyDescent="0.2">
      <c r="A51" s="75" t="s">
        <v>201</v>
      </c>
      <c r="B51" s="77"/>
      <c r="C51" s="77"/>
      <c r="D51" s="77"/>
      <c r="E51" s="77"/>
      <c r="F51" s="78"/>
      <c r="G51" s="76"/>
      <c r="H51" s="76"/>
      <c r="I51" s="76"/>
      <c r="J51" s="76"/>
      <c r="K51" s="78"/>
      <c r="L51" s="76"/>
      <c r="M51" s="76"/>
      <c r="N51" s="76"/>
      <c r="O51" s="76"/>
      <c r="P51" s="78"/>
    </row>
    <row r="52" spans="1:16" x14ac:dyDescent="0.2">
      <c r="A52" s="76"/>
      <c r="B52" s="12" t="s">
        <v>183</v>
      </c>
      <c r="C52" s="12" t="s">
        <v>184</v>
      </c>
      <c r="D52" s="12" t="s">
        <v>185</v>
      </c>
      <c r="E52" s="12" t="s">
        <v>186</v>
      </c>
      <c r="F52" s="78"/>
      <c r="G52" s="12"/>
      <c r="H52" s="12"/>
      <c r="I52" s="12"/>
      <c r="J52" s="12"/>
      <c r="K52" s="78"/>
      <c r="L52" s="12"/>
      <c r="M52" s="12"/>
      <c r="N52" s="12"/>
      <c r="O52" s="12"/>
      <c r="P52" s="78"/>
    </row>
    <row r="53" spans="1:16" x14ac:dyDescent="0.2">
      <c r="A53" s="16" t="s">
        <v>187</v>
      </c>
      <c r="B53" s="154">
        <f>B31+B35</f>
        <v>73.2</v>
      </c>
      <c r="C53" s="7">
        <f t="shared" ref="B53:E55" si="1">C31+C35</f>
        <v>8.3417085427135689</v>
      </c>
      <c r="D53" s="30">
        <f t="shared" si="1"/>
        <v>41.37426900584795</v>
      </c>
      <c r="E53" s="154">
        <f t="shared" si="1"/>
        <v>57.65306122448979</v>
      </c>
      <c r="F53" s="7"/>
      <c r="G53" s="30"/>
      <c r="H53" s="56"/>
      <c r="I53" s="57"/>
      <c r="J53" s="30"/>
      <c r="K53" s="7"/>
      <c r="L53" s="30"/>
      <c r="M53" s="7"/>
      <c r="N53" s="30"/>
      <c r="O53" s="30"/>
      <c r="P53" s="7"/>
    </row>
    <row r="54" spans="1:16" x14ac:dyDescent="0.2">
      <c r="A54" s="16" t="s">
        <v>188</v>
      </c>
      <c r="B54" s="154">
        <f t="shared" si="1"/>
        <v>72.172172172172168</v>
      </c>
      <c r="C54" s="7">
        <f t="shared" si="1"/>
        <v>8.9089089089089093</v>
      </c>
      <c r="D54" s="30">
        <f t="shared" si="1"/>
        <v>46.334310850439884</v>
      </c>
      <c r="E54" s="30">
        <f>E32+E36</f>
        <v>40.609137055837564</v>
      </c>
      <c r="F54" s="7"/>
      <c r="G54" s="30"/>
      <c r="H54" s="56"/>
      <c r="I54" s="57"/>
      <c r="J54" s="30"/>
      <c r="K54" s="7"/>
      <c r="L54" s="30"/>
      <c r="M54" s="7"/>
      <c r="N54" s="30"/>
      <c r="O54" s="57"/>
      <c r="P54" s="7"/>
    </row>
    <row r="55" spans="1:16" ht="16" thickBot="1" x14ac:dyDescent="0.25">
      <c r="A55" s="40" t="s">
        <v>189</v>
      </c>
      <c r="B55" s="30">
        <f t="shared" si="1"/>
        <v>64.413938753959883</v>
      </c>
      <c r="C55" s="7">
        <f t="shared" si="1"/>
        <v>7.5995174909529553</v>
      </c>
      <c r="D55" s="30">
        <f t="shared" si="1"/>
        <v>45.424292845257902</v>
      </c>
      <c r="E55" s="30">
        <f t="shared" si="1"/>
        <v>57.225433526011564</v>
      </c>
      <c r="F55" s="7"/>
      <c r="G55" s="30"/>
      <c r="H55" s="56"/>
      <c r="I55" s="30"/>
      <c r="J55" s="57"/>
      <c r="K55" s="7"/>
      <c r="L55" s="57"/>
      <c r="M55" s="7"/>
      <c r="N55" s="30"/>
      <c r="O55" s="30"/>
      <c r="P55" s="7"/>
    </row>
    <row r="56" spans="1:16" x14ac:dyDescent="0.2">
      <c r="A56" s="58" t="s">
        <v>168</v>
      </c>
      <c r="B56" s="59">
        <f>AVERAGE(B53:B55)</f>
        <v>69.928703642044013</v>
      </c>
      <c r="C56" s="60">
        <f t="shared" ref="C56:E56" si="2">AVERAGE(C53:C55)</f>
        <v>8.2833783141918111</v>
      </c>
      <c r="D56" s="59">
        <f t="shared" si="2"/>
        <v>44.377624233848572</v>
      </c>
      <c r="E56" s="59">
        <f t="shared" si="2"/>
        <v>51.829210602112973</v>
      </c>
      <c r="F56" s="60"/>
      <c r="G56" s="59"/>
      <c r="H56" s="61"/>
      <c r="I56" s="62"/>
      <c r="J56" s="62"/>
      <c r="K56" s="60"/>
      <c r="L56" s="62"/>
      <c r="M56" s="60"/>
      <c r="N56" s="59"/>
      <c r="O56" s="59"/>
    </row>
    <row r="57" spans="1:16" x14ac:dyDescent="0.2">
      <c r="C57" s="30">
        <f>AVERAGE(B56:E56)</f>
        <v>43.604729198049341</v>
      </c>
    </row>
  </sheetData>
  <mergeCells count="11">
    <mergeCell ref="L28:O28"/>
    <mergeCell ref="F28:F29"/>
    <mergeCell ref="G28:J28"/>
    <mergeCell ref="K28:K29"/>
    <mergeCell ref="P51:P52"/>
    <mergeCell ref="A51:A52"/>
    <mergeCell ref="B51:E51"/>
    <mergeCell ref="F51:F52"/>
    <mergeCell ref="G51:J51"/>
    <mergeCell ref="K51:K52"/>
    <mergeCell ref="L51:O5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D610-EF5C-3C4C-AA95-BD6244100E0C}">
  <dimension ref="A1:AF260"/>
  <sheetViews>
    <sheetView topLeftCell="P1" zoomScale="60" zoomScaleNormal="60" workbookViewId="0">
      <pane ySplit="1" topLeftCell="A161" activePane="bottomLeft" state="frozen"/>
      <selection pane="bottomLeft" activeCell="AO132" sqref="AO132"/>
    </sheetView>
  </sheetViews>
  <sheetFormatPr baseColWidth="10" defaultColWidth="8.83203125" defaultRowHeight="15" x14ac:dyDescent="0.2"/>
  <cols>
    <col min="1" max="2" width="20" customWidth="1"/>
    <col min="3" max="3" width="8" customWidth="1"/>
    <col min="4" max="4" width="12" customWidth="1"/>
    <col min="5" max="5" width="30.5" customWidth="1"/>
    <col min="6" max="6" width="12" customWidth="1"/>
    <col min="7" max="7" width="18" customWidth="1"/>
    <col min="8" max="8" width="15" customWidth="1"/>
    <col min="9" max="9" width="20" customWidth="1"/>
    <col min="10" max="10" width="18" customWidth="1"/>
    <col min="11" max="11" width="20" customWidth="1"/>
    <col min="12" max="12" width="15" customWidth="1"/>
    <col min="13" max="13" width="20" customWidth="1"/>
    <col min="14" max="14" width="17" customWidth="1"/>
    <col min="15" max="15" width="20" customWidth="1"/>
    <col min="16" max="16" width="11" customWidth="1"/>
    <col min="17" max="17" width="17" customWidth="1"/>
    <col min="18" max="20" width="20" customWidth="1"/>
    <col min="23" max="23" width="16.6640625" bestFit="1" customWidth="1"/>
    <col min="28" max="28" width="16.6640625" bestFit="1" customWidth="1"/>
  </cols>
  <sheetData>
    <row r="1" spans="1:22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282</v>
      </c>
      <c r="H1" s="1" t="s">
        <v>7</v>
      </c>
      <c r="I1" s="1" t="s">
        <v>8</v>
      </c>
      <c r="J1" s="1" t="s">
        <v>9</v>
      </c>
      <c r="K1" s="1" t="s">
        <v>283</v>
      </c>
      <c r="L1" s="1" t="s">
        <v>11</v>
      </c>
      <c r="M1" s="1" t="s">
        <v>284</v>
      </c>
      <c r="N1" s="1" t="s">
        <v>13</v>
      </c>
      <c r="O1" s="1" t="s">
        <v>285</v>
      </c>
      <c r="P1" s="1" t="s">
        <v>15</v>
      </c>
      <c r="Q1" s="1" t="s">
        <v>16</v>
      </c>
      <c r="R1" s="1" t="s">
        <v>286</v>
      </c>
      <c r="S1" s="1" t="s">
        <v>18</v>
      </c>
      <c r="T1" s="1" t="s">
        <v>287</v>
      </c>
    </row>
    <row r="2" spans="1:22" x14ac:dyDescent="0.2">
      <c r="A2" t="s">
        <v>37</v>
      </c>
      <c r="B2" t="s">
        <v>21</v>
      </c>
      <c r="C2" t="s">
        <v>22</v>
      </c>
      <c r="D2" t="s">
        <v>23</v>
      </c>
      <c r="E2" t="s">
        <v>38</v>
      </c>
      <c r="F2">
        <v>3</v>
      </c>
      <c r="G2" t="s">
        <v>25</v>
      </c>
      <c r="H2">
        <v>261</v>
      </c>
      <c r="I2">
        <v>234</v>
      </c>
      <c r="J2">
        <v>486</v>
      </c>
      <c r="K2">
        <v>0</v>
      </c>
      <c r="L2">
        <v>98</v>
      </c>
      <c r="M2">
        <v>0</v>
      </c>
      <c r="N2">
        <v>1912</v>
      </c>
      <c r="O2">
        <v>0</v>
      </c>
      <c r="P2">
        <v>997</v>
      </c>
      <c r="Q2">
        <v>0</v>
      </c>
      <c r="R2">
        <v>0</v>
      </c>
      <c r="S2">
        <v>0</v>
      </c>
      <c r="T2">
        <v>0</v>
      </c>
      <c r="U2" s="8">
        <f>(N2+L2+M2)*2/3</f>
        <v>1340</v>
      </c>
    </row>
    <row r="3" spans="1:22" x14ac:dyDescent="0.2">
      <c r="A3" t="s">
        <v>37</v>
      </c>
      <c r="B3" t="s">
        <v>21</v>
      </c>
      <c r="C3" t="s">
        <v>22</v>
      </c>
      <c r="D3" t="s">
        <v>23</v>
      </c>
      <c r="E3" t="s">
        <v>39</v>
      </c>
      <c r="F3">
        <v>3</v>
      </c>
      <c r="G3" t="s">
        <v>67</v>
      </c>
      <c r="H3">
        <v>179</v>
      </c>
      <c r="I3">
        <v>189</v>
      </c>
      <c r="J3">
        <v>290</v>
      </c>
      <c r="K3">
        <v>0</v>
      </c>
      <c r="L3">
        <v>71</v>
      </c>
      <c r="M3">
        <v>0</v>
      </c>
      <c r="N3">
        <v>1271</v>
      </c>
      <c r="O3">
        <v>0</v>
      </c>
      <c r="P3">
        <v>1000</v>
      </c>
      <c r="Q3">
        <v>0</v>
      </c>
      <c r="R3">
        <v>0</v>
      </c>
      <c r="S3">
        <v>0</v>
      </c>
      <c r="T3">
        <v>0</v>
      </c>
      <c r="U3">
        <f>(N3+L3+M3)</f>
        <v>1342</v>
      </c>
      <c r="V3" s="2">
        <f>(U$2-U3)/U$2</f>
        <v>-1.4925373134328358E-3</v>
      </c>
    </row>
    <row r="4" spans="1:22" x14ac:dyDescent="0.2">
      <c r="A4" t="s">
        <v>37</v>
      </c>
      <c r="B4" t="s">
        <v>21</v>
      </c>
      <c r="C4" t="s">
        <v>22</v>
      </c>
      <c r="D4" t="s">
        <v>23</v>
      </c>
      <c r="E4" t="s">
        <v>213</v>
      </c>
      <c r="F4">
        <v>3</v>
      </c>
      <c r="G4" t="s">
        <v>69</v>
      </c>
      <c r="H4">
        <v>188</v>
      </c>
      <c r="I4">
        <v>160</v>
      </c>
      <c r="J4">
        <v>310</v>
      </c>
      <c r="K4">
        <v>0</v>
      </c>
      <c r="L4">
        <v>61</v>
      </c>
      <c r="M4">
        <v>0</v>
      </c>
      <c r="N4">
        <v>1281</v>
      </c>
      <c r="O4">
        <v>0</v>
      </c>
      <c r="P4">
        <v>1000</v>
      </c>
      <c r="Q4">
        <v>0</v>
      </c>
      <c r="R4">
        <v>0</v>
      </c>
      <c r="S4">
        <v>0</v>
      </c>
      <c r="T4">
        <v>0</v>
      </c>
      <c r="U4">
        <f t="shared" ref="U4:U5" si="0">(N4+L4+M4)</f>
        <v>1342</v>
      </c>
      <c r="V4" s="2">
        <f t="shared" ref="V4:V5" si="1">(U$2-U4)/U$2</f>
        <v>-1.4925373134328358E-3</v>
      </c>
    </row>
    <row r="5" spans="1:22" x14ac:dyDescent="0.2">
      <c r="A5" t="s">
        <v>37</v>
      </c>
      <c r="B5" t="s">
        <v>21</v>
      </c>
      <c r="C5" t="s">
        <v>22</v>
      </c>
      <c r="D5" t="s">
        <v>23</v>
      </c>
      <c r="E5" t="s">
        <v>212</v>
      </c>
      <c r="F5">
        <v>3</v>
      </c>
      <c r="G5" t="s">
        <v>71</v>
      </c>
      <c r="H5">
        <v>171</v>
      </c>
      <c r="I5">
        <v>187</v>
      </c>
      <c r="J5">
        <v>298</v>
      </c>
      <c r="K5">
        <v>0</v>
      </c>
      <c r="L5">
        <v>70</v>
      </c>
      <c r="M5">
        <v>0</v>
      </c>
      <c r="N5">
        <v>1272</v>
      </c>
      <c r="O5">
        <v>0</v>
      </c>
      <c r="P5">
        <v>999</v>
      </c>
      <c r="Q5">
        <v>0</v>
      </c>
      <c r="R5">
        <v>0</v>
      </c>
      <c r="S5">
        <v>0</v>
      </c>
      <c r="T5">
        <v>0</v>
      </c>
      <c r="U5">
        <f t="shared" si="0"/>
        <v>1342</v>
      </c>
      <c r="V5" s="2">
        <f t="shared" si="1"/>
        <v>-1.4925373134328358E-3</v>
      </c>
    </row>
    <row r="6" spans="1:22" x14ac:dyDescent="0.2">
      <c r="A6" t="s">
        <v>41</v>
      </c>
      <c r="B6" t="s">
        <v>21</v>
      </c>
      <c r="C6" t="s">
        <v>22</v>
      </c>
      <c r="D6" t="s">
        <v>23</v>
      </c>
      <c r="E6" t="s">
        <v>42</v>
      </c>
      <c r="F6">
        <v>3</v>
      </c>
      <c r="G6" t="s">
        <v>25</v>
      </c>
      <c r="H6">
        <v>46</v>
      </c>
      <c r="I6">
        <v>1505</v>
      </c>
      <c r="J6">
        <v>1209</v>
      </c>
      <c r="K6">
        <v>0</v>
      </c>
      <c r="L6">
        <v>18</v>
      </c>
      <c r="M6">
        <v>0</v>
      </c>
      <c r="N6">
        <v>210</v>
      </c>
      <c r="O6">
        <v>0</v>
      </c>
      <c r="P6">
        <v>996</v>
      </c>
      <c r="Q6">
        <v>0</v>
      </c>
      <c r="R6">
        <v>0</v>
      </c>
      <c r="S6">
        <v>0</v>
      </c>
      <c r="T6">
        <v>0</v>
      </c>
      <c r="U6" s="8">
        <f>(N6+L6+M6)*2/3</f>
        <v>152</v>
      </c>
    </row>
    <row r="7" spans="1:22" x14ac:dyDescent="0.2">
      <c r="A7" t="s">
        <v>41</v>
      </c>
      <c r="B7" t="s">
        <v>21</v>
      </c>
      <c r="C7" t="s">
        <v>22</v>
      </c>
      <c r="D7" t="s">
        <v>23</v>
      </c>
      <c r="E7" t="s">
        <v>43</v>
      </c>
      <c r="F7">
        <v>3</v>
      </c>
      <c r="G7" t="s">
        <v>67</v>
      </c>
      <c r="H7">
        <v>32</v>
      </c>
      <c r="I7">
        <v>1078</v>
      </c>
      <c r="J7">
        <v>728</v>
      </c>
      <c r="K7">
        <v>0</v>
      </c>
      <c r="L7">
        <v>16</v>
      </c>
      <c r="M7">
        <v>0</v>
      </c>
      <c r="N7">
        <v>134</v>
      </c>
      <c r="O7">
        <v>0</v>
      </c>
      <c r="P7">
        <v>994</v>
      </c>
      <c r="Q7">
        <v>0</v>
      </c>
      <c r="R7">
        <v>0</v>
      </c>
      <c r="S7">
        <v>0</v>
      </c>
      <c r="T7">
        <v>0</v>
      </c>
      <c r="U7">
        <f>(N7+L7+M7)</f>
        <v>150</v>
      </c>
      <c r="V7" s="2">
        <f>(U$6-U7)/U$6</f>
        <v>1.3157894736842105E-2</v>
      </c>
    </row>
    <row r="8" spans="1:22" x14ac:dyDescent="0.2">
      <c r="A8" t="s">
        <v>41</v>
      </c>
      <c r="B8" t="s">
        <v>21</v>
      </c>
      <c r="C8" t="s">
        <v>22</v>
      </c>
      <c r="D8" t="s">
        <v>23</v>
      </c>
      <c r="E8" t="s">
        <v>211</v>
      </c>
      <c r="F8">
        <v>3</v>
      </c>
      <c r="G8" t="s">
        <v>69</v>
      </c>
      <c r="H8">
        <v>29</v>
      </c>
      <c r="I8">
        <v>1047</v>
      </c>
      <c r="J8">
        <v>760</v>
      </c>
      <c r="K8">
        <v>0</v>
      </c>
      <c r="L8">
        <v>10</v>
      </c>
      <c r="M8">
        <v>0</v>
      </c>
      <c r="N8">
        <v>142</v>
      </c>
      <c r="O8">
        <v>0</v>
      </c>
      <c r="P8">
        <v>994</v>
      </c>
      <c r="Q8">
        <v>0</v>
      </c>
      <c r="R8">
        <v>0</v>
      </c>
      <c r="S8">
        <v>0</v>
      </c>
      <c r="T8">
        <v>0</v>
      </c>
      <c r="U8">
        <f t="shared" ref="U8:U9" si="2">(N8+L8+M8)</f>
        <v>152</v>
      </c>
      <c r="V8" s="2">
        <f t="shared" ref="V8:V9" si="3">(U$6-U8)/U$6</f>
        <v>0</v>
      </c>
    </row>
    <row r="9" spans="1:22" x14ac:dyDescent="0.2">
      <c r="A9" t="s">
        <v>41</v>
      </c>
      <c r="B9" t="s">
        <v>21</v>
      </c>
      <c r="C9" t="s">
        <v>22</v>
      </c>
      <c r="D9" t="s">
        <v>23</v>
      </c>
      <c r="E9" t="s">
        <v>210</v>
      </c>
      <c r="F9">
        <v>3</v>
      </c>
      <c r="G9" t="s">
        <v>71</v>
      </c>
      <c r="H9">
        <v>27</v>
      </c>
      <c r="I9">
        <v>1057</v>
      </c>
      <c r="J9">
        <v>756</v>
      </c>
      <c r="K9">
        <v>0</v>
      </c>
      <c r="L9">
        <v>11</v>
      </c>
      <c r="M9">
        <v>0</v>
      </c>
      <c r="N9">
        <v>141</v>
      </c>
      <c r="O9">
        <v>0</v>
      </c>
      <c r="P9">
        <v>996</v>
      </c>
      <c r="Q9">
        <v>0</v>
      </c>
      <c r="R9">
        <v>0</v>
      </c>
      <c r="S9">
        <v>0</v>
      </c>
      <c r="T9">
        <v>0</v>
      </c>
      <c r="U9">
        <f t="shared" si="2"/>
        <v>152</v>
      </c>
      <c r="V9" s="2">
        <f t="shared" si="3"/>
        <v>0</v>
      </c>
    </row>
    <row r="10" spans="1:22" x14ac:dyDescent="0.2">
      <c r="A10" t="s">
        <v>45</v>
      </c>
      <c r="B10" t="s">
        <v>21</v>
      </c>
      <c r="C10" t="s">
        <v>22</v>
      </c>
      <c r="D10" t="s">
        <v>23</v>
      </c>
      <c r="E10" t="s">
        <v>46</v>
      </c>
      <c r="F10">
        <v>3</v>
      </c>
      <c r="G10" t="s">
        <v>25</v>
      </c>
      <c r="H10">
        <v>253</v>
      </c>
      <c r="I10">
        <v>365</v>
      </c>
      <c r="J10">
        <v>582</v>
      </c>
      <c r="K10">
        <v>0</v>
      </c>
      <c r="L10">
        <v>273</v>
      </c>
      <c r="M10">
        <v>0</v>
      </c>
      <c r="N10">
        <v>582</v>
      </c>
      <c r="O10">
        <v>0</v>
      </c>
      <c r="P10">
        <v>685</v>
      </c>
      <c r="Q10">
        <v>0</v>
      </c>
      <c r="R10">
        <v>0</v>
      </c>
      <c r="S10">
        <v>0</v>
      </c>
      <c r="T10">
        <v>0</v>
      </c>
      <c r="U10" s="8">
        <f>(N10+L10+M10)*2/3</f>
        <v>570</v>
      </c>
    </row>
    <row r="11" spans="1:22" x14ac:dyDescent="0.2">
      <c r="A11" t="s">
        <v>45</v>
      </c>
      <c r="B11" t="s">
        <v>21</v>
      </c>
      <c r="C11" t="s">
        <v>22</v>
      </c>
      <c r="D11" t="s">
        <v>23</v>
      </c>
      <c r="E11" t="s">
        <v>47</v>
      </c>
      <c r="F11">
        <v>3</v>
      </c>
      <c r="G11" t="s">
        <v>67</v>
      </c>
      <c r="H11">
        <v>144</v>
      </c>
      <c r="I11">
        <v>276</v>
      </c>
      <c r="J11">
        <v>378</v>
      </c>
      <c r="K11">
        <v>0</v>
      </c>
      <c r="L11">
        <v>194</v>
      </c>
      <c r="M11">
        <v>0</v>
      </c>
      <c r="N11">
        <v>378</v>
      </c>
      <c r="O11">
        <v>0</v>
      </c>
      <c r="P11">
        <v>685</v>
      </c>
      <c r="Q11">
        <v>0</v>
      </c>
      <c r="R11">
        <v>0</v>
      </c>
      <c r="S11">
        <v>0</v>
      </c>
      <c r="T11">
        <v>0</v>
      </c>
      <c r="U11">
        <f>(N11+L11+M11)</f>
        <v>572</v>
      </c>
      <c r="V11" s="2">
        <f>(U$10-U11)/U$10</f>
        <v>-3.5087719298245615E-3</v>
      </c>
    </row>
    <row r="12" spans="1:22" x14ac:dyDescent="0.2">
      <c r="A12" t="s">
        <v>45</v>
      </c>
      <c r="B12" t="s">
        <v>21</v>
      </c>
      <c r="C12" t="s">
        <v>22</v>
      </c>
      <c r="D12" t="s">
        <v>23</v>
      </c>
      <c r="E12" t="s">
        <v>209</v>
      </c>
      <c r="F12">
        <v>3</v>
      </c>
      <c r="G12" t="s">
        <v>69</v>
      </c>
      <c r="H12">
        <v>165</v>
      </c>
      <c r="I12">
        <v>237</v>
      </c>
      <c r="J12">
        <v>398</v>
      </c>
      <c r="K12">
        <v>0</v>
      </c>
      <c r="L12">
        <v>185</v>
      </c>
      <c r="M12">
        <v>0</v>
      </c>
      <c r="N12">
        <v>389</v>
      </c>
      <c r="O12">
        <v>0</v>
      </c>
      <c r="P12">
        <v>687</v>
      </c>
      <c r="Q12">
        <v>0</v>
      </c>
      <c r="R12">
        <v>0</v>
      </c>
      <c r="S12">
        <v>0</v>
      </c>
      <c r="T12">
        <v>0</v>
      </c>
      <c r="U12">
        <f t="shared" ref="U12:U13" si="4">(N12+L12+M12)</f>
        <v>574</v>
      </c>
      <c r="V12" s="2">
        <f t="shared" ref="V12:V13" si="5">(U$10-U12)/U$10</f>
        <v>-7.0175438596491229E-3</v>
      </c>
    </row>
    <row r="13" spans="1:22" x14ac:dyDescent="0.2">
      <c r="A13" t="s">
        <v>45</v>
      </c>
      <c r="B13" t="s">
        <v>21</v>
      </c>
      <c r="C13" t="s">
        <v>22</v>
      </c>
      <c r="D13" t="s">
        <v>23</v>
      </c>
      <c r="E13" t="s">
        <v>208</v>
      </c>
      <c r="F13">
        <v>3</v>
      </c>
      <c r="G13" t="s">
        <v>71</v>
      </c>
      <c r="H13">
        <v>168</v>
      </c>
      <c r="I13">
        <v>242</v>
      </c>
      <c r="J13">
        <v>388</v>
      </c>
      <c r="K13">
        <v>0</v>
      </c>
      <c r="L13">
        <v>178</v>
      </c>
      <c r="M13">
        <v>0</v>
      </c>
      <c r="N13">
        <v>396</v>
      </c>
      <c r="O13">
        <v>0</v>
      </c>
      <c r="P13">
        <v>686</v>
      </c>
      <c r="Q13">
        <v>0</v>
      </c>
      <c r="R13">
        <v>0</v>
      </c>
      <c r="S13">
        <v>0</v>
      </c>
      <c r="T13">
        <v>0</v>
      </c>
      <c r="U13">
        <f t="shared" si="4"/>
        <v>574</v>
      </c>
      <c r="V13" s="2">
        <f t="shared" si="5"/>
        <v>-7.0175438596491229E-3</v>
      </c>
    </row>
    <row r="14" spans="1:22" x14ac:dyDescent="0.2">
      <c r="A14" t="s">
        <v>49</v>
      </c>
      <c r="B14" t="s">
        <v>21</v>
      </c>
      <c r="C14" t="s">
        <v>22</v>
      </c>
      <c r="D14" t="s">
        <v>23</v>
      </c>
      <c r="E14" t="s">
        <v>50</v>
      </c>
      <c r="F14">
        <v>3</v>
      </c>
      <c r="G14" t="s">
        <v>25</v>
      </c>
      <c r="H14">
        <v>81</v>
      </c>
      <c r="I14">
        <v>6</v>
      </c>
      <c r="J14">
        <v>198</v>
      </c>
      <c r="K14">
        <v>0</v>
      </c>
      <c r="L14">
        <v>49</v>
      </c>
      <c r="M14">
        <v>0</v>
      </c>
      <c r="N14">
        <v>254</v>
      </c>
      <c r="O14">
        <v>0</v>
      </c>
      <c r="P14">
        <v>196</v>
      </c>
      <c r="Q14">
        <v>0</v>
      </c>
      <c r="R14">
        <v>0</v>
      </c>
      <c r="S14">
        <v>0</v>
      </c>
      <c r="T14">
        <v>0</v>
      </c>
      <c r="U14" s="8">
        <f>(N14+L14+M14)*2/3</f>
        <v>202</v>
      </c>
    </row>
    <row r="15" spans="1:22" x14ac:dyDescent="0.2">
      <c r="A15" t="s">
        <v>49</v>
      </c>
      <c r="B15" t="s">
        <v>21</v>
      </c>
      <c r="C15" t="s">
        <v>22</v>
      </c>
      <c r="D15" t="s">
        <v>23</v>
      </c>
      <c r="E15" t="s">
        <v>51</v>
      </c>
      <c r="F15">
        <v>3</v>
      </c>
      <c r="G15" t="s">
        <v>67</v>
      </c>
      <c r="H15">
        <v>60</v>
      </c>
      <c r="I15">
        <v>10</v>
      </c>
      <c r="J15">
        <v>118</v>
      </c>
      <c r="K15">
        <v>0</v>
      </c>
      <c r="L15">
        <v>35</v>
      </c>
      <c r="M15">
        <v>0</v>
      </c>
      <c r="N15">
        <v>165</v>
      </c>
      <c r="O15">
        <v>0</v>
      </c>
      <c r="P15">
        <v>194</v>
      </c>
      <c r="Q15">
        <v>0</v>
      </c>
      <c r="R15">
        <v>0</v>
      </c>
      <c r="S15">
        <v>0</v>
      </c>
      <c r="T15">
        <v>0</v>
      </c>
      <c r="U15">
        <f>(N15+L15+M15)</f>
        <v>200</v>
      </c>
      <c r="V15" s="2">
        <f>(U$14-U15)/U$14</f>
        <v>9.9009900990099011E-3</v>
      </c>
    </row>
    <row r="16" spans="1:22" x14ac:dyDescent="0.2">
      <c r="A16" t="s">
        <v>49</v>
      </c>
      <c r="B16" t="s">
        <v>21</v>
      </c>
      <c r="C16" t="s">
        <v>22</v>
      </c>
      <c r="D16" t="s">
        <v>23</v>
      </c>
      <c r="E16" t="s">
        <v>207</v>
      </c>
      <c r="F16">
        <v>3</v>
      </c>
      <c r="G16" t="s">
        <v>69</v>
      </c>
      <c r="H16">
        <v>63</v>
      </c>
      <c r="I16">
        <v>7</v>
      </c>
      <c r="J16">
        <v>122</v>
      </c>
      <c r="K16">
        <v>0</v>
      </c>
      <c r="L16">
        <v>36</v>
      </c>
      <c r="M16">
        <v>0</v>
      </c>
      <c r="N16">
        <v>166</v>
      </c>
      <c r="O16">
        <v>0</v>
      </c>
      <c r="P16">
        <v>197</v>
      </c>
      <c r="Q16">
        <v>0</v>
      </c>
      <c r="R16">
        <v>0</v>
      </c>
      <c r="S16">
        <v>0</v>
      </c>
      <c r="T16">
        <v>0</v>
      </c>
      <c r="U16">
        <f t="shared" ref="U16:U17" si="6">(N16+L16+M16)</f>
        <v>202</v>
      </c>
      <c r="V16" s="2">
        <f t="shared" ref="V16:V17" si="7">(U$14-U16)/U$14</f>
        <v>0</v>
      </c>
    </row>
    <row r="17" spans="1:22" x14ac:dyDescent="0.2">
      <c r="A17" t="s">
        <v>49</v>
      </c>
      <c r="B17" t="s">
        <v>21</v>
      </c>
      <c r="C17" t="s">
        <v>22</v>
      </c>
      <c r="D17" t="s">
        <v>23</v>
      </c>
      <c r="E17" t="s">
        <v>206</v>
      </c>
      <c r="F17">
        <v>3</v>
      </c>
      <c r="G17" t="s">
        <v>71</v>
      </c>
      <c r="H17">
        <v>61</v>
      </c>
      <c r="I17">
        <v>5</v>
      </c>
      <c r="J17">
        <v>126</v>
      </c>
      <c r="K17">
        <v>0</v>
      </c>
      <c r="L17">
        <v>30</v>
      </c>
      <c r="M17">
        <v>0</v>
      </c>
      <c r="N17">
        <v>170</v>
      </c>
      <c r="O17">
        <v>0</v>
      </c>
      <c r="P17">
        <v>196</v>
      </c>
      <c r="Q17">
        <v>0</v>
      </c>
      <c r="R17">
        <v>0</v>
      </c>
      <c r="S17">
        <v>0</v>
      </c>
      <c r="T17">
        <v>0</v>
      </c>
      <c r="U17">
        <f t="shared" si="6"/>
        <v>200</v>
      </c>
      <c r="V17" s="2">
        <f t="shared" si="7"/>
        <v>9.9009900990099011E-3</v>
      </c>
    </row>
    <row r="18" spans="1:22" x14ac:dyDescent="0.2">
      <c r="A18" t="s">
        <v>53</v>
      </c>
      <c r="B18" t="s">
        <v>30</v>
      </c>
      <c r="C18" t="s">
        <v>22</v>
      </c>
      <c r="D18" t="s">
        <v>23</v>
      </c>
      <c r="E18" t="s">
        <v>38</v>
      </c>
      <c r="F18">
        <v>3</v>
      </c>
      <c r="G18" t="s">
        <v>25</v>
      </c>
      <c r="H18">
        <v>879</v>
      </c>
      <c r="I18">
        <v>483</v>
      </c>
      <c r="J18">
        <v>180</v>
      </c>
      <c r="K18">
        <v>0</v>
      </c>
      <c r="L18">
        <v>79</v>
      </c>
      <c r="M18">
        <v>0</v>
      </c>
      <c r="N18">
        <v>1364</v>
      </c>
      <c r="O18">
        <v>0</v>
      </c>
      <c r="P18">
        <v>995</v>
      </c>
      <c r="Q18">
        <v>0</v>
      </c>
      <c r="R18">
        <v>0</v>
      </c>
      <c r="S18">
        <v>0</v>
      </c>
      <c r="T18">
        <v>0</v>
      </c>
      <c r="U18" s="8">
        <f>(N18+L18+M18)*2/3</f>
        <v>962</v>
      </c>
    </row>
    <row r="19" spans="1:22" x14ac:dyDescent="0.2">
      <c r="A19" t="s">
        <v>53</v>
      </c>
      <c r="B19" t="s">
        <v>30</v>
      </c>
      <c r="C19" t="s">
        <v>22</v>
      </c>
      <c r="D19" t="s">
        <v>23</v>
      </c>
      <c r="E19" t="s">
        <v>39</v>
      </c>
      <c r="F19">
        <v>3</v>
      </c>
      <c r="G19" t="s">
        <v>67</v>
      </c>
      <c r="H19">
        <v>600</v>
      </c>
      <c r="I19">
        <v>300</v>
      </c>
      <c r="J19">
        <v>130</v>
      </c>
      <c r="K19">
        <v>0</v>
      </c>
      <c r="L19">
        <v>50</v>
      </c>
      <c r="M19">
        <v>0</v>
      </c>
      <c r="N19">
        <v>910</v>
      </c>
      <c r="O19">
        <v>0</v>
      </c>
      <c r="P19">
        <v>995</v>
      </c>
      <c r="Q19">
        <v>0</v>
      </c>
      <c r="R19">
        <v>0</v>
      </c>
      <c r="S19">
        <v>0</v>
      </c>
      <c r="T19">
        <v>0</v>
      </c>
      <c r="U19">
        <f>(N19+L19+M19)</f>
        <v>960</v>
      </c>
      <c r="V19" s="2">
        <f>(U$18-U19)/U$18</f>
        <v>2.0790020790020791E-3</v>
      </c>
    </row>
    <row r="20" spans="1:22" x14ac:dyDescent="0.2">
      <c r="A20" t="s">
        <v>53</v>
      </c>
      <c r="B20" t="s">
        <v>30</v>
      </c>
      <c r="C20" t="s">
        <v>22</v>
      </c>
      <c r="D20" t="s">
        <v>23</v>
      </c>
      <c r="E20" t="s">
        <v>213</v>
      </c>
      <c r="F20">
        <v>3</v>
      </c>
      <c r="G20" t="s">
        <v>69</v>
      </c>
      <c r="H20">
        <v>599</v>
      </c>
      <c r="I20">
        <v>303</v>
      </c>
      <c r="J20">
        <v>122</v>
      </c>
      <c r="K20">
        <v>0</v>
      </c>
      <c r="L20">
        <v>43</v>
      </c>
      <c r="M20">
        <v>0</v>
      </c>
      <c r="N20">
        <v>917</v>
      </c>
      <c r="O20">
        <v>0</v>
      </c>
      <c r="P20">
        <v>992</v>
      </c>
      <c r="Q20">
        <v>0</v>
      </c>
      <c r="R20">
        <v>0</v>
      </c>
      <c r="S20">
        <v>0</v>
      </c>
      <c r="T20">
        <v>0</v>
      </c>
      <c r="U20">
        <f t="shared" ref="U20:U21" si="8">(N20+L20+M20)</f>
        <v>960</v>
      </c>
      <c r="V20" s="2">
        <f>(U$18-U20)/U$18</f>
        <v>2.0790020790020791E-3</v>
      </c>
    </row>
    <row r="21" spans="1:22" x14ac:dyDescent="0.2">
      <c r="A21" t="s">
        <v>53</v>
      </c>
      <c r="B21" t="s">
        <v>30</v>
      </c>
      <c r="C21" t="s">
        <v>22</v>
      </c>
      <c r="D21" t="s">
        <v>23</v>
      </c>
      <c r="E21" t="s">
        <v>212</v>
      </c>
      <c r="F21">
        <v>3</v>
      </c>
      <c r="G21" t="s">
        <v>71</v>
      </c>
      <c r="H21">
        <v>593</v>
      </c>
      <c r="I21">
        <v>291</v>
      </c>
      <c r="J21">
        <v>144</v>
      </c>
      <c r="K21">
        <v>0</v>
      </c>
      <c r="L21">
        <v>62</v>
      </c>
      <c r="M21">
        <v>0</v>
      </c>
      <c r="N21">
        <v>900</v>
      </c>
      <c r="O21">
        <v>0</v>
      </c>
      <c r="P21">
        <v>995</v>
      </c>
      <c r="Q21">
        <v>0</v>
      </c>
      <c r="R21">
        <v>0</v>
      </c>
      <c r="S21">
        <v>0</v>
      </c>
      <c r="T21">
        <v>0</v>
      </c>
      <c r="U21">
        <f t="shared" si="8"/>
        <v>962</v>
      </c>
      <c r="V21" s="2">
        <f>(U$18-U21)/U$18</f>
        <v>0</v>
      </c>
    </row>
    <row r="22" spans="1:22" x14ac:dyDescent="0.2">
      <c r="A22" t="s">
        <v>54</v>
      </c>
      <c r="B22" t="s">
        <v>30</v>
      </c>
      <c r="C22" t="s">
        <v>22</v>
      </c>
      <c r="D22" t="s">
        <v>23</v>
      </c>
      <c r="E22" t="s">
        <v>42</v>
      </c>
      <c r="F22">
        <v>3</v>
      </c>
      <c r="G22" t="s">
        <v>25</v>
      </c>
      <c r="H22">
        <v>60</v>
      </c>
      <c r="I22">
        <v>1479</v>
      </c>
      <c r="J22">
        <v>1209</v>
      </c>
      <c r="K22">
        <v>0</v>
      </c>
      <c r="L22">
        <v>19</v>
      </c>
      <c r="M22">
        <v>0</v>
      </c>
      <c r="N22">
        <v>215</v>
      </c>
      <c r="O22">
        <v>0</v>
      </c>
      <c r="P22">
        <v>994</v>
      </c>
      <c r="Q22">
        <v>0</v>
      </c>
      <c r="R22">
        <v>0</v>
      </c>
      <c r="S22">
        <v>0</v>
      </c>
      <c r="T22">
        <v>0</v>
      </c>
      <c r="U22" s="8">
        <f>(N22+L22+M22)*2/3</f>
        <v>156</v>
      </c>
    </row>
    <row r="23" spans="1:22" x14ac:dyDescent="0.2">
      <c r="A23" t="s">
        <v>54</v>
      </c>
      <c r="B23" t="s">
        <v>30</v>
      </c>
      <c r="C23" t="s">
        <v>22</v>
      </c>
      <c r="D23" t="s">
        <v>23</v>
      </c>
      <c r="E23" t="s">
        <v>43</v>
      </c>
      <c r="F23">
        <v>3</v>
      </c>
      <c r="G23" t="s">
        <v>67</v>
      </c>
      <c r="H23">
        <v>32</v>
      </c>
      <c r="I23">
        <v>934</v>
      </c>
      <c r="J23">
        <v>864</v>
      </c>
      <c r="K23">
        <v>0</v>
      </c>
      <c r="L23">
        <v>10</v>
      </c>
      <c r="M23">
        <v>0</v>
      </c>
      <c r="N23">
        <v>142</v>
      </c>
      <c r="O23">
        <v>0</v>
      </c>
      <c r="P23">
        <v>991</v>
      </c>
      <c r="Q23">
        <v>0</v>
      </c>
      <c r="R23">
        <v>0</v>
      </c>
      <c r="S23">
        <v>0</v>
      </c>
      <c r="T23">
        <v>0</v>
      </c>
      <c r="U23">
        <f>(N23+L23+M23)</f>
        <v>152</v>
      </c>
      <c r="V23" s="2">
        <f>(U$22-U23)/U$22</f>
        <v>2.564102564102564E-2</v>
      </c>
    </row>
    <row r="24" spans="1:22" x14ac:dyDescent="0.2">
      <c r="A24" t="s">
        <v>54</v>
      </c>
      <c r="B24" t="s">
        <v>30</v>
      </c>
      <c r="C24" t="s">
        <v>22</v>
      </c>
      <c r="D24" t="s">
        <v>23</v>
      </c>
      <c r="E24" t="s">
        <v>211</v>
      </c>
      <c r="F24">
        <v>3</v>
      </c>
      <c r="G24" t="s">
        <v>69</v>
      </c>
      <c r="H24">
        <v>37</v>
      </c>
      <c r="I24">
        <v>975</v>
      </c>
      <c r="J24">
        <v>824</v>
      </c>
      <c r="K24">
        <v>0</v>
      </c>
      <c r="L24">
        <v>11</v>
      </c>
      <c r="M24">
        <v>0</v>
      </c>
      <c r="N24">
        <v>143</v>
      </c>
      <c r="O24">
        <v>0</v>
      </c>
      <c r="P24">
        <v>995</v>
      </c>
      <c r="Q24">
        <v>0</v>
      </c>
      <c r="R24">
        <v>0</v>
      </c>
      <c r="S24">
        <v>0</v>
      </c>
      <c r="T24">
        <v>0</v>
      </c>
      <c r="U24">
        <f t="shared" ref="U24:U25" si="9">(N24+L24+M24)</f>
        <v>154</v>
      </c>
      <c r="V24" s="2">
        <f>(U$22-U24)/U$22</f>
        <v>1.282051282051282E-2</v>
      </c>
    </row>
    <row r="25" spans="1:22" x14ac:dyDescent="0.2">
      <c r="A25" t="s">
        <v>54</v>
      </c>
      <c r="B25" t="s">
        <v>30</v>
      </c>
      <c r="C25" t="s">
        <v>22</v>
      </c>
      <c r="D25" t="s">
        <v>23</v>
      </c>
      <c r="E25" t="s">
        <v>210</v>
      </c>
      <c r="F25">
        <v>3</v>
      </c>
      <c r="G25" t="s">
        <v>71</v>
      </c>
      <c r="H25">
        <v>44</v>
      </c>
      <c r="I25">
        <v>956</v>
      </c>
      <c r="J25">
        <v>838</v>
      </c>
      <c r="K25">
        <v>0</v>
      </c>
      <c r="L25">
        <v>11</v>
      </c>
      <c r="M25">
        <v>0</v>
      </c>
      <c r="N25">
        <v>143</v>
      </c>
      <c r="O25">
        <v>0</v>
      </c>
      <c r="P25">
        <v>996</v>
      </c>
      <c r="Q25">
        <v>0</v>
      </c>
      <c r="R25">
        <v>0</v>
      </c>
      <c r="S25">
        <v>0</v>
      </c>
      <c r="T25">
        <v>0</v>
      </c>
      <c r="U25">
        <f t="shared" si="9"/>
        <v>154</v>
      </c>
      <c r="V25" s="2">
        <f>(U$22-U25)/U$22</f>
        <v>1.282051282051282E-2</v>
      </c>
    </row>
    <row r="26" spans="1:22" x14ac:dyDescent="0.2">
      <c r="A26" t="s">
        <v>55</v>
      </c>
      <c r="B26" t="s">
        <v>30</v>
      </c>
      <c r="C26" t="s">
        <v>22</v>
      </c>
      <c r="D26" t="s">
        <v>23</v>
      </c>
      <c r="E26" t="s">
        <v>46</v>
      </c>
      <c r="F26">
        <v>3</v>
      </c>
      <c r="G26" t="s">
        <v>25</v>
      </c>
      <c r="H26">
        <v>89</v>
      </c>
      <c r="I26">
        <v>325</v>
      </c>
      <c r="J26">
        <v>558</v>
      </c>
      <c r="K26">
        <v>0</v>
      </c>
      <c r="L26">
        <v>177</v>
      </c>
      <c r="M26">
        <v>0</v>
      </c>
      <c r="N26">
        <v>894</v>
      </c>
      <c r="O26">
        <v>0</v>
      </c>
      <c r="P26">
        <v>681</v>
      </c>
      <c r="Q26">
        <v>0</v>
      </c>
      <c r="R26">
        <v>0</v>
      </c>
      <c r="S26">
        <v>0</v>
      </c>
      <c r="T26">
        <v>0</v>
      </c>
      <c r="U26" s="8">
        <f>(N26+L26+M26)*2/3</f>
        <v>714</v>
      </c>
    </row>
    <row r="27" spans="1:22" x14ac:dyDescent="0.2">
      <c r="A27" t="s">
        <v>55</v>
      </c>
      <c r="B27" t="s">
        <v>30</v>
      </c>
      <c r="C27" t="s">
        <v>22</v>
      </c>
      <c r="D27" t="s">
        <v>23</v>
      </c>
      <c r="E27" t="s">
        <v>47</v>
      </c>
      <c r="F27">
        <v>3</v>
      </c>
      <c r="G27" t="s">
        <v>67</v>
      </c>
      <c r="H27">
        <v>51</v>
      </c>
      <c r="I27">
        <v>221</v>
      </c>
      <c r="J27">
        <v>378</v>
      </c>
      <c r="K27">
        <v>0</v>
      </c>
      <c r="L27">
        <v>111</v>
      </c>
      <c r="M27">
        <v>0</v>
      </c>
      <c r="N27">
        <v>603</v>
      </c>
      <c r="O27">
        <v>0</v>
      </c>
      <c r="P27">
        <v>682</v>
      </c>
      <c r="Q27">
        <v>0</v>
      </c>
      <c r="R27">
        <v>0</v>
      </c>
      <c r="S27">
        <v>0</v>
      </c>
      <c r="T27">
        <v>0</v>
      </c>
      <c r="U27">
        <f>(N27+L27+M27)</f>
        <v>714</v>
      </c>
      <c r="V27" s="2">
        <f>(U$26-U27)/U$26</f>
        <v>0</v>
      </c>
    </row>
    <row r="28" spans="1:22" x14ac:dyDescent="0.2">
      <c r="A28" t="s">
        <v>55</v>
      </c>
      <c r="B28" t="s">
        <v>30</v>
      </c>
      <c r="C28" t="s">
        <v>22</v>
      </c>
      <c r="D28" t="s">
        <v>23</v>
      </c>
      <c r="E28" t="s">
        <v>209</v>
      </c>
      <c r="F28">
        <v>3</v>
      </c>
      <c r="G28" t="s">
        <v>69</v>
      </c>
      <c r="H28">
        <v>57</v>
      </c>
      <c r="I28">
        <v>213</v>
      </c>
      <c r="J28">
        <v>378</v>
      </c>
      <c r="K28">
        <v>0</v>
      </c>
      <c r="L28">
        <v>117</v>
      </c>
      <c r="M28">
        <v>0</v>
      </c>
      <c r="N28">
        <v>597</v>
      </c>
      <c r="O28">
        <v>0</v>
      </c>
      <c r="P28">
        <v>681</v>
      </c>
      <c r="Q28">
        <v>0</v>
      </c>
      <c r="R28">
        <v>0</v>
      </c>
      <c r="S28">
        <v>0</v>
      </c>
      <c r="T28">
        <v>0</v>
      </c>
      <c r="U28">
        <f t="shared" ref="U28:U29" si="10">(N28+L28+M28)</f>
        <v>714</v>
      </c>
      <c r="V28" s="2">
        <f>(U$26-U28)/U$26</f>
        <v>0</v>
      </c>
    </row>
    <row r="29" spans="1:22" x14ac:dyDescent="0.2">
      <c r="A29" t="s">
        <v>55</v>
      </c>
      <c r="B29" t="s">
        <v>30</v>
      </c>
      <c r="C29" t="s">
        <v>22</v>
      </c>
      <c r="D29" t="s">
        <v>23</v>
      </c>
      <c r="E29" t="s">
        <v>208</v>
      </c>
      <c r="F29">
        <v>3</v>
      </c>
      <c r="G29" t="s">
        <v>71</v>
      </c>
      <c r="H29">
        <v>46</v>
      </c>
      <c r="I29">
        <v>208</v>
      </c>
      <c r="J29">
        <v>392</v>
      </c>
      <c r="K29">
        <v>0</v>
      </c>
      <c r="L29">
        <v>124</v>
      </c>
      <c r="M29">
        <v>0</v>
      </c>
      <c r="N29">
        <v>590</v>
      </c>
      <c r="O29">
        <v>0</v>
      </c>
      <c r="P29">
        <v>680</v>
      </c>
      <c r="Q29">
        <v>0</v>
      </c>
      <c r="R29">
        <v>0</v>
      </c>
      <c r="S29">
        <v>0</v>
      </c>
      <c r="T29">
        <v>0</v>
      </c>
      <c r="U29">
        <f t="shared" si="10"/>
        <v>714</v>
      </c>
      <c r="V29" s="2">
        <f>(U$26-U29)/U$26</f>
        <v>0</v>
      </c>
    </row>
    <row r="30" spans="1:22" x14ac:dyDescent="0.2">
      <c r="A30" t="s">
        <v>56</v>
      </c>
      <c r="B30" t="s">
        <v>30</v>
      </c>
      <c r="C30" t="s">
        <v>22</v>
      </c>
      <c r="D30" t="s">
        <v>23</v>
      </c>
      <c r="E30" t="s">
        <v>50</v>
      </c>
      <c r="F30">
        <v>3</v>
      </c>
      <c r="G30" t="s">
        <v>25</v>
      </c>
      <c r="H30">
        <v>109</v>
      </c>
      <c r="I30">
        <v>155</v>
      </c>
      <c r="J30">
        <v>141</v>
      </c>
      <c r="K30">
        <v>0</v>
      </c>
      <c r="L30">
        <v>34</v>
      </c>
      <c r="M30">
        <v>0</v>
      </c>
      <c r="N30">
        <v>149</v>
      </c>
      <c r="O30">
        <v>0</v>
      </c>
      <c r="P30">
        <v>196</v>
      </c>
      <c r="Q30">
        <v>0</v>
      </c>
      <c r="R30">
        <v>0</v>
      </c>
      <c r="S30">
        <v>0</v>
      </c>
      <c r="T30">
        <v>0</v>
      </c>
      <c r="U30" s="8">
        <f>(N30+L30+M30)*2/3</f>
        <v>122</v>
      </c>
    </row>
    <row r="31" spans="1:22" x14ac:dyDescent="0.2">
      <c r="A31" t="s">
        <v>56</v>
      </c>
      <c r="B31" t="s">
        <v>30</v>
      </c>
      <c r="C31" t="s">
        <v>22</v>
      </c>
      <c r="D31" t="s">
        <v>23</v>
      </c>
      <c r="E31" t="s">
        <v>51</v>
      </c>
      <c r="F31">
        <v>3</v>
      </c>
      <c r="G31" t="s">
        <v>67</v>
      </c>
      <c r="H31">
        <v>76</v>
      </c>
      <c r="I31">
        <v>104</v>
      </c>
      <c r="J31">
        <v>86</v>
      </c>
      <c r="K31">
        <v>0</v>
      </c>
      <c r="L31">
        <v>20</v>
      </c>
      <c r="M31">
        <v>0</v>
      </c>
      <c r="N31">
        <v>102</v>
      </c>
      <c r="O31">
        <v>0</v>
      </c>
      <c r="P31">
        <v>194</v>
      </c>
      <c r="Q31">
        <v>0</v>
      </c>
      <c r="R31">
        <v>0</v>
      </c>
      <c r="S31">
        <v>0</v>
      </c>
      <c r="T31">
        <v>0</v>
      </c>
      <c r="U31">
        <f>(N31+L31+M31)</f>
        <v>122</v>
      </c>
      <c r="V31" s="2">
        <f>(U$30-U31)/U$30</f>
        <v>0</v>
      </c>
    </row>
    <row r="32" spans="1:22" x14ac:dyDescent="0.2">
      <c r="A32" t="s">
        <v>56</v>
      </c>
      <c r="B32" t="s">
        <v>30</v>
      </c>
      <c r="C32" t="s">
        <v>22</v>
      </c>
      <c r="D32" t="s">
        <v>23</v>
      </c>
      <c r="E32" t="s">
        <v>207</v>
      </c>
      <c r="F32">
        <v>3</v>
      </c>
      <c r="G32" t="s">
        <v>69</v>
      </c>
      <c r="H32">
        <v>82</v>
      </c>
      <c r="I32">
        <v>98</v>
      </c>
      <c r="J32">
        <v>88</v>
      </c>
      <c r="K32">
        <v>0</v>
      </c>
      <c r="L32">
        <v>14</v>
      </c>
      <c r="M32">
        <v>0</v>
      </c>
      <c r="N32">
        <v>108</v>
      </c>
      <c r="O32">
        <v>0</v>
      </c>
      <c r="P32">
        <v>195</v>
      </c>
      <c r="Q32">
        <v>0</v>
      </c>
      <c r="R32">
        <v>0</v>
      </c>
      <c r="S32">
        <v>0</v>
      </c>
      <c r="T32">
        <v>0</v>
      </c>
      <c r="U32">
        <f t="shared" ref="U32:U33" si="11">(N32+L32+M32)</f>
        <v>122</v>
      </c>
      <c r="V32" s="2">
        <f>(U$30-U32)/U$30</f>
        <v>0</v>
      </c>
    </row>
    <row r="33" spans="1:22" x14ac:dyDescent="0.2">
      <c r="A33" t="s">
        <v>56</v>
      </c>
      <c r="B33" t="s">
        <v>30</v>
      </c>
      <c r="C33" t="s">
        <v>22</v>
      </c>
      <c r="D33" t="s">
        <v>23</v>
      </c>
      <c r="E33" t="s">
        <v>206</v>
      </c>
      <c r="F33">
        <v>3</v>
      </c>
      <c r="G33" t="s">
        <v>71</v>
      </c>
      <c r="H33">
        <v>82</v>
      </c>
      <c r="I33">
        <v>106</v>
      </c>
      <c r="J33">
        <v>84</v>
      </c>
      <c r="K33">
        <v>0</v>
      </c>
      <c r="L33">
        <v>22</v>
      </c>
      <c r="M33">
        <v>0</v>
      </c>
      <c r="N33">
        <v>98</v>
      </c>
      <c r="O33">
        <v>0</v>
      </c>
      <c r="P33">
        <v>196</v>
      </c>
      <c r="Q33">
        <v>0</v>
      </c>
      <c r="R33">
        <v>0</v>
      </c>
      <c r="S33">
        <v>0</v>
      </c>
      <c r="T33">
        <v>0</v>
      </c>
      <c r="U33">
        <f t="shared" si="11"/>
        <v>120</v>
      </c>
      <c r="V33" s="2">
        <f>(U$30-U33)/U$30</f>
        <v>1.6393442622950821E-2</v>
      </c>
    </row>
    <row r="34" spans="1:22" x14ac:dyDescent="0.2">
      <c r="A34" t="s">
        <v>57</v>
      </c>
      <c r="B34" t="s">
        <v>58</v>
      </c>
      <c r="C34" t="s">
        <v>22</v>
      </c>
      <c r="D34" t="s">
        <v>23</v>
      </c>
      <c r="E34" t="s">
        <v>38</v>
      </c>
      <c r="F34">
        <v>3</v>
      </c>
      <c r="G34" t="s">
        <v>25</v>
      </c>
      <c r="H34">
        <v>41</v>
      </c>
      <c r="I34">
        <v>106</v>
      </c>
      <c r="J34">
        <v>57</v>
      </c>
      <c r="K34">
        <v>0</v>
      </c>
      <c r="L34">
        <v>133</v>
      </c>
      <c r="M34">
        <v>0</v>
      </c>
      <c r="N34">
        <v>1514</v>
      </c>
      <c r="O34">
        <v>0</v>
      </c>
      <c r="P34">
        <v>617</v>
      </c>
      <c r="Q34">
        <v>0</v>
      </c>
      <c r="R34">
        <v>0</v>
      </c>
      <c r="S34">
        <v>0</v>
      </c>
      <c r="T34">
        <v>0</v>
      </c>
      <c r="U34" s="8">
        <f>(N34+L34+M34)*2/3</f>
        <v>1098</v>
      </c>
    </row>
    <row r="35" spans="1:22" x14ac:dyDescent="0.2">
      <c r="A35" t="s">
        <v>57</v>
      </c>
      <c r="B35" t="s">
        <v>58</v>
      </c>
      <c r="C35" t="s">
        <v>22</v>
      </c>
      <c r="D35" t="s">
        <v>23</v>
      </c>
      <c r="E35" t="s">
        <v>39</v>
      </c>
      <c r="F35">
        <v>3</v>
      </c>
      <c r="G35" t="s">
        <v>67</v>
      </c>
      <c r="H35">
        <v>45</v>
      </c>
      <c r="I35">
        <v>67</v>
      </c>
      <c r="J35">
        <v>58</v>
      </c>
      <c r="K35">
        <v>0</v>
      </c>
      <c r="L35">
        <v>86</v>
      </c>
      <c r="M35">
        <v>0</v>
      </c>
      <c r="N35">
        <v>1138</v>
      </c>
      <c r="O35">
        <v>0</v>
      </c>
      <c r="P35">
        <v>697</v>
      </c>
      <c r="Q35">
        <v>0</v>
      </c>
      <c r="R35">
        <v>0</v>
      </c>
      <c r="S35">
        <v>0</v>
      </c>
      <c r="T35">
        <v>0</v>
      </c>
      <c r="U35">
        <f>(N35+L35+M35)</f>
        <v>1224</v>
      </c>
      <c r="V35" s="73">
        <f>(U$34-U35)/U$34</f>
        <v>-0.11475409836065574</v>
      </c>
    </row>
    <row r="36" spans="1:22" x14ac:dyDescent="0.2">
      <c r="A36" t="s">
        <v>59</v>
      </c>
      <c r="B36" t="s">
        <v>58</v>
      </c>
      <c r="C36" t="s">
        <v>22</v>
      </c>
      <c r="D36" t="s">
        <v>23</v>
      </c>
      <c r="E36" t="s">
        <v>42</v>
      </c>
      <c r="F36">
        <v>3</v>
      </c>
      <c r="G36" t="s">
        <v>25</v>
      </c>
      <c r="H36">
        <v>9</v>
      </c>
      <c r="I36">
        <v>510</v>
      </c>
      <c r="J36">
        <v>975</v>
      </c>
      <c r="K36">
        <v>0</v>
      </c>
      <c r="L36">
        <v>5</v>
      </c>
      <c r="M36">
        <v>0</v>
      </c>
      <c r="N36">
        <v>124</v>
      </c>
      <c r="O36">
        <v>0</v>
      </c>
      <c r="P36">
        <v>541</v>
      </c>
      <c r="Q36">
        <v>0</v>
      </c>
      <c r="R36">
        <v>0</v>
      </c>
      <c r="S36">
        <v>0</v>
      </c>
      <c r="T36">
        <v>0</v>
      </c>
      <c r="U36">
        <f t="shared" ref="U36:U37" si="12">(N36+L36+M36)</f>
        <v>129</v>
      </c>
      <c r="V36" s="73">
        <f>(U$34-U36)/U$34</f>
        <v>0.88251366120218577</v>
      </c>
    </row>
    <row r="37" spans="1:22" x14ac:dyDescent="0.2">
      <c r="A37" t="s">
        <v>59</v>
      </c>
      <c r="B37" t="s">
        <v>58</v>
      </c>
      <c r="C37" t="s">
        <v>22</v>
      </c>
      <c r="D37" t="s">
        <v>23</v>
      </c>
      <c r="E37" t="s">
        <v>43</v>
      </c>
      <c r="F37">
        <v>3</v>
      </c>
      <c r="G37" t="s">
        <v>67</v>
      </c>
      <c r="H37">
        <v>7</v>
      </c>
      <c r="I37">
        <v>415</v>
      </c>
      <c r="J37">
        <v>746</v>
      </c>
      <c r="K37">
        <v>0</v>
      </c>
      <c r="L37">
        <v>12</v>
      </c>
      <c r="M37">
        <v>0</v>
      </c>
      <c r="N37">
        <v>100</v>
      </c>
      <c r="O37">
        <v>0</v>
      </c>
      <c r="P37">
        <v>640</v>
      </c>
      <c r="Q37">
        <v>0</v>
      </c>
      <c r="R37">
        <v>0</v>
      </c>
      <c r="S37">
        <v>0</v>
      </c>
      <c r="T37">
        <v>0</v>
      </c>
      <c r="U37">
        <f t="shared" si="12"/>
        <v>112</v>
      </c>
      <c r="V37" s="73">
        <f>(U$34-U37)/U$34</f>
        <v>0.89799635701275049</v>
      </c>
    </row>
    <row r="38" spans="1:22" x14ac:dyDescent="0.2">
      <c r="A38" t="s">
        <v>60</v>
      </c>
      <c r="B38" t="s">
        <v>58</v>
      </c>
      <c r="C38" t="s">
        <v>22</v>
      </c>
      <c r="D38" t="s">
        <v>23</v>
      </c>
      <c r="E38" t="s">
        <v>46</v>
      </c>
      <c r="F38">
        <v>3</v>
      </c>
      <c r="G38" t="s">
        <v>25</v>
      </c>
      <c r="H38">
        <v>81</v>
      </c>
      <c r="I38">
        <v>129</v>
      </c>
      <c r="J38">
        <v>537</v>
      </c>
      <c r="K38">
        <v>0</v>
      </c>
      <c r="L38">
        <v>39</v>
      </c>
      <c r="M38">
        <v>0</v>
      </c>
      <c r="N38">
        <v>711</v>
      </c>
      <c r="O38">
        <v>0</v>
      </c>
      <c r="P38">
        <v>499</v>
      </c>
      <c r="Q38">
        <v>0</v>
      </c>
      <c r="R38">
        <v>0</v>
      </c>
      <c r="S38">
        <v>0</v>
      </c>
      <c r="T38">
        <v>0</v>
      </c>
      <c r="U38" s="8">
        <f>(N38+L38+M38)*2/3</f>
        <v>500</v>
      </c>
    </row>
    <row r="39" spans="1:22" x14ac:dyDescent="0.2">
      <c r="A39" t="s">
        <v>60</v>
      </c>
      <c r="B39" t="s">
        <v>58</v>
      </c>
      <c r="C39" t="s">
        <v>22</v>
      </c>
      <c r="D39" t="s">
        <v>23</v>
      </c>
      <c r="E39" t="s">
        <v>47</v>
      </c>
      <c r="F39">
        <v>3</v>
      </c>
      <c r="G39" t="s">
        <v>67</v>
      </c>
      <c r="H39">
        <v>55</v>
      </c>
      <c r="I39">
        <v>91</v>
      </c>
      <c r="J39">
        <v>406</v>
      </c>
      <c r="K39">
        <v>0</v>
      </c>
      <c r="L39">
        <v>16</v>
      </c>
      <c r="M39">
        <v>0</v>
      </c>
      <c r="N39">
        <v>532</v>
      </c>
      <c r="O39">
        <v>0</v>
      </c>
      <c r="P39">
        <v>550</v>
      </c>
      <c r="Q39">
        <v>0</v>
      </c>
      <c r="R39">
        <v>0</v>
      </c>
      <c r="S39">
        <v>0</v>
      </c>
      <c r="T39">
        <v>0</v>
      </c>
      <c r="U39">
        <f>(N39+L39+M39)</f>
        <v>548</v>
      </c>
      <c r="V39" s="73">
        <f>(U$38-U39)/U$38</f>
        <v>-9.6000000000000002E-2</v>
      </c>
    </row>
    <row r="40" spans="1:22" x14ac:dyDescent="0.2">
      <c r="A40" t="s">
        <v>61</v>
      </c>
      <c r="B40" t="s">
        <v>58</v>
      </c>
      <c r="C40" t="s">
        <v>22</v>
      </c>
      <c r="D40" t="s">
        <v>23</v>
      </c>
      <c r="E40" t="s">
        <v>50</v>
      </c>
      <c r="F40">
        <v>3</v>
      </c>
      <c r="G40" t="s">
        <v>25</v>
      </c>
      <c r="H40">
        <v>46</v>
      </c>
      <c r="I40">
        <v>20</v>
      </c>
      <c r="J40">
        <v>156</v>
      </c>
      <c r="K40">
        <v>0</v>
      </c>
      <c r="L40">
        <v>41</v>
      </c>
      <c r="M40">
        <v>0</v>
      </c>
      <c r="N40">
        <v>235</v>
      </c>
      <c r="O40">
        <v>0</v>
      </c>
      <c r="P40">
        <v>166</v>
      </c>
      <c r="Q40">
        <v>0</v>
      </c>
      <c r="R40">
        <v>0</v>
      </c>
      <c r="S40">
        <v>0</v>
      </c>
      <c r="T40">
        <v>0</v>
      </c>
      <c r="U40">
        <f t="shared" ref="U40:U41" si="13">(N40+L40+M40)</f>
        <v>276</v>
      </c>
      <c r="V40" s="73">
        <f>(U$38-U40)/U$38</f>
        <v>0.44800000000000001</v>
      </c>
    </row>
    <row r="41" spans="1:22" x14ac:dyDescent="0.2">
      <c r="A41" t="s">
        <v>61</v>
      </c>
      <c r="B41" t="s">
        <v>58</v>
      </c>
      <c r="C41" t="s">
        <v>22</v>
      </c>
      <c r="D41" t="s">
        <v>23</v>
      </c>
      <c r="E41" t="s">
        <v>51</v>
      </c>
      <c r="F41">
        <v>3</v>
      </c>
      <c r="G41" t="s">
        <v>67</v>
      </c>
      <c r="H41">
        <v>31</v>
      </c>
      <c r="I41">
        <v>13</v>
      </c>
      <c r="J41">
        <v>120</v>
      </c>
      <c r="K41">
        <v>0</v>
      </c>
      <c r="L41">
        <v>22</v>
      </c>
      <c r="M41">
        <v>0</v>
      </c>
      <c r="N41">
        <v>158</v>
      </c>
      <c r="O41">
        <v>0</v>
      </c>
      <c r="P41">
        <v>172</v>
      </c>
      <c r="Q41">
        <v>0</v>
      </c>
      <c r="R41">
        <v>0</v>
      </c>
      <c r="S41">
        <v>0</v>
      </c>
      <c r="T41">
        <v>0</v>
      </c>
      <c r="U41">
        <f t="shared" si="13"/>
        <v>180</v>
      </c>
      <c r="V41" s="73">
        <f>(U$38-U41)/U$38</f>
        <v>0.64</v>
      </c>
    </row>
    <row r="42" spans="1:22" x14ac:dyDescent="0.2">
      <c r="A42" t="s">
        <v>62</v>
      </c>
      <c r="B42" t="s">
        <v>32</v>
      </c>
      <c r="C42" t="s">
        <v>22</v>
      </c>
      <c r="D42" t="s">
        <v>23</v>
      </c>
      <c r="E42" t="s">
        <v>38</v>
      </c>
      <c r="F42">
        <v>3</v>
      </c>
      <c r="G42" t="s">
        <v>25</v>
      </c>
      <c r="H42">
        <v>162</v>
      </c>
      <c r="I42">
        <v>312</v>
      </c>
      <c r="J42">
        <v>441</v>
      </c>
      <c r="K42">
        <v>0</v>
      </c>
      <c r="L42">
        <v>209</v>
      </c>
      <c r="M42">
        <v>0</v>
      </c>
      <c r="N42">
        <v>1483</v>
      </c>
      <c r="O42">
        <v>0</v>
      </c>
      <c r="P42">
        <v>869</v>
      </c>
      <c r="Q42">
        <v>0</v>
      </c>
      <c r="R42">
        <v>0</v>
      </c>
      <c r="S42">
        <v>0</v>
      </c>
      <c r="T42">
        <v>0</v>
      </c>
      <c r="U42" s="8">
        <f>(N42+L42+M42)*2/3</f>
        <v>1128</v>
      </c>
    </row>
    <row r="43" spans="1:22" x14ac:dyDescent="0.2">
      <c r="A43" t="s">
        <v>62</v>
      </c>
      <c r="B43" t="s">
        <v>32</v>
      </c>
      <c r="C43" t="s">
        <v>22</v>
      </c>
      <c r="D43" t="s">
        <v>23</v>
      </c>
      <c r="E43" t="s">
        <v>39</v>
      </c>
      <c r="F43">
        <v>3</v>
      </c>
      <c r="G43" t="s">
        <v>67</v>
      </c>
      <c r="H43">
        <v>97</v>
      </c>
      <c r="I43">
        <v>233</v>
      </c>
      <c r="J43">
        <v>254</v>
      </c>
      <c r="K43">
        <v>0</v>
      </c>
      <c r="L43">
        <v>147</v>
      </c>
      <c r="M43">
        <v>0</v>
      </c>
      <c r="N43">
        <v>975</v>
      </c>
      <c r="O43">
        <v>0</v>
      </c>
      <c r="P43">
        <v>853</v>
      </c>
      <c r="Q43">
        <v>0</v>
      </c>
      <c r="R43">
        <v>0</v>
      </c>
      <c r="S43">
        <v>0</v>
      </c>
      <c r="T43">
        <v>0</v>
      </c>
      <c r="U43">
        <f>(N43+L43+M43)</f>
        <v>1122</v>
      </c>
      <c r="V43" s="73">
        <f>(U$42-U43)/U$42</f>
        <v>5.3191489361702126E-3</v>
      </c>
    </row>
    <row r="44" spans="1:22" x14ac:dyDescent="0.2">
      <c r="A44" t="s">
        <v>62</v>
      </c>
      <c r="B44" t="s">
        <v>32</v>
      </c>
      <c r="C44" t="s">
        <v>22</v>
      </c>
      <c r="D44" t="s">
        <v>23</v>
      </c>
      <c r="E44" t="s">
        <v>213</v>
      </c>
      <c r="F44">
        <v>3</v>
      </c>
      <c r="G44" t="s">
        <v>69</v>
      </c>
      <c r="H44">
        <v>99</v>
      </c>
      <c r="I44">
        <v>225</v>
      </c>
      <c r="J44">
        <v>242</v>
      </c>
      <c r="K44">
        <v>0</v>
      </c>
      <c r="L44">
        <v>136</v>
      </c>
      <c r="M44">
        <v>0</v>
      </c>
      <c r="N44">
        <v>1000</v>
      </c>
      <c r="O44">
        <v>0</v>
      </c>
      <c r="P44">
        <v>851</v>
      </c>
      <c r="Q44">
        <v>0</v>
      </c>
      <c r="R44">
        <v>0</v>
      </c>
      <c r="S44">
        <v>0</v>
      </c>
      <c r="T44">
        <v>0</v>
      </c>
      <c r="U44">
        <f t="shared" ref="U44:U45" si="14">(N44+L44+M44)</f>
        <v>1136</v>
      </c>
      <c r="V44" s="2">
        <f>(U$42-U44)/U$42</f>
        <v>-7.0921985815602835E-3</v>
      </c>
    </row>
    <row r="45" spans="1:22" x14ac:dyDescent="0.2">
      <c r="A45" t="s">
        <v>62</v>
      </c>
      <c r="B45" t="s">
        <v>32</v>
      </c>
      <c r="C45" t="s">
        <v>22</v>
      </c>
      <c r="D45" t="s">
        <v>23</v>
      </c>
      <c r="E45" t="s">
        <v>212</v>
      </c>
      <c r="F45">
        <v>3</v>
      </c>
      <c r="G45" t="s">
        <v>71</v>
      </c>
      <c r="H45">
        <v>100</v>
      </c>
      <c r="I45">
        <v>198</v>
      </c>
      <c r="J45">
        <v>276</v>
      </c>
      <c r="K45">
        <v>0</v>
      </c>
      <c r="L45">
        <v>118</v>
      </c>
      <c r="M45">
        <v>0</v>
      </c>
      <c r="N45">
        <v>984</v>
      </c>
      <c r="O45">
        <v>0</v>
      </c>
      <c r="P45">
        <v>838</v>
      </c>
      <c r="Q45">
        <v>0</v>
      </c>
      <c r="R45">
        <v>0</v>
      </c>
      <c r="S45">
        <v>0</v>
      </c>
      <c r="T45">
        <v>0</v>
      </c>
      <c r="U45">
        <f t="shared" si="14"/>
        <v>1102</v>
      </c>
      <c r="V45" s="73">
        <f>(U$42-U45)/U$42</f>
        <v>2.3049645390070921E-2</v>
      </c>
    </row>
    <row r="46" spans="1:22" x14ac:dyDescent="0.2">
      <c r="A46" t="s">
        <v>63</v>
      </c>
      <c r="B46" t="s">
        <v>32</v>
      </c>
      <c r="C46" t="s">
        <v>22</v>
      </c>
      <c r="D46" t="s">
        <v>23</v>
      </c>
      <c r="E46" t="s">
        <v>42</v>
      </c>
      <c r="F46">
        <v>3</v>
      </c>
      <c r="G46" t="s">
        <v>25</v>
      </c>
      <c r="H46">
        <v>16</v>
      </c>
      <c r="I46">
        <v>734</v>
      </c>
      <c r="J46">
        <v>1275</v>
      </c>
      <c r="K46">
        <v>0</v>
      </c>
      <c r="L46">
        <v>27</v>
      </c>
      <c r="M46">
        <v>0</v>
      </c>
      <c r="N46">
        <v>138</v>
      </c>
      <c r="O46">
        <v>0</v>
      </c>
      <c r="P46">
        <v>730</v>
      </c>
      <c r="Q46">
        <v>0</v>
      </c>
      <c r="R46">
        <v>0</v>
      </c>
      <c r="S46">
        <v>0</v>
      </c>
      <c r="T46">
        <v>0</v>
      </c>
      <c r="U46" s="8">
        <f>(N46+L46+M46)*2/3</f>
        <v>110</v>
      </c>
    </row>
    <row r="47" spans="1:22" x14ac:dyDescent="0.2">
      <c r="A47" t="s">
        <v>63</v>
      </c>
      <c r="B47" t="s">
        <v>32</v>
      </c>
      <c r="C47" t="s">
        <v>22</v>
      </c>
      <c r="D47" t="s">
        <v>23</v>
      </c>
      <c r="E47" t="s">
        <v>43</v>
      </c>
      <c r="F47">
        <v>3</v>
      </c>
      <c r="G47" t="s">
        <v>67</v>
      </c>
      <c r="H47">
        <v>8</v>
      </c>
      <c r="I47">
        <v>442</v>
      </c>
      <c r="J47">
        <v>892</v>
      </c>
      <c r="K47">
        <v>0</v>
      </c>
      <c r="L47">
        <v>18</v>
      </c>
      <c r="M47">
        <v>0</v>
      </c>
      <c r="N47">
        <v>88</v>
      </c>
      <c r="O47">
        <v>0</v>
      </c>
      <c r="P47">
        <v>724</v>
      </c>
      <c r="Q47">
        <v>0</v>
      </c>
      <c r="R47">
        <v>0</v>
      </c>
      <c r="S47">
        <v>0</v>
      </c>
      <c r="T47">
        <v>0</v>
      </c>
      <c r="U47">
        <f>(N47+L47+M47)</f>
        <v>106</v>
      </c>
      <c r="V47" s="73">
        <f>(U$46-U47)/U$46</f>
        <v>3.6363636363636362E-2</v>
      </c>
    </row>
    <row r="48" spans="1:22" x14ac:dyDescent="0.2">
      <c r="A48" t="s">
        <v>63</v>
      </c>
      <c r="B48" t="s">
        <v>32</v>
      </c>
      <c r="C48" t="s">
        <v>22</v>
      </c>
      <c r="D48" t="s">
        <v>23</v>
      </c>
      <c r="E48" t="s">
        <v>211</v>
      </c>
      <c r="F48">
        <v>3</v>
      </c>
      <c r="G48" t="s">
        <v>69</v>
      </c>
      <c r="H48">
        <v>14</v>
      </c>
      <c r="I48">
        <v>496</v>
      </c>
      <c r="J48">
        <v>866</v>
      </c>
      <c r="K48">
        <v>0</v>
      </c>
      <c r="L48">
        <v>14</v>
      </c>
      <c r="M48">
        <v>0</v>
      </c>
      <c r="N48">
        <v>88</v>
      </c>
      <c r="O48">
        <v>0</v>
      </c>
      <c r="P48">
        <v>739</v>
      </c>
      <c r="Q48">
        <v>0</v>
      </c>
      <c r="R48">
        <v>0</v>
      </c>
      <c r="S48">
        <v>0</v>
      </c>
      <c r="T48">
        <v>0</v>
      </c>
      <c r="U48">
        <f t="shared" ref="U48:U49" si="15">(N48+L48+M48)</f>
        <v>102</v>
      </c>
      <c r="V48" s="2">
        <f>(U$46-U48)/U$46</f>
        <v>7.2727272727272724E-2</v>
      </c>
    </row>
    <row r="49" spans="1:22" x14ac:dyDescent="0.2">
      <c r="A49" t="s">
        <v>63</v>
      </c>
      <c r="B49" t="s">
        <v>32</v>
      </c>
      <c r="C49" t="s">
        <v>22</v>
      </c>
      <c r="D49" t="s">
        <v>23</v>
      </c>
      <c r="E49" t="s">
        <v>210</v>
      </c>
      <c r="F49">
        <v>3</v>
      </c>
      <c r="G49" t="s">
        <v>71</v>
      </c>
      <c r="H49">
        <v>17</v>
      </c>
      <c r="I49">
        <v>453</v>
      </c>
      <c r="J49">
        <v>840</v>
      </c>
      <c r="K49">
        <v>0</v>
      </c>
      <c r="L49">
        <v>23</v>
      </c>
      <c r="M49">
        <v>0</v>
      </c>
      <c r="N49">
        <v>91</v>
      </c>
      <c r="O49">
        <v>0</v>
      </c>
      <c r="P49">
        <v>712</v>
      </c>
      <c r="Q49">
        <v>0</v>
      </c>
      <c r="R49">
        <v>0</v>
      </c>
      <c r="S49">
        <v>0</v>
      </c>
      <c r="T49">
        <v>0</v>
      </c>
      <c r="U49">
        <f t="shared" si="15"/>
        <v>114</v>
      </c>
      <c r="V49" s="2">
        <f>(U$46-U49)/U$46</f>
        <v>-3.6363636363636362E-2</v>
      </c>
    </row>
    <row r="50" spans="1:22" x14ac:dyDescent="0.2">
      <c r="A50" t="s">
        <v>64</v>
      </c>
      <c r="B50" t="s">
        <v>32</v>
      </c>
      <c r="C50" t="s">
        <v>22</v>
      </c>
      <c r="D50" t="s">
        <v>23</v>
      </c>
      <c r="E50" t="s">
        <v>46</v>
      </c>
      <c r="F50">
        <v>3</v>
      </c>
      <c r="G50" t="s">
        <v>25</v>
      </c>
      <c r="H50">
        <v>85</v>
      </c>
      <c r="I50">
        <v>188</v>
      </c>
      <c r="J50">
        <v>573</v>
      </c>
      <c r="K50">
        <v>0</v>
      </c>
      <c r="L50">
        <v>125</v>
      </c>
      <c r="M50">
        <v>0</v>
      </c>
      <c r="N50">
        <v>523</v>
      </c>
      <c r="O50">
        <v>0</v>
      </c>
      <c r="P50">
        <v>498</v>
      </c>
      <c r="Q50">
        <v>0</v>
      </c>
      <c r="R50">
        <v>0</v>
      </c>
      <c r="S50">
        <v>0</v>
      </c>
      <c r="T50">
        <v>0</v>
      </c>
      <c r="U50" s="8">
        <f>(N50+L50+M50)*1/3</f>
        <v>216</v>
      </c>
    </row>
    <row r="51" spans="1:22" x14ac:dyDescent="0.2">
      <c r="A51" t="s">
        <v>64</v>
      </c>
      <c r="B51" t="s">
        <v>32</v>
      </c>
      <c r="C51" t="s">
        <v>22</v>
      </c>
      <c r="D51" t="s">
        <v>23</v>
      </c>
      <c r="E51" t="s">
        <v>47</v>
      </c>
      <c r="F51">
        <v>3</v>
      </c>
      <c r="G51" t="s">
        <v>67</v>
      </c>
      <c r="H51">
        <v>51</v>
      </c>
      <c r="I51">
        <v>105</v>
      </c>
      <c r="J51">
        <v>352</v>
      </c>
      <c r="K51">
        <v>0</v>
      </c>
      <c r="L51">
        <v>77</v>
      </c>
      <c r="M51">
        <v>0</v>
      </c>
      <c r="N51">
        <v>359</v>
      </c>
      <c r="O51">
        <v>0</v>
      </c>
      <c r="P51">
        <v>472</v>
      </c>
      <c r="Q51">
        <v>0</v>
      </c>
      <c r="R51">
        <v>0</v>
      </c>
      <c r="S51">
        <v>0</v>
      </c>
      <c r="T51">
        <v>0</v>
      </c>
      <c r="U51">
        <f>(N51+L51+M51)</f>
        <v>436</v>
      </c>
      <c r="V51" s="2">
        <f>(U$50-U51)/U$50</f>
        <v>-1.0185185185185186</v>
      </c>
    </row>
    <row r="52" spans="1:22" x14ac:dyDescent="0.2">
      <c r="A52" t="s">
        <v>64</v>
      </c>
      <c r="B52" t="s">
        <v>32</v>
      </c>
      <c r="C52" t="s">
        <v>22</v>
      </c>
      <c r="D52" t="s">
        <v>23</v>
      </c>
      <c r="E52" t="s">
        <v>209</v>
      </c>
      <c r="F52">
        <v>3</v>
      </c>
      <c r="G52" t="s">
        <v>69</v>
      </c>
      <c r="H52">
        <v>75</v>
      </c>
      <c r="I52">
        <v>125</v>
      </c>
      <c r="J52">
        <v>330</v>
      </c>
      <c r="K52">
        <v>0</v>
      </c>
      <c r="L52">
        <v>82</v>
      </c>
      <c r="M52">
        <v>0</v>
      </c>
      <c r="N52">
        <v>348</v>
      </c>
      <c r="O52">
        <v>0</v>
      </c>
      <c r="P52">
        <v>480</v>
      </c>
      <c r="Q52">
        <v>0</v>
      </c>
      <c r="R52">
        <v>0</v>
      </c>
      <c r="S52">
        <v>0</v>
      </c>
      <c r="T52">
        <v>0</v>
      </c>
      <c r="U52">
        <f t="shared" ref="U52:U53" si="16">(N52+L52+M52)</f>
        <v>430</v>
      </c>
      <c r="V52" s="2">
        <f>(U$50-U52)/U$50</f>
        <v>-0.9907407407407407</v>
      </c>
    </row>
    <row r="53" spans="1:22" x14ac:dyDescent="0.2">
      <c r="A53" t="s">
        <v>64</v>
      </c>
      <c r="B53" t="s">
        <v>32</v>
      </c>
      <c r="C53" t="s">
        <v>22</v>
      </c>
      <c r="D53" t="s">
        <v>23</v>
      </c>
      <c r="E53" t="s">
        <v>208</v>
      </c>
      <c r="F53">
        <v>3</v>
      </c>
      <c r="G53" t="s">
        <v>71</v>
      </c>
      <c r="H53">
        <v>60</v>
      </c>
      <c r="I53">
        <v>132</v>
      </c>
      <c r="J53">
        <v>346</v>
      </c>
      <c r="K53">
        <v>0</v>
      </c>
      <c r="L53">
        <v>61</v>
      </c>
      <c r="M53">
        <v>0</v>
      </c>
      <c r="N53">
        <v>355</v>
      </c>
      <c r="O53">
        <v>0</v>
      </c>
      <c r="P53">
        <v>477</v>
      </c>
      <c r="Q53">
        <v>0</v>
      </c>
      <c r="R53">
        <v>0</v>
      </c>
      <c r="S53">
        <v>0</v>
      </c>
      <c r="T53">
        <v>0</v>
      </c>
      <c r="U53">
        <f t="shared" si="16"/>
        <v>416</v>
      </c>
      <c r="V53" s="2">
        <f>(U$50-U53)/U$50</f>
        <v>-0.92592592592592593</v>
      </c>
    </row>
    <row r="54" spans="1:22" x14ac:dyDescent="0.2">
      <c r="A54" t="s">
        <v>49</v>
      </c>
      <c r="B54" t="s">
        <v>32</v>
      </c>
      <c r="C54" t="s">
        <v>22</v>
      </c>
      <c r="D54" t="s">
        <v>23</v>
      </c>
      <c r="E54" t="s">
        <v>50</v>
      </c>
      <c r="F54">
        <v>3</v>
      </c>
      <c r="G54" t="s">
        <v>25</v>
      </c>
      <c r="H54">
        <v>38</v>
      </c>
      <c r="I54">
        <v>7</v>
      </c>
      <c r="J54">
        <v>87</v>
      </c>
      <c r="K54">
        <v>0</v>
      </c>
      <c r="L54">
        <v>40</v>
      </c>
      <c r="M54">
        <v>0</v>
      </c>
      <c r="N54">
        <v>263</v>
      </c>
      <c r="O54">
        <v>0</v>
      </c>
      <c r="P54">
        <v>145</v>
      </c>
      <c r="Q54">
        <v>0</v>
      </c>
      <c r="R54">
        <v>0</v>
      </c>
      <c r="S54">
        <v>0</v>
      </c>
      <c r="T54">
        <v>0</v>
      </c>
      <c r="U54" s="8">
        <f>(N54+L54+M54)*1/3</f>
        <v>101</v>
      </c>
    </row>
    <row r="55" spans="1:22" x14ac:dyDescent="0.2">
      <c r="A55" t="s">
        <v>49</v>
      </c>
      <c r="B55" t="s">
        <v>32</v>
      </c>
      <c r="C55" t="s">
        <v>22</v>
      </c>
      <c r="D55" t="s">
        <v>23</v>
      </c>
      <c r="E55" t="s">
        <v>51</v>
      </c>
      <c r="F55">
        <v>3</v>
      </c>
      <c r="G55" t="s">
        <v>67</v>
      </c>
      <c r="H55">
        <v>27</v>
      </c>
      <c r="I55">
        <v>3</v>
      </c>
      <c r="J55">
        <v>58</v>
      </c>
      <c r="K55">
        <v>0</v>
      </c>
      <c r="L55">
        <v>31</v>
      </c>
      <c r="M55">
        <v>0</v>
      </c>
      <c r="N55">
        <v>161</v>
      </c>
      <c r="O55">
        <v>0</v>
      </c>
      <c r="P55">
        <v>140</v>
      </c>
      <c r="Q55">
        <v>0</v>
      </c>
      <c r="R55">
        <v>0</v>
      </c>
      <c r="S55">
        <v>0</v>
      </c>
      <c r="T55">
        <v>0</v>
      </c>
      <c r="U55">
        <f>(N55+L55+M55)</f>
        <v>192</v>
      </c>
      <c r="V55" s="2">
        <f>(U$54-U55)/U$54</f>
        <v>-0.90099009900990101</v>
      </c>
    </row>
    <row r="56" spans="1:22" x14ac:dyDescent="0.2">
      <c r="A56" t="s">
        <v>49</v>
      </c>
      <c r="B56" t="s">
        <v>32</v>
      </c>
      <c r="C56" t="s">
        <v>22</v>
      </c>
      <c r="D56" t="s">
        <v>23</v>
      </c>
      <c r="E56" t="s">
        <v>207</v>
      </c>
      <c r="F56">
        <v>3</v>
      </c>
      <c r="G56" t="s">
        <v>69</v>
      </c>
      <c r="H56">
        <v>30</v>
      </c>
      <c r="I56">
        <v>2</v>
      </c>
      <c r="J56">
        <v>72</v>
      </c>
      <c r="K56">
        <v>0</v>
      </c>
      <c r="L56">
        <v>25</v>
      </c>
      <c r="M56">
        <v>0</v>
      </c>
      <c r="N56">
        <v>131</v>
      </c>
      <c r="O56">
        <v>0</v>
      </c>
      <c r="P56">
        <v>130</v>
      </c>
      <c r="Q56">
        <v>0</v>
      </c>
      <c r="R56">
        <v>0</v>
      </c>
      <c r="S56">
        <v>0</v>
      </c>
      <c r="T56">
        <v>0</v>
      </c>
      <c r="U56">
        <f t="shared" ref="U56:U57" si="17">(N56+L56+M56)</f>
        <v>156</v>
      </c>
      <c r="V56" s="2">
        <f>(U$54-U56)/U$54</f>
        <v>-0.54455445544554459</v>
      </c>
    </row>
    <row r="57" spans="1:22" x14ac:dyDescent="0.2">
      <c r="A57" t="s">
        <v>49</v>
      </c>
      <c r="B57" t="s">
        <v>32</v>
      </c>
      <c r="C57" t="s">
        <v>22</v>
      </c>
      <c r="D57" t="s">
        <v>23</v>
      </c>
      <c r="E57" t="s">
        <v>206</v>
      </c>
      <c r="F57">
        <v>3</v>
      </c>
      <c r="G57" t="s">
        <v>71</v>
      </c>
      <c r="H57">
        <v>26</v>
      </c>
      <c r="I57">
        <v>0</v>
      </c>
      <c r="J57">
        <v>58</v>
      </c>
      <c r="K57">
        <v>0</v>
      </c>
      <c r="L57">
        <v>30</v>
      </c>
      <c r="M57">
        <v>0</v>
      </c>
      <c r="N57">
        <v>130</v>
      </c>
      <c r="O57">
        <v>0</v>
      </c>
      <c r="P57">
        <v>122</v>
      </c>
      <c r="Q57">
        <v>0</v>
      </c>
      <c r="R57">
        <v>0</v>
      </c>
      <c r="S57">
        <v>0</v>
      </c>
      <c r="T57">
        <v>0</v>
      </c>
      <c r="U57">
        <f t="shared" si="17"/>
        <v>160</v>
      </c>
      <c r="V57" s="2">
        <f>(U$54-U57)/U$54</f>
        <v>-0.58415841584158412</v>
      </c>
    </row>
    <row r="58" spans="1:22" x14ac:dyDescent="0.2">
      <c r="A58" t="s">
        <v>37</v>
      </c>
      <c r="B58" t="s">
        <v>21</v>
      </c>
      <c r="C58" t="s">
        <v>22</v>
      </c>
      <c r="D58" t="s">
        <v>23</v>
      </c>
      <c r="E58" t="s">
        <v>38</v>
      </c>
      <c r="F58">
        <v>3</v>
      </c>
      <c r="G58" t="s">
        <v>25</v>
      </c>
      <c r="H58">
        <v>261</v>
      </c>
      <c r="I58">
        <v>234</v>
      </c>
      <c r="J58">
        <v>486</v>
      </c>
      <c r="K58">
        <v>0</v>
      </c>
      <c r="L58">
        <v>98</v>
      </c>
      <c r="M58">
        <v>0</v>
      </c>
      <c r="N58">
        <v>1912</v>
      </c>
      <c r="O58">
        <v>0</v>
      </c>
      <c r="P58">
        <v>997</v>
      </c>
      <c r="Q58">
        <v>0</v>
      </c>
      <c r="R58">
        <v>0</v>
      </c>
      <c r="S58">
        <v>0</v>
      </c>
      <c r="T58">
        <v>0</v>
      </c>
      <c r="U58" s="8">
        <f>(N58+L58+M58)*1/3</f>
        <v>670</v>
      </c>
    </row>
    <row r="59" spans="1:22" x14ac:dyDescent="0.2">
      <c r="A59" t="s">
        <v>37</v>
      </c>
      <c r="B59" t="s">
        <v>21</v>
      </c>
      <c r="C59" t="s">
        <v>22</v>
      </c>
      <c r="D59" t="s">
        <v>23</v>
      </c>
      <c r="E59" t="s">
        <v>40</v>
      </c>
      <c r="F59">
        <v>3</v>
      </c>
      <c r="G59" t="s">
        <v>114</v>
      </c>
      <c r="H59">
        <v>86</v>
      </c>
      <c r="I59">
        <v>105</v>
      </c>
      <c r="J59">
        <v>137</v>
      </c>
      <c r="K59">
        <v>0</v>
      </c>
      <c r="L59">
        <v>46</v>
      </c>
      <c r="M59">
        <v>0</v>
      </c>
      <c r="N59">
        <v>625</v>
      </c>
      <c r="O59">
        <v>0</v>
      </c>
      <c r="P59">
        <v>999</v>
      </c>
      <c r="Q59">
        <v>0</v>
      </c>
      <c r="R59">
        <v>0</v>
      </c>
      <c r="S59">
        <v>0</v>
      </c>
      <c r="T59">
        <v>0</v>
      </c>
      <c r="U59">
        <f>(N59+L59+M59)</f>
        <v>671</v>
      </c>
      <c r="V59" s="2">
        <f>(U$58-U59)/U$58</f>
        <v>-1.4925373134328358E-3</v>
      </c>
    </row>
    <row r="60" spans="1:22" x14ac:dyDescent="0.2">
      <c r="A60" t="s">
        <v>37</v>
      </c>
      <c r="B60" t="s">
        <v>21</v>
      </c>
      <c r="C60" t="s">
        <v>22</v>
      </c>
      <c r="D60" t="s">
        <v>23</v>
      </c>
      <c r="E60" t="s">
        <v>122</v>
      </c>
      <c r="F60">
        <v>3</v>
      </c>
      <c r="G60" t="s">
        <v>116</v>
      </c>
      <c r="H60">
        <v>86</v>
      </c>
      <c r="I60">
        <v>91</v>
      </c>
      <c r="J60">
        <v>150</v>
      </c>
      <c r="K60">
        <v>0</v>
      </c>
      <c r="L60">
        <v>43</v>
      </c>
      <c r="M60">
        <v>0</v>
      </c>
      <c r="N60">
        <v>628</v>
      </c>
      <c r="O60">
        <v>0</v>
      </c>
      <c r="P60">
        <v>998</v>
      </c>
      <c r="Q60">
        <v>0</v>
      </c>
      <c r="R60">
        <v>0</v>
      </c>
      <c r="S60">
        <v>0</v>
      </c>
      <c r="T60">
        <v>0</v>
      </c>
      <c r="U60">
        <f t="shared" ref="U60:U61" si="18">(N60+L60+M60)</f>
        <v>671</v>
      </c>
      <c r="V60" s="2">
        <f>(U$58-U60)/U$58</f>
        <v>-1.4925373134328358E-3</v>
      </c>
    </row>
    <row r="61" spans="1:22" x14ac:dyDescent="0.2">
      <c r="A61" t="s">
        <v>37</v>
      </c>
      <c r="B61" t="s">
        <v>21</v>
      </c>
      <c r="C61" t="s">
        <v>22</v>
      </c>
      <c r="D61" t="s">
        <v>23</v>
      </c>
      <c r="E61" t="s">
        <v>123</v>
      </c>
      <c r="F61">
        <v>3</v>
      </c>
      <c r="G61" t="s">
        <v>118</v>
      </c>
      <c r="H61">
        <v>87</v>
      </c>
      <c r="I61">
        <v>94</v>
      </c>
      <c r="J61">
        <v>148</v>
      </c>
      <c r="K61">
        <v>0</v>
      </c>
      <c r="L61">
        <v>35</v>
      </c>
      <c r="M61">
        <v>0</v>
      </c>
      <c r="N61">
        <v>636</v>
      </c>
      <c r="O61">
        <v>0</v>
      </c>
      <c r="P61">
        <v>1000</v>
      </c>
      <c r="Q61">
        <v>0</v>
      </c>
      <c r="R61">
        <v>0</v>
      </c>
      <c r="S61">
        <v>0</v>
      </c>
      <c r="T61">
        <v>0</v>
      </c>
      <c r="U61">
        <f t="shared" si="18"/>
        <v>671</v>
      </c>
      <c r="V61" s="2">
        <f>(U$58-U61)/U$58</f>
        <v>-1.4925373134328358E-3</v>
      </c>
    </row>
    <row r="62" spans="1:22" x14ac:dyDescent="0.2">
      <c r="A62" t="s">
        <v>41</v>
      </c>
      <c r="B62" t="s">
        <v>21</v>
      </c>
      <c r="C62" t="s">
        <v>22</v>
      </c>
      <c r="D62" t="s">
        <v>23</v>
      </c>
      <c r="E62" t="s">
        <v>42</v>
      </c>
      <c r="F62">
        <v>3</v>
      </c>
      <c r="G62" t="s">
        <v>25</v>
      </c>
      <c r="H62">
        <v>46</v>
      </c>
      <c r="I62">
        <v>1505</v>
      </c>
      <c r="J62">
        <v>1209</v>
      </c>
      <c r="K62">
        <v>0</v>
      </c>
      <c r="L62">
        <v>18</v>
      </c>
      <c r="M62">
        <v>0</v>
      </c>
      <c r="N62">
        <v>210</v>
      </c>
      <c r="O62">
        <v>0</v>
      </c>
      <c r="P62">
        <v>996</v>
      </c>
      <c r="Q62">
        <v>0</v>
      </c>
      <c r="R62">
        <v>0</v>
      </c>
      <c r="S62">
        <v>0</v>
      </c>
      <c r="T62">
        <v>0</v>
      </c>
      <c r="U62" s="8">
        <f>(N62+L62+M62)*1/3</f>
        <v>76</v>
      </c>
    </row>
    <row r="63" spans="1:22" x14ac:dyDescent="0.2">
      <c r="A63" t="s">
        <v>41</v>
      </c>
      <c r="B63" t="s">
        <v>21</v>
      </c>
      <c r="C63" t="s">
        <v>22</v>
      </c>
      <c r="D63" t="s">
        <v>23</v>
      </c>
      <c r="E63" t="s">
        <v>44</v>
      </c>
      <c r="F63">
        <v>3</v>
      </c>
      <c r="G63" t="s">
        <v>114</v>
      </c>
      <c r="H63">
        <v>17</v>
      </c>
      <c r="I63">
        <v>527</v>
      </c>
      <c r="J63">
        <v>375</v>
      </c>
      <c r="K63">
        <v>0</v>
      </c>
      <c r="L63">
        <v>8</v>
      </c>
      <c r="M63">
        <v>0</v>
      </c>
      <c r="N63">
        <v>68</v>
      </c>
      <c r="O63">
        <v>0</v>
      </c>
      <c r="P63">
        <v>995</v>
      </c>
      <c r="Q63">
        <v>0</v>
      </c>
      <c r="R63">
        <v>0</v>
      </c>
      <c r="S63">
        <v>0</v>
      </c>
      <c r="T63">
        <v>0</v>
      </c>
      <c r="U63">
        <f>(N63+L63+M63)</f>
        <v>76</v>
      </c>
      <c r="V63" s="2">
        <f>(U$62-U63)/U$62</f>
        <v>0</v>
      </c>
    </row>
    <row r="64" spans="1:22" x14ac:dyDescent="0.2">
      <c r="A64" t="s">
        <v>41</v>
      </c>
      <c r="B64" t="s">
        <v>21</v>
      </c>
      <c r="C64" t="s">
        <v>22</v>
      </c>
      <c r="D64" t="s">
        <v>23</v>
      </c>
      <c r="E64" t="s">
        <v>127</v>
      </c>
      <c r="F64">
        <v>3</v>
      </c>
      <c r="G64" t="s">
        <v>116</v>
      </c>
      <c r="H64">
        <v>16</v>
      </c>
      <c r="I64">
        <v>525</v>
      </c>
      <c r="J64">
        <v>376</v>
      </c>
      <c r="K64">
        <v>0</v>
      </c>
      <c r="L64">
        <v>9</v>
      </c>
      <c r="M64">
        <v>0</v>
      </c>
      <c r="N64">
        <v>67</v>
      </c>
      <c r="O64">
        <v>0</v>
      </c>
      <c r="P64">
        <v>993</v>
      </c>
      <c r="Q64">
        <v>0</v>
      </c>
      <c r="R64">
        <v>0</v>
      </c>
      <c r="S64">
        <v>0</v>
      </c>
      <c r="T64">
        <v>0</v>
      </c>
      <c r="U64">
        <f t="shared" ref="U64:U65" si="19">(N64+L64+M64)</f>
        <v>76</v>
      </c>
      <c r="V64" s="2">
        <f>(U$62-U64)/U$62</f>
        <v>0</v>
      </c>
    </row>
    <row r="65" spans="1:22" x14ac:dyDescent="0.2">
      <c r="A65" t="s">
        <v>41</v>
      </c>
      <c r="B65" t="s">
        <v>21</v>
      </c>
      <c r="C65" t="s">
        <v>22</v>
      </c>
      <c r="D65" t="s">
        <v>23</v>
      </c>
      <c r="E65" t="s">
        <v>128</v>
      </c>
      <c r="F65">
        <v>3</v>
      </c>
      <c r="G65" t="s">
        <v>118</v>
      </c>
      <c r="H65">
        <v>12</v>
      </c>
      <c r="I65">
        <v>537</v>
      </c>
      <c r="J65">
        <v>372</v>
      </c>
      <c r="K65">
        <v>0</v>
      </c>
      <c r="L65">
        <v>5</v>
      </c>
      <c r="M65">
        <v>0</v>
      </c>
      <c r="N65">
        <v>71</v>
      </c>
      <c r="O65">
        <v>0</v>
      </c>
      <c r="P65">
        <v>997</v>
      </c>
      <c r="Q65">
        <v>0</v>
      </c>
      <c r="R65">
        <v>0</v>
      </c>
      <c r="S65">
        <v>0</v>
      </c>
      <c r="T65">
        <v>0</v>
      </c>
      <c r="U65">
        <f t="shared" si="19"/>
        <v>76</v>
      </c>
      <c r="V65" s="2">
        <f>(U$62-U65)/U$62</f>
        <v>0</v>
      </c>
    </row>
    <row r="66" spans="1:22" x14ac:dyDescent="0.2">
      <c r="A66" t="s">
        <v>45</v>
      </c>
      <c r="B66" t="s">
        <v>21</v>
      </c>
      <c r="C66" t="s">
        <v>22</v>
      </c>
      <c r="D66" t="s">
        <v>23</v>
      </c>
      <c r="E66" t="s">
        <v>46</v>
      </c>
      <c r="F66">
        <v>3</v>
      </c>
      <c r="G66" t="s">
        <v>25</v>
      </c>
      <c r="H66">
        <v>253</v>
      </c>
      <c r="I66">
        <v>365</v>
      </c>
      <c r="J66">
        <v>582</v>
      </c>
      <c r="K66">
        <v>0</v>
      </c>
      <c r="L66">
        <v>273</v>
      </c>
      <c r="M66">
        <v>0</v>
      </c>
      <c r="N66">
        <v>582</v>
      </c>
      <c r="O66">
        <v>0</v>
      </c>
      <c r="P66">
        <v>685</v>
      </c>
      <c r="Q66">
        <v>0</v>
      </c>
      <c r="R66">
        <v>0</v>
      </c>
      <c r="S66">
        <v>0</v>
      </c>
      <c r="T66">
        <v>0</v>
      </c>
      <c r="U66" s="8">
        <f>(N66+L66+M66)*1/3</f>
        <v>285</v>
      </c>
    </row>
    <row r="67" spans="1:22" x14ac:dyDescent="0.2">
      <c r="A67" t="s">
        <v>45</v>
      </c>
      <c r="B67" t="s">
        <v>21</v>
      </c>
      <c r="C67" t="s">
        <v>22</v>
      </c>
      <c r="D67" t="s">
        <v>23</v>
      </c>
      <c r="E67" t="s">
        <v>48</v>
      </c>
      <c r="F67">
        <v>3</v>
      </c>
      <c r="G67" t="s">
        <v>114</v>
      </c>
      <c r="H67">
        <v>66</v>
      </c>
      <c r="I67">
        <v>144</v>
      </c>
      <c r="J67">
        <v>189</v>
      </c>
      <c r="K67">
        <v>0</v>
      </c>
      <c r="L67">
        <v>101</v>
      </c>
      <c r="M67">
        <v>0</v>
      </c>
      <c r="N67">
        <v>186</v>
      </c>
      <c r="O67">
        <v>0</v>
      </c>
      <c r="P67">
        <v>686</v>
      </c>
      <c r="Q67">
        <v>0</v>
      </c>
      <c r="R67">
        <v>0</v>
      </c>
      <c r="S67">
        <v>0</v>
      </c>
      <c r="T67">
        <v>0</v>
      </c>
      <c r="U67">
        <f>(N67+L67+M67)</f>
        <v>287</v>
      </c>
      <c r="V67" s="73">
        <f>(U$66-U67)/U$66</f>
        <v>-7.0175438596491229E-3</v>
      </c>
    </row>
    <row r="68" spans="1:22" x14ac:dyDescent="0.2">
      <c r="A68" t="s">
        <v>45</v>
      </c>
      <c r="B68" t="s">
        <v>21</v>
      </c>
      <c r="C68" t="s">
        <v>22</v>
      </c>
      <c r="D68" t="s">
        <v>23</v>
      </c>
      <c r="E68" t="s">
        <v>132</v>
      </c>
      <c r="F68">
        <v>3</v>
      </c>
      <c r="G68" t="s">
        <v>116</v>
      </c>
      <c r="H68">
        <v>71</v>
      </c>
      <c r="I68">
        <v>137</v>
      </c>
      <c r="J68">
        <v>189</v>
      </c>
      <c r="K68">
        <v>0</v>
      </c>
      <c r="L68">
        <v>92</v>
      </c>
      <c r="M68">
        <v>0</v>
      </c>
      <c r="N68">
        <v>193</v>
      </c>
      <c r="O68">
        <v>0</v>
      </c>
      <c r="P68">
        <v>682</v>
      </c>
      <c r="Q68">
        <v>0</v>
      </c>
      <c r="R68">
        <v>0</v>
      </c>
      <c r="S68">
        <v>0</v>
      </c>
      <c r="T68">
        <v>0</v>
      </c>
      <c r="U68">
        <f t="shared" ref="U68:U69" si="20">(N68+L68+M68)</f>
        <v>285</v>
      </c>
      <c r="V68" s="2">
        <f>(U$66-U68)/U$66</f>
        <v>0</v>
      </c>
    </row>
    <row r="69" spans="1:22" x14ac:dyDescent="0.2">
      <c r="A69" t="s">
        <v>45</v>
      </c>
      <c r="B69" t="s">
        <v>21</v>
      </c>
      <c r="C69" t="s">
        <v>22</v>
      </c>
      <c r="D69" t="s">
        <v>23</v>
      </c>
      <c r="E69" t="s">
        <v>133</v>
      </c>
      <c r="F69">
        <v>3</v>
      </c>
      <c r="G69" t="s">
        <v>118</v>
      </c>
      <c r="H69">
        <v>83</v>
      </c>
      <c r="I69">
        <v>116</v>
      </c>
      <c r="J69">
        <v>197</v>
      </c>
      <c r="K69">
        <v>0</v>
      </c>
      <c r="L69">
        <v>88</v>
      </c>
      <c r="M69">
        <v>0</v>
      </c>
      <c r="N69">
        <v>198</v>
      </c>
      <c r="O69">
        <v>0</v>
      </c>
      <c r="P69">
        <v>682</v>
      </c>
      <c r="Q69">
        <v>0</v>
      </c>
      <c r="R69">
        <v>0</v>
      </c>
      <c r="S69">
        <v>0</v>
      </c>
      <c r="T69">
        <v>0</v>
      </c>
      <c r="U69">
        <f t="shared" si="20"/>
        <v>286</v>
      </c>
      <c r="V69" s="2">
        <f>(U$66-U69)/U$66</f>
        <v>-3.5087719298245615E-3</v>
      </c>
    </row>
    <row r="70" spans="1:22" x14ac:dyDescent="0.2">
      <c r="A70" t="s">
        <v>49</v>
      </c>
      <c r="B70" t="s">
        <v>21</v>
      </c>
      <c r="C70" t="s">
        <v>22</v>
      </c>
      <c r="D70" t="s">
        <v>23</v>
      </c>
      <c r="E70" t="s">
        <v>50</v>
      </c>
      <c r="F70">
        <v>3</v>
      </c>
      <c r="G70" t="s">
        <v>25</v>
      </c>
      <c r="H70">
        <v>81</v>
      </c>
      <c r="I70">
        <v>6</v>
      </c>
      <c r="J70">
        <v>198</v>
      </c>
      <c r="K70">
        <v>0</v>
      </c>
      <c r="L70">
        <v>49</v>
      </c>
      <c r="M70">
        <v>0</v>
      </c>
      <c r="N70">
        <v>254</v>
      </c>
      <c r="O70">
        <v>0</v>
      </c>
      <c r="P70">
        <v>196</v>
      </c>
      <c r="Q70">
        <v>0</v>
      </c>
      <c r="R70">
        <v>0</v>
      </c>
      <c r="S70">
        <v>0</v>
      </c>
      <c r="T70">
        <v>0</v>
      </c>
      <c r="U70" s="8">
        <f>(N70+L70+M70)*1/3</f>
        <v>101</v>
      </c>
    </row>
    <row r="71" spans="1:22" x14ac:dyDescent="0.2">
      <c r="A71" t="s">
        <v>49</v>
      </c>
      <c r="B71" t="s">
        <v>21</v>
      </c>
      <c r="C71" t="s">
        <v>22</v>
      </c>
      <c r="D71" t="s">
        <v>23</v>
      </c>
      <c r="E71" t="s">
        <v>52</v>
      </c>
      <c r="F71">
        <v>3</v>
      </c>
      <c r="G71" t="s">
        <v>114</v>
      </c>
      <c r="H71">
        <v>30</v>
      </c>
      <c r="I71">
        <v>10</v>
      </c>
      <c r="J71">
        <v>56</v>
      </c>
      <c r="K71">
        <v>0</v>
      </c>
      <c r="L71">
        <v>19</v>
      </c>
      <c r="M71">
        <v>0</v>
      </c>
      <c r="N71">
        <v>82</v>
      </c>
      <c r="O71">
        <v>0</v>
      </c>
      <c r="P71">
        <v>197</v>
      </c>
      <c r="Q71">
        <v>0</v>
      </c>
      <c r="R71">
        <v>0</v>
      </c>
      <c r="S71">
        <v>0</v>
      </c>
      <c r="T71">
        <v>0</v>
      </c>
      <c r="U71">
        <f>(N71+L71+M71)</f>
        <v>101</v>
      </c>
      <c r="V71" s="2">
        <f>(U$70-U71)/U$70</f>
        <v>0</v>
      </c>
    </row>
    <row r="72" spans="1:22" x14ac:dyDescent="0.2">
      <c r="A72" t="s">
        <v>49</v>
      </c>
      <c r="B72" t="s">
        <v>21</v>
      </c>
      <c r="C72" t="s">
        <v>22</v>
      </c>
      <c r="D72" t="s">
        <v>23</v>
      </c>
      <c r="E72" t="s">
        <v>115</v>
      </c>
      <c r="F72">
        <v>3</v>
      </c>
      <c r="G72" t="s">
        <v>116</v>
      </c>
      <c r="H72">
        <v>32</v>
      </c>
      <c r="I72">
        <v>6</v>
      </c>
      <c r="J72">
        <v>58</v>
      </c>
      <c r="K72">
        <v>0</v>
      </c>
      <c r="L72">
        <v>19</v>
      </c>
      <c r="M72">
        <v>0</v>
      </c>
      <c r="N72">
        <v>82</v>
      </c>
      <c r="O72">
        <v>0</v>
      </c>
      <c r="P72">
        <v>197</v>
      </c>
      <c r="Q72">
        <v>0</v>
      </c>
      <c r="R72">
        <v>0</v>
      </c>
      <c r="S72">
        <v>0</v>
      </c>
      <c r="T72">
        <v>0</v>
      </c>
      <c r="U72">
        <f t="shared" ref="U72:U73" si="21">(N72+L72+M72)</f>
        <v>101</v>
      </c>
      <c r="V72" s="2">
        <f>(U$70-U72)/U$70</f>
        <v>0</v>
      </c>
    </row>
    <row r="73" spans="1:22" x14ac:dyDescent="0.2">
      <c r="A73" t="s">
        <v>49</v>
      </c>
      <c r="B73" t="s">
        <v>21</v>
      </c>
      <c r="C73" t="s">
        <v>22</v>
      </c>
      <c r="D73" t="s">
        <v>23</v>
      </c>
      <c r="E73" t="s">
        <v>117</v>
      </c>
      <c r="F73">
        <v>3</v>
      </c>
      <c r="G73" t="s">
        <v>118</v>
      </c>
      <c r="H73">
        <v>34</v>
      </c>
      <c r="I73">
        <v>1</v>
      </c>
      <c r="J73">
        <v>61</v>
      </c>
      <c r="K73">
        <v>0</v>
      </c>
      <c r="L73">
        <v>18</v>
      </c>
      <c r="M73">
        <v>0</v>
      </c>
      <c r="N73">
        <v>83</v>
      </c>
      <c r="O73">
        <v>0</v>
      </c>
      <c r="P73">
        <v>197</v>
      </c>
      <c r="Q73">
        <v>0</v>
      </c>
      <c r="R73">
        <v>0</v>
      </c>
      <c r="S73">
        <v>0</v>
      </c>
      <c r="T73">
        <v>0</v>
      </c>
      <c r="U73">
        <f t="shared" si="21"/>
        <v>101</v>
      </c>
      <c r="V73" s="2">
        <f>(U$70-U73)/U$70</f>
        <v>0</v>
      </c>
    </row>
    <row r="74" spans="1:22" x14ac:dyDescent="0.2">
      <c r="A74" t="s">
        <v>53</v>
      </c>
      <c r="B74" t="s">
        <v>30</v>
      </c>
      <c r="C74" t="s">
        <v>22</v>
      </c>
      <c r="D74" t="s">
        <v>23</v>
      </c>
      <c r="E74" t="s">
        <v>38</v>
      </c>
      <c r="F74">
        <v>3</v>
      </c>
      <c r="G74" t="s">
        <v>25</v>
      </c>
      <c r="H74">
        <v>879</v>
      </c>
      <c r="I74">
        <v>483</v>
      </c>
      <c r="J74">
        <v>180</v>
      </c>
      <c r="K74">
        <v>0</v>
      </c>
      <c r="L74">
        <v>79</v>
      </c>
      <c r="M74">
        <v>0</v>
      </c>
      <c r="N74">
        <v>1364</v>
      </c>
      <c r="O74">
        <v>0</v>
      </c>
      <c r="P74">
        <v>995</v>
      </c>
      <c r="Q74">
        <v>0</v>
      </c>
      <c r="R74">
        <v>0</v>
      </c>
      <c r="S74">
        <v>0</v>
      </c>
      <c r="T74">
        <v>0</v>
      </c>
      <c r="U74" s="8">
        <f>(N74+L74+M74)*1/3</f>
        <v>481</v>
      </c>
    </row>
    <row r="75" spans="1:22" x14ac:dyDescent="0.2">
      <c r="A75" t="s">
        <v>53</v>
      </c>
      <c r="B75" t="s">
        <v>30</v>
      </c>
      <c r="C75" t="s">
        <v>22</v>
      </c>
      <c r="D75" t="s">
        <v>23</v>
      </c>
      <c r="E75" t="s">
        <v>40</v>
      </c>
      <c r="F75">
        <v>3</v>
      </c>
      <c r="G75" t="s">
        <v>114</v>
      </c>
      <c r="H75">
        <v>285</v>
      </c>
      <c r="I75">
        <v>153</v>
      </c>
      <c r="J75">
        <v>76</v>
      </c>
      <c r="K75">
        <v>0</v>
      </c>
      <c r="L75">
        <v>30</v>
      </c>
      <c r="M75">
        <v>0</v>
      </c>
      <c r="N75">
        <v>451</v>
      </c>
      <c r="O75">
        <v>0</v>
      </c>
      <c r="P75">
        <v>995</v>
      </c>
      <c r="Q75">
        <v>0</v>
      </c>
      <c r="R75">
        <v>0</v>
      </c>
      <c r="S75">
        <v>0</v>
      </c>
      <c r="T75">
        <v>0</v>
      </c>
      <c r="U75">
        <f>(N75+L75+M75)</f>
        <v>481</v>
      </c>
      <c r="V75" s="2">
        <f>(U$74-U75)/U$74</f>
        <v>0</v>
      </c>
    </row>
    <row r="76" spans="1:22" x14ac:dyDescent="0.2">
      <c r="A76" t="s">
        <v>53</v>
      </c>
      <c r="B76" t="s">
        <v>30</v>
      </c>
      <c r="C76" t="s">
        <v>22</v>
      </c>
      <c r="D76" t="s">
        <v>23</v>
      </c>
      <c r="E76" t="s">
        <v>122</v>
      </c>
      <c r="F76">
        <v>3</v>
      </c>
      <c r="G76" t="s">
        <v>116</v>
      </c>
      <c r="H76">
        <v>287</v>
      </c>
      <c r="I76">
        <v>161</v>
      </c>
      <c r="J76">
        <v>69</v>
      </c>
      <c r="K76">
        <v>0</v>
      </c>
      <c r="L76">
        <v>25</v>
      </c>
      <c r="M76">
        <v>0</v>
      </c>
      <c r="N76">
        <v>456</v>
      </c>
      <c r="O76">
        <v>0</v>
      </c>
      <c r="P76">
        <v>998</v>
      </c>
      <c r="Q76">
        <v>0</v>
      </c>
      <c r="R76">
        <v>0</v>
      </c>
      <c r="S76">
        <v>0</v>
      </c>
      <c r="T76">
        <v>0</v>
      </c>
      <c r="U76">
        <f t="shared" ref="U76:U77" si="22">(N76+L76+M76)</f>
        <v>481</v>
      </c>
      <c r="V76" s="2">
        <f>(U$74-U76)/U$74</f>
        <v>0</v>
      </c>
    </row>
    <row r="77" spans="1:22" x14ac:dyDescent="0.2">
      <c r="A77" t="s">
        <v>53</v>
      </c>
      <c r="B77" t="s">
        <v>30</v>
      </c>
      <c r="C77" t="s">
        <v>22</v>
      </c>
      <c r="D77" t="s">
        <v>23</v>
      </c>
      <c r="E77" t="s">
        <v>123</v>
      </c>
      <c r="F77">
        <v>3</v>
      </c>
      <c r="G77" t="s">
        <v>118</v>
      </c>
      <c r="H77">
        <v>277</v>
      </c>
      <c r="I77">
        <v>162</v>
      </c>
      <c r="J77">
        <v>76</v>
      </c>
      <c r="K77">
        <v>0</v>
      </c>
      <c r="L77">
        <v>29</v>
      </c>
      <c r="M77">
        <v>0</v>
      </c>
      <c r="N77">
        <v>452</v>
      </c>
      <c r="O77">
        <v>0</v>
      </c>
      <c r="P77">
        <v>996</v>
      </c>
      <c r="Q77">
        <v>0</v>
      </c>
      <c r="R77">
        <v>0</v>
      </c>
      <c r="S77">
        <v>0</v>
      </c>
      <c r="T77">
        <v>0</v>
      </c>
      <c r="U77">
        <f t="shared" si="22"/>
        <v>481</v>
      </c>
      <c r="V77" s="2">
        <f>(U$74-U77)/U$74</f>
        <v>0</v>
      </c>
    </row>
    <row r="78" spans="1:22" x14ac:dyDescent="0.2">
      <c r="A78" t="s">
        <v>54</v>
      </c>
      <c r="B78" t="s">
        <v>30</v>
      </c>
      <c r="C78" t="s">
        <v>22</v>
      </c>
      <c r="D78" t="s">
        <v>23</v>
      </c>
      <c r="E78" t="s">
        <v>42</v>
      </c>
      <c r="F78">
        <v>3</v>
      </c>
      <c r="G78" t="s">
        <v>25</v>
      </c>
      <c r="H78">
        <v>60</v>
      </c>
      <c r="I78">
        <v>1479</v>
      </c>
      <c r="J78">
        <v>1209</v>
      </c>
      <c r="K78">
        <v>0</v>
      </c>
      <c r="L78">
        <v>19</v>
      </c>
      <c r="M78">
        <v>0</v>
      </c>
      <c r="N78">
        <v>215</v>
      </c>
      <c r="O78">
        <v>0</v>
      </c>
      <c r="P78">
        <v>994</v>
      </c>
      <c r="Q78">
        <v>0</v>
      </c>
      <c r="R78">
        <v>0</v>
      </c>
      <c r="S78">
        <v>0</v>
      </c>
      <c r="T78">
        <v>0</v>
      </c>
      <c r="U78" s="8">
        <f>(N78+L78+M78)*1/3</f>
        <v>78</v>
      </c>
    </row>
    <row r="79" spans="1:22" x14ac:dyDescent="0.2">
      <c r="A79" t="s">
        <v>54</v>
      </c>
      <c r="B79" t="s">
        <v>30</v>
      </c>
      <c r="C79" t="s">
        <v>22</v>
      </c>
      <c r="D79" t="s">
        <v>23</v>
      </c>
      <c r="E79" t="s">
        <v>44</v>
      </c>
      <c r="F79">
        <v>3</v>
      </c>
      <c r="G79" t="s">
        <v>114</v>
      </c>
      <c r="H79">
        <v>17</v>
      </c>
      <c r="I79">
        <v>499</v>
      </c>
      <c r="J79">
        <v>405</v>
      </c>
      <c r="K79">
        <v>0</v>
      </c>
      <c r="L79">
        <v>6</v>
      </c>
      <c r="M79">
        <v>0</v>
      </c>
      <c r="N79">
        <v>70</v>
      </c>
      <c r="O79">
        <v>0</v>
      </c>
      <c r="P79">
        <v>997</v>
      </c>
      <c r="Q79">
        <v>0</v>
      </c>
      <c r="R79">
        <v>0</v>
      </c>
      <c r="S79">
        <v>0</v>
      </c>
      <c r="T79">
        <v>0</v>
      </c>
      <c r="U79">
        <f>(N79+L79+M79)</f>
        <v>76</v>
      </c>
      <c r="V79" s="2">
        <f>(U$78-U79)/U$78</f>
        <v>2.564102564102564E-2</v>
      </c>
    </row>
    <row r="80" spans="1:22" x14ac:dyDescent="0.2">
      <c r="A80" t="s">
        <v>54</v>
      </c>
      <c r="B80" t="s">
        <v>30</v>
      </c>
      <c r="C80" t="s">
        <v>22</v>
      </c>
      <c r="D80" t="s">
        <v>23</v>
      </c>
      <c r="E80" t="s">
        <v>127</v>
      </c>
      <c r="F80">
        <v>3</v>
      </c>
      <c r="G80" t="s">
        <v>116</v>
      </c>
      <c r="H80">
        <v>15</v>
      </c>
      <c r="I80">
        <v>494</v>
      </c>
      <c r="J80">
        <v>410</v>
      </c>
      <c r="K80">
        <v>0</v>
      </c>
      <c r="L80">
        <v>7</v>
      </c>
      <c r="M80">
        <v>0</v>
      </c>
      <c r="N80">
        <v>69</v>
      </c>
      <c r="O80">
        <v>0</v>
      </c>
      <c r="P80">
        <v>995</v>
      </c>
      <c r="Q80">
        <v>0</v>
      </c>
      <c r="R80">
        <v>0</v>
      </c>
      <c r="S80">
        <v>0</v>
      </c>
      <c r="T80">
        <v>0</v>
      </c>
      <c r="U80">
        <f t="shared" ref="U80:U81" si="23">(N80+L80+M80)</f>
        <v>76</v>
      </c>
      <c r="V80" s="2">
        <f>(U$78-U80)/U$78</f>
        <v>2.564102564102564E-2</v>
      </c>
    </row>
    <row r="81" spans="1:22" x14ac:dyDescent="0.2">
      <c r="A81" t="s">
        <v>54</v>
      </c>
      <c r="B81" t="s">
        <v>30</v>
      </c>
      <c r="C81" t="s">
        <v>22</v>
      </c>
      <c r="D81" t="s">
        <v>23</v>
      </c>
      <c r="E81" t="s">
        <v>128</v>
      </c>
      <c r="F81">
        <v>3</v>
      </c>
      <c r="G81" t="s">
        <v>118</v>
      </c>
      <c r="H81">
        <v>20</v>
      </c>
      <c r="I81">
        <v>490</v>
      </c>
      <c r="J81">
        <v>409</v>
      </c>
      <c r="K81">
        <v>0</v>
      </c>
      <c r="L81">
        <v>6</v>
      </c>
      <c r="M81">
        <v>0</v>
      </c>
      <c r="N81">
        <v>71</v>
      </c>
      <c r="O81">
        <v>0</v>
      </c>
      <c r="P81">
        <v>996</v>
      </c>
      <c r="Q81">
        <v>0</v>
      </c>
      <c r="R81">
        <v>0</v>
      </c>
      <c r="S81">
        <v>0</v>
      </c>
      <c r="T81">
        <v>0</v>
      </c>
      <c r="U81">
        <f t="shared" si="23"/>
        <v>77</v>
      </c>
      <c r="V81" s="2">
        <f>(U$78-U81)/U$78</f>
        <v>1.282051282051282E-2</v>
      </c>
    </row>
    <row r="82" spans="1:22" x14ac:dyDescent="0.2">
      <c r="A82" t="s">
        <v>55</v>
      </c>
      <c r="B82" t="s">
        <v>30</v>
      </c>
      <c r="C82" t="s">
        <v>22</v>
      </c>
      <c r="D82" t="s">
        <v>23</v>
      </c>
      <c r="E82" t="s">
        <v>46</v>
      </c>
      <c r="F82">
        <v>3</v>
      </c>
      <c r="G82" t="s">
        <v>25</v>
      </c>
      <c r="H82">
        <v>89</v>
      </c>
      <c r="I82">
        <v>325</v>
      </c>
      <c r="J82">
        <v>558</v>
      </c>
      <c r="K82">
        <v>0</v>
      </c>
      <c r="L82">
        <v>177</v>
      </c>
      <c r="M82">
        <v>0</v>
      </c>
      <c r="N82">
        <v>894</v>
      </c>
      <c r="O82">
        <v>0</v>
      </c>
      <c r="P82">
        <v>681</v>
      </c>
      <c r="Q82">
        <v>0</v>
      </c>
      <c r="R82">
        <v>0</v>
      </c>
      <c r="S82">
        <v>0</v>
      </c>
      <c r="T82">
        <v>0</v>
      </c>
      <c r="U82" s="8">
        <f>(N82+L82+M82)*1/3</f>
        <v>357</v>
      </c>
    </row>
    <row r="83" spans="1:22" x14ac:dyDescent="0.2">
      <c r="A83" t="s">
        <v>55</v>
      </c>
      <c r="B83" t="s">
        <v>30</v>
      </c>
      <c r="C83" t="s">
        <v>22</v>
      </c>
      <c r="D83" t="s">
        <v>23</v>
      </c>
      <c r="E83" t="s">
        <v>48</v>
      </c>
      <c r="F83">
        <v>3</v>
      </c>
      <c r="G83" t="s">
        <v>114</v>
      </c>
      <c r="H83">
        <v>29</v>
      </c>
      <c r="I83">
        <v>111</v>
      </c>
      <c r="J83">
        <v>184</v>
      </c>
      <c r="K83">
        <v>0</v>
      </c>
      <c r="L83">
        <v>57</v>
      </c>
      <c r="M83">
        <v>0</v>
      </c>
      <c r="N83">
        <v>299</v>
      </c>
      <c r="O83">
        <v>0</v>
      </c>
      <c r="P83">
        <v>680</v>
      </c>
      <c r="Q83">
        <v>0</v>
      </c>
      <c r="R83">
        <v>0</v>
      </c>
      <c r="S83">
        <v>0</v>
      </c>
      <c r="T83">
        <v>0</v>
      </c>
      <c r="U83">
        <f>(N83+L83+M83)</f>
        <v>356</v>
      </c>
      <c r="V83" s="73">
        <f>(U$82-U83)/U$82</f>
        <v>2.8011204481792717E-3</v>
      </c>
    </row>
    <row r="84" spans="1:22" x14ac:dyDescent="0.2">
      <c r="A84" t="s">
        <v>55</v>
      </c>
      <c r="B84" t="s">
        <v>30</v>
      </c>
      <c r="C84" t="s">
        <v>22</v>
      </c>
      <c r="D84" t="s">
        <v>23</v>
      </c>
      <c r="E84" t="s">
        <v>132</v>
      </c>
      <c r="F84">
        <v>3</v>
      </c>
      <c r="G84" t="s">
        <v>116</v>
      </c>
      <c r="H84">
        <v>28</v>
      </c>
      <c r="I84">
        <v>109</v>
      </c>
      <c r="J84">
        <v>188</v>
      </c>
      <c r="K84">
        <v>0</v>
      </c>
      <c r="L84">
        <v>64</v>
      </c>
      <c r="M84">
        <v>0</v>
      </c>
      <c r="N84">
        <v>293</v>
      </c>
      <c r="O84">
        <v>0</v>
      </c>
      <c r="P84">
        <v>682</v>
      </c>
      <c r="Q84">
        <v>0</v>
      </c>
      <c r="R84">
        <v>0</v>
      </c>
      <c r="S84">
        <v>0</v>
      </c>
      <c r="T84">
        <v>0</v>
      </c>
      <c r="U84">
        <f t="shared" ref="U84:U85" si="24">(N84+L84+M84)</f>
        <v>357</v>
      </c>
      <c r="V84" s="73">
        <f>(U$82-U84)/U$82</f>
        <v>0</v>
      </c>
    </row>
    <row r="85" spans="1:22" x14ac:dyDescent="0.2">
      <c r="A85" t="s">
        <v>55</v>
      </c>
      <c r="B85" t="s">
        <v>30</v>
      </c>
      <c r="C85" t="s">
        <v>22</v>
      </c>
      <c r="D85" t="s">
        <v>23</v>
      </c>
      <c r="E85" t="s">
        <v>133</v>
      </c>
      <c r="F85">
        <v>3</v>
      </c>
      <c r="G85" t="s">
        <v>118</v>
      </c>
      <c r="H85">
        <v>25</v>
      </c>
      <c r="I85">
        <v>107</v>
      </c>
      <c r="J85">
        <v>192</v>
      </c>
      <c r="K85">
        <v>0</v>
      </c>
      <c r="L85">
        <v>60</v>
      </c>
      <c r="M85">
        <v>0</v>
      </c>
      <c r="N85">
        <v>296</v>
      </c>
      <c r="O85">
        <v>0</v>
      </c>
      <c r="P85">
        <v>680</v>
      </c>
      <c r="Q85">
        <v>0</v>
      </c>
      <c r="R85">
        <v>0</v>
      </c>
      <c r="S85">
        <v>0</v>
      </c>
      <c r="T85">
        <v>0</v>
      </c>
      <c r="U85">
        <f t="shared" si="24"/>
        <v>356</v>
      </c>
      <c r="V85" s="73">
        <f>(U$82-U85)/U$82</f>
        <v>2.8011204481792717E-3</v>
      </c>
    </row>
    <row r="86" spans="1:22" x14ac:dyDescent="0.2">
      <c r="A86" t="s">
        <v>56</v>
      </c>
      <c r="B86" t="s">
        <v>30</v>
      </c>
      <c r="C86" t="s">
        <v>22</v>
      </c>
      <c r="D86" t="s">
        <v>23</v>
      </c>
      <c r="E86" t="s">
        <v>50</v>
      </c>
      <c r="F86">
        <v>3</v>
      </c>
      <c r="G86" t="s">
        <v>25</v>
      </c>
      <c r="H86">
        <v>109</v>
      </c>
      <c r="I86">
        <v>155</v>
      </c>
      <c r="J86">
        <v>141</v>
      </c>
      <c r="K86">
        <v>0</v>
      </c>
      <c r="L86">
        <v>34</v>
      </c>
      <c r="M86">
        <v>0</v>
      </c>
      <c r="N86">
        <v>149</v>
      </c>
      <c r="O86">
        <v>0</v>
      </c>
      <c r="P86">
        <v>196</v>
      </c>
      <c r="Q86">
        <v>0</v>
      </c>
      <c r="R86">
        <v>0</v>
      </c>
      <c r="S86">
        <v>0</v>
      </c>
      <c r="T86">
        <v>0</v>
      </c>
      <c r="U86" s="8">
        <f>(N86+L86+M86)*1/3</f>
        <v>61</v>
      </c>
    </row>
    <row r="87" spans="1:22" x14ac:dyDescent="0.2">
      <c r="A87" t="s">
        <v>56</v>
      </c>
      <c r="B87" t="s">
        <v>30</v>
      </c>
      <c r="C87" t="s">
        <v>22</v>
      </c>
      <c r="D87" t="s">
        <v>23</v>
      </c>
      <c r="E87" t="s">
        <v>52</v>
      </c>
      <c r="F87">
        <v>3</v>
      </c>
      <c r="G87" t="s">
        <v>114</v>
      </c>
      <c r="H87">
        <v>46</v>
      </c>
      <c r="I87">
        <v>47</v>
      </c>
      <c r="J87">
        <v>43</v>
      </c>
      <c r="K87">
        <v>0</v>
      </c>
      <c r="L87">
        <v>11</v>
      </c>
      <c r="M87">
        <v>0</v>
      </c>
      <c r="N87">
        <v>50</v>
      </c>
      <c r="O87">
        <v>0</v>
      </c>
      <c r="P87">
        <v>197</v>
      </c>
      <c r="Q87">
        <v>0</v>
      </c>
      <c r="R87">
        <v>0</v>
      </c>
      <c r="S87">
        <v>0</v>
      </c>
      <c r="T87">
        <v>0</v>
      </c>
      <c r="U87">
        <f>(N87+L87+M87)</f>
        <v>61</v>
      </c>
      <c r="V87" s="73">
        <f>(U$86-U87)/U$86</f>
        <v>0</v>
      </c>
    </row>
    <row r="88" spans="1:22" x14ac:dyDescent="0.2">
      <c r="A88" t="s">
        <v>56</v>
      </c>
      <c r="B88" t="s">
        <v>30</v>
      </c>
      <c r="C88" t="s">
        <v>22</v>
      </c>
      <c r="D88" t="s">
        <v>23</v>
      </c>
      <c r="E88" t="s">
        <v>115</v>
      </c>
      <c r="F88">
        <v>3</v>
      </c>
      <c r="G88" t="s">
        <v>116</v>
      </c>
      <c r="H88">
        <v>31</v>
      </c>
      <c r="I88">
        <v>57</v>
      </c>
      <c r="J88">
        <v>47</v>
      </c>
      <c r="K88">
        <v>0</v>
      </c>
      <c r="L88">
        <v>5</v>
      </c>
      <c r="M88">
        <v>0</v>
      </c>
      <c r="N88">
        <v>56</v>
      </c>
      <c r="O88">
        <v>0</v>
      </c>
      <c r="P88">
        <v>196</v>
      </c>
      <c r="Q88">
        <v>0</v>
      </c>
      <c r="R88">
        <v>0</v>
      </c>
      <c r="S88">
        <v>0</v>
      </c>
      <c r="T88">
        <v>0</v>
      </c>
      <c r="U88">
        <f t="shared" ref="U88:U89" si="25">(N88+L88+M88)</f>
        <v>61</v>
      </c>
      <c r="V88" s="73">
        <f>(U$86-U88)/U$86</f>
        <v>0</v>
      </c>
    </row>
    <row r="89" spans="1:22" x14ac:dyDescent="0.2">
      <c r="A89" t="s">
        <v>56</v>
      </c>
      <c r="B89" t="s">
        <v>30</v>
      </c>
      <c r="C89" t="s">
        <v>22</v>
      </c>
      <c r="D89" t="s">
        <v>23</v>
      </c>
      <c r="E89" t="s">
        <v>117</v>
      </c>
      <c r="F89">
        <v>3</v>
      </c>
      <c r="G89" t="s">
        <v>118</v>
      </c>
      <c r="H89">
        <v>37</v>
      </c>
      <c r="I89">
        <v>53</v>
      </c>
      <c r="J89">
        <v>46</v>
      </c>
      <c r="K89">
        <v>0</v>
      </c>
      <c r="L89">
        <v>7</v>
      </c>
      <c r="M89">
        <v>0</v>
      </c>
      <c r="N89">
        <v>54</v>
      </c>
      <c r="O89">
        <v>0</v>
      </c>
      <c r="P89">
        <v>197</v>
      </c>
      <c r="Q89">
        <v>0</v>
      </c>
      <c r="R89">
        <v>0</v>
      </c>
      <c r="S89">
        <v>0</v>
      </c>
      <c r="T89">
        <v>0</v>
      </c>
      <c r="U89">
        <f t="shared" si="25"/>
        <v>61</v>
      </c>
      <c r="V89" s="73">
        <f>(U$86-U89)/U$86</f>
        <v>0</v>
      </c>
    </row>
    <row r="90" spans="1:22" x14ac:dyDescent="0.2">
      <c r="A90" t="s">
        <v>57</v>
      </c>
      <c r="B90" t="s">
        <v>58</v>
      </c>
      <c r="C90" t="s">
        <v>22</v>
      </c>
      <c r="D90" t="s">
        <v>23</v>
      </c>
      <c r="E90" t="s">
        <v>38</v>
      </c>
      <c r="F90">
        <v>3</v>
      </c>
      <c r="G90" t="s">
        <v>25</v>
      </c>
      <c r="H90">
        <v>41</v>
      </c>
      <c r="I90">
        <v>106</v>
      </c>
      <c r="J90">
        <v>57</v>
      </c>
      <c r="K90">
        <v>0</v>
      </c>
      <c r="L90">
        <v>133</v>
      </c>
      <c r="M90">
        <v>0</v>
      </c>
      <c r="N90">
        <v>1514</v>
      </c>
      <c r="O90">
        <v>0</v>
      </c>
      <c r="P90">
        <v>617</v>
      </c>
      <c r="Q90">
        <v>0</v>
      </c>
      <c r="R90">
        <v>0</v>
      </c>
      <c r="S90">
        <v>0</v>
      </c>
      <c r="T90">
        <v>0</v>
      </c>
      <c r="U90" s="8">
        <f>(N90+L90)*1/3</f>
        <v>549</v>
      </c>
    </row>
    <row r="91" spans="1:22" x14ac:dyDescent="0.2">
      <c r="A91" t="s">
        <v>57</v>
      </c>
      <c r="B91" t="s">
        <v>58</v>
      </c>
      <c r="C91" t="s">
        <v>22</v>
      </c>
      <c r="D91" t="s">
        <v>23</v>
      </c>
      <c r="E91" t="s">
        <v>40</v>
      </c>
      <c r="F91">
        <v>3</v>
      </c>
      <c r="G91" t="s">
        <v>114</v>
      </c>
      <c r="H91">
        <v>23</v>
      </c>
      <c r="I91">
        <v>35</v>
      </c>
      <c r="J91">
        <v>25</v>
      </c>
      <c r="K91">
        <v>0</v>
      </c>
      <c r="L91">
        <v>42</v>
      </c>
      <c r="M91">
        <v>0</v>
      </c>
      <c r="N91">
        <v>614</v>
      </c>
      <c r="O91">
        <v>0</v>
      </c>
      <c r="P91">
        <v>739</v>
      </c>
      <c r="Q91">
        <v>0</v>
      </c>
      <c r="R91">
        <v>0</v>
      </c>
      <c r="S91">
        <v>0</v>
      </c>
      <c r="T91">
        <v>0</v>
      </c>
      <c r="U91">
        <f>(N91+L91)</f>
        <v>656</v>
      </c>
      <c r="V91" s="2">
        <f>(U$90-U91)/U$90</f>
        <v>-0.19489981785063754</v>
      </c>
    </row>
    <row r="92" spans="1:22" x14ac:dyDescent="0.2">
      <c r="A92" t="s">
        <v>59</v>
      </c>
      <c r="B92" t="s">
        <v>58</v>
      </c>
      <c r="C92" t="s">
        <v>22</v>
      </c>
      <c r="D92" t="s">
        <v>23</v>
      </c>
      <c r="E92" t="s">
        <v>42</v>
      </c>
      <c r="F92">
        <v>3</v>
      </c>
      <c r="G92" t="s">
        <v>25</v>
      </c>
      <c r="H92">
        <v>9</v>
      </c>
      <c r="I92">
        <v>510</v>
      </c>
      <c r="J92">
        <v>975</v>
      </c>
      <c r="K92">
        <v>0</v>
      </c>
      <c r="L92">
        <v>5</v>
      </c>
      <c r="M92">
        <v>0</v>
      </c>
      <c r="N92">
        <v>124</v>
      </c>
      <c r="O92">
        <v>0</v>
      </c>
      <c r="P92">
        <v>541</v>
      </c>
      <c r="Q92">
        <v>0</v>
      </c>
      <c r="R92">
        <v>0</v>
      </c>
      <c r="S92">
        <v>0</v>
      </c>
      <c r="T92">
        <v>0</v>
      </c>
      <c r="U92">
        <f>(N92+L92)</f>
        <v>129</v>
      </c>
      <c r="V92" s="2">
        <f>(U$90-U92)/U$90</f>
        <v>0.76502732240437155</v>
      </c>
    </row>
    <row r="93" spans="1:22" x14ac:dyDescent="0.2">
      <c r="A93" t="s">
        <v>59</v>
      </c>
      <c r="B93" t="s">
        <v>58</v>
      </c>
      <c r="C93" t="s">
        <v>22</v>
      </c>
      <c r="D93" t="s">
        <v>23</v>
      </c>
      <c r="E93" t="s">
        <v>44</v>
      </c>
      <c r="F93">
        <v>3</v>
      </c>
      <c r="G93" t="s">
        <v>114</v>
      </c>
      <c r="H93">
        <v>6</v>
      </c>
      <c r="I93">
        <v>193</v>
      </c>
      <c r="J93">
        <v>430</v>
      </c>
      <c r="K93">
        <v>0</v>
      </c>
      <c r="L93">
        <v>4</v>
      </c>
      <c r="M93">
        <v>0</v>
      </c>
      <c r="N93">
        <v>53</v>
      </c>
      <c r="O93">
        <v>0</v>
      </c>
      <c r="P93">
        <v>686</v>
      </c>
      <c r="Q93">
        <v>0</v>
      </c>
      <c r="R93">
        <v>0</v>
      </c>
      <c r="S93">
        <v>0</v>
      </c>
      <c r="T93">
        <v>0</v>
      </c>
      <c r="U93">
        <f>(N93+L93)</f>
        <v>57</v>
      </c>
      <c r="V93" s="73">
        <f>(U$90-U93)/U$90</f>
        <v>0.89617486338797814</v>
      </c>
    </row>
    <row r="94" spans="1:22" x14ac:dyDescent="0.2">
      <c r="A94" t="s">
        <v>60</v>
      </c>
      <c r="B94" t="s">
        <v>58</v>
      </c>
      <c r="C94" t="s">
        <v>22</v>
      </c>
      <c r="D94" t="s">
        <v>23</v>
      </c>
      <c r="E94" t="s">
        <v>46</v>
      </c>
      <c r="F94">
        <v>3</v>
      </c>
      <c r="G94" t="s">
        <v>25</v>
      </c>
      <c r="H94">
        <v>81</v>
      </c>
      <c r="I94">
        <v>129</v>
      </c>
      <c r="J94">
        <v>537</v>
      </c>
      <c r="K94">
        <v>0</v>
      </c>
      <c r="L94">
        <v>39</v>
      </c>
      <c r="M94">
        <v>0</v>
      </c>
      <c r="N94">
        <v>711</v>
      </c>
      <c r="O94">
        <v>0</v>
      </c>
      <c r="P94">
        <v>499</v>
      </c>
      <c r="Q94">
        <v>0</v>
      </c>
      <c r="R94">
        <v>0</v>
      </c>
      <c r="S94">
        <v>0</v>
      </c>
      <c r="T94">
        <v>0</v>
      </c>
      <c r="U94" s="8">
        <f>(N94+L94)*1/3</f>
        <v>250</v>
      </c>
    </row>
    <row r="95" spans="1:22" x14ac:dyDescent="0.2">
      <c r="A95" t="s">
        <v>60</v>
      </c>
      <c r="B95" t="s">
        <v>58</v>
      </c>
      <c r="C95" t="s">
        <v>22</v>
      </c>
      <c r="D95" t="s">
        <v>23</v>
      </c>
      <c r="E95" t="s">
        <v>48</v>
      </c>
      <c r="F95">
        <v>3</v>
      </c>
      <c r="G95" t="s">
        <v>114</v>
      </c>
      <c r="H95">
        <v>26</v>
      </c>
      <c r="I95">
        <v>52</v>
      </c>
      <c r="J95">
        <v>211</v>
      </c>
      <c r="K95">
        <v>0</v>
      </c>
      <c r="L95">
        <v>12</v>
      </c>
      <c r="M95">
        <v>0</v>
      </c>
      <c r="N95">
        <v>274</v>
      </c>
      <c r="O95">
        <v>0</v>
      </c>
      <c r="P95">
        <v>575</v>
      </c>
      <c r="Q95">
        <v>0</v>
      </c>
      <c r="R95">
        <v>0</v>
      </c>
      <c r="S95">
        <v>0</v>
      </c>
      <c r="T95">
        <v>0</v>
      </c>
    </row>
    <row r="96" spans="1:22" x14ac:dyDescent="0.2">
      <c r="A96" t="s">
        <v>61</v>
      </c>
      <c r="B96" t="s">
        <v>58</v>
      </c>
      <c r="C96" t="s">
        <v>22</v>
      </c>
      <c r="D96" t="s">
        <v>23</v>
      </c>
      <c r="E96" t="s">
        <v>50</v>
      </c>
      <c r="F96">
        <v>3</v>
      </c>
      <c r="G96" t="s">
        <v>25</v>
      </c>
      <c r="H96">
        <v>46</v>
      </c>
      <c r="I96">
        <v>20</v>
      </c>
      <c r="J96">
        <v>156</v>
      </c>
      <c r="K96">
        <v>0</v>
      </c>
      <c r="L96">
        <v>41</v>
      </c>
      <c r="M96">
        <v>0</v>
      </c>
      <c r="N96">
        <v>235</v>
      </c>
      <c r="O96">
        <v>0</v>
      </c>
      <c r="P96">
        <v>166</v>
      </c>
      <c r="Q96">
        <v>0</v>
      </c>
      <c r="R96">
        <v>0</v>
      </c>
      <c r="S96">
        <v>0</v>
      </c>
      <c r="T96">
        <v>0</v>
      </c>
    </row>
    <row r="97" spans="1:20" x14ac:dyDescent="0.2">
      <c r="A97" t="s">
        <v>61</v>
      </c>
      <c r="B97" t="s">
        <v>58</v>
      </c>
      <c r="C97" t="s">
        <v>22</v>
      </c>
      <c r="D97" t="s">
        <v>23</v>
      </c>
      <c r="E97" t="s">
        <v>52</v>
      </c>
      <c r="F97">
        <v>3</v>
      </c>
      <c r="G97" t="s">
        <v>114</v>
      </c>
      <c r="H97">
        <v>13</v>
      </c>
      <c r="I97">
        <v>9</v>
      </c>
      <c r="J97">
        <v>63</v>
      </c>
      <c r="K97">
        <v>0</v>
      </c>
      <c r="L97">
        <v>10</v>
      </c>
      <c r="M97">
        <v>0</v>
      </c>
      <c r="N97">
        <v>85</v>
      </c>
      <c r="O97">
        <v>0</v>
      </c>
      <c r="P97">
        <v>180</v>
      </c>
      <c r="Q97">
        <v>0</v>
      </c>
      <c r="R97">
        <v>0</v>
      </c>
      <c r="S97">
        <v>0</v>
      </c>
      <c r="T97">
        <v>0</v>
      </c>
    </row>
    <row r="98" spans="1:20" x14ac:dyDescent="0.2">
      <c r="A98" t="s">
        <v>62</v>
      </c>
      <c r="B98" t="s">
        <v>32</v>
      </c>
      <c r="C98" t="s">
        <v>22</v>
      </c>
      <c r="D98" t="s">
        <v>23</v>
      </c>
      <c r="E98" t="s">
        <v>38</v>
      </c>
      <c r="F98">
        <v>3</v>
      </c>
      <c r="G98" t="s">
        <v>25</v>
      </c>
      <c r="H98">
        <v>162</v>
      </c>
      <c r="I98">
        <v>312</v>
      </c>
      <c r="J98">
        <v>441</v>
      </c>
      <c r="K98">
        <v>0</v>
      </c>
      <c r="L98">
        <v>209</v>
      </c>
      <c r="M98">
        <v>0</v>
      </c>
      <c r="N98">
        <v>1483</v>
      </c>
      <c r="O98">
        <v>0</v>
      </c>
      <c r="P98">
        <v>869</v>
      </c>
      <c r="Q98">
        <v>0</v>
      </c>
      <c r="R98">
        <v>0</v>
      </c>
      <c r="S98">
        <v>0</v>
      </c>
      <c r="T98">
        <v>0</v>
      </c>
    </row>
    <row r="99" spans="1:20" x14ac:dyDescent="0.2">
      <c r="A99" t="s">
        <v>62</v>
      </c>
      <c r="B99" t="s">
        <v>32</v>
      </c>
      <c r="C99" t="s">
        <v>22</v>
      </c>
      <c r="D99" t="s">
        <v>23</v>
      </c>
      <c r="E99" t="s">
        <v>40</v>
      </c>
      <c r="F99">
        <v>3</v>
      </c>
      <c r="G99" t="s">
        <v>114</v>
      </c>
      <c r="H99">
        <v>54</v>
      </c>
      <c r="I99">
        <v>108</v>
      </c>
      <c r="J99">
        <v>134</v>
      </c>
      <c r="K99">
        <v>0</v>
      </c>
      <c r="L99">
        <v>54</v>
      </c>
      <c r="M99">
        <v>0</v>
      </c>
      <c r="N99">
        <v>505</v>
      </c>
      <c r="O99">
        <v>0</v>
      </c>
      <c r="P99">
        <v>855</v>
      </c>
      <c r="Q99">
        <v>0</v>
      </c>
      <c r="R99">
        <v>0</v>
      </c>
      <c r="S99">
        <v>0</v>
      </c>
      <c r="T99">
        <v>0</v>
      </c>
    </row>
    <row r="100" spans="1:20" x14ac:dyDescent="0.2">
      <c r="A100" t="s">
        <v>62</v>
      </c>
      <c r="B100" t="s">
        <v>32</v>
      </c>
      <c r="C100" t="s">
        <v>22</v>
      </c>
      <c r="D100" t="s">
        <v>23</v>
      </c>
      <c r="E100" t="s">
        <v>122</v>
      </c>
      <c r="F100">
        <v>3</v>
      </c>
      <c r="G100" t="s">
        <v>116</v>
      </c>
      <c r="H100">
        <v>40</v>
      </c>
      <c r="I100">
        <v>119</v>
      </c>
      <c r="J100">
        <v>129</v>
      </c>
      <c r="K100">
        <v>0</v>
      </c>
      <c r="L100">
        <v>55</v>
      </c>
      <c r="M100">
        <v>0</v>
      </c>
      <c r="N100">
        <v>500</v>
      </c>
      <c r="O100">
        <v>0</v>
      </c>
      <c r="P100">
        <v>843</v>
      </c>
      <c r="Q100">
        <v>0</v>
      </c>
      <c r="R100">
        <v>0</v>
      </c>
      <c r="S100">
        <v>0</v>
      </c>
      <c r="T100">
        <v>0</v>
      </c>
    </row>
    <row r="101" spans="1:20" x14ac:dyDescent="0.2">
      <c r="A101" t="s">
        <v>62</v>
      </c>
      <c r="B101" t="s">
        <v>32</v>
      </c>
      <c r="C101" t="s">
        <v>22</v>
      </c>
      <c r="D101" t="s">
        <v>23</v>
      </c>
      <c r="E101" t="s">
        <v>123</v>
      </c>
      <c r="F101">
        <v>3</v>
      </c>
      <c r="G101" t="s">
        <v>118</v>
      </c>
      <c r="H101">
        <v>51</v>
      </c>
      <c r="I101">
        <v>109</v>
      </c>
      <c r="J101">
        <v>125</v>
      </c>
      <c r="K101">
        <v>0</v>
      </c>
      <c r="L101">
        <v>59</v>
      </c>
      <c r="M101">
        <v>0</v>
      </c>
      <c r="N101">
        <v>485</v>
      </c>
      <c r="O101">
        <v>0</v>
      </c>
      <c r="P101">
        <v>829</v>
      </c>
      <c r="Q101">
        <v>0</v>
      </c>
      <c r="R101">
        <v>0</v>
      </c>
      <c r="S101">
        <v>0</v>
      </c>
      <c r="T101">
        <v>0</v>
      </c>
    </row>
    <row r="102" spans="1:20" x14ac:dyDescent="0.2">
      <c r="A102" t="s">
        <v>63</v>
      </c>
      <c r="B102" t="s">
        <v>32</v>
      </c>
      <c r="C102" t="s">
        <v>22</v>
      </c>
      <c r="D102" t="s">
        <v>23</v>
      </c>
      <c r="E102" t="s">
        <v>42</v>
      </c>
      <c r="F102">
        <v>3</v>
      </c>
      <c r="G102" t="s">
        <v>25</v>
      </c>
      <c r="H102">
        <v>16</v>
      </c>
      <c r="I102">
        <v>734</v>
      </c>
      <c r="J102">
        <v>1275</v>
      </c>
      <c r="K102">
        <v>0</v>
      </c>
      <c r="L102">
        <v>27</v>
      </c>
      <c r="M102">
        <v>0</v>
      </c>
      <c r="N102">
        <v>138</v>
      </c>
      <c r="O102">
        <v>0</v>
      </c>
      <c r="P102">
        <v>730</v>
      </c>
      <c r="Q102">
        <v>0</v>
      </c>
      <c r="R102">
        <v>0</v>
      </c>
      <c r="S102">
        <v>0</v>
      </c>
      <c r="T102">
        <v>0</v>
      </c>
    </row>
    <row r="103" spans="1:20" x14ac:dyDescent="0.2">
      <c r="A103" t="s">
        <v>63</v>
      </c>
      <c r="B103" t="s">
        <v>32</v>
      </c>
      <c r="C103" t="s">
        <v>22</v>
      </c>
      <c r="D103" t="s">
        <v>23</v>
      </c>
      <c r="E103" t="s">
        <v>44</v>
      </c>
      <c r="F103">
        <v>3</v>
      </c>
      <c r="G103" t="s">
        <v>114</v>
      </c>
      <c r="H103">
        <v>2</v>
      </c>
      <c r="I103">
        <v>221</v>
      </c>
      <c r="J103">
        <v>439</v>
      </c>
      <c r="K103">
        <v>0</v>
      </c>
      <c r="L103">
        <v>6</v>
      </c>
      <c r="M103">
        <v>0</v>
      </c>
      <c r="N103">
        <v>44</v>
      </c>
      <c r="O103">
        <v>0</v>
      </c>
      <c r="P103">
        <v>712</v>
      </c>
      <c r="Q103">
        <v>0</v>
      </c>
      <c r="R103">
        <v>0</v>
      </c>
      <c r="S103">
        <v>0</v>
      </c>
      <c r="T103">
        <v>0</v>
      </c>
    </row>
    <row r="104" spans="1:20" x14ac:dyDescent="0.2">
      <c r="A104" t="s">
        <v>63</v>
      </c>
      <c r="B104" t="s">
        <v>32</v>
      </c>
      <c r="C104" t="s">
        <v>22</v>
      </c>
      <c r="D104" t="s">
        <v>23</v>
      </c>
      <c r="E104" t="s">
        <v>127</v>
      </c>
      <c r="F104">
        <v>3</v>
      </c>
      <c r="G104" t="s">
        <v>116</v>
      </c>
      <c r="H104">
        <v>6</v>
      </c>
      <c r="I104">
        <v>238</v>
      </c>
      <c r="J104">
        <v>391</v>
      </c>
      <c r="K104">
        <v>0</v>
      </c>
      <c r="L104">
        <v>5</v>
      </c>
      <c r="M104">
        <v>0</v>
      </c>
      <c r="N104">
        <v>44</v>
      </c>
      <c r="O104">
        <v>0</v>
      </c>
      <c r="P104">
        <v>684</v>
      </c>
      <c r="Q104">
        <v>0</v>
      </c>
      <c r="R104">
        <v>0</v>
      </c>
      <c r="S104">
        <v>0</v>
      </c>
      <c r="T104">
        <v>0</v>
      </c>
    </row>
    <row r="105" spans="1:20" x14ac:dyDescent="0.2">
      <c r="A105" t="s">
        <v>63</v>
      </c>
      <c r="B105" t="s">
        <v>32</v>
      </c>
      <c r="C105" t="s">
        <v>22</v>
      </c>
      <c r="D105" t="s">
        <v>23</v>
      </c>
      <c r="E105" t="s">
        <v>128</v>
      </c>
      <c r="F105">
        <v>3</v>
      </c>
      <c r="G105" t="s">
        <v>118</v>
      </c>
      <c r="H105">
        <v>5</v>
      </c>
      <c r="I105">
        <v>207</v>
      </c>
      <c r="J105">
        <v>402</v>
      </c>
      <c r="K105">
        <v>0</v>
      </c>
      <c r="L105">
        <v>4</v>
      </c>
      <c r="M105">
        <v>0</v>
      </c>
      <c r="N105">
        <v>44</v>
      </c>
      <c r="O105">
        <v>0</v>
      </c>
      <c r="P105">
        <v>662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 t="s">
        <v>64</v>
      </c>
      <c r="B106" t="s">
        <v>32</v>
      </c>
      <c r="C106" t="s">
        <v>22</v>
      </c>
      <c r="D106" t="s">
        <v>23</v>
      </c>
      <c r="E106" t="s">
        <v>46</v>
      </c>
      <c r="F106">
        <v>3</v>
      </c>
      <c r="G106" t="s">
        <v>25</v>
      </c>
      <c r="H106">
        <v>85</v>
      </c>
      <c r="I106">
        <v>188</v>
      </c>
      <c r="J106">
        <v>573</v>
      </c>
      <c r="K106">
        <v>0</v>
      </c>
      <c r="L106">
        <v>125</v>
      </c>
      <c r="M106">
        <v>0</v>
      </c>
      <c r="N106">
        <v>523</v>
      </c>
      <c r="O106">
        <v>0</v>
      </c>
      <c r="P106">
        <v>498</v>
      </c>
      <c r="Q106">
        <v>0</v>
      </c>
      <c r="R106">
        <v>0</v>
      </c>
      <c r="S106">
        <v>0</v>
      </c>
      <c r="T106">
        <v>0</v>
      </c>
    </row>
    <row r="107" spans="1:20" x14ac:dyDescent="0.2">
      <c r="A107" t="s">
        <v>64</v>
      </c>
      <c r="B107" t="s">
        <v>32</v>
      </c>
      <c r="C107" t="s">
        <v>22</v>
      </c>
      <c r="D107" t="s">
        <v>23</v>
      </c>
      <c r="E107" t="s">
        <v>48</v>
      </c>
      <c r="F107">
        <v>3</v>
      </c>
      <c r="G107" t="s">
        <v>114</v>
      </c>
      <c r="H107">
        <v>23</v>
      </c>
      <c r="I107">
        <v>59</v>
      </c>
      <c r="J107">
        <v>174</v>
      </c>
      <c r="K107">
        <v>0</v>
      </c>
      <c r="L107">
        <v>35</v>
      </c>
      <c r="M107">
        <v>0</v>
      </c>
      <c r="N107">
        <v>173</v>
      </c>
      <c r="O107">
        <v>0</v>
      </c>
      <c r="P107">
        <v>464</v>
      </c>
      <c r="Q107">
        <v>0</v>
      </c>
      <c r="R107">
        <v>0</v>
      </c>
      <c r="S107">
        <v>0</v>
      </c>
      <c r="T107">
        <v>0</v>
      </c>
    </row>
    <row r="108" spans="1:20" x14ac:dyDescent="0.2">
      <c r="A108" t="s">
        <v>64</v>
      </c>
      <c r="B108" t="s">
        <v>32</v>
      </c>
      <c r="C108" t="s">
        <v>22</v>
      </c>
      <c r="D108" t="s">
        <v>23</v>
      </c>
      <c r="E108" t="s">
        <v>132</v>
      </c>
      <c r="F108">
        <v>3</v>
      </c>
      <c r="G108" t="s">
        <v>116</v>
      </c>
      <c r="H108">
        <v>32</v>
      </c>
      <c r="I108">
        <v>52</v>
      </c>
      <c r="J108">
        <v>145</v>
      </c>
      <c r="K108">
        <v>0</v>
      </c>
      <c r="L108">
        <v>34</v>
      </c>
      <c r="M108">
        <v>0</v>
      </c>
      <c r="N108">
        <v>166</v>
      </c>
      <c r="O108">
        <v>0</v>
      </c>
      <c r="P108">
        <v>429</v>
      </c>
      <c r="Q108">
        <v>0</v>
      </c>
      <c r="R108">
        <v>0</v>
      </c>
      <c r="S108">
        <v>0</v>
      </c>
      <c r="T108">
        <v>0</v>
      </c>
    </row>
    <row r="109" spans="1:20" x14ac:dyDescent="0.2">
      <c r="A109" t="s">
        <v>64</v>
      </c>
      <c r="B109" t="s">
        <v>32</v>
      </c>
      <c r="C109" t="s">
        <v>22</v>
      </c>
      <c r="D109" t="s">
        <v>23</v>
      </c>
      <c r="E109" t="s">
        <v>133</v>
      </c>
      <c r="F109">
        <v>3</v>
      </c>
      <c r="G109" t="s">
        <v>118</v>
      </c>
      <c r="H109">
        <v>32</v>
      </c>
      <c r="I109">
        <v>56</v>
      </c>
      <c r="J109">
        <v>150</v>
      </c>
      <c r="K109">
        <v>0</v>
      </c>
      <c r="L109">
        <v>35</v>
      </c>
      <c r="M109">
        <v>0</v>
      </c>
      <c r="N109">
        <v>167</v>
      </c>
      <c r="O109">
        <v>0</v>
      </c>
      <c r="P109">
        <v>440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 t="s">
        <v>79</v>
      </c>
      <c r="B110" t="s">
        <v>32</v>
      </c>
      <c r="C110" t="s">
        <v>22</v>
      </c>
      <c r="D110" t="s">
        <v>23</v>
      </c>
      <c r="E110" t="s">
        <v>50</v>
      </c>
      <c r="F110">
        <v>3</v>
      </c>
      <c r="G110" t="s">
        <v>25</v>
      </c>
      <c r="H110">
        <v>38</v>
      </c>
      <c r="I110">
        <v>7</v>
      </c>
      <c r="J110">
        <v>87</v>
      </c>
      <c r="K110">
        <v>0</v>
      </c>
      <c r="L110">
        <v>40</v>
      </c>
      <c r="M110">
        <v>0</v>
      </c>
      <c r="N110">
        <v>263</v>
      </c>
      <c r="O110">
        <v>0</v>
      </c>
      <c r="P110">
        <v>145</v>
      </c>
      <c r="Q110">
        <v>0</v>
      </c>
      <c r="R110">
        <v>0</v>
      </c>
      <c r="S110">
        <v>0</v>
      </c>
      <c r="T110">
        <v>0</v>
      </c>
    </row>
    <row r="111" spans="1:20" x14ac:dyDescent="0.2">
      <c r="A111" t="s">
        <v>79</v>
      </c>
      <c r="B111" t="s">
        <v>32</v>
      </c>
      <c r="C111" t="s">
        <v>22</v>
      </c>
      <c r="D111" t="s">
        <v>23</v>
      </c>
      <c r="E111" t="s">
        <v>52</v>
      </c>
      <c r="F111">
        <v>3</v>
      </c>
      <c r="G111" t="s">
        <v>114</v>
      </c>
      <c r="H111">
        <v>17</v>
      </c>
      <c r="I111">
        <v>0</v>
      </c>
      <c r="J111">
        <v>25</v>
      </c>
      <c r="K111">
        <v>0</v>
      </c>
      <c r="L111">
        <v>22</v>
      </c>
      <c r="M111">
        <v>0</v>
      </c>
      <c r="N111">
        <v>62</v>
      </c>
      <c r="O111">
        <v>0</v>
      </c>
      <c r="P111">
        <v>126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 t="s">
        <v>79</v>
      </c>
      <c r="B112" t="s">
        <v>32</v>
      </c>
      <c r="C112" t="s">
        <v>22</v>
      </c>
      <c r="D112" t="s">
        <v>23</v>
      </c>
      <c r="E112" t="s">
        <v>115</v>
      </c>
      <c r="F112">
        <v>3</v>
      </c>
      <c r="G112" t="s">
        <v>116</v>
      </c>
      <c r="H112">
        <v>16</v>
      </c>
      <c r="I112">
        <v>1</v>
      </c>
      <c r="J112">
        <v>26</v>
      </c>
      <c r="K112">
        <v>0</v>
      </c>
      <c r="L112">
        <v>15</v>
      </c>
      <c r="M112">
        <v>0</v>
      </c>
      <c r="N112">
        <v>64</v>
      </c>
      <c r="O112">
        <v>0</v>
      </c>
      <c r="P112">
        <v>122</v>
      </c>
      <c r="Q112">
        <v>0</v>
      </c>
      <c r="R112">
        <v>0</v>
      </c>
      <c r="S112">
        <v>0</v>
      </c>
      <c r="T112">
        <v>0</v>
      </c>
    </row>
    <row r="113" spans="1:20" x14ac:dyDescent="0.2">
      <c r="A113" t="s">
        <v>79</v>
      </c>
      <c r="B113" t="s">
        <v>32</v>
      </c>
      <c r="C113" t="s">
        <v>22</v>
      </c>
      <c r="D113" t="s">
        <v>23</v>
      </c>
      <c r="E113" t="s">
        <v>117</v>
      </c>
      <c r="F113">
        <v>3</v>
      </c>
      <c r="G113" t="s">
        <v>118</v>
      </c>
      <c r="H113">
        <v>16</v>
      </c>
      <c r="I113">
        <v>4</v>
      </c>
      <c r="J113">
        <v>23</v>
      </c>
      <c r="K113">
        <v>0</v>
      </c>
      <c r="L113">
        <v>14</v>
      </c>
      <c r="M113">
        <v>0</v>
      </c>
      <c r="N113">
        <v>58</v>
      </c>
      <c r="O113">
        <v>0</v>
      </c>
      <c r="P113">
        <v>115</v>
      </c>
      <c r="Q113">
        <v>0</v>
      </c>
      <c r="R113">
        <v>0</v>
      </c>
      <c r="S113">
        <v>0</v>
      </c>
      <c r="T113">
        <v>0</v>
      </c>
    </row>
    <row r="114" spans="1:20" x14ac:dyDescent="0.2">
      <c r="A114" s="15" t="s">
        <v>57</v>
      </c>
      <c r="B114" s="15" t="s">
        <v>58</v>
      </c>
      <c r="C114" s="15" t="s">
        <v>22</v>
      </c>
      <c r="D114" s="15" t="s">
        <v>23</v>
      </c>
      <c r="E114" s="15" t="s">
        <v>38</v>
      </c>
      <c r="F114" s="15">
        <v>3</v>
      </c>
      <c r="G114" s="15" t="s">
        <v>25</v>
      </c>
      <c r="H114" s="15">
        <v>41</v>
      </c>
      <c r="I114" s="15">
        <v>106</v>
      </c>
      <c r="J114" s="15">
        <v>57</v>
      </c>
      <c r="K114" s="15">
        <v>0</v>
      </c>
      <c r="L114" s="15">
        <v>133</v>
      </c>
      <c r="M114" s="15">
        <v>0</v>
      </c>
      <c r="N114" s="15">
        <v>1514</v>
      </c>
      <c r="O114" s="15">
        <v>0</v>
      </c>
      <c r="P114" s="15">
        <v>617</v>
      </c>
      <c r="Q114" s="15">
        <v>0</v>
      </c>
      <c r="R114" s="15">
        <v>0</v>
      </c>
      <c r="S114" s="15">
        <v>0</v>
      </c>
      <c r="T114" s="15">
        <v>0</v>
      </c>
    </row>
    <row r="115" spans="1:20" x14ac:dyDescent="0.2">
      <c r="A115" s="135" t="s">
        <v>57</v>
      </c>
      <c r="B115" s="135" t="s">
        <v>58</v>
      </c>
      <c r="C115" s="135" t="s">
        <v>22</v>
      </c>
      <c r="D115" s="135" t="s">
        <v>23</v>
      </c>
      <c r="E115" s="135" t="s">
        <v>39</v>
      </c>
      <c r="F115" s="135">
        <v>3</v>
      </c>
      <c r="G115" s="135" t="s">
        <v>67</v>
      </c>
      <c r="H115" s="135">
        <v>45</v>
      </c>
      <c r="I115" s="135">
        <v>67</v>
      </c>
      <c r="J115" s="135">
        <v>58</v>
      </c>
      <c r="K115" s="135">
        <v>0</v>
      </c>
      <c r="L115" s="135">
        <v>86</v>
      </c>
      <c r="M115" s="135">
        <v>0</v>
      </c>
      <c r="N115" s="135">
        <v>1138</v>
      </c>
      <c r="O115" s="135">
        <v>0</v>
      </c>
      <c r="P115" s="135">
        <v>697</v>
      </c>
      <c r="Q115" s="135">
        <v>0</v>
      </c>
      <c r="R115" s="135">
        <v>0</v>
      </c>
      <c r="S115" s="135">
        <v>0</v>
      </c>
      <c r="T115" s="135">
        <v>0</v>
      </c>
    </row>
    <row r="116" spans="1:20" x14ac:dyDescent="0.2">
      <c r="A116" s="135" t="s">
        <v>57</v>
      </c>
      <c r="B116" s="135" t="s">
        <v>58</v>
      </c>
      <c r="C116" s="135" t="s">
        <v>22</v>
      </c>
      <c r="D116" s="135" t="s">
        <v>23</v>
      </c>
      <c r="E116" s="135" t="s">
        <v>213</v>
      </c>
      <c r="F116" s="135">
        <v>3</v>
      </c>
      <c r="G116" s="135" t="s">
        <v>69</v>
      </c>
      <c r="H116" s="135">
        <v>29</v>
      </c>
      <c r="I116" s="135">
        <v>81</v>
      </c>
      <c r="J116" s="135">
        <v>40</v>
      </c>
      <c r="K116" s="135">
        <v>0</v>
      </c>
      <c r="L116" s="135">
        <v>65</v>
      </c>
      <c r="M116" s="135">
        <v>0</v>
      </c>
      <c r="N116" s="135">
        <v>1089</v>
      </c>
      <c r="O116" s="135">
        <v>0</v>
      </c>
      <c r="P116" s="135">
        <v>652</v>
      </c>
      <c r="Q116" s="135">
        <v>0</v>
      </c>
      <c r="R116" s="135">
        <v>0</v>
      </c>
      <c r="S116" s="135">
        <v>0</v>
      </c>
      <c r="T116" s="135">
        <v>0</v>
      </c>
    </row>
    <row r="117" spans="1:20" x14ac:dyDescent="0.2">
      <c r="A117" s="135" t="s">
        <v>57</v>
      </c>
      <c r="B117" s="135" t="s">
        <v>58</v>
      </c>
      <c r="C117" s="135" t="s">
        <v>22</v>
      </c>
      <c r="D117" s="135" t="s">
        <v>23</v>
      </c>
      <c r="E117" s="135" t="s">
        <v>212</v>
      </c>
      <c r="F117" s="135">
        <v>3</v>
      </c>
      <c r="G117" s="135" t="s">
        <v>71</v>
      </c>
      <c r="H117" s="135">
        <v>29</v>
      </c>
      <c r="I117" s="135">
        <v>55</v>
      </c>
      <c r="J117" s="135">
        <v>46</v>
      </c>
      <c r="K117" s="135">
        <v>0</v>
      </c>
      <c r="L117" s="135">
        <v>68</v>
      </c>
      <c r="M117" s="135">
        <v>0</v>
      </c>
      <c r="N117" s="135">
        <v>1050</v>
      </c>
      <c r="O117" s="135">
        <v>0</v>
      </c>
      <c r="P117" s="135">
        <v>624</v>
      </c>
      <c r="Q117" s="135">
        <v>0</v>
      </c>
      <c r="R117" s="135">
        <v>0</v>
      </c>
      <c r="S117" s="135">
        <v>0</v>
      </c>
      <c r="T117" s="135">
        <v>0</v>
      </c>
    </row>
    <row r="118" spans="1:20" x14ac:dyDescent="0.2">
      <c r="A118" s="135" t="s">
        <v>59</v>
      </c>
      <c r="B118" s="135" t="s">
        <v>58</v>
      </c>
      <c r="C118" s="135" t="s">
        <v>22</v>
      </c>
      <c r="D118" s="135" t="s">
        <v>23</v>
      </c>
      <c r="E118" s="135" t="s">
        <v>42</v>
      </c>
      <c r="F118" s="135">
        <v>3</v>
      </c>
      <c r="G118" s="135" t="s">
        <v>25</v>
      </c>
      <c r="H118" s="135">
        <v>9</v>
      </c>
      <c r="I118" s="135">
        <v>510</v>
      </c>
      <c r="J118" s="135">
        <v>975</v>
      </c>
      <c r="K118" s="135">
        <v>0</v>
      </c>
      <c r="L118" s="135">
        <v>5</v>
      </c>
      <c r="M118" s="135">
        <v>0</v>
      </c>
      <c r="N118" s="135">
        <v>124</v>
      </c>
      <c r="O118" s="135">
        <v>0</v>
      </c>
      <c r="P118" s="135">
        <v>541</v>
      </c>
      <c r="Q118" s="135">
        <v>0</v>
      </c>
      <c r="R118" s="135">
        <v>0</v>
      </c>
      <c r="S118" s="135">
        <v>0</v>
      </c>
      <c r="T118" s="135">
        <v>0</v>
      </c>
    </row>
    <row r="119" spans="1:20" x14ac:dyDescent="0.2">
      <c r="A119" s="135" t="s">
        <v>59</v>
      </c>
      <c r="B119" s="135" t="s">
        <v>58</v>
      </c>
      <c r="C119" s="135" t="s">
        <v>22</v>
      </c>
      <c r="D119" s="135" t="s">
        <v>23</v>
      </c>
      <c r="E119" s="135" t="s">
        <v>43</v>
      </c>
      <c r="F119" s="135">
        <v>3</v>
      </c>
      <c r="G119" s="135" t="s">
        <v>67</v>
      </c>
      <c r="H119" s="135">
        <v>7</v>
      </c>
      <c r="I119" s="135">
        <v>415</v>
      </c>
      <c r="J119" s="135">
        <v>746</v>
      </c>
      <c r="K119" s="135">
        <v>0</v>
      </c>
      <c r="L119" s="135">
        <v>12</v>
      </c>
      <c r="M119" s="135">
        <v>0</v>
      </c>
      <c r="N119" s="135">
        <v>100</v>
      </c>
      <c r="O119" s="135">
        <v>0</v>
      </c>
      <c r="P119" s="135">
        <v>640</v>
      </c>
      <c r="Q119" s="135">
        <v>0</v>
      </c>
      <c r="R119" s="135">
        <v>0</v>
      </c>
      <c r="S119" s="135">
        <v>0</v>
      </c>
      <c r="T119" s="135">
        <v>0</v>
      </c>
    </row>
    <row r="120" spans="1:20" x14ac:dyDescent="0.2">
      <c r="A120" s="135" t="s">
        <v>59</v>
      </c>
      <c r="B120" s="135" t="s">
        <v>58</v>
      </c>
      <c r="C120" s="135" t="s">
        <v>22</v>
      </c>
      <c r="D120" s="135" t="s">
        <v>23</v>
      </c>
      <c r="E120" s="135" t="s">
        <v>211</v>
      </c>
      <c r="F120" s="135">
        <v>3</v>
      </c>
      <c r="G120" s="135" t="s">
        <v>69</v>
      </c>
      <c r="H120" s="135">
        <v>4</v>
      </c>
      <c r="I120" s="135">
        <v>322</v>
      </c>
      <c r="J120" s="135">
        <v>770</v>
      </c>
      <c r="K120" s="135">
        <v>0</v>
      </c>
      <c r="L120" s="135">
        <v>7</v>
      </c>
      <c r="M120" s="135">
        <v>0</v>
      </c>
      <c r="N120" s="135">
        <v>95</v>
      </c>
      <c r="O120" s="135">
        <v>0</v>
      </c>
      <c r="P120" s="135">
        <v>599</v>
      </c>
      <c r="Q120" s="135">
        <v>0</v>
      </c>
      <c r="R120" s="135">
        <v>0</v>
      </c>
      <c r="S120" s="135">
        <v>0</v>
      </c>
      <c r="T120" s="135">
        <v>0</v>
      </c>
    </row>
    <row r="121" spans="1:20" x14ac:dyDescent="0.2">
      <c r="A121" s="135" t="s">
        <v>59</v>
      </c>
      <c r="B121" s="135" t="s">
        <v>58</v>
      </c>
      <c r="C121" s="135" t="s">
        <v>22</v>
      </c>
      <c r="D121" s="135" t="s">
        <v>23</v>
      </c>
      <c r="E121" s="135" t="s">
        <v>210</v>
      </c>
      <c r="F121" s="135">
        <v>3</v>
      </c>
      <c r="G121" s="135" t="s">
        <v>71</v>
      </c>
      <c r="H121" s="135">
        <v>8</v>
      </c>
      <c r="I121" s="135">
        <v>356</v>
      </c>
      <c r="J121" s="135">
        <v>742</v>
      </c>
      <c r="K121" s="135">
        <v>0</v>
      </c>
      <c r="L121" s="135">
        <v>3</v>
      </c>
      <c r="M121" s="135">
        <v>0</v>
      </c>
      <c r="N121" s="135">
        <v>97</v>
      </c>
      <c r="O121" s="135">
        <v>0</v>
      </c>
      <c r="P121" s="135">
        <v>603</v>
      </c>
      <c r="Q121" s="135">
        <v>0</v>
      </c>
      <c r="R121" s="135">
        <v>0</v>
      </c>
      <c r="S121" s="135">
        <v>0</v>
      </c>
      <c r="T121" s="135">
        <v>0</v>
      </c>
    </row>
    <row r="122" spans="1:20" x14ac:dyDescent="0.2">
      <c r="A122" s="135" t="s">
        <v>60</v>
      </c>
      <c r="B122" s="135" t="s">
        <v>58</v>
      </c>
      <c r="C122" s="135" t="s">
        <v>22</v>
      </c>
      <c r="D122" s="135" t="s">
        <v>23</v>
      </c>
      <c r="E122" s="135" t="s">
        <v>46</v>
      </c>
      <c r="F122" s="135">
        <v>3</v>
      </c>
      <c r="G122" s="135" t="s">
        <v>25</v>
      </c>
      <c r="H122" s="135">
        <v>81</v>
      </c>
      <c r="I122" s="135">
        <v>129</v>
      </c>
      <c r="J122" s="135">
        <v>537</v>
      </c>
      <c r="K122" s="135">
        <v>0</v>
      </c>
      <c r="L122" s="135">
        <v>39</v>
      </c>
      <c r="M122" s="135">
        <v>0</v>
      </c>
      <c r="N122" s="135">
        <v>711</v>
      </c>
      <c r="O122" s="135">
        <v>0</v>
      </c>
      <c r="P122" s="135">
        <v>499</v>
      </c>
      <c r="Q122" s="135">
        <v>0</v>
      </c>
      <c r="R122" s="135">
        <v>0</v>
      </c>
      <c r="S122" s="135">
        <v>0</v>
      </c>
      <c r="T122" s="135">
        <v>0</v>
      </c>
    </row>
    <row r="123" spans="1:20" x14ac:dyDescent="0.2">
      <c r="A123" s="135" t="s">
        <v>60</v>
      </c>
      <c r="B123" s="135" t="s">
        <v>58</v>
      </c>
      <c r="C123" s="135" t="s">
        <v>22</v>
      </c>
      <c r="D123" s="135" t="s">
        <v>23</v>
      </c>
      <c r="E123" s="135" t="s">
        <v>47</v>
      </c>
      <c r="F123" s="135">
        <v>3</v>
      </c>
      <c r="G123" s="135" t="s">
        <v>67</v>
      </c>
      <c r="H123" s="135">
        <v>55</v>
      </c>
      <c r="I123" s="135">
        <v>91</v>
      </c>
      <c r="J123" s="135">
        <v>406</v>
      </c>
      <c r="K123" s="135">
        <v>0</v>
      </c>
      <c r="L123" s="135">
        <v>16</v>
      </c>
      <c r="M123" s="135">
        <v>0</v>
      </c>
      <c r="N123" s="135">
        <v>532</v>
      </c>
      <c r="O123" s="135">
        <v>0</v>
      </c>
      <c r="P123" s="135">
        <v>550</v>
      </c>
      <c r="Q123" s="135">
        <v>0</v>
      </c>
      <c r="R123" s="135">
        <v>0</v>
      </c>
      <c r="S123" s="135">
        <v>0</v>
      </c>
      <c r="T123" s="135">
        <v>0</v>
      </c>
    </row>
    <row r="124" spans="1:20" x14ac:dyDescent="0.2">
      <c r="A124" s="135" t="s">
        <v>60</v>
      </c>
      <c r="B124" s="135" t="s">
        <v>58</v>
      </c>
      <c r="C124" s="135" t="s">
        <v>22</v>
      </c>
      <c r="D124" s="135" t="s">
        <v>23</v>
      </c>
      <c r="E124" s="135" t="s">
        <v>209</v>
      </c>
      <c r="F124" s="135">
        <v>3</v>
      </c>
      <c r="G124" s="135" t="s">
        <v>69</v>
      </c>
      <c r="H124" s="135">
        <v>56</v>
      </c>
      <c r="I124" s="135">
        <v>112</v>
      </c>
      <c r="J124" s="135">
        <v>372</v>
      </c>
      <c r="K124" s="135">
        <v>0</v>
      </c>
      <c r="L124" s="135">
        <v>26</v>
      </c>
      <c r="M124" s="135">
        <v>0</v>
      </c>
      <c r="N124" s="135">
        <v>508</v>
      </c>
      <c r="O124" s="135">
        <v>0</v>
      </c>
      <c r="P124" s="135">
        <v>537</v>
      </c>
      <c r="Q124" s="135">
        <v>0</v>
      </c>
      <c r="R124" s="135">
        <v>0</v>
      </c>
      <c r="S124" s="135">
        <v>0</v>
      </c>
      <c r="T124" s="135">
        <v>0</v>
      </c>
    </row>
    <row r="125" spans="1:20" x14ac:dyDescent="0.2">
      <c r="A125" s="135" t="s">
        <v>60</v>
      </c>
      <c r="B125" s="135" t="s">
        <v>58</v>
      </c>
      <c r="C125" s="135" t="s">
        <v>22</v>
      </c>
      <c r="D125" s="135" t="s">
        <v>23</v>
      </c>
      <c r="E125" s="135" t="s">
        <v>208</v>
      </c>
      <c r="F125" s="135">
        <v>3</v>
      </c>
      <c r="G125" s="135" t="s">
        <v>71</v>
      </c>
      <c r="H125" s="135">
        <v>53</v>
      </c>
      <c r="I125" s="135">
        <v>101</v>
      </c>
      <c r="J125" s="135">
        <v>374</v>
      </c>
      <c r="K125" s="135">
        <v>0</v>
      </c>
      <c r="L125" s="135">
        <v>21</v>
      </c>
      <c r="M125" s="135">
        <v>0</v>
      </c>
      <c r="N125" s="135">
        <v>513</v>
      </c>
      <c r="O125" s="135">
        <v>0</v>
      </c>
      <c r="P125" s="135">
        <v>531</v>
      </c>
      <c r="Q125" s="135">
        <v>0</v>
      </c>
      <c r="R125" s="135">
        <v>0</v>
      </c>
      <c r="S125" s="135">
        <v>0</v>
      </c>
      <c r="T125" s="135">
        <v>0</v>
      </c>
    </row>
    <row r="126" spans="1:20" x14ac:dyDescent="0.2">
      <c r="A126" s="135" t="s">
        <v>61</v>
      </c>
      <c r="B126" s="135" t="s">
        <v>58</v>
      </c>
      <c r="C126" s="135" t="s">
        <v>22</v>
      </c>
      <c r="D126" s="135" t="s">
        <v>23</v>
      </c>
      <c r="E126" s="135" t="s">
        <v>50</v>
      </c>
      <c r="F126" s="135">
        <v>3</v>
      </c>
      <c r="G126" s="135" t="s">
        <v>25</v>
      </c>
      <c r="H126" s="135">
        <v>46</v>
      </c>
      <c r="I126" s="135">
        <v>20</v>
      </c>
      <c r="J126" s="135">
        <v>156</v>
      </c>
      <c r="K126" s="135">
        <v>0</v>
      </c>
      <c r="L126" s="135">
        <v>41</v>
      </c>
      <c r="M126" s="135">
        <v>0</v>
      </c>
      <c r="N126" s="135">
        <v>235</v>
      </c>
      <c r="O126" s="135">
        <v>0</v>
      </c>
      <c r="P126" s="135">
        <v>166</v>
      </c>
      <c r="Q126" s="135">
        <v>0</v>
      </c>
      <c r="R126" s="135">
        <v>0</v>
      </c>
      <c r="S126" s="135">
        <v>0</v>
      </c>
      <c r="T126" s="135">
        <v>0</v>
      </c>
    </row>
    <row r="127" spans="1:20" x14ac:dyDescent="0.2">
      <c r="A127" s="135" t="s">
        <v>61</v>
      </c>
      <c r="B127" s="135" t="s">
        <v>58</v>
      </c>
      <c r="C127" s="135" t="s">
        <v>22</v>
      </c>
      <c r="D127" s="135" t="s">
        <v>23</v>
      </c>
      <c r="E127" s="135" t="s">
        <v>51</v>
      </c>
      <c r="F127" s="135">
        <v>3</v>
      </c>
      <c r="G127" s="135" t="s">
        <v>67</v>
      </c>
      <c r="H127" s="135">
        <v>31</v>
      </c>
      <c r="I127" s="135">
        <v>13</v>
      </c>
      <c r="J127" s="135">
        <v>120</v>
      </c>
      <c r="K127" s="135">
        <v>0</v>
      </c>
      <c r="L127" s="135">
        <v>22</v>
      </c>
      <c r="M127" s="135">
        <v>0</v>
      </c>
      <c r="N127" s="135">
        <v>158</v>
      </c>
      <c r="O127" s="135">
        <v>0</v>
      </c>
      <c r="P127" s="135">
        <v>172</v>
      </c>
      <c r="Q127" s="135">
        <v>0</v>
      </c>
      <c r="R127" s="135">
        <v>0</v>
      </c>
      <c r="S127" s="135">
        <v>0</v>
      </c>
      <c r="T127" s="135">
        <v>0</v>
      </c>
    </row>
    <row r="128" spans="1:20" x14ac:dyDescent="0.2">
      <c r="A128" s="135" t="s">
        <v>61</v>
      </c>
      <c r="B128" s="135" t="s">
        <v>58</v>
      </c>
      <c r="C128" s="135" t="s">
        <v>22</v>
      </c>
      <c r="D128" s="135" t="s">
        <v>23</v>
      </c>
      <c r="E128" s="135" t="s">
        <v>207</v>
      </c>
      <c r="F128" s="135">
        <v>3</v>
      </c>
      <c r="G128" s="135" t="s">
        <v>69</v>
      </c>
      <c r="H128" s="135">
        <v>34</v>
      </c>
      <c r="I128" s="135">
        <v>12</v>
      </c>
      <c r="J128" s="135">
        <v>120</v>
      </c>
      <c r="K128" s="135">
        <v>0</v>
      </c>
      <c r="L128" s="135">
        <v>21</v>
      </c>
      <c r="M128" s="135">
        <v>0</v>
      </c>
      <c r="N128" s="135">
        <v>163</v>
      </c>
      <c r="O128" s="135">
        <v>0</v>
      </c>
      <c r="P128" s="135">
        <v>175</v>
      </c>
      <c r="Q128" s="135">
        <v>0</v>
      </c>
      <c r="R128" s="135">
        <v>0</v>
      </c>
      <c r="S128" s="135">
        <v>0</v>
      </c>
      <c r="T128" s="135">
        <v>0</v>
      </c>
    </row>
    <row r="129" spans="1:20" x14ac:dyDescent="0.2">
      <c r="A129" s="135" t="s">
        <v>61</v>
      </c>
      <c r="B129" s="135" t="s">
        <v>58</v>
      </c>
      <c r="C129" s="135" t="s">
        <v>22</v>
      </c>
      <c r="D129" s="135" t="s">
        <v>23</v>
      </c>
      <c r="E129" s="135" t="s">
        <v>206</v>
      </c>
      <c r="F129" s="135">
        <v>3</v>
      </c>
      <c r="G129" s="135" t="s">
        <v>71</v>
      </c>
      <c r="H129" s="135">
        <v>31</v>
      </c>
      <c r="I129" s="135">
        <v>9</v>
      </c>
      <c r="J129" s="135">
        <v>130</v>
      </c>
      <c r="K129" s="135">
        <v>0</v>
      </c>
      <c r="L129" s="135">
        <v>23</v>
      </c>
      <c r="M129" s="135">
        <v>0</v>
      </c>
      <c r="N129" s="135">
        <v>159</v>
      </c>
      <c r="O129" s="135">
        <v>0</v>
      </c>
      <c r="P129" s="135">
        <v>176</v>
      </c>
      <c r="Q129" s="135">
        <v>0</v>
      </c>
      <c r="R129" s="135">
        <v>0</v>
      </c>
      <c r="S129" s="135">
        <v>0</v>
      </c>
      <c r="T129" s="135">
        <v>0</v>
      </c>
    </row>
    <row r="130" spans="1:20" x14ac:dyDescent="0.2">
      <c r="A130" s="135" t="s">
        <v>57</v>
      </c>
      <c r="B130" s="135" t="s">
        <v>58</v>
      </c>
      <c r="C130" s="135" t="s">
        <v>22</v>
      </c>
      <c r="D130" s="135" t="s">
        <v>23</v>
      </c>
      <c r="E130" s="135" t="s">
        <v>38</v>
      </c>
      <c r="F130" s="135">
        <v>3</v>
      </c>
      <c r="G130" s="135" t="s">
        <v>25</v>
      </c>
      <c r="H130" s="135">
        <v>41</v>
      </c>
      <c r="I130" s="135">
        <v>106</v>
      </c>
      <c r="J130" s="135">
        <v>57</v>
      </c>
      <c r="K130" s="135">
        <v>0</v>
      </c>
      <c r="L130" s="135">
        <v>133</v>
      </c>
      <c r="M130" s="135">
        <v>0</v>
      </c>
      <c r="N130" s="135">
        <v>1514</v>
      </c>
      <c r="O130" s="135">
        <v>0</v>
      </c>
      <c r="P130" s="135">
        <v>617</v>
      </c>
      <c r="Q130" s="135">
        <v>0</v>
      </c>
      <c r="R130" s="135">
        <v>0</v>
      </c>
      <c r="S130" s="135">
        <v>0</v>
      </c>
      <c r="T130" s="135">
        <v>0</v>
      </c>
    </row>
    <row r="131" spans="1:20" x14ac:dyDescent="0.2">
      <c r="A131" s="135" t="s">
        <v>57</v>
      </c>
      <c r="B131" s="135" t="s">
        <v>58</v>
      </c>
      <c r="C131" s="135" t="s">
        <v>22</v>
      </c>
      <c r="D131" s="135" t="s">
        <v>23</v>
      </c>
      <c r="E131" s="135" t="s">
        <v>40</v>
      </c>
      <c r="F131" s="135">
        <v>3</v>
      </c>
      <c r="G131" s="135" t="s">
        <v>114</v>
      </c>
      <c r="H131" s="135">
        <v>23</v>
      </c>
      <c r="I131" s="135">
        <v>35</v>
      </c>
      <c r="J131" s="135">
        <v>25</v>
      </c>
      <c r="K131" s="135">
        <v>0</v>
      </c>
      <c r="L131" s="135">
        <v>42</v>
      </c>
      <c r="M131" s="135">
        <v>0</v>
      </c>
      <c r="N131" s="135">
        <v>614</v>
      </c>
      <c r="O131" s="135">
        <v>0</v>
      </c>
      <c r="P131" s="135">
        <v>739</v>
      </c>
      <c r="Q131" s="135">
        <v>0</v>
      </c>
      <c r="R131" s="135">
        <v>0</v>
      </c>
      <c r="S131" s="135">
        <v>0</v>
      </c>
      <c r="T131" s="135">
        <v>0</v>
      </c>
    </row>
    <row r="132" spans="1:20" x14ac:dyDescent="0.2">
      <c r="A132" s="135" t="s">
        <v>57</v>
      </c>
      <c r="B132" s="135" t="s">
        <v>58</v>
      </c>
      <c r="C132" s="135" t="s">
        <v>22</v>
      </c>
      <c r="D132" s="135" t="s">
        <v>23</v>
      </c>
      <c r="E132" s="135" t="s">
        <v>122</v>
      </c>
      <c r="F132" s="135">
        <v>3</v>
      </c>
      <c r="G132" s="135" t="s">
        <v>116</v>
      </c>
      <c r="H132" s="135">
        <v>20</v>
      </c>
      <c r="I132" s="135">
        <v>29</v>
      </c>
      <c r="J132" s="135">
        <v>30</v>
      </c>
      <c r="K132" s="135">
        <v>0</v>
      </c>
      <c r="L132" s="135">
        <v>35</v>
      </c>
      <c r="M132" s="135">
        <v>0</v>
      </c>
      <c r="N132" s="135">
        <v>617</v>
      </c>
      <c r="O132" s="135">
        <v>0</v>
      </c>
      <c r="P132" s="135">
        <v>731</v>
      </c>
      <c r="Q132" s="135">
        <v>0</v>
      </c>
      <c r="R132" s="135">
        <v>0</v>
      </c>
      <c r="S132" s="135">
        <v>0</v>
      </c>
      <c r="T132" s="135">
        <v>0</v>
      </c>
    </row>
    <row r="133" spans="1:20" x14ac:dyDescent="0.2">
      <c r="A133" s="135" t="s">
        <v>57</v>
      </c>
      <c r="B133" s="135" t="s">
        <v>58</v>
      </c>
      <c r="C133" s="135" t="s">
        <v>22</v>
      </c>
      <c r="D133" s="135" t="s">
        <v>23</v>
      </c>
      <c r="E133" s="135" t="s">
        <v>123</v>
      </c>
      <c r="F133" s="135">
        <v>3</v>
      </c>
      <c r="G133" s="135" t="s">
        <v>118</v>
      </c>
      <c r="H133" s="135">
        <v>19</v>
      </c>
      <c r="I133" s="135">
        <v>37</v>
      </c>
      <c r="J133" s="135">
        <v>22</v>
      </c>
      <c r="K133" s="135">
        <v>0</v>
      </c>
      <c r="L133" s="135">
        <v>32</v>
      </c>
      <c r="M133" s="135">
        <v>0</v>
      </c>
      <c r="N133" s="135">
        <v>598</v>
      </c>
      <c r="O133" s="135">
        <v>0</v>
      </c>
      <c r="P133" s="135">
        <v>708</v>
      </c>
      <c r="Q133" s="135">
        <v>0</v>
      </c>
      <c r="R133" s="135">
        <v>0</v>
      </c>
      <c r="S133" s="135">
        <v>0</v>
      </c>
      <c r="T133" s="135">
        <v>0</v>
      </c>
    </row>
    <row r="134" spans="1:20" x14ac:dyDescent="0.2">
      <c r="A134" s="135" t="s">
        <v>59</v>
      </c>
      <c r="B134" s="135" t="s">
        <v>58</v>
      </c>
      <c r="C134" s="135" t="s">
        <v>22</v>
      </c>
      <c r="D134" s="135" t="s">
        <v>23</v>
      </c>
      <c r="E134" s="135" t="s">
        <v>42</v>
      </c>
      <c r="F134" s="135">
        <v>3</v>
      </c>
      <c r="G134" s="135" t="s">
        <v>25</v>
      </c>
      <c r="H134" s="135">
        <v>9</v>
      </c>
      <c r="I134" s="135">
        <v>510</v>
      </c>
      <c r="J134" s="135">
        <v>975</v>
      </c>
      <c r="K134" s="135">
        <v>0</v>
      </c>
      <c r="L134" s="135">
        <v>5</v>
      </c>
      <c r="M134" s="135">
        <v>0</v>
      </c>
      <c r="N134" s="135">
        <v>124</v>
      </c>
      <c r="O134" s="135">
        <v>0</v>
      </c>
      <c r="P134" s="135">
        <v>541</v>
      </c>
      <c r="Q134" s="135">
        <v>0</v>
      </c>
      <c r="R134" s="135">
        <v>0</v>
      </c>
      <c r="S134" s="135">
        <v>0</v>
      </c>
      <c r="T134" s="135">
        <v>0</v>
      </c>
    </row>
    <row r="135" spans="1:20" x14ac:dyDescent="0.2">
      <c r="A135" s="135" t="s">
        <v>59</v>
      </c>
      <c r="B135" s="135" t="s">
        <v>58</v>
      </c>
      <c r="C135" s="135" t="s">
        <v>22</v>
      </c>
      <c r="D135" s="135" t="s">
        <v>23</v>
      </c>
      <c r="E135" s="135" t="s">
        <v>44</v>
      </c>
      <c r="F135" s="135">
        <v>3</v>
      </c>
      <c r="G135" s="135" t="s">
        <v>114</v>
      </c>
      <c r="H135" s="135">
        <v>6</v>
      </c>
      <c r="I135" s="135">
        <v>193</v>
      </c>
      <c r="J135" s="135">
        <v>430</v>
      </c>
      <c r="K135" s="135">
        <v>0</v>
      </c>
      <c r="L135" s="135">
        <v>4</v>
      </c>
      <c r="M135" s="135">
        <v>0</v>
      </c>
      <c r="N135" s="135">
        <v>53</v>
      </c>
      <c r="O135" s="135">
        <v>0</v>
      </c>
      <c r="P135" s="135">
        <v>686</v>
      </c>
      <c r="Q135" s="135">
        <v>0</v>
      </c>
      <c r="R135" s="135">
        <v>0</v>
      </c>
      <c r="S135" s="135">
        <v>0</v>
      </c>
      <c r="T135" s="135">
        <v>0</v>
      </c>
    </row>
    <row r="136" spans="1:20" x14ac:dyDescent="0.2">
      <c r="A136" s="135" t="s">
        <v>59</v>
      </c>
      <c r="B136" s="135" t="s">
        <v>58</v>
      </c>
      <c r="C136" s="135" t="s">
        <v>22</v>
      </c>
      <c r="D136" s="135" t="s">
        <v>23</v>
      </c>
      <c r="E136" s="135" t="s">
        <v>127</v>
      </c>
      <c r="F136" s="135">
        <v>3</v>
      </c>
      <c r="G136" s="135" t="s">
        <v>116</v>
      </c>
      <c r="H136" s="135">
        <v>4</v>
      </c>
      <c r="I136" s="135">
        <v>191</v>
      </c>
      <c r="J136" s="135">
        <v>417</v>
      </c>
      <c r="K136" s="135">
        <v>0</v>
      </c>
      <c r="L136" s="135">
        <v>3</v>
      </c>
      <c r="M136" s="135">
        <v>0</v>
      </c>
      <c r="N136" s="135">
        <v>56</v>
      </c>
      <c r="O136" s="135">
        <v>0</v>
      </c>
      <c r="P136" s="135">
        <v>671</v>
      </c>
      <c r="Q136" s="135">
        <v>0</v>
      </c>
      <c r="R136" s="135">
        <v>0</v>
      </c>
      <c r="S136" s="135">
        <v>0</v>
      </c>
      <c r="T136" s="135">
        <v>0</v>
      </c>
    </row>
    <row r="137" spans="1:20" x14ac:dyDescent="0.2">
      <c r="A137" s="135" t="s">
        <v>59</v>
      </c>
      <c r="B137" s="135" t="s">
        <v>58</v>
      </c>
      <c r="C137" s="135" t="s">
        <v>22</v>
      </c>
      <c r="D137" s="135" t="s">
        <v>23</v>
      </c>
      <c r="E137" s="135" t="s">
        <v>128</v>
      </c>
      <c r="F137" s="135">
        <v>3</v>
      </c>
      <c r="G137" s="135" t="s">
        <v>118</v>
      </c>
      <c r="H137" s="135">
        <v>6</v>
      </c>
      <c r="I137" s="135">
        <v>185</v>
      </c>
      <c r="J137" s="135">
        <v>404</v>
      </c>
      <c r="K137" s="135">
        <v>0</v>
      </c>
      <c r="L137" s="135">
        <v>0</v>
      </c>
      <c r="M137" s="135">
        <v>0</v>
      </c>
      <c r="N137" s="135">
        <v>59</v>
      </c>
      <c r="O137" s="135">
        <v>0</v>
      </c>
      <c r="P137" s="135">
        <v>654</v>
      </c>
      <c r="Q137" s="135">
        <v>0</v>
      </c>
      <c r="R137" s="135">
        <v>0</v>
      </c>
      <c r="S137" s="135">
        <v>0</v>
      </c>
      <c r="T137" s="135">
        <v>0</v>
      </c>
    </row>
    <row r="138" spans="1:20" x14ac:dyDescent="0.2">
      <c r="A138" s="135" t="s">
        <v>60</v>
      </c>
      <c r="B138" s="135" t="s">
        <v>58</v>
      </c>
      <c r="C138" s="135" t="s">
        <v>22</v>
      </c>
      <c r="D138" s="135" t="s">
        <v>23</v>
      </c>
      <c r="E138" s="135" t="s">
        <v>46</v>
      </c>
      <c r="F138" s="135">
        <v>3</v>
      </c>
      <c r="G138" s="135" t="s">
        <v>25</v>
      </c>
      <c r="H138" s="135">
        <v>81</v>
      </c>
      <c r="I138" s="135">
        <v>129</v>
      </c>
      <c r="J138" s="135">
        <v>537</v>
      </c>
      <c r="K138" s="135">
        <v>0</v>
      </c>
      <c r="L138" s="135">
        <v>39</v>
      </c>
      <c r="M138" s="135">
        <v>0</v>
      </c>
      <c r="N138" s="135">
        <v>711</v>
      </c>
      <c r="O138" s="135">
        <v>0</v>
      </c>
      <c r="P138" s="135">
        <v>499</v>
      </c>
      <c r="Q138" s="135">
        <v>0</v>
      </c>
      <c r="R138" s="135">
        <v>0</v>
      </c>
      <c r="S138" s="135">
        <v>0</v>
      </c>
      <c r="T138" s="135">
        <v>0</v>
      </c>
    </row>
    <row r="139" spans="1:20" x14ac:dyDescent="0.2">
      <c r="A139" s="135" t="s">
        <v>60</v>
      </c>
      <c r="B139" s="135" t="s">
        <v>58</v>
      </c>
      <c r="C139" s="135" t="s">
        <v>22</v>
      </c>
      <c r="D139" s="135" t="s">
        <v>23</v>
      </c>
      <c r="E139" s="135" t="s">
        <v>48</v>
      </c>
      <c r="F139" s="135">
        <v>3</v>
      </c>
      <c r="G139" s="135" t="s">
        <v>114</v>
      </c>
      <c r="H139" s="135">
        <v>26</v>
      </c>
      <c r="I139" s="135">
        <v>52</v>
      </c>
      <c r="J139" s="135">
        <v>211</v>
      </c>
      <c r="K139" s="135">
        <v>0</v>
      </c>
      <c r="L139" s="135">
        <v>12</v>
      </c>
      <c r="M139" s="135">
        <v>0</v>
      </c>
      <c r="N139" s="135">
        <v>274</v>
      </c>
      <c r="O139" s="135">
        <v>0</v>
      </c>
      <c r="P139" s="135">
        <v>575</v>
      </c>
      <c r="Q139" s="135">
        <v>0</v>
      </c>
      <c r="R139" s="135">
        <v>0</v>
      </c>
      <c r="S139" s="135">
        <v>0</v>
      </c>
      <c r="T139" s="135">
        <v>0</v>
      </c>
    </row>
    <row r="140" spans="1:20" x14ac:dyDescent="0.2">
      <c r="A140" s="135" t="s">
        <v>60</v>
      </c>
      <c r="B140" s="135" t="s">
        <v>58</v>
      </c>
      <c r="C140" s="135" t="s">
        <v>22</v>
      </c>
      <c r="D140" s="135" t="s">
        <v>23</v>
      </c>
      <c r="E140" s="135" t="s">
        <v>132</v>
      </c>
      <c r="F140" s="135">
        <v>3</v>
      </c>
      <c r="G140" s="135" t="s">
        <v>116</v>
      </c>
      <c r="H140" s="135">
        <v>26</v>
      </c>
      <c r="I140" s="135">
        <v>41</v>
      </c>
      <c r="J140" s="135">
        <v>219</v>
      </c>
      <c r="K140" s="135">
        <v>0</v>
      </c>
      <c r="L140" s="135">
        <v>11</v>
      </c>
      <c r="M140" s="135">
        <v>0</v>
      </c>
      <c r="N140" s="135">
        <v>276</v>
      </c>
      <c r="O140" s="135">
        <v>0</v>
      </c>
      <c r="P140" s="135">
        <v>573</v>
      </c>
      <c r="Q140" s="135">
        <v>0</v>
      </c>
      <c r="R140" s="135">
        <v>0</v>
      </c>
      <c r="S140" s="135">
        <v>0</v>
      </c>
      <c r="T140" s="135">
        <v>0</v>
      </c>
    </row>
    <row r="141" spans="1:20" x14ac:dyDescent="0.2">
      <c r="A141" s="135" t="s">
        <v>60</v>
      </c>
      <c r="B141" s="135" t="s">
        <v>58</v>
      </c>
      <c r="C141" s="135" t="s">
        <v>22</v>
      </c>
      <c r="D141" s="135" t="s">
        <v>23</v>
      </c>
      <c r="E141" s="135" t="s">
        <v>133</v>
      </c>
      <c r="F141" s="135">
        <v>3</v>
      </c>
      <c r="G141" s="135" t="s">
        <v>118</v>
      </c>
      <c r="H141" s="135">
        <v>26</v>
      </c>
      <c r="I141" s="135">
        <v>53</v>
      </c>
      <c r="J141" s="135">
        <v>205</v>
      </c>
      <c r="K141" s="135">
        <v>0</v>
      </c>
      <c r="L141" s="135">
        <v>12</v>
      </c>
      <c r="M141" s="135">
        <v>0</v>
      </c>
      <c r="N141" s="135">
        <v>269</v>
      </c>
      <c r="O141" s="135">
        <v>0</v>
      </c>
      <c r="P141" s="135">
        <v>565</v>
      </c>
      <c r="Q141" s="135">
        <v>0</v>
      </c>
      <c r="R141" s="135">
        <v>0</v>
      </c>
      <c r="S141" s="135">
        <v>0</v>
      </c>
      <c r="T141" s="135">
        <v>0</v>
      </c>
    </row>
    <row r="142" spans="1:20" x14ac:dyDescent="0.2">
      <c r="A142" s="135" t="s">
        <v>61</v>
      </c>
      <c r="B142" s="135" t="s">
        <v>58</v>
      </c>
      <c r="C142" s="135" t="s">
        <v>22</v>
      </c>
      <c r="D142" s="135" t="s">
        <v>23</v>
      </c>
      <c r="E142" s="135" t="s">
        <v>50</v>
      </c>
      <c r="F142" s="135">
        <v>3</v>
      </c>
      <c r="G142" s="135" t="s">
        <v>25</v>
      </c>
      <c r="H142" s="135">
        <v>46</v>
      </c>
      <c r="I142" s="135">
        <v>20</v>
      </c>
      <c r="J142" s="135">
        <v>156</v>
      </c>
      <c r="K142" s="135">
        <v>0</v>
      </c>
      <c r="L142" s="135">
        <v>41</v>
      </c>
      <c r="M142" s="135">
        <v>0</v>
      </c>
      <c r="N142" s="135">
        <v>235</v>
      </c>
      <c r="O142" s="135">
        <v>0</v>
      </c>
      <c r="P142" s="135">
        <v>166</v>
      </c>
      <c r="Q142" s="135">
        <v>0</v>
      </c>
      <c r="R142" s="135">
        <v>0</v>
      </c>
      <c r="S142" s="135">
        <v>0</v>
      </c>
      <c r="T142" s="135">
        <v>0</v>
      </c>
    </row>
    <row r="143" spans="1:20" x14ac:dyDescent="0.2">
      <c r="A143" s="135" t="s">
        <v>61</v>
      </c>
      <c r="B143" s="135" t="s">
        <v>58</v>
      </c>
      <c r="C143" s="135" t="s">
        <v>22</v>
      </c>
      <c r="D143" s="135" t="s">
        <v>23</v>
      </c>
      <c r="E143" s="135" t="s">
        <v>52</v>
      </c>
      <c r="F143" s="135">
        <v>3</v>
      </c>
      <c r="G143" s="135" t="s">
        <v>114</v>
      </c>
      <c r="H143" s="135">
        <v>13</v>
      </c>
      <c r="I143" s="135">
        <v>9</v>
      </c>
      <c r="J143" s="135">
        <v>63</v>
      </c>
      <c r="K143" s="135">
        <v>0</v>
      </c>
      <c r="L143" s="135">
        <v>10</v>
      </c>
      <c r="M143" s="135">
        <v>0</v>
      </c>
      <c r="N143" s="135">
        <v>85</v>
      </c>
      <c r="O143" s="135">
        <v>0</v>
      </c>
      <c r="P143" s="135">
        <v>180</v>
      </c>
      <c r="Q143" s="135">
        <v>0</v>
      </c>
      <c r="R143" s="135">
        <v>0</v>
      </c>
      <c r="S143" s="135">
        <v>0</v>
      </c>
      <c r="T143" s="135">
        <v>0</v>
      </c>
    </row>
    <row r="144" spans="1:20" x14ac:dyDescent="0.2">
      <c r="A144" s="135" t="s">
        <v>61</v>
      </c>
      <c r="B144" s="135" t="s">
        <v>58</v>
      </c>
      <c r="C144" s="135" t="s">
        <v>22</v>
      </c>
      <c r="D144" s="135" t="s">
        <v>23</v>
      </c>
      <c r="E144" s="135" t="s">
        <v>115</v>
      </c>
      <c r="F144" s="135">
        <v>3</v>
      </c>
      <c r="G144" s="135" t="s">
        <v>116</v>
      </c>
      <c r="H144" s="135">
        <v>15</v>
      </c>
      <c r="I144" s="135">
        <v>10</v>
      </c>
      <c r="J144" s="135">
        <v>64</v>
      </c>
      <c r="K144" s="135">
        <v>0</v>
      </c>
      <c r="L144" s="135">
        <v>11</v>
      </c>
      <c r="M144" s="135">
        <v>0</v>
      </c>
      <c r="N144" s="135">
        <v>84</v>
      </c>
      <c r="O144" s="135">
        <v>0</v>
      </c>
      <c r="P144" s="135">
        <v>184</v>
      </c>
      <c r="Q144" s="135">
        <v>0</v>
      </c>
      <c r="R144" s="135">
        <v>0</v>
      </c>
      <c r="S144" s="135">
        <v>0</v>
      </c>
      <c r="T144" s="135">
        <v>0</v>
      </c>
    </row>
    <row r="145" spans="1:32" x14ac:dyDescent="0.2">
      <c r="A145" s="135" t="s">
        <v>61</v>
      </c>
      <c r="B145" s="135" t="s">
        <v>58</v>
      </c>
      <c r="C145" s="135" t="s">
        <v>22</v>
      </c>
      <c r="D145" s="135" t="s">
        <v>23</v>
      </c>
      <c r="E145" s="135" t="s">
        <v>117</v>
      </c>
      <c r="F145" s="135">
        <v>3</v>
      </c>
      <c r="G145" s="135" t="s">
        <v>118</v>
      </c>
      <c r="H145" s="135">
        <v>17</v>
      </c>
      <c r="I145" s="135">
        <v>5</v>
      </c>
      <c r="J145" s="135">
        <v>64</v>
      </c>
      <c r="K145" s="135">
        <v>0</v>
      </c>
      <c r="L145" s="135">
        <v>14</v>
      </c>
      <c r="M145" s="135">
        <v>0</v>
      </c>
      <c r="N145" s="135">
        <v>81</v>
      </c>
      <c r="O145" s="135">
        <v>0</v>
      </c>
      <c r="P145" s="135">
        <v>181</v>
      </c>
      <c r="Q145" s="135">
        <v>0</v>
      </c>
      <c r="R145" s="135">
        <v>0</v>
      </c>
      <c r="S145" s="135">
        <v>0</v>
      </c>
      <c r="T145" s="135">
        <v>0</v>
      </c>
    </row>
    <row r="150" spans="1:32" ht="15" customHeight="1" x14ac:dyDescent="0.2">
      <c r="A150" s="10" t="s">
        <v>222</v>
      </c>
      <c r="B150" s="11" t="s">
        <v>223</v>
      </c>
      <c r="C150" s="11"/>
      <c r="D150" s="11"/>
      <c r="E150" s="11"/>
      <c r="F150" s="12"/>
      <c r="G150" s="11" t="s">
        <v>224</v>
      </c>
      <c r="H150" s="11"/>
      <c r="I150" s="11"/>
      <c r="J150" s="11"/>
      <c r="L150" s="11" t="s">
        <v>227</v>
      </c>
      <c r="M150" s="11"/>
      <c r="N150" s="11"/>
      <c r="O150" s="11"/>
    </row>
    <row r="151" spans="1:32" x14ac:dyDescent="0.2">
      <c r="A151" s="13"/>
      <c r="B151" s="12" t="s">
        <v>183</v>
      </c>
      <c r="C151" s="12" t="s">
        <v>184</v>
      </c>
      <c r="D151" s="12" t="s">
        <v>185</v>
      </c>
      <c r="E151" s="12" t="s">
        <v>186</v>
      </c>
      <c r="F151" s="12"/>
      <c r="G151" s="12" t="s">
        <v>183</v>
      </c>
      <c r="H151" s="12" t="s">
        <v>184</v>
      </c>
      <c r="I151" s="12" t="s">
        <v>185</v>
      </c>
      <c r="J151" s="12" t="s">
        <v>186</v>
      </c>
      <c r="K151" s="14"/>
      <c r="L151" s="12" t="s">
        <v>183</v>
      </c>
      <c r="M151" s="12" t="s">
        <v>184</v>
      </c>
      <c r="N151" s="12" t="s">
        <v>185</v>
      </c>
      <c r="O151" s="12" t="s">
        <v>186</v>
      </c>
    </row>
    <row r="152" spans="1:32" x14ac:dyDescent="0.2">
      <c r="A152" s="15" t="s">
        <v>7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32" x14ac:dyDescent="0.2">
      <c r="A153" s="16" t="s">
        <v>187</v>
      </c>
      <c r="B153" s="18">
        <f>$H$3/(($F$3-1)*$P$3)*100</f>
        <v>8.9499999999999993</v>
      </c>
      <c r="C153" s="18">
        <f>$H$7/(($F$7-1)*$P$7)*100</f>
        <v>1.6096579476861168</v>
      </c>
      <c r="D153" s="21">
        <f>$H$11/(($F$11-1)*$P$11)*100</f>
        <v>10.510948905109489</v>
      </c>
      <c r="E153" s="21">
        <f>$H$15/(($F$15-1)*$P$15)*100</f>
        <v>15.463917525773196</v>
      </c>
      <c r="F153" s="7">
        <f>AVERAGE(B153:E155)</f>
        <v>9.4091784331596262</v>
      </c>
      <c r="G153" s="18">
        <f>$H$4/(($F$4-1)*$P$4)*100</f>
        <v>9.4</v>
      </c>
      <c r="H153" s="18">
        <f>$H$8/(($F$8-1)*$P$8)*100</f>
        <v>1.4587525150905434</v>
      </c>
      <c r="I153" s="17">
        <f>$H$12/(($F$12-1)*$P$12)*100</f>
        <v>12.008733624454148</v>
      </c>
      <c r="J153" s="17">
        <f>$H$16/(($F$16-1)*$P$16)*100</f>
        <v>15.989847715736042</v>
      </c>
      <c r="K153" s="7">
        <f>AVERAGE(G153:J155)</f>
        <v>10.186141618234663</v>
      </c>
      <c r="L153" s="19">
        <f>$H$5/(($F$5-1)*$P$5)*100</f>
        <v>8.5585585585585591</v>
      </c>
      <c r="M153" s="19">
        <f>$H$9/(($F$9-1)*$P$9)*100</f>
        <v>1.3554216867469879</v>
      </c>
      <c r="N153" s="17">
        <f>$H$13/(($F$13-1)*$P$13)*100</f>
        <v>12.244897959183673</v>
      </c>
      <c r="O153" s="17">
        <f>$H$17/(($F$17-1)*$P$17)*100</f>
        <v>15.561224489795919</v>
      </c>
      <c r="P153" s="7">
        <f>AVERAGE(L153:O155)</f>
        <v>9.8445088763791517</v>
      </c>
      <c r="Q153" s="75" t="s">
        <v>222</v>
      </c>
      <c r="R153" s="77" t="s">
        <v>223</v>
      </c>
      <c r="S153" s="77"/>
      <c r="T153" s="77"/>
      <c r="U153" s="77"/>
      <c r="V153" s="78"/>
      <c r="W153" s="77" t="s">
        <v>224</v>
      </c>
      <c r="X153" s="77"/>
      <c r="Y153" s="77"/>
      <c r="Z153" s="77"/>
      <c r="AB153" s="77" t="s">
        <v>227</v>
      </c>
      <c r="AC153" s="77"/>
      <c r="AD153" s="77"/>
      <c r="AE153" s="77"/>
    </row>
    <row r="154" spans="1:32" x14ac:dyDescent="0.2">
      <c r="A154" s="16" t="s">
        <v>188</v>
      </c>
      <c r="B154" s="17">
        <f>$H$19/(($F$19-1)*$P$19)*100</f>
        <v>30.150753768844218</v>
      </c>
      <c r="C154" s="19">
        <f>$H$23/(($F$23-1)*$P$23)*100</f>
        <v>1.6145307769929365</v>
      </c>
      <c r="D154" s="23">
        <f>$H$27/(($F$27-1)*$P$27)*100</f>
        <v>3.7390029325513199</v>
      </c>
      <c r="E154" s="21">
        <f>$H$31/(($F$31-1)*$P$31)*100</f>
        <v>19.587628865979383</v>
      </c>
      <c r="F154" s="12"/>
      <c r="G154" s="17">
        <f>$H$20/(($F$20-1)*$P$20)*100</f>
        <v>30.19153225806452</v>
      </c>
      <c r="H154" s="18">
        <f>$H$24/(($F$24-1)*$P$24)*100</f>
        <v>1.8592964824120601</v>
      </c>
      <c r="I154" s="23">
        <f>$H$28/(($F$28-1)*$P$28)*100</f>
        <v>4.1850220264317182</v>
      </c>
      <c r="J154" s="17">
        <f>$H$32/(($F$32-1)*$P$32)*100</f>
        <v>21.025641025641026</v>
      </c>
      <c r="L154" s="21">
        <f>$H$21/(($F$21-1)*$P$21)*100</f>
        <v>29.798994974874372</v>
      </c>
      <c r="M154" s="18">
        <f>$H$25/(($F$25-1)*$P$25)*100</f>
        <v>2.2088353413654618</v>
      </c>
      <c r="N154" s="22">
        <f>$H$29/(($F$29-1)*$P$29)*100</f>
        <v>3.3823529411764706</v>
      </c>
      <c r="O154" s="17">
        <f>$H$33/(($F$33-1)*$P$33)*100</f>
        <v>20.918367346938776</v>
      </c>
      <c r="Q154" s="76"/>
      <c r="R154" s="12" t="s">
        <v>183</v>
      </c>
      <c r="S154" s="12" t="s">
        <v>184</v>
      </c>
      <c r="T154" s="12" t="s">
        <v>185</v>
      </c>
      <c r="U154" s="12" t="s">
        <v>186</v>
      </c>
      <c r="V154" s="78"/>
      <c r="W154" s="12" t="s">
        <v>183</v>
      </c>
      <c r="X154" s="12" t="s">
        <v>184</v>
      </c>
      <c r="Y154" s="12" t="s">
        <v>185</v>
      </c>
      <c r="Z154" s="12" t="s">
        <v>186</v>
      </c>
      <c r="AA154" s="14"/>
      <c r="AB154" s="12" t="s">
        <v>183</v>
      </c>
      <c r="AC154" s="12" t="s">
        <v>184</v>
      </c>
      <c r="AD154" s="12" t="s">
        <v>185</v>
      </c>
      <c r="AE154" s="12" t="s">
        <v>186</v>
      </c>
    </row>
    <row r="155" spans="1:32" x14ac:dyDescent="0.2">
      <c r="A155" s="16" t="s">
        <v>189</v>
      </c>
      <c r="B155" s="22">
        <f>$H$43/(($F$43-1)*$P$43)*100</f>
        <v>5.6858147713950764</v>
      </c>
      <c r="C155" s="25">
        <f>$H$47/(($F$47-1)*$P$47)*100</f>
        <v>0.55248618784530379</v>
      </c>
      <c r="D155" s="19">
        <f>$H$51/(($F$51-1)*$P$51)*100</f>
        <v>5.4025423728813564</v>
      </c>
      <c r="E155" s="22">
        <f>$H$55/(($F$55-1)*$P$55)*100</f>
        <v>9.6428571428571441</v>
      </c>
      <c r="F155" s="12"/>
      <c r="G155" s="23">
        <f>$H$44/(($F$44-1)*$P$44)*100</f>
        <v>5.8166862514688606</v>
      </c>
      <c r="H155" s="24">
        <f>$H$48/(($F$48-1)*$P$48)*100</f>
        <v>0.94722598105548039</v>
      </c>
      <c r="I155" s="18">
        <f>$H$52/(($F$52-1)*$P$52)*100</f>
        <v>7.8125</v>
      </c>
      <c r="J155" s="26">
        <f>$H$56/(($F$56-1)*$P$56)*100</f>
        <v>11.538461538461538</v>
      </c>
      <c r="L155" s="23">
        <f>$H$45/(($F$45-1)*$P$45)*100</f>
        <v>5.9665871121718377</v>
      </c>
      <c r="M155" s="23">
        <f>$H$49/(($F$49-1)*$P$49)*100</f>
        <v>1.193820224719101</v>
      </c>
      <c r="N155" s="18">
        <f>$H$53/(($F$53-1)*$P$53)*100</f>
        <v>6.2893081761006293</v>
      </c>
      <c r="O155" s="26">
        <f>$H$57/(($F$57-1)*$P$57)*100</f>
        <v>10.655737704918032</v>
      </c>
      <c r="Q155" s="16" t="s">
        <v>187</v>
      </c>
      <c r="R155" s="30">
        <f>B153+B157</f>
        <v>72.5</v>
      </c>
      <c r="S155" s="30">
        <f t="shared" ref="S155:U157" si="26">C153+C157</f>
        <v>8.3501006036217298</v>
      </c>
      <c r="T155" s="30">
        <f t="shared" si="26"/>
        <v>38.102189781021899</v>
      </c>
      <c r="U155" s="30">
        <f t="shared" si="26"/>
        <v>57.989690721649488</v>
      </c>
      <c r="V155" s="30"/>
      <c r="W155" s="30">
        <f>G153+G157</f>
        <v>73.45</v>
      </c>
      <c r="X155" s="30">
        <f t="shared" ref="X155:Z157" si="27">H153+H157</f>
        <v>8.6016096579476855</v>
      </c>
      <c r="Y155" s="30">
        <f t="shared" si="27"/>
        <v>40.320232896652108</v>
      </c>
      <c r="Z155" s="30">
        <f t="shared" si="27"/>
        <v>58.121827411167509</v>
      </c>
      <c r="AA155" s="30"/>
      <c r="AB155" s="30">
        <f>L153+L157</f>
        <v>72.222222222222229</v>
      </c>
      <c r="AC155" s="30">
        <f t="shared" ref="AC155:AE157" si="28">M153+M157</f>
        <v>8.433734939759038</v>
      </c>
      <c r="AD155" s="30">
        <f t="shared" si="28"/>
        <v>41.10787172011662</v>
      </c>
      <c r="AE155" s="30">
        <f t="shared" si="28"/>
        <v>58.928571428571431</v>
      </c>
      <c r="AF155" s="30">
        <f>AVERAGE(R155:U155,W155:Z155,AB155:AE155)</f>
        <v>44.844004281894144</v>
      </c>
    </row>
    <row r="156" spans="1:32" x14ac:dyDescent="0.2">
      <c r="A156" s="15" t="s">
        <v>13</v>
      </c>
      <c r="B156" s="27"/>
      <c r="C156" s="27"/>
      <c r="D156" s="27"/>
      <c r="E156" s="27"/>
      <c r="F156" s="27"/>
      <c r="G156" s="27"/>
      <c r="H156" s="27"/>
      <c r="I156" s="27"/>
      <c r="J156" s="27"/>
      <c r="K156" s="15"/>
      <c r="L156" s="27"/>
      <c r="M156" s="27"/>
      <c r="N156" s="27"/>
      <c r="O156" s="27"/>
      <c r="Q156" s="16" t="s">
        <v>188</v>
      </c>
      <c r="R156" s="30">
        <f t="shared" ref="R156:R157" si="29">B154+B158</f>
        <v>75.879396984924625</v>
      </c>
      <c r="S156" s="30">
        <f t="shared" si="26"/>
        <v>8.7790110998990922</v>
      </c>
      <c r="T156" s="30">
        <f t="shared" si="26"/>
        <v>47.94721407624634</v>
      </c>
      <c r="U156" s="30">
        <f t="shared" si="26"/>
        <v>45.876288659793815</v>
      </c>
      <c r="V156" s="30"/>
      <c r="W156" s="30">
        <f t="shared" ref="W156:W157" si="30">G154+G158</f>
        <v>76.411290322580641</v>
      </c>
      <c r="X156" s="30">
        <f t="shared" si="27"/>
        <v>9.0452261306532655</v>
      </c>
      <c r="Y156" s="30">
        <f t="shared" si="27"/>
        <v>48.017621145374449</v>
      </c>
      <c r="Z156" s="30">
        <f t="shared" si="27"/>
        <v>48.717948717948715</v>
      </c>
      <c r="AA156" s="7"/>
      <c r="AB156" s="30">
        <f t="shared" ref="AB156:AB157" si="31">L154+L158</f>
        <v>75.0251256281407</v>
      </c>
      <c r="AC156" s="30">
        <f t="shared" si="28"/>
        <v>9.3875502008032132</v>
      </c>
      <c r="AD156" s="30">
        <f t="shared" si="28"/>
        <v>46.764705882352942</v>
      </c>
      <c r="AE156" s="30">
        <f t="shared" si="28"/>
        <v>45.91836734693878</v>
      </c>
      <c r="AF156" s="30">
        <f>AVERAGE(R156:U156,W156:Z156,AB156:AE156)</f>
        <v>44.814145516304713</v>
      </c>
    </row>
    <row r="157" spans="1:32" ht="16" thickBot="1" x14ac:dyDescent="0.25">
      <c r="A157" s="16" t="s">
        <v>187</v>
      </c>
      <c r="B157" s="21">
        <f>$N$3/(($F$3-1)*$P$3)*100</f>
        <v>63.55</v>
      </c>
      <c r="C157" s="19">
        <f>$N$7/(($F$7-1)*$P$7)*100</f>
        <v>6.7404426559356132</v>
      </c>
      <c r="D157" s="20">
        <f>$N$11/(($F$11-1)*$P$11)*100</f>
        <v>27.591240875912408</v>
      </c>
      <c r="E157" s="17">
        <f>$N$15/(($F$15-1)*$P$15)*100</f>
        <v>42.52577319587629</v>
      </c>
      <c r="F157" s="12"/>
      <c r="G157" s="17">
        <f>$N$4/(($F$4-1)*$P$4)*100</f>
        <v>64.05</v>
      </c>
      <c r="H157" s="18">
        <f>$N$8/(($F$8-1)*$P$8)*100</f>
        <v>7.1428571428571423</v>
      </c>
      <c r="I157" s="26">
        <f>$N$12/(($F$12-1)*$P$12)*100</f>
        <v>28.31149927219796</v>
      </c>
      <c r="J157" s="21">
        <f>$N$16/(($F$16-1)*$P$16)*100</f>
        <v>42.131979695431468</v>
      </c>
      <c r="L157" s="17">
        <f>$N$5/(($F$5-1)*$P$5)*100</f>
        <v>63.663663663663662</v>
      </c>
      <c r="M157" s="18">
        <f>$N$9/(($F$9-1)*$P$9)*100</f>
        <v>7.0783132530120492</v>
      </c>
      <c r="N157" s="26">
        <f>$N$13/(($F$13-1)*$P$13)*100</f>
        <v>28.862973760932949</v>
      </c>
      <c r="O157" s="17">
        <f>$N$17/(($F$17-1)*$P$17)*100</f>
        <v>43.367346938775512</v>
      </c>
      <c r="Q157" s="40" t="s">
        <v>189</v>
      </c>
      <c r="R157" s="30">
        <f t="shared" si="29"/>
        <v>62.837045720984761</v>
      </c>
      <c r="S157" s="30">
        <f t="shared" si="26"/>
        <v>6.6298342541436464</v>
      </c>
      <c r="T157" s="30">
        <f t="shared" si="26"/>
        <v>43.432203389830505</v>
      </c>
      <c r="U157" s="30">
        <f t="shared" si="26"/>
        <v>67.142857142857139</v>
      </c>
      <c r="V157" s="30"/>
      <c r="W157" s="30">
        <f t="shared" si="30"/>
        <v>64.571092831962403</v>
      </c>
      <c r="X157" s="30">
        <f t="shared" si="27"/>
        <v>6.9012178619756437</v>
      </c>
      <c r="Y157" s="30">
        <f t="shared" si="27"/>
        <v>44.0625</v>
      </c>
      <c r="Z157" s="30">
        <f t="shared" si="27"/>
        <v>61.923076923076927</v>
      </c>
      <c r="AB157" s="30">
        <f t="shared" si="31"/>
        <v>64.677804295942721</v>
      </c>
      <c r="AC157" s="30">
        <f t="shared" si="28"/>
        <v>7.584269662921348</v>
      </c>
      <c r="AD157" s="30">
        <f t="shared" si="28"/>
        <v>43.501048218029354</v>
      </c>
      <c r="AE157" s="30">
        <f t="shared" si="28"/>
        <v>63.934426229508198</v>
      </c>
      <c r="AF157" s="30">
        <f>AVERAGE(R157:U157,W157:Z157,AB157:AE157)</f>
        <v>44.766448044269389</v>
      </c>
    </row>
    <row r="158" spans="1:32" x14ac:dyDescent="0.2">
      <c r="A158" s="16" t="s">
        <v>188</v>
      </c>
      <c r="B158" s="26">
        <f>$N$19/(($F$19-1)*$P$19)*100</f>
        <v>45.7286432160804</v>
      </c>
      <c r="C158" s="19">
        <f>$N$23/(($F$23-1)*$P$23)*100</f>
        <v>7.1644803229061553</v>
      </c>
      <c r="D158" s="17">
        <f>$N$27/(($F$27-1)*$P$27)*100</f>
        <v>44.208211143695017</v>
      </c>
      <c r="E158" s="26">
        <f>$N$31/(($F$31-1)*$P$31)*100</f>
        <v>26.288659793814436</v>
      </c>
      <c r="F158" s="12"/>
      <c r="G158" s="26">
        <f>$N$20/(($F$20-1)*$P$20)*100</f>
        <v>46.219758064516128</v>
      </c>
      <c r="H158" s="18">
        <f>$N$24/(($F$24-1)*$P$24)*100</f>
        <v>7.1859296482412054</v>
      </c>
      <c r="I158" s="17">
        <f>$N$28/(($F$28-1)*$P$28)*100</f>
        <v>43.832599118942731</v>
      </c>
      <c r="J158" s="26">
        <f>$N$32/(($F$32-1)*$P$32)*100</f>
        <v>27.692307692307693</v>
      </c>
      <c r="L158" s="20">
        <f>$N$21/(($F$21-1)*$P$21)*100</f>
        <v>45.226130653266331</v>
      </c>
      <c r="M158" s="18">
        <f>$N$25/(($F$25-1)*$P$25)*100</f>
        <v>7.1787148594377514</v>
      </c>
      <c r="N158" s="21">
        <f>$N$29/(($F$29-1)*$P$29)*100</f>
        <v>43.382352941176471</v>
      </c>
      <c r="O158" s="20">
        <f>$N$33/(($F$33-1)*$P$33)*100</f>
        <v>25</v>
      </c>
      <c r="Q158" s="16" t="s">
        <v>168</v>
      </c>
      <c r="R158" s="30">
        <f>AVERAGE(R155:R157)</f>
        <v>70.405480901969796</v>
      </c>
      <c r="S158" s="7">
        <f t="shared" ref="S158:AE158" si="32">AVERAGE(S155:S157)</f>
        <v>7.9196486525548222</v>
      </c>
      <c r="T158" s="30">
        <f t="shared" si="32"/>
        <v>43.16053574903291</v>
      </c>
      <c r="U158" s="30">
        <f t="shared" si="32"/>
        <v>57.002945508100147</v>
      </c>
      <c r="V158" s="30"/>
      <c r="W158" s="30">
        <f t="shared" si="32"/>
        <v>71.477461051514354</v>
      </c>
      <c r="X158" s="7">
        <f>AVERAGE(X155:X157)</f>
        <v>8.1826845501921994</v>
      </c>
      <c r="Y158" s="30">
        <f>AVERAGE(Y155:Y157)</f>
        <v>44.133451347342181</v>
      </c>
      <c r="Z158" s="30">
        <f t="shared" si="32"/>
        <v>56.254284350731048</v>
      </c>
      <c r="AA158" s="30"/>
      <c r="AB158" s="30">
        <f t="shared" si="32"/>
        <v>70.641717382101888</v>
      </c>
      <c r="AC158" s="7">
        <f t="shared" si="32"/>
        <v>8.4685182678278661</v>
      </c>
      <c r="AD158" s="30">
        <f t="shared" si="32"/>
        <v>43.791208606832974</v>
      </c>
      <c r="AE158" s="30">
        <f t="shared" si="32"/>
        <v>56.260455001672803</v>
      </c>
    </row>
    <row r="159" spans="1:32" x14ac:dyDescent="0.2">
      <c r="A159" s="16" t="s">
        <v>189</v>
      </c>
      <c r="B159" s="21">
        <f>$N$43/(($F$43-1)*$P$43)*100</f>
        <v>57.151230949589682</v>
      </c>
      <c r="C159" s="23">
        <f>$N$47/(($F$47-1)*$P$47)*100</f>
        <v>6.0773480662983426</v>
      </c>
      <c r="D159" s="17">
        <f>$N$51/(($F$51-1)*$P$51)*100</f>
        <v>38.029661016949149</v>
      </c>
      <c r="E159" s="17">
        <f>$N$55/(($F$55-1)*$P$55)*100</f>
        <v>57.499999999999993</v>
      </c>
      <c r="F159" s="12"/>
      <c r="G159" s="17">
        <f>$N$44/(($F$44-1)*$P$44)*100</f>
        <v>58.754406580493537</v>
      </c>
      <c r="H159" s="22">
        <f>$N$48/(($F$48-1)*$P$48)*100</f>
        <v>5.9539918809201628</v>
      </c>
      <c r="I159" s="21">
        <f>$N$52/(($F$52-1)*$P$52)*100</f>
        <v>36.25</v>
      </c>
      <c r="J159" s="21">
        <f>$N$56/(($F$56-1)*$P$56)*100</f>
        <v>50.384615384615387</v>
      </c>
      <c r="L159" s="17">
        <f>$N$45/(($F$45-1)*$P$45)*100</f>
        <v>58.711217183770884</v>
      </c>
      <c r="M159" s="23">
        <f>$N$49/(($F$49-1)*$P$49)*100</f>
        <v>6.3904494382022472</v>
      </c>
      <c r="N159" s="17">
        <f>$N$53/(($F$53-1)*$P$53)*100</f>
        <v>37.211740041928721</v>
      </c>
      <c r="O159" s="17">
        <f>$N$57/(($F$57-1)*$P$57)*100</f>
        <v>53.278688524590166</v>
      </c>
      <c r="S159" s="30">
        <f>AVERAGE(R158:U158)</f>
        <v>44.62215270291442</v>
      </c>
      <c r="X159" s="30">
        <f>AVERAGE(W158:Z158)</f>
        <v>45.01197032494494</v>
      </c>
      <c r="AC159" s="30">
        <f>AVERAGE(AB158:AE158)</f>
        <v>44.790474814608878</v>
      </c>
    </row>
    <row r="160" spans="1:32" x14ac:dyDescent="0.2">
      <c r="A160" s="15" t="s">
        <v>190</v>
      </c>
      <c r="B160" s="27"/>
      <c r="C160" s="27"/>
      <c r="D160" s="27"/>
      <c r="E160" s="27"/>
      <c r="F160" s="27"/>
      <c r="G160" s="27"/>
      <c r="H160" s="27"/>
      <c r="I160" s="27"/>
      <c r="J160" s="27"/>
      <c r="K160" s="15"/>
      <c r="L160" s="27"/>
      <c r="M160" s="27"/>
      <c r="N160" s="27"/>
      <c r="O160" s="27"/>
    </row>
    <row r="161" spans="1:16" x14ac:dyDescent="0.2">
      <c r="A161" s="16" t="s">
        <v>187</v>
      </c>
      <c r="B161" s="17">
        <f>($I$3+$J$3)/(($F$3-1)*$P$3)*100</f>
        <v>23.95</v>
      </c>
      <c r="C161" s="17">
        <f>($I$7+$J$7)/(($F$7-1)*$P$7)*100</f>
        <v>90.845070422535215</v>
      </c>
      <c r="D161" s="21">
        <f>($I$11+$J$11)/(($F$11-1)*$P$11)*100</f>
        <v>47.737226277372265</v>
      </c>
      <c r="E161" s="17">
        <f>($I$15+$J$15)/(($F$15-1)*$P$15)*100</f>
        <v>32.989690721649481</v>
      </c>
      <c r="F161" s="12"/>
      <c r="G161" s="17">
        <f>($I$4+$J$4)/(($F$4-1)*$P$4)*100</f>
        <v>23.5</v>
      </c>
      <c r="H161" s="17">
        <f>($I$8+$J$8)/(($F$8-1)*$P$8)*100</f>
        <v>90.895372233400408</v>
      </c>
      <c r="I161" s="17">
        <f>($I$12+$J$12)/(($F$12-1)*$P$12)*100</f>
        <v>46.215429403202329</v>
      </c>
      <c r="J161" s="17">
        <f>($I$16+$J$16)/(($F$16-1)*$P$16)*100</f>
        <v>32.741116751269033</v>
      </c>
      <c r="L161" s="21">
        <f>($I$5+$J$5)/(($F$5-1)*$P$5)*100</f>
        <v>24.274274274274273</v>
      </c>
      <c r="M161" s="20">
        <f>($I$9+$J$9)/(($F$9-1)*$P$9)*100</f>
        <v>91.014056224899605</v>
      </c>
      <c r="N161" s="17">
        <f>($I$13+$J$13)/(($F$13-1)*$P$13)*100</f>
        <v>45.91836734693878</v>
      </c>
      <c r="O161" s="21">
        <f>($I$17+$J$17)/(($F$17-1)*$P$17)*100</f>
        <v>33.41836734693878</v>
      </c>
    </row>
    <row r="162" spans="1:16" x14ac:dyDescent="0.2">
      <c r="A162" s="16" t="s">
        <v>188</v>
      </c>
      <c r="B162" s="17">
        <f>($I$19+$J$19)/(($F$19-1)*$P$19)*100</f>
        <v>21.608040201005025</v>
      </c>
      <c r="C162" s="21">
        <f>($I$23+$J$23)/(($F$23-1)*$P$23)*100</f>
        <v>90.716448032290614</v>
      </c>
      <c r="D162" s="17">
        <f>($I$27+$J$27)/(($F$27-1)*$P$27)*100</f>
        <v>43.914956011730204</v>
      </c>
      <c r="E162" s="20">
        <f>($I$31+$J$31)/(($F$31-1)*$P$31)*100</f>
        <v>48.96907216494845</v>
      </c>
      <c r="F162" s="12"/>
      <c r="G162" s="17">
        <f>($I$20+$J$20)/(($F$20-1)*$P$20)*100</f>
        <v>21.421370967741936</v>
      </c>
      <c r="H162" s="17">
        <f>($I$24+$J$24)/(($F$24-1)*$P$24)*100</f>
        <v>90.402010050251263</v>
      </c>
      <c r="I162" s="17">
        <f>($I$28+$J$28)/(($F$28-1)*$P$28)*100</f>
        <v>43.392070484581495</v>
      </c>
      <c r="J162" s="26">
        <f>($I$32+$J$32)/(($F$32-1)*$P$32)*100</f>
        <v>47.692307692307693</v>
      </c>
      <c r="L162" s="21">
        <f>($I$21+$J$21)/(($F$21-1)*$P$21)*100</f>
        <v>21.859296482412059</v>
      </c>
      <c r="M162" s="17">
        <f>($I$25+$J$25)/(($F$25-1)*$P$25)*100</f>
        <v>90.060240963855421</v>
      </c>
      <c r="N162" s="21">
        <f>($I$29+$J$29)/(($F$29-1)*$P$29)*100</f>
        <v>44.117647058823529</v>
      </c>
      <c r="O162" s="26">
        <f>($I$33+$J$33)/(($F$33-1)*$P$33)*100</f>
        <v>48.469387755102041</v>
      </c>
    </row>
    <row r="163" spans="1:16" x14ac:dyDescent="0.2">
      <c r="A163" s="16" t="s">
        <v>189</v>
      </c>
      <c r="B163" s="20">
        <f>($I$43+$J$43)/(($F$43-1)*$P$43)*100</f>
        <v>28.546307151230948</v>
      </c>
      <c r="C163" s="26">
        <f>($I$47+$J$47)/(($F$47-1)*$P$47)*100</f>
        <v>92.127071823204417</v>
      </c>
      <c r="D163" s="26">
        <f>($I$51+$J$51)/(($F$51-1)*$P$51)*100</f>
        <v>48.41101694915254</v>
      </c>
      <c r="E163" s="17">
        <f>($I$55+$J$55)/(($F$55-1)*$P$55)*100</f>
        <v>21.785714285714285</v>
      </c>
      <c r="F163" s="12"/>
      <c r="G163" s="26">
        <f>($I$44+$J$44)/(($F$44-1)*$P$44)*100</f>
        <v>27.438307873090483</v>
      </c>
      <c r="H163" s="20">
        <f>($I$48+$J$48)/(($F$48-1)*$P$48)*100</f>
        <v>92.151556156968866</v>
      </c>
      <c r="I163" s="26">
        <f>($I$52+$J$52)/(($F$52-1)*$P$52)*100</f>
        <v>47.395833333333329</v>
      </c>
      <c r="J163" s="21">
        <f>($I$56+$J$56)/(($F$56-1)*$P$56)*100</f>
        <v>28.46153846153846</v>
      </c>
      <c r="K163" s="14"/>
      <c r="L163" s="26">
        <f>($I$45+$J$45)/(($F$45-1)*$P$45)*100</f>
        <v>28.281622911694509</v>
      </c>
      <c r="M163" s="17">
        <f>($I$49+$J$49)/(($F$49-1)*$P$49)*100</f>
        <v>90.800561797752806</v>
      </c>
      <c r="N163" s="20">
        <f>($I$53+$J$53)/(($F$53-1)*$P$53)*100</f>
        <v>50.104821802935007</v>
      </c>
      <c r="O163" s="17">
        <f>($I$57+$J$57)/(($F$57-1)*$P$57)*100</f>
        <v>23.770491803278688</v>
      </c>
    </row>
    <row r="164" spans="1:16" x14ac:dyDescent="0.2">
      <c r="A164" s="15" t="s">
        <v>11</v>
      </c>
      <c r="B164" s="27"/>
      <c r="C164" s="27"/>
      <c r="D164" s="27"/>
      <c r="E164" s="27"/>
      <c r="F164" s="27"/>
      <c r="G164" s="27"/>
      <c r="H164" s="27"/>
      <c r="I164" s="27"/>
      <c r="J164" s="27"/>
      <c r="L164" s="27"/>
      <c r="M164" s="27"/>
      <c r="N164" s="27"/>
      <c r="O164" s="27"/>
    </row>
    <row r="165" spans="1:16" x14ac:dyDescent="0.2">
      <c r="A165" s="16" t="s">
        <v>187</v>
      </c>
      <c r="B165" s="19">
        <f>$L$3/(($F$3-1)*$P$3)*100</f>
        <v>3.55</v>
      </c>
      <c r="C165" s="31">
        <f>$L$7/(($F$7-1)*$P$7)*100</f>
        <v>0.8048289738430584</v>
      </c>
      <c r="D165" s="20">
        <f>$L$11/(($F$11-1)*$P$11)*100</f>
        <v>14.160583941605839</v>
      </c>
      <c r="E165" s="18">
        <f>$L$15/(($F$15-1)*$P$15)*100</f>
        <v>9.0206185567010309</v>
      </c>
      <c r="F165" s="7">
        <f>AVERAGE(B165:E167)</f>
        <v>6.0777961270161258</v>
      </c>
      <c r="G165" s="18">
        <f>$L$4/(($F$4-1)*$P$4)*100</f>
        <v>3.05</v>
      </c>
      <c r="H165" s="28">
        <f>$L$8/(($F$8-1)*$P$8)*100</f>
        <v>0.50301810865191143</v>
      </c>
      <c r="I165" s="26">
        <f>$L$12/(($F$12-1)*$P$12)*100</f>
        <v>13.46433770014556</v>
      </c>
      <c r="J165" s="19">
        <f>$L$16/(($F$16-1)*$P$16)*100</f>
        <v>9.1370558375634516</v>
      </c>
      <c r="K165" s="7">
        <f>AVERAGE(G165:J167)</f>
        <v>5.6791202244146133</v>
      </c>
      <c r="L165" s="18">
        <f>$L$5/(($F$5-1)*$P$5)*100</f>
        <v>3.5035035035035036</v>
      </c>
      <c r="M165" s="28">
        <f>$L$9/(($F$9-1)*$P$9)*100</f>
        <v>0.55220883534136544</v>
      </c>
      <c r="N165" s="26">
        <f>$L$13/(($F$13-1)*$P$13)*100</f>
        <v>12.973760932944606</v>
      </c>
      <c r="O165" s="18">
        <f>$L$17/(($F$17-1)*$P$17)*100</f>
        <v>7.6530612244897958</v>
      </c>
      <c r="P165" s="7">
        <f>AVERAGE(L165:O167)</f>
        <v>5.8687638713156618</v>
      </c>
    </row>
    <row r="166" spans="1:16" x14ac:dyDescent="0.2">
      <c r="A166" s="16" t="s">
        <v>188</v>
      </c>
      <c r="B166" s="18">
        <f>$L$19/(($F$19-1)*$P$19)*100</f>
        <v>2.512562814070352</v>
      </c>
      <c r="C166" s="28">
        <f>$L$23/(($F$23-1)*$P$23)*100</f>
        <v>0.50454086781029261</v>
      </c>
      <c r="D166" s="18">
        <f>$L$27/(($F$27-1)*$P$27)*100</f>
        <v>8.1378299120234594</v>
      </c>
      <c r="E166" s="18">
        <f>$L$31/(($F$31-1)*$P$31)*100</f>
        <v>5.1546391752577314</v>
      </c>
      <c r="F166" s="12"/>
      <c r="G166" s="18">
        <f>$L$20/(($F$20-1)*$P$20)*100</f>
        <v>2.1673387096774195</v>
      </c>
      <c r="H166" s="31">
        <f>$L$24/(($F$24-1)*$P$24)*100</f>
        <v>0.55276381909547745</v>
      </c>
      <c r="I166" s="18">
        <f>$L$28/(($F$28-1)*$P$28)*100</f>
        <v>8.5903083700440526</v>
      </c>
      <c r="J166" s="18">
        <f>$L$32/(($F$32-1)*$P$32)*100</f>
        <v>3.5897435897435894</v>
      </c>
      <c r="L166" s="19">
        <f>$L$21/(($F$21-1)*$P$21)*100</f>
        <v>3.1155778894472363</v>
      </c>
      <c r="M166" s="28">
        <f>$L$25/(($F$25-1)*$P$25)*100</f>
        <v>0.55220883534136544</v>
      </c>
      <c r="N166" s="19">
        <f>$L$29/(($F$29-1)*$P$29)*100</f>
        <v>9.117647058823529</v>
      </c>
      <c r="O166" s="19">
        <f>$L$33/(($F$33-1)*$P$33)*100</f>
        <v>5.6122448979591839</v>
      </c>
    </row>
    <row r="167" spans="1:16" x14ac:dyDescent="0.2">
      <c r="A167" s="16" t="s">
        <v>189</v>
      </c>
      <c r="B167" s="22">
        <f>$L$43/(($F$43-1)*$P$43)*100</f>
        <v>8.6166471277842902</v>
      </c>
      <c r="C167" s="23">
        <f>$L$47/(($F$47-1)*$P$47)*100</f>
        <v>1.2430939226519337</v>
      </c>
      <c r="D167" s="18">
        <f>$L$51/(($F$51-1)*$P$51)*100</f>
        <v>8.1567796610169498</v>
      </c>
      <c r="E167" s="26">
        <f>$L$55/(($F$55-1)*$P$55)*100</f>
        <v>11.071428571428571</v>
      </c>
      <c r="F167" s="12"/>
      <c r="G167" s="23">
        <f>$L$44/(($F$44-1)*$P$44)*100</f>
        <v>7.9905992949471205</v>
      </c>
      <c r="H167" s="24">
        <f>$L$48/(($F$48-1)*$P$48)*100</f>
        <v>0.94722598105548039</v>
      </c>
      <c r="I167" s="19">
        <f>$L$52/(($F$52-1)*$P$52)*100</f>
        <v>8.5416666666666661</v>
      </c>
      <c r="J167" s="23">
        <f>$L$56/(($F$56-1)*$P$56)*100</f>
        <v>9.6153846153846168</v>
      </c>
      <c r="L167" s="23">
        <f>$L$45/(($F$45-1)*$P$45)*100</f>
        <v>7.0405727923627692</v>
      </c>
      <c r="M167" s="22">
        <f>$L$49/(($F$49-1)*$P$49)*100</f>
        <v>1.6151685393258428</v>
      </c>
      <c r="N167" s="18">
        <f>$L$53/(($F$53-1)*$P$53)*100</f>
        <v>6.3941299790356396</v>
      </c>
      <c r="O167" s="20">
        <f>$L$57/(($F$57-1)*$P$57)*100</f>
        <v>12.295081967213115</v>
      </c>
    </row>
    <row r="168" spans="1:16" x14ac:dyDescent="0.2">
      <c r="A168" s="49"/>
      <c r="B168" s="47">
        <f>SUM(B153+B157+B161+B165)</f>
        <v>100</v>
      </c>
      <c r="C168" s="47">
        <f t="shared" ref="C168:E168" si="33">SUM(C153+C157+C161+C165)</f>
        <v>100</v>
      </c>
      <c r="D168" s="47">
        <f t="shared" si="33"/>
        <v>100</v>
      </c>
      <c r="E168" s="47">
        <f t="shared" si="33"/>
        <v>100</v>
      </c>
      <c r="F168" s="47"/>
      <c r="G168" s="47">
        <f t="shared" ref="G168:J168" si="34">SUM(G153+G157+G161+G165)</f>
        <v>100</v>
      </c>
      <c r="H168" s="47">
        <f t="shared" si="34"/>
        <v>100.00000000000001</v>
      </c>
      <c r="I168" s="47">
        <f t="shared" si="34"/>
        <v>100</v>
      </c>
      <c r="J168" s="47">
        <f t="shared" si="34"/>
        <v>100</v>
      </c>
      <c r="K168" s="47"/>
      <c r="L168" s="47">
        <f>SUM(L153+L157+L161+L165)</f>
        <v>100.00000000000001</v>
      </c>
      <c r="M168" s="47">
        <f t="shared" ref="M168:O168" si="35">SUM(M153+M157+M161+M165)</f>
        <v>100</v>
      </c>
      <c r="N168" s="47">
        <f t="shared" si="35"/>
        <v>100</v>
      </c>
      <c r="O168" s="47">
        <f t="shared" si="35"/>
        <v>100</v>
      </c>
    </row>
    <row r="169" spans="1:16" x14ac:dyDescent="0.2">
      <c r="A169" s="16"/>
      <c r="B169" s="17">
        <f>SUM(B154+B158+B162+B166)</f>
        <v>100</v>
      </c>
      <c r="C169" s="17">
        <f t="shared" ref="C169:E169" si="36">SUM(C154+C158+C162+C166)</f>
        <v>100</v>
      </c>
      <c r="D169" s="17">
        <f t="shared" si="36"/>
        <v>100.00000000000001</v>
      </c>
      <c r="E169" s="17">
        <f t="shared" si="36"/>
        <v>100</v>
      </c>
      <c r="F169" s="17"/>
      <c r="G169" s="17">
        <f t="shared" ref="G169:J169" si="37">SUM(G154+G158+G162+G166)</f>
        <v>100</v>
      </c>
      <c r="H169" s="17">
        <f t="shared" si="37"/>
        <v>100</v>
      </c>
      <c r="I169" s="17">
        <f t="shared" si="37"/>
        <v>100</v>
      </c>
      <c r="J169" s="17">
        <f t="shared" si="37"/>
        <v>100</v>
      </c>
      <c r="K169" s="17"/>
      <c r="L169" s="17">
        <f>SUM(L154+L158+L162+L166)</f>
        <v>100</v>
      </c>
      <c r="M169" s="17">
        <f t="shared" ref="M169:O169" si="38">SUM(M154+M158+M162+M166)</f>
        <v>100</v>
      </c>
      <c r="N169" s="17">
        <f t="shared" si="38"/>
        <v>100</v>
      </c>
      <c r="O169" s="17">
        <f t="shared" si="38"/>
        <v>100</v>
      </c>
    </row>
    <row r="170" spans="1:16" x14ac:dyDescent="0.2">
      <c r="A170" s="16"/>
      <c r="B170" s="17">
        <f>SUM(B155+B159+B163+B167)</f>
        <v>100</v>
      </c>
      <c r="C170" s="17">
        <f t="shared" ref="C170:E170" si="39">SUM(C155+C159+C163+C167)</f>
        <v>100</v>
      </c>
      <c r="D170" s="17">
        <f t="shared" si="39"/>
        <v>100</v>
      </c>
      <c r="E170" s="17">
        <f t="shared" si="39"/>
        <v>99.999999999999986</v>
      </c>
      <c r="F170" s="17"/>
      <c r="G170" s="17">
        <f t="shared" ref="G170:J170" si="40">SUM(G155+G159+G163+G167)</f>
        <v>100</v>
      </c>
      <c r="H170" s="17">
        <f t="shared" si="40"/>
        <v>99.999999999999986</v>
      </c>
      <c r="I170" s="17">
        <f t="shared" si="40"/>
        <v>100</v>
      </c>
      <c r="J170" s="17">
        <f t="shared" si="40"/>
        <v>100</v>
      </c>
      <c r="K170" s="17"/>
      <c r="L170" s="17">
        <f>SUM(L155+L159+L163+L167)</f>
        <v>100</v>
      </c>
      <c r="M170" s="17">
        <f t="shared" ref="M170:O170" si="41">SUM(M155+M159+M163+M167)</f>
        <v>99.999999999999986</v>
      </c>
      <c r="N170" s="17">
        <f t="shared" si="41"/>
        <v>100</v>
      </c>
      <c r="O170" s="17">
        <f t="shared" si="41"/>
        <v>100</v>
      </c>
    </row>
    <row r="173" spans="1:16" ht="15" customHeight="1" x14ac:dyDescent="0.2">
      <c r="A173" s="75" t="s">
        <v>275</v>
      </c>
      <c r="B173" s="150" t="s">
        <v>223</v>
      </c>
      <c r="C173" s="150"/>
      <c r="D173" s="150"/>
      <c r="E173" s="150"/>
      <c r="F173" s="135"/>
      <c r="G173" s="150" t="s">
        <v>224</v>
      </c>
      <c r="H173" s="150"/>
      <c r="I173" s="150"/>
      <c r="J173" s="150"/>
      <c r="K173" s="135"/>
      <c r="L173" s="150" t="s">
        <v>227</v>
      </c>
      <c r="M173" s="150"/>
      <c r="N173" s="150"/>
      <c r="O173" s="150"/>
    </row>
    <row r="174" spans="1:16" x14ac:dyDescent="0.2">
      <c r="A174" s="75"/>
      <c r="B174" s="77"/>
      <c r="C174" s="77"/>
      <c r="D174" s="77"/>
      <c r="E174" s="77"/>
      <c r="F174" s="151"/>
      <c r="G174" s="77"/>
      <c r="H174" s="77"/>
      <c r="I174" s="77"/>
      <c r="J174" s="77"/>
      <c r="K174" s="135"/>
      <c r="L174" s="77"/>
      <c r="M174" s="77"/>
      <c r="N174" s="77"/>
      <c r="O174" s="77"/>
    </row>
    <row r="175" spans="1:16" x14ac:dyDescent="0.2">
      <c r="A175" s="79"/>
      <c r="B175" s="35" t="s">
        <v>183</v>
      </c>
      <c r="C175" s="35" t="s">
        <v>184</v>
      </c>
      <c r="D175" s="35" t="s">
        <v>185</v>
      </c>
      <c r="E175" s="35" t="s">
        <v>186</v>
      </c>
      <c r="F175" s="152"/>
      <c r="G175" s="35" t="s">
        <v>183</v>
      </c>
      <c r="H175" s="35" t="s">
        <v>184</v>
      </c>
      <c r="I175" s="35" t="s">
        <v>185</v>
      </c>
      <c r="J175" s="35" t="s">
        <v>186</v>
      </c>
      <c r="K175" s="14"/>
      <c r="L175" s="35" t="s">
        <v>183</v>
      </c>
      <c r="M175" s="35" t="s">
        <v>184</v>
      </c>
      <c r="N175" s="35" t="s">
        <v>185</v>
      </c>
      <c r="O175" s="35" t="s">
        <v>186</v>
      </c>
    </row>
    <row r="176" spans="1:16" x14ac:dyDescent="0.2">
      <c r="A176" s="15" t="s">
        <v>7</v>
      </c>
      <c r="K176" s="135"/>
    </row>
    <row r="177" spans="1:31" x14ac:dyDescent="0.2">
      <c r="A177" s="16" t="s">
        <v>188</v>
      </c>
      <c r="B177" s="84">
        <f>B154</f>
        <v>30.150753768844218</v>
      </c>
      <c r="C177" s="19">
        <f t="shared" ref="C177:E177" si="42">C154</f>
        <v>1.6145307769929365</v>
      </c>
      <c r="D177" s="23">
        <f t="shared" si="42"/>
        <v>3.7390029325513199</v>
      </c>
      <c r="E177" s="21">
        <f t="shared" si="42"/>
        <v>19.587628865979383</v>
      </c>
      <c r="F177" s="12"/>
      <c r="G177" s="84">
        <f>G154</f>
        <v>30.19153225806452</v>
      </c>
      <c r="H177" s="83">
        <f t="shared" ref="H177:J177" si="43">H154</f>
        <v>1.8592964824120601</v>
      </c>
      <c r="I177" s="23">
        <f t="shared" si="43"/>
        <v>4.1850220264317182</v>
      </c>
      <c r="J177" s="84">
        <f t="shared" si="43"/>
        <v>21.025641025641026</v>
      </c>
      <c r="L177" s="21">
        <f>L154</f>
        <v>29.798994974874372</v>
      </c>
      <c r="M177" s="83">
        <f t="shared" ref="M177:O177" si="44">M154</f>
        <v>2.2088353413654618</v>
      </c>
      <c r="N177" s="22">
        <f t="shared" si="44"/>
        <v>3.3823529411764706</v>
      </c>
      <c r="O177" s="84">
        <f t="shared" si="44"/>
        <v>20.918367346938776</v>
      </c>
      <c r="Q177" s="75" t="s">
        <v>288</v>
      </c>
      <c r="R177" s="77" t="s">
        <v>223</v>
      </c>
      <c r="S177" s="77"/>
      <c r="T177" s="77"/>
      <c r="U177" s="77"/>
      <c r="V177" s="78"/>
      <c r="W177" s="77" t="s">
        <v>224</v>
      </c>
      <c r="X177" s="77"/>
      <c r="Y177" s="77"/>
      <c r="Z177" s="77"/>
      <c r="AB177" s="77" t="s">
        <v>227</v>
      </c>
      <c r="AC177" s="77"/>
      <c r="AD177" s="77"/>
      <c r="AE177" s="77"/>
    </row>
    <row r="178" spans="1:31" x14ac:dyDescent="0.2">
      <c r="A178" s="16" t="s">
        <v>192</v>
      </c>
      <c r="B178" s="23">
        <f>$H$115/(($F$115-1)*$P$115)*100</f>
        <v>3.2281205164992826</v>
      </c>
      <c r="C178" s="24">
        <f>$H$119/(($F$119-1)*$P$119)*100</f>
        <v>0.546875</v>
      </c>
      <c r="D178" s="83">
        <f>$H$123/(($F$123-1)*$P$123)*100</f>
        <v>5</v>
      </c>
      <c r="E178" s="23">
        <f>$H$127/(($F$127-1)*$P$127)*100</f>
        <v>9.0116279069767433</v>
      </c>
      <c r="F178" s="102">
        <f>AVERAGE(B178:E178)</f>
        <v>4.4466558558690066</v>
      </c>
      <c r="G178" s="22">
        <f>$H$116/(($F$116-1)*$P$116)*100</f>
        <v>2.223926380368098</v>
      </c>
      <c r="H178" s="25">
        <f>$H$120/(($F$120-1)*$P$120)*100</f>
        <v>0.333889816360601</v>
      </c>
      <c r="I178" s="83">
        <f>$H$124/(($F$124-1)*$P$124)*100</f>
        <v>5.2141527001862196</v>
      </c>
      <c r="J178" s="23">
        <f>$H$128/(($F$128-1)*$P$128)*100</f>
        <v>9.7142857142857135</v>
      </c>
      <c r="K178" s="102">
        <f>AVERAGE(G178:J178)</f>
        <v>4.371563652800158</v>
      </c>
      <c r="L178" s="23">
        <f>$H$117/(($F$117-1)*$P$117)*100</f>
        <v>2.3237179487179489</v>
      </c>
      <c r="M178" s="24">
        <f>$H$121/(($F$121-1)*$P$121)*100</f>
        <v>0.66334991708126034</v>
      </c>
      <c r="N178" s="19">
        <f>$H$125/(($F$125-1)*$P$125)*100</f>
        <v>4.9905838041431263</v>
      </c>
      <c r="O178" s="22">
        <f>$H$129/(($F$129-1)*$P$129)*100</f>
        <v>8.8068181818181817</v>
      </c>
      <c r="P178" s="102">
        <f>AVERAGE(L178:O178)</f>
        <v>4.1961174629401299</v>
      </c>
      <c r="Q178" s="77"/>
      <c r="R178" s="12" t="s">
        <v>183</v>
      </c>
      <c r="S178" s="12" t="s">
        <v>184</v>
      </c>
      <c r="T178" s="12" t="s">
        <v>185</v>
      </c>
      <c r="U178" s="12" t="s">
        <v>186</v>
      </c>
      <c r="V178" s="78"/>
      <c r="W178" s="12" t="s">
        <v>183</v>
      </c>
      <c r="X178" s="12" t="s">
        <v>184</v>
      </c>
      <c r="Y178" s="12" t="s">
        <v>185</v>
      </c>
      <c r="Z178" s="12" t="s">
        <v>186</v>
      </c>
      <c r="AB178" s="12" t="s">
        <v>183</v>
      </c>
      <c r="AC178" s="12" t="s">
        <v>184</v>
      </c>
      <c r="AD178" s="12" t="s">
        <v>185</v>
      </c>
      <c r="AE178" s="12" t="s">
        <v>186</v>
      </c>
    </row>
    <row r="179" spans="1:31" x14ac:dyDescent="0.2">
      <c r="A179" s="15" t="s">
        <v>13</v>
      </c>
      <c r="B179" s="27"/>
      <c r="C179" s="27"/>
      <c r="D179" s="27"/>
      <c r="E179" s="27"/>
      <c r="F179" s="112"/>
      <c r="G179" s="27"/>
      <c r="H179" s="27"/>
      <c r="I179" s="27"/>
      <c r="J179" s="27"/>
      <c r="K179" s="112"/>
      <c r="L179" s="27"/>
      <c r="M179" s="27"/>
      <c r="N179" s="27"/>
      <c r="O179" s="27"/>
      <c r="Q179" s="16" t="s">
        <v>188</v>
      </c>
      <c r="R179" s="154">
        <f>B177+B180</f>
        <v>75.879396984924625</v>
      </c>
      <c r="S179" s="154">
        <f t="shared" ref="S179:U179" si="45">C177+C180</f>
        <v>8.7790110998990922</v>
      </c>
      <c r="T179" s="154">
        <f t="shared" si="45"/>
        <v>47.94721407624634</v>
      </c>
      <c r="U179" s="154">
        <f t="shared" si="45"/>
        <v>45.876288659793815</v>
      </c>
      <c r="V179" s="30">
        <f>AVERAGE(R179:U179)</f>
        <v>44.620477705215976</v>
      </c>
      <c r="W179" s="30">
        <f>G177+G180</f>
        <v>76.411290322580641</v>
      </c>
      <c r="X179" s="30">
        <f t="shared" ref="X179:Z181" si="46">H177+H180</f>
        <v>9.0452261306532655</v>
      </c>
      <c r="Y179" s="30">
        <f t="shared" si="46"/>
        <v>48.017621145374449</v>
      </c>
      <c r="Z179" s="30">
        <f t="shared" si="46"/>
        <v>48.717948717948715</v>
      </c>
      <c r="AA179" s="30"/>
      <c r="AB179" s="30">
        <f>L177+L180</f>
        <v>75.0251256281407</v>
      </c>
      <c r="AC179" s="30">
        <f t="shared" ref="AC179:AE181" si="47">M177+M180</f>
        <v>9.3875502008032132</v>
      </c>
      <c r="AD179" s="30">
        <f t="shared" si="47"/>
        <v>46.764705882352942</v>
      </c>
      <c r="AE179" s="30">
        <f t="shared" si="47"/>
        <v>45.91836734693878</v>
      </c>
    </row>
    <row r="180" spans="1:31" x14ac:dyDescent="0.2">
      <c r="A180" s="16" t="s">
        <v>188</v>
      </c>
      <c r="B180" s="26">
        <f>B158</f>
        <v>45.7286432160804</v>
      </c>
      <c r="C180" s="22">
        <f t="shared" ref="C180:E180" si="48">C158</f>
        <v>7.1644803229061553</v>
      </c>
      <c r="D180" s="26">
        <f t="shared" si="48"/>
        <v>44.208211143695017</v>
      </c>
      <c r="E180" s="26">
        <f t="shared" si="48"/>
        <v>26.288659793814436</v>
      </c>
      <c r="F180" s="99"/>
      <c r="G180" s="26">
        <f>G158</f>
        <v>46.219758064516128</v>
      </c>
      <c r="H180" s="23">
        <f t="shared" ref="H180:J180" si="49">H158</f>
        <v>7.1859296482412054</v>
      </c>
      <c r="I180" s="26">
        <f t="shared" si="49"/>
        <v>43.832599118942731</v>
      </c>
      <c r="J180" s="26">
        <f t="shared" si="49"/>
        <v>27.692307692307693</v>
      </c>
      <c r="K180" s="99"/>
      <c r="L180" s="20">
        <f>L158</f>
        <v>45.226130653266331</v>
      </c>
      <c r="M180" s="23">
        <f t="shared" ref="M180:O180" si="50">M158</f>
        <v>7.1787148594377514</v>
      </c>
      <c r="N180" s="20">
        <f t="shared" si="50"/>
        <v>43.382352941176471</v>
      </c>
      <c r="O180" s="20">
        <f t="shared" si="50"/>
        <v>25</v>
      </c>
      <c r="Q180" s="16" t="s">
        <v>192</v>
      </c>
      <c r="R180" s="154">
        <f>B178+B181</f>
        <v>84.863701578192263</v>
      </c>
      <c r="S180" s="154">
        <f t="shared" ref="S180:U180" si="51">C178+C181</f>
        <v>8.359375</v>
      </c>
      <c r="T180" s="154">
        <f t="shared" si="51"/>
        <v>53.363636363636367</v>
      </c>
      <c r="U180" s="154">
        <f t="shared" si="51"/>
        <v>54.941860465116278</v>
      </c>
      <c r="V180" s="30">
        <f>AVERAGE(R180:U180)</f>
        <v>50.382143351736232</v>
      </c>
      <c r="W180" s="30">
        <f t="shared" ref="W180:W181" si="52">G178+G181</f>
        <v>85.736196319018404</v>
      </c>
      <c r="X180" s="30">
        <f t="shared" si="46"/>
        <v>8.2637729549248746</v>
      </c>
      <c r="Y180" s="30">
        <f t="shared" si="46"/>
        <v>52.513966480446925</v>
      </c>
      <c r="Z180" s="30">
        <f t="shared" si="46"/>
        <v>56.285714285714285</v>
      </c>
      <c r="AB180" s="30">
        <f>L178+L181</f>
        <v>86.458333333333343</v>
      </c>
      <c r="AC180" s="30">
        <f t="shared" si="47"/>
        <v>8.7064676616915424</v>
      </c>
      <c r="AD180" s="30">
        <f t="shared" si="47"/>
        <v>53.295668549905841</v>
      </c>
      <c r="AE180" s="30">
        <f t="shared" si="47"/>
        <v>53.977272727272727</v>
      </c>
    </row>
    <row r="181" spans="1:31" x14ac:dyDescent="0.2">
      <c r="A181" s="16" t="s">
        <v>192</v>
      </c>
      <c r="B181" s="21">
        <f>$N$115/(($F$115-1)*$P$115)*100</f>
        <v>81.635581061692974</v>
      </c>
      <c r="C181" s="19">
        <f>$N$119/(($F$119-1)*$P$119)*100</f>
        <v>7.8125</v>
      </c>
      <c r="D181" s="84">
        <f>$N$123/(($F$123-1)*$P$123)*100</f>
        <v>48.363636363636367</v>
      </c>
      <c r="E181" s="84">
        <f>$N$127/(($F$127-1)*$P$127)*100</f>
        <v>45.930232558139537</v>
      </c>
      <c r="F181" s="102"/>
      <c r="G181" s="84">
        <f>$N$116/(($F$116-1)*$P$116)*100</f>
        <v>83.512269938650306</v>
      </c>
      <c r="H181" s="83">
        <f>$N$120/(($F$120-1)*$P$120)*100</f>
        <v>7.9298831385642741</v>
      </c>
      <c r="I181" s="21">
        <f>$N$124/(($F$124-1)*$P$124)*100</f>
        <v>47.299813780260706</v>
      </c>
      <c r="J181" s="84">
        <f>$N$128/(($F$128-1)*$P$128)*100</f>
        <v>46.571428571428569</v>
      </c>
      <c r="K181" s="102"/>
      <c r="L181" s="84">
        <f>$N$117/(($F$117-1)*$P$117)*100</f>
        <v>84.134615384615387</v>
      </c>
      <c r="M181" s="83">
        <f>$N$121/(($F$121-1)*$P$121)*100</f>
        <v>8.0431177446102815</v>
      </c>
      <c r="N181" s="84">
        <f>$N$125/(($F$125-1)*$P$125)*100</f>
        <v>48.305084745762713</v>
      </c>
      <c r="O181" s="21">
        <f>$N$129/(($F$129-1)*$P$129)*100</f>
        <v>45.170454545454547</v>
      </c>
      <c r="Q181" s="16" t="s">
        <v>168</v>
      </c>
      <c r="R181" s="30">
        <f>AVERAGE(R179:R180)</f>
        <v>80.371549281558444</v>
      </c>
      <c r="S181" s="7">
        <f>AVERAGE(S179:S180)</f>
        <v>8.569193049949547</v>
      </c>
      <c r="T181" s="30">
        <f>AVERAGE(T179:T180)</f>
        <v>50.65542521994135</v>
      </c>
      <c r="U181" s="30">
        <f>AVERAGE(U179:U180)</f>
        <v>50.409074562455046</v>
      </c>
      <c r="V181" s="30"/>
      <c r="W181" s="30">
        <f>AVERAGE(W179:W180)</f>
        <v>81.073743320799522</v>
      </c>
      <c r="X181" s="7">
        <f>AVERAGE(X179:X180)</f>
        <v>8.6544995427890701</v>
      </c>
      <c r="Y181" s="30">
        <f>AVERAGE(Y179:Y180)</f>
        <v>50.265793812910687</v>
      </c>
      <c r="Z181" s="30">
        <f>AVERAGE(Z179:Z180)</f>
        <v>52.501831501831504</v>
      </c>
      <c r="AA181" s="30"/>
      <c r="AB181" s="30">
        <f>AVERAGE(AB179:AB180)</f>
        <v>80.741729480737021</v>
      </c>
      <c r="AC181" s="7">
        <f>AVERAGE(AC179:AC180)</f>
        <v>9.0470089312473778</v>
      </c>
      <c r="AD181" s="30">
        <f>AVERAGE(AD179:AD180)</f>
        <v>50.030187216129391</v>
      </c>
      <c r="AE181" s="30">
        <f>AVERAGE(AE179:AE180)</f>
        <v>49.947820037105757</v>
      </c>
    </row>
    <row r="182" spans="1:31" x14ac:dyDescent="0.2">
      <c r="A182" s="15" t="s">
        <v>190</v>
      </c>
      <c r="B182" s="27"/>
      <c r="C182" s="27"/>
      <c r="D182" s="27"/>
      <c r="E182" s="27"/>
      <c r="F182" s="112"/>
      <c r="G182" s="27"/>
      <c r="H182" s="27"/>
      <c r="I182" s="27"/>
      <c r="J182" s="27"/>
      <c r="K182" s="112"/>
      <c r="L182" s="27"/>
      <c r="M182" s="27"/>
      <c r="N182" s="27"/>
      <c r="O182" s="27"/>
      <c r="S182" s="30">
        <f>AVERAGE(R181:U181)</f>
        <v>47.501310528476097</v>
      </c>
      <c r="X182" s="30">
        <f>AVERAGE(W181:Z181)</f>
        <v>48.123967044582692</v>
      </c>
      <c r="AC182" s="30">
        <f>AVERAGE(AB181:AE181)</f>
        <v>47.44168641630489</v>
      </c>
    </row>
    <row r="183" spans="1:31" x14ac:dyDescent="0.2">
      <c r="A183" s="16" t="s">
        <v>188</v>
      </c>
      <c r="B183" s="26" cm="1">
        <f t="array" ref="B183:E183">B162:E162</f>
        <v>21.608040201005025</v>
      </c>
      <c r="C183" s="20">
        <v>90.716448032290614</v>
      </c>
      <c r="D183" s="84">
        <v>43.914956011730204</v>
      </c>
      <c r="E183" s="20">
        <v>48.96907216494845</v>
      </c>
      <c r="F183" s="99"/>
      <c r="G183" s="26" cm="1">
        <f t="array" ref="G183:J183">G162:J162</f>
        <v>21.421370967741936</v>
      </c>
      <c r="H183" s="84">
        <v>90.402010050251263</v>
      </c>
      <c r="I183" s="84">
        <v>43.392070484581495</v>
      </c>
      <c r="J183" s="26">
        <v>47.692307692307693</v>
      </c>
      <c r="K183" s="99"/>
      <c r="L183" s="20" cm="1">
        <f t="array" ref="L183:O183">L162:O162</f>
        <v>21.859296482412059</v>
      </c>
      <c r="M183" s="84">
        <v>90.060240963855421</v>
      </c>
      <c r="N183" s="21">
        <v>44.117647058823529</v>
      </c>
      <c r="O183" s="26">
        <v>48.469387755102041</v>
      </c>
      <c r="R183" t="s">
        <v>293</v>
      </c>
      <c r="S183" s="30">
        <f>AVERAGE(R180:U180)</f>
        <v>50.382143351736232</v>
      </c>
      <c r="W183" t="s">
        <v>293</v>
      </c>
      <c r="X183" s="30">
        <f>AVERAGE(W180:Z180)</f>
        <v>50.699912510026124</v>
      </c>
      <c r="AB183" t="s">
        <v>293</v>
      </c>
      <c r="AC183" s="30">
        <f>AVERAGE(AB180:AE180)</f>
        <v>50.609435568050863</v>
      </c>
    </row>
    <row r="184" spans="1:31" x14ac:dyDescent="0.2">
      <c r="A184" s="16" t="s">
        <v>192</v>
      </c>
      <c r="B184" s="83">
        <f>($I$115+$J$115)/(($F$115-1)*$P$115)*100</f>
        <v>8.9670014347202294</v>
      </c>
      <c r="C184" s="26">
        <f>($I$119+$J$119)/(($F$119-1)*$P$119)*100</f>
        <v>90.703125</v>
      </c>
      <c r="D184" s="20">
        <f>($I$123+$J$123)/(($F$123-1)*$P$123)*100</f>
        <v>45.181818181818187</v>
      </c>
      <c r="E184" s="84">
        <f>($I$127+$J$127)/(($F$127-1)*$P$127)*100</f>
        <v>38.662790697674424</v>
      </c>
      <c r="F184" s="102"/>
      <c r="G184" s="19">
        <f>($I$116+$J$116)/(($F$116-1)*$P$116)*100</f>
        <v>9.2791411042944798</v>
      </c>
      <c r="H184" s="21">
        <f>($I$120+$J$120)/(($F$120-1)*$P$120)*100</f>
        <v>91.151919866444075</v>
      </c>
      <c r="I184" s="26">
        <f>($I$124+$J$124)/(($F$124-1)*$P$124)*100</f>
        <v>45.065176908752328</v>
      </c>
      <c r="J184" s="84">
        <f>($I$128+$J$128)/(($F$128-1)*$P$128)*100</f>
        <v>37.714285714285715</v>
      </c>
      <c r="K184" s="102"/>
      <c r="L184" s="83">
        <f>($I$117+$J$117)/(($F$117-1)*$P$117)*100</f>
        <v>8.092948717948719</v>
      </c>
      <c r="M184" s="26">
        <f>($I$121+$J$121)/(($F$121-1)*$P$121)*100</f>
        <v>91.044776119402982</v>
      </c>
      <c r="N184" s="26">
        <f>($I$125+$J$125)/(($F$125-1)*$P$125)*100</f>
        <v>44.726930320150657</v>
      </c>
      <c r="O184" s="21">
        <f>($I$129+$J$129)/(($F$129-1)*$P$129)*100</f>
        <v>39.488636363636367</v>
      </c>
    </row>
    <row r="185" spans="1:31" x14ac:dyDescent="0.2">
      <c r="A185" s="15" t="s">
        <v>11</v>
      </c>
      <c r="B185" s="90"/>
      <c r="C185" s="90"/>
      <c r="D185" s="90"/>
      <c r="E185" s="90"/>
      <c r="F185" s="112"/>
      <c r="G185" s="90"/>
      <c r="H185" s="90"/>
      <c r="I185" s="90"/>
      <c r="J185" s="90"/>
      <c r="K185" s="112"/>
      <c r="L185" s="90"/>
      <c r="M185" s="90"/>
      <c r="N185" s="90"/>
      <c r="O185" s="90"/>
      <c r="Y185">
        <f>(X182-S182)/X182*100</f>
        <v>1.2938594931913188</v>
      </c>
    </row>
    <row r="186" spans="1:31" x14ac:dyDescent="0.2">
      <c r="A186" s="16" t="s">
        <v>188</v>
      </c>
      <c r="B186" s="83">
        <f>B166</f>
        <v>2.512562814070352</v>
      </c>
      <c r="C186" s="87">
        <f t="shared" ref="C186:E186" si="53">C166</f>
        <v>0.50454086781029261</v>
      </c>
      <c r="D186" s="23">
        <f t="shared" si="53"/>
        <v>8.1378299120234594</v>
      </c>
      <c r="E186" s="83">
        <f t="shared" si="53"/>
        <v>5.1546391752577314</v>
      </c>
      <c r="F186" s="99"/>
      <c r="G186" s="83">
        <f>G166</f>
        <v>2.1673387096774195</v>
      </c>
      <c r="H186" s="31">
        <f t="shared" ref="H186:J186" si="54">H166</f>
        <v>0.55276381909547745</v>
      </c>
      <c r="I186" s="23">
        <f t="shared" si="54"/>
        <v>8.5903083700440526</v>
      </c>
      <c r="J186" s="83">
        <f t="shared" si="54"/>
        <v>3.5897435897435894</v>
      </c>
      <c r="K186" s="99"/>
      <c r="L186" s="19">
        <f>L166</f>
        <v>3.1155778894472363</v>
      </c>
      <c r="M186" s="24">
        <f t="shared" ref="M186:O186" si="55">M166</f>
        <v>0.55220883534136544</v>
      </c>
      <c r="N186" s="22">
        <f t="shared" si="55"/>
        <v>9.117647058823529</v>
      </c>
      <c r="O186" s="19">
        <f t="shared" si="55"/>
        <v>5.6122448979591839</v>
      </c>
      <c r="S186" t="s">
        <v>257</v>
      </c>
      <c r="T186" t="s">
        <v>256</v>
      </c>
    </row>
    <row r="187" spans="1:31" x14ac:dyDescent="0.2">
      <c r="A187" s="136" t="s">
        <v>192</v>
      </c>
      <c r="B187" s="22">
        <f>$L$115/(($F$115-1)*$P$115)*100</f>
        <v>6.1692969870875176</v>
      </c>
      <c r="C187" s="25">
        <f>$L$119/(($F$119-1)*$P$119)*100</f>
        <v>0.9375</v>
      </c>
      <c r="D187" s="83">
        <f>$L$123/(($F$123-1)*$P$123)*100</f>
        <v>1.4545454545454546</v>
      </c>
      <c r="E187" s="23">
        <f>$L$127/(($F$127-1)*$P$127)*100</f>
        <v>6.395348837209303</v>
      </c>
      <c r="F187" s="102">
        <f>AVERAGE(B187:E187)</f>
        <v>3.7391728197105687</v>
      </c>
      <c r="G187" s="23">
        <f>$L$116/(($F$116-1)*$P$116)*100</f>
        <v>4.984662576687116</v>
      </c>
      <c r="H187" s="24">
        <f>$L$120/(($F$120-1)*$P$120)*100</f>
        <v>0.58430717863105175</v>
      </c>
      <c r="I187" s="19">
        <f>$L$124/(($F$124-1)*$P$124)*100</f>
        <v>2.4208566108007448</v>
      </c>
      <c r="J187" s="23">
        <f>$L$128/(($F$128-1)*$P$128)*100</f>
        <v>6</v>
      </c>
      <c r="K187" s="102">
        <f>AVERAGE(G187:J187)</f>
        <v>3.497456591529728</v>
      </c>
      <c r="L187" s="23">
        <f>$L$117/(($F$117-1)*$P$117)*100</f>
        <v>5.4487179487179489</v>
      </c>
      <c r="M187" s="87">
        <f>$L$121/(($F$121-1)*$P$121)*100</f>
        <v>0.24875621890547264</v>
      </c>
      <c r="N187" s="83">
        <f>$L$125/(($F$125-1)*$P$125)*100</f>
        <v>1.977401129943503</v>
      </c>
      <c r="O187" s="22">
        <f>$L$129/(($F$129-1)*$P$129)*100</f>
        <v>6.5340909090909092</v>
      </c>
      <c r="P187" s="102">
        <f>AVERAGE(L187:O187)</f>
        <v>3.5522415516644585</v>
      </c>
      <c r="S187">
        <f>(F178-$V$239)/$V$239*100</f>
        <v>2.2219736981380906</v>
      </c>
      <c r="T187">
        <f>(K187-$V$248)/$V$248*100</f>
        <v>-23.636318962233013</v>
      </c>
    </row>
    <row r="188" spans="1:31" x14ac:dyDescent="0.2">
      <c r="A188" s="49"/>
      <c r="B188" s="153">
        <f>SUM(B177,B180,B183,B186)</f>
        <v>100</v>
      </c>
      <c r="C188" s="153">
        <f t="shared" ref="C188:E189" si="56">SUM(C177,C180,C183,C186)</f>
        <v>100</v>
      </c>
      <c r="D188" s="153">
        <f t="shared" si="56"/>
        <v>100.00000000000001</v>
      </c>
      <c r="E188" s="153">
        <f t="shared" si="56"/>
        <v>100</v>
      </c>
      <c r="F188" s="47"/>
      <c r="G188" s="153">
        <f>SUM(G177,G180,G183,G186)</f>
        <v>100</v>
      </c>
      <c r="H188" s="153">
        <f t="shared" ref="H188:J189" si="57">SUM(H177,H180,H183,H186)</f>
        <v>100</v>
      </c>
      <c r="I188" s="153">
        <f t="shared" si="57"/>
        <v>100</v>
      </c>
      <c r="J188" s="153">
        <f t="shared" si="57"/>
        <v>100</v>
      </c>
      <c r="K188" s="47"/>
      <c r="L188" s="153">
        <f>SUM(L177,L180,L183,L186)</f>
        <v>100</v>
      </c>
      <c r="M188" s="153">
        <f t="shared" ref="M188:O189" si="58">SUM(M177,M180,M183,M186)</f>
        <v>100</v>
      </c>
      <c r="N188" s="153">
        <f t="shared" si="58"/>
        <v>100</v>
      </c>
      <c r="O188" s="153">
        <f t="shared" si="58"/>
        <v>100</v>
      </c>
      <c r="S188">
        <f>(K178-$V$239)/$V$239*100</f>
        <v>0.49571615632547983</v>
      </c>
      <c r="T188">
        <f>(F187-$V$248)/$V$248*100</f>
        <v>-18.358672058721208</v>
      </c>
    </row>
    <row r="189" spans="1:31" x14ac:dyDescent="0.2">
      <c r="A189" s="16"/>
      <c r="B189" s="144">
        <f>SUM(B178,B181,B184,B187)</f>
        <v>100.00000000000001</v>
      </c>
      <c r="C189" s="144">
        <f t="shared" si="56"/>
        <v>100</v>
      </c>
      <c r="D189" s="144">
        <f t="shared" si="56"/>
        <v>100.00000000000001</v>
      </c>
      <c r="E189" s="144">
        <f t="shared" si="56"/>
        <v>100</v>
      </c>
      <c r="F189" s="92"/>
      <c r="G189" s="144">
        <f>SUM(G178,G181,G184,G187)</f>
        <v>100</v>
      </c>
      <c r="H189" s="144">
        <f t="shared" si="57"/>
        <v>100</v>
      </c>
      <c r="I189" s="144">
        <f t="shared" si="57"/>
        <v>100</v>
      </c>
      <c r="J189" s="144">
        <f t="shared" si="57"/>
        <v>100</v>
      </c>
      <c r="K189" s="92"/>
      <c r="L189" s="144">
        <f>SUM(L178,L181,L184,L187)</f>
        <v>100</v>
      </c>
      <c r="M189" s="144">
        <f t="shared" si="58"/>
        <v>100</v>
      </c>
      <c r="N189" s="144">
        <f t="shared" si="58"/>
        <v>100</v>
      </c>
      <c r="O189" s="144">
        <f t="shared" si="58"/>
        <v>100</v>
      </c>
      <c r="S189">
        <f>(P178-$V$239)/$V$239*100</f>
        <v>-3.5375295875832129</v>
      </c>
    </row>
    <row r="194" spans="1:32" x14ac:dyDescent="0.2">
      <c r="A194" s="75" t="s">
        <v>229</v>
      </c>
      <c r="B194" s="77" t="s">
        <v>225</v>
      </c>
      <c r="C194" s="77"/>
      <c r="D194" s="77"/>
      <c r="E194" s="77"/>
      <c r="F194" s="78"/>
      <c r="G194" s="77" t="s">
        <v>226</v>
      </c>
      <c r="H194" s="77"/>
      <c r="I194" s="77"/>
      <c r="J194" s="77"/>
      <c r="L194" s="77" t="s">
        <v>228</v>
      </c>
      <c r="M194" s="77"/>
      <c r="N194" s="77"/>
      <c r="O194" s="77"/>
    </row>
    <row r="195" spans="1:32" x14ac:dyDescent="0.2">
      <c r="A195" s="76"/>
      <c r="B195" s="12" t="s">
        <v>183</v>
      </c>
      <c r="C195" s="12" t="s">
        <v>184</v>
      </c>
      <c r="D195" s="12" t="s">
        <v>185</v>
      </c>
      <c r="E195" s="12" t="s">
        <v>186</v>
      </c>
      <c r="F195" s="78"/>
      <c r="G195" s="12" t="s">
        <v>183</v>
      </c>
      <c r="H195" s="12" t="s">
        <v>184</v>
      </c>
      <c r="I195" s="12" t="s">
        <v>185</v>
      </c>
      <c r="J195" s="12" t="s">
        <v>186</v>
      </c>
      <c r="K195" s="14"/>
      <c r="L195" s="12" t="s">
        <v>183</v>
      </c>
      <c r="M195" s="12" t="s">
        <v>184</v>
      </c>
      <c r="N195" s="12" t="s">
        <v>185</v>
      </c>
      <c r="O195" s="12" t="s">
        <v>186</v>
      </c>
    </row>
    <row r="196" spans="1:32" x14ac:dyDescent="0.2">
      <c r="A196" s="15" t="s">
        <v>7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32" x14ac:dyDescent="0.2">
      <c r="A197" s="16" t="s">
        <v>187</v>
      </c>
      <c r="B197" s="19">
        <f>$H$59/(($F$59-2)*$P$59)*100</f>
        <v>8.6086086086086091</v>
      </c>
      <c r="C197" s="18">
        <f>$H$63/(($F$63-2)*$P$63)*100</f>
        <v>1.7085427135678393</v>
      </c>
      <c r="D197" s="19">
        <f>$H$67/(($F$67-2)*$P$67)*100</f>
        <v>9.6209912536443145</v>
      </c>
      <c r="E197" s="21">
        <f>$H$71/(($F$71-2)*$P$71)*100</f>
        <v>15.228426395939088</v>
      </c>
      <c r="G197" s="18">
        <f>$H$60/(($F$60-2)*$P$60)*100</f>
        <v>8.6172344689378768</v>
      </c>
      <c r="H197" s="18">
        <f>$H$64/(($F$64-2)*$P$64)*100</f>
        <v>1.6112789526686808</v>
      </c>
      <c r="I197" s="17">
        <f>$H$68/(($F$68-2)*$P$68)*100</f>
        <v>10.410557184750733</v>
      </c>
      <c r="J197" s="17">
        <f>$H$72/(($F$72-2)*$P$72)*100</f>
        <v>16.243654822335024</v>
      </c>
      <c r="L197" s="18">
        <f>$H$61/(($F$61-2)*$P$61)*100</f>
        <v>8.6999999999999993</v>
      </c>
      <c r="M197" s="19">
        <f>$H$65/(($F$65-2)*$P$65)*100</f>
        <v>1.2036108324974923</v>
      </c>
      <c r="N197" s="17">
        <f>$H$69/(($F$69-2)*$P$69)*100</f>
        <v>12.170087976539589</v>
      </c>
      <c r="O197" s="17">
        <f>$H$73/(($F$73-2)*$P$73)*100</f>
        <v>17.258883248730964</v>
      </c>
    </row>
    <row r="198" spans="1:32" x14ac:dyDescent="0.2">
      <c r="A198" s="16" t="s">
        <v>188</v>
      </c>
      <c r="B198" s="17">
        <f>$H$75/(($F$75-2)*$P$75)*100</f>
        <v>28.643216080402013</v>
      </c>
      <c r="C198" s="18">
        <f>$H$79/(($F$79-2)*$P$79)*100</f>
        <v>1.7051153460381143</v>
      </c>
      <c r="D198" s="23">
        <f>$H$83/(($F$83-2)*$P$83)*100</f>
        <v>4.2647058823529411</v>
      </c>
      <c r="E198" s="17">
        <f>$H$87/(($F$87-2)*$P$87)*100</f>
        <v>23.350253807106601</v>
      </c>
      <c r="F198" s="12"/>
      <c r="G198" s="17">
        <f>$H$76/(($F$76-2)*$P$76)*100</f>
        <v>28.757515030060119</v>
      </c>
      <c r="H198" s="19">
        <f>$H$80/(($F$80-2)*$P$80)*100</f>
        <v>1.5075376884422109</v>
      </c>
      <c r="I198" s="23">
        <f>$H$84/(($F$84-2)*$P$84)*100</f>
        <v>4.1055718475073313</v>
      </c>
      <c r="J198" s="21">
        <f>$H$88/(($F$88-2)*$P$88)*100</f>
        <v>15.816326530612246</v>
      </c>
      <c r="L198" s="21">
        <f>$H$77/(($F$77-2)*$P$77)*100</f>
        <v>27.811244979919682</v>
      </c>
      <c r="M198" s="18">
        <f>$H$81/(($F$81-2)*$P$81)*100</f>
        <v>2.0080321285140563</v>
      </c>
      <c r="N198" s="22">
        <f>$H$85/(($F$85-2)*$P$85)*100</f>
        <v>3.6764705882352944</v>
      </c>
      <c r="O198" s="17">
        <f>$H$89/(($F$89-2)*$P$89)*100</f>
        <v>18.781725888324875</v>
      </c>
    </row>
    <row r="199" spans="1:32" x14ac:dyDescent="0.2">
      <c r="A199" s="16" t="s">
        <v>189</v>
      </c>
      <c r="B199" s="23">
        <f>$H$99/(($F$99-2)*$P$99)*100</f>
        <v>6.3157894736842106</v>
      </c>
      <c r="C199" s="25">
        <f>$H$103/(($F$103-2)*$P$103)*100</f>
        <v>0.2808988764044944</v>
      </c>
      <c r="D199" s="19">
        <f>$H$107/(($F$107-2)*$P$107)*100</f>
        <v>4.9568965517241379</v>
      </c>
      <c r="E199" s="26">
        <f>$H$111/(($F$111-2)*$P$111)*100</f>
        <v>13.492063492063492</v>
      </c>
      <c r="F199" s="12"/>
      <c r="G199" s="22">
        <f>$H$100/(($F$100-2)*$P$100)*100</f>
        <v>4.7449584816132857</v>
      </c>
      <c r="H199" s="24">
        <f>$H$104/(($F$104-2)*$P$104)*100</f>
        <v>0.8771929824561403</v>
      </c>
      <c r="I199" s="18">
        <f>$H$108/(($F$108-2)*$P$108)*100</f>
        <v>7.4592074592074589</v>
      </c>
      <c r="J199" s="20">
        <f>$H$112/(($F$112-2)*$P$112)*100</f>
        <v>13.114754098360656</v>
      </c>
      <c r="L199" s="23">
        <f>$H$101/(($F$101-2)*$P$101)*100</f>
        <v>6.1519903498190596</v>
      </c>
      <c r="M199" s="24">
        <f>$H$105/(($F$105-2)*$P$105)*100</f>
        <v>0.75528700906344415</v>
      </c>
      <c r="N199" s="18">
        <f>$H$109/(($F$109-2)*$P$109)*100</f>
        <v>7.2727272727272725</v>
      </c>
      <c r="O199" s="26">
        <f>$H$113/(($F$113-2)*$P$113)*100</f>
        <v>13.913043478260869</v>
      </c>
    </row>
    <row r="200" spans="1:32" x14ac:dyDescent="0.2">
      <c r="A200" s="15" t="s">
        <v>13</v>
      </c>
      <c r="B200" s="27"/>
      <c r="C200" s="27"/>
      <c r="D200" s="27"/>
      <c r="E200" s="27"/>
      <c r="F200" s="27"/>
      <c r="G200" s="27"/>
      <c r="H200" s="27"/>
      <c r="I200" s="27"/>
      <c r="J200" s="27"/>
      <c r="K200" s="15"/>
      <c r="L200" s="27"/>
      <c r="M200" s="27"/>
      <c r="N200" s="27"/>
      <c r="O200" s="27"/>
    </row>
    <row r="201" spans="1:32" x14ac:dyDescent="0.2">
      <c r="A201" s="16" t="s">
        <v>187</v>
      </c>
      <c r="B201" s="21">
        <f>$N$59/(($F$59-2)*$P$59)*100</f>
        <v>62.562562562562562</v>
      </c>
      <c r="C201" s="18">
        <f>$N$63/(($F$63-2)*$P$63)*100</f>
        <v>6.8341708542713571</v>
      </c>
      <c r="D201" s="20">
        <f>$N$67/(($F$67-2)*$P$67)*100</f>
        <v>27.113702623906704</v>
      </c>
      <c r="E201" s="21">
        <f>$N$71/(($F$71-2)*$P$71)*100</f>
        <v>41.624365482233507</v>
      </c>
      <c r="F201" s="12"/>
      <c r="G201" s="17">
        <f>$N$60/(($F$60-2)*$P$60)*100</f>
        <v>62.925851703406806</v>
      </c>
      <c r="H201" s="19">
        <f>$N$64/(($F$64-2)*$P$64)*100</f>
        <v>6.7472306143001006</v>
      </c>
      <c r="I201" s="26">
        <f>$N$68/(($F$68-2)*$P$68)*100</f>
        <v>28.299120234604107</v>
      </c>
      <c r="J201" s="21">
        <f>$N$72/(($F$72-2)*$P$72)*100</f>
        <v>41.624365482233507</v>
      </c>
      <c r="L201" s="17">
        <f>$N$61/(($F$61-2)*$P$61)*100</f>
        <v>63.6</v>
      </c>
      <c r="M201" s="18">
        <f>$N$65/(($F$65-2)*$P$65)*100</f>
        <v>7.1213640922768304</v>
      </c>
      <c r="N201" s="26">
        <f>$N$69/(($F$69-2)*$P$69)*100</f>
        <v>29.032258064516132</v>
      </c>
      <c r="O201" s="17">
        <f>$N$73/(($F$73-2)*$P$73)*100</f>
        <v>42.131979695431468</v>
      </c>
      <c r="Q201" s="75" t="s">
        <v>229</v>
      </c>
      <c r="R201" s="77" t="s">
        <v>225</v>
      </c>
      <c r="S201" s="77"/>
      <c r="T201" s="77"/>
      <c r="U201" s="77"/>
      <c r="V201" s="78"/>
      <c r="W201" s="77" t="s">
        <v>226</v>
      </c>
      <c r="X201" s="77"/>
      <c r="Y201" s="77"/>
      <c r="Z201" s="77"/>
      <c r="AB201" s="77" t="s">
        <v>228</v>
      </c>
      <c r="AC201" s="77"/>
      <c r="AD201" s="77"/>
      <c r="AE201" s="77"/>
      <c r="AF201" t="s">
        <v>168</v>
      </c>
    </row>
    <row r="202" spans="1:32" x14ac:dyDescent="0.2">
      <c r="A202" s="16" t="s">
        <v>188</v>
      </c>
      <c r="B202" s="20">
        <f>$N$75/(($F$75-2)*$P$75)*100</f>
        <v>45.326633165829143</v>
      </c>
      <c r="C202" s="18">
        <f>$N$79/(($F$79-2)*$P$79)*100</f>
        <v>7.0210631895687063</v>
      </c>
      <c r="D202" s="17">
        <f>$N$83/(($F$83-2)*$P$83)*100</f>
        <v>43.970588235294116</v>
      </c>
      <c r="E202" s="20">
        <f>$N$87/(($F$87-2)*$P$87)*100</f>
        <v>25.380710659898476</v>
      </c>
      <c r="F202" s="12"/>
      <c r="G202" s="26">
        <f>$N$76/(($F$76-2)*$P$76)*100</f>
        <v>45.69138276553106</v>
      </c>
      <c r="H202" s="19">
        <f>$N$80/(($F$80-2)*$P$80)*100</f>
        <v>6.9346733668341711</v>
      </c>
      <c r="I202" s="21">
        <f>$N$84/(($F$84-2)*$P$84)*100</f>
        <v>42.961876832844574</v>
      </c>
      <c r="J202" s="26">
        <f>$N$88/(($F$88-2)*$P$88)*100</f>
        <v>28.571428571428569</v>
      </c>
      <c r="L202" s="26">
        <f>$N$77/(($F$77-2)*$P$77)*100</f>
        <v>45.381526104417667</v>
      </c>
      <c r="M202" s="18">
        <f>$N$81/(($F$81-2)*$P$81)*100</f>
        <v>7.1285140562248994</v>
      </c>
      <c r="N202" s="17">
        <f>$N$85/(($F$85-2)*$P$85)*100</f>
        <v>43.529411764705884</v>
      </c>
      <c r="O202" s="26">
        <f>$N$89/(($F$89-2)*$P$89)*100</f>
        <v>27.411167512690355</v>
      </c>
      <c r="Q202" s="76"/>
      <c r="R202" s="12" t="s">
        <v>183</v>
      </c>
      <c r="S202" s="12" t="s">
        <v>184</v>
      </c>
      <c r="T202" s="12" t="s">
        <v>185</v>
      </c>
      <c r="U202" s="12" t="s">
        <v>186</v>
      </c>
      <c r="V202" s="78"/>
      <c r="W202" s="12" t="s">
        <v>183</v>
      </c>
      <c r="X202" s="12" t="s">
        <v>184</v>
      </c>
      <c r="Y202" s="12" t="s">
        <v>185</v>
      </c>
      <c r="Z202" s="12" t="s">
        <v>186</v>
      </c>
      <c r="AA202" s="14"/>
      <c r="AB202" s="12" t="s">
        <v>183</v>
      </c>
      <c r="AC202" s="12" t="s">
        <v>184</v>
      </c>
      <c r="AD202" s="12" t="s">
        <v>185</v>
      </c>
      <c r="AE202" s="12" t="s">
        <v>186</v>
      </c>
    </row>
    <row r="203" spans="1:32" x14ac:dyDescent="0.2">
      <c r="A203" s="16" t="s">
        <v>189</v>
      </c>
      <c r="B203" s="17">
        <f>$N$99/(($F$99-2)*$P$99)*100</f>
        <v>59.064327485380119</v>
      </c>
      <c r="C203" s="22">
        <f>$N$103/(($F$103-2)*$P$103)*100</f>
        <v>6.179775280898876</v>
      </c>
      <c r="D203" s="21">
        <f>$N$107/(($F$107-2)*$P$107)*100</f>
        <v>37.28448275862069</v>
      </c>
      <c r="E203" s="21">
        <f>$N$111/(($F$111-2)*$P$111)*100</f>
        <v>49.206349206349202</v>
      </c>
      <c r="F203" s="12"/>
      <c r="G203" s="17">
        <f>$N$100/(($F$100-2)*$P$100)*100</f>
        <v>59.311981020166073</v>
      </c>
      <c r="H203" s="23">
        <f>$N$104/(($F$104-2)*$P$104)*100</f>
        <v>6.4327485380116958</v>
      </c>
      <c r="I203" s="17">
        <f>$N$108/(($F$108-2)*$P$108)*100</f>
        <v>38.694638694638698</v>
      </c>
      <c r="J203" s="17">
        <f>$N$112/(($F$112-2)*$P$112)*100</f>
        <v>52.459016393442624</v>
      </c>
      <c r="L203" s="21">
        <f>$N$101/(($F$101-2)*$P$101)*100</f>
        <v>58.504221954161636</v>
      </c>
      <c r="M203" s="23">
        <f>$N$105/(($F$105-2)*$P$105)*100</f>
        <v>6.6465256797583088</v>
      </c>
      <c r="N203" s="17">
        <f>$N$109/(($F$109-2)*$P$109)*100</f>
        <v>37.954545454545453</v>
      </c>
      <c r="O203" s="17">
        <f>$N$113/(($F$113-2)*$P$113)*100</f>
        <v>50.434782608695649</v>
      </c>
      <c r="Q203" s="16" t="s">
        <v>187</v>
      </c>
      <c r="R203" s="30">
        <f>B197+B201</f>
        <v>71.171171171171167</v>
      </c>
      <c r="S203" s="7">
        <f>C197+C201</f>
        <v>8.542713567839197</v>
      </c>
      <c r="T203" s="30">
        <f>D197+D201</f>
        <v>36.734693877551017</v>
      </c>
      <c r="U203" s="30">
        <f>E197+E201</f>
        <v>56.852791878172596</v>
      </c>
      <c r="V203" s="30"/>
      <c r="W203" s="30">
        <f>G197+G201</f>
        <v>71.543086172344687</v>
      </c>
      <c r="X203" s="7">
        <f>H197+H201</f>
        <v>8.358509566968781</v>
      </c>
      <c r="Y203" s="30">
        <f>I197+I201</f>
        <v>38.70967741935484</v>
      </c>
      <c r="Z203" s="30">
        <f>J197+J201</f>
        <v>57.868020304568532</v>
      </c>
      <c r="AA203" s="30"/>
      <c r="AB203" s="30">
        <f>L197+L201</f>
        <v>72.3</v>
      </c>
      <c r="AC203" s="7">
        <f>M197+M201</f>
        <v>8.3249749247743221</v>
      </c>
      <c r="AD203" s="30">
        <f>N197+N201</f>
        <v>41.202346041055719</v>
      </c>
      <c r="AE203" s="30">
        <f>O197+O201</f>
        <v>59.390862944162436</v>
      </c>
      <c r="AF203" s="30">
        <f>AVERAGE(R203:U203,W203:Z203,AB203:AE203)</f>
        <v>44.249903988996941</v>
      </c>
    </row>
    <row r="204" spans="1:32" x14ac:dyDescent="0.2">
      <c r="A204" s="15" t="s">
        <v>190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15"/>
      <c r="L204" s="27"/>
      <c r="M204" s="27"/>
      <c r="N204" s="27"/>
      <c r="O204" s="27"/>
      <c r="Q204" s="16" t="s">
        <v>188</v>
      </c>
      <c r="R204" s="30">
        <f>B198+B202</f>
        <v>73.969849246231149</v>
      </c>
      <c r="S204" s="7">
        <f>C198+C202</f>
        <v>8.7261785356068202</v>
      </c>
      <c r="T204" s="30">
        <f>D198+D202</f>
        <v>48.235294117647058</v>
      </c>
      <c r="U204" s="30">
        <f>E198+E202</f>
        <v>48.73096446700508</v>
      </c>
      <c r="V204" s="30"/>
      <c r="W204" s="30">
        <f>G198+G202</f>
        <v>74.448897795591179</v>
      </c>
      <c r="X204" s="7">
        <f>H198+H202</f>
        <v>8.4422110552763812</v>
      </c>
      <c r="Y204" s="30">
        <f>I198+I202</f>
        <v>47.067448680351902</v>
      </c>
      <c r="Z204" s="30">
        <f>J198+J202</f>
        <v>44.387755102040813</v>
      </c>
      <c r="AA204" s="7"/>
      <c r="AB204" s="30">
        <f>L198+L202</f>
        <v>73.192771084337352</v>
      </c>
      <c r="AC204" s="7">
        <f>M198+M202</f>
        <v>9.1365461847389557</v>
      </c>
      <c r="AD204" s="30">
        <f>N198+N202</f>
        <v>47.205882352941181</v>
      </c>
      <c r="AE204" s="30">
        <f>O198+O202</f>
        <v>46.192893401015226</v>
      </c>
      <c r="AF204" s="30">
        <f t="shared" ref="AF204:AF205" si="59">AVERAGE(R204:U204,W204:Z204,AB204:AE204)</f>
        <v>44.144724335231921</v>
      </c>
    </row>
    <row r="205" spans="1:32" ht="16" thickBot="1" x14ac:dyDescent="0.25">
      <c r="A205" s="16" t="s">
        <v>187</v>
      </c>
      <c r="B205" s="21">
        <f>($I$59+$J$59)/(($F$59-2)*$P$59)*100</f>
        <v>24.224224224224226</v>
      </c>
      <c r="C205" s="17">
        <f>($I$63+$J$63)/(($F$63-2)*$P$63)*100</f>
        <v>90.653266331658287</v>
      </c>
      <c r="D205" s="21">
        <f>($I$67+$J$67)/(($F$67-2)*$P$67)*100</f>
        <v>48.542274052478135</v>
      </c>
      <c r="E205" s="21">
        <f>($I$71+$J$71)/(($F$71-2)*$P$71)*100</f>
        <v>33.502538071065992</v>
      </c>
      <c r="F205" s="12"/>
      <c r="G205" s="17">
        <f>($I$60+$J$60)/(($F$60-2)*$P$60)*100</f>
        <v>24.148296593186373</v>
      </c>
      <c r="H205" s="17">
        <f>($I$64+$J$64)/(($F$64-2)*$P$64)*100</f>
        <v>90.735146022155092</v>
      </c>
      <c r="I205" s="26">
        <f>($I$68+$J$68)/(($F$68-2)*$P$68)*100</f>
        <v>47.800586510263933</v>
      </c>
      <c r="J205" s="17">
        <f>($I$72+$J$72)/(($F$72-2)*$P$72)*100</f>
        <v>32.487309644670049</v>
      </c>
      <c r="L205" s="21">
        <f>($I$61+$J$61)/(($F$61-2)*$P$61)*100</f>
        <v>24.2</v>
      </c>
      <c r="M205" s="21">
        <f>($I$65+$J$65)/(($F$65-2)*$P$65)*100</f>
        <v>91.173520561685052</v>
      </c>
      <c r="N205" s="17">
        <f>($I$69+$J$69)/(($F$69-2)*$P$69)*100</f>
        <v>45.894428152492665</v>
      </c>
      <c r="O205" s="17">
        <f>($I$73+$J$73)/(($F$73-2)*$P$73)*100</f>
        <v>31.472081218274113</v>
      </c>
      <c r="Q205" s="40" t="s">
        <v>189</v>
      </c>
      <c r="R205" s="30">
        <f>B199+B203</f>
        <v>65.380116959064324</v>
      </c>
      <c r="S205" s="7">
        <f>C199+C203</f>
        <v>6.4606741573033704</v>
      </c>
      <c r="T205" s="30">
        <f>D199+D203</f>
        <v>42.241379310344826</v>
      </c>
      <c r="U205" s="30">
        <f>E199+E203</f>
        <v>62.698412698412696</v>
      </c>
      <c r="V205" s="30"/>
      <c r="W205" s="30">
        <f>G199+G203</f>
        <v>64.056939501779354</v>
      </c>
      <c r="X205" s="7">
        <f>H199+H203</f>
        <v>7.3099415204678362</v>
      </c>
      <c r="Y205" s="30">
        <f>I199+I203</f>
        <v>46.15384615384616</v>
      </c>
      <c r="Z205" s="30">
        <f>J199+J203</f>
        <v>65.573770491803288</v>
      </c>
      <c r="AB205" s="30">
        <f>L199+L203</f>
        <v>64.656212303980695</v>
      </c>
      <c r="AC205" s="7">
        <f>M199+M203</f>
        <v>7.401812688821753</v>
      </c>
      <c r="AD205" s="30">
        <f>N199+N203</f>
        <v>45.227272727272727</v>
      </c>
      <c r="AE205" s="30">
        <f>O199+O203</f>
        <v>64.347826086956516</v>
      </c>
      <c r="AF205" s="30">
        <f t="shared" si="59"/>
        <v>45.125683716671126</v>
      </c>
    </row>
    <row r="206" spans="1:32" x14ac:dyDescent="0.2">
      <c r="A206" s="16" t="s">
        <v>188</v>
      </c>
      <c r="B206" s="17">
        <f>($I$75+$J$75)/(($F$75-2)*$P$75)*100</f>
        <v>23.015075376884422</v>
      </c>
      <c r="C206" s="17">
        <f>($I$79+$J$79)/(($F$79-2)*$P$79)*100</f>
        <v>90.672016048144428</v>
      </c>
      <c r="D206" s="17">
        <f>($I$83+$J$83)/(($F$83-2)*$P$83)*100</f>
        <v>43.382352941176471</v>
      </c>
      <c r="E206" s="26">
        <f>($I$87+$J$87)/(($F$87-2)*$P$87)*100</f>
        <v>45.685279187817258</v>
      </c>
      <c r="F206" s="12"/>
      <c r="G206" s="17">
        <f>($I$76+$J$76)/(($F$76-2)*$P$76)*100</f>
        <v>23.046092184368739</v>
      </c>
      <c r="H206" s="21">
        <f>($I$80+$J$80)/(($F$80-2)*$P$80)*100</f>
        <v>90.854271356783926</v>
      </c>
      <c r="I206" s="17">
        <f>($I$84+$J$84)/(($F$84-2)*$P$84)*100</f>
        <v>43.548387096774192</v>
      </c>
      <c r="J206" s="20">
        <f>($I$88+$J$88)/(($F$88-2)*$P$88)*100</f>
        <v>53.061224489795919</v>
      </c>
      <c r="L206" s="21">
        <f>($I$77+$J$77)/(($F$77-2)*$P$77)*100</f>
        <v>23.895582329317268</v>
      </c>
      <c r="M206" s="17">
        <f>($I$81+$J$81)/(($F$81-2)*$P$81)*100</f>
        <v>90.261044176706832</v>
      </c>
      <c r="N206" s="21">
        <f>($I$85+$J$85)/(($F$85-2)*$P$85)*100</f>
        <v>43.970588235294116</v>
      </c>
      <c r="O206" s="26">
        <f>($I$89+$J$89)/(($F$89-2)*$P$89)*100</f>
        <v>50.253807106598977</v>
      </c>
      <c r="Q206" s="16" t="s">
        <v>168</v>
      </c>
      <c r="R206" s="30">
        <f>AVERAGE(R203:R205)</f>
        <v>70.173712458822209</v>
      </c>
      <c r="S206" s="7">
        <f t="shared" ref="S206:U206" si="60">AVERAGE(S203:S205)</f>
        <v>7.9098554202497953</v>
      </c>
      <c r="T206" s="30">
        <f t="shared" si="60"/>
        <v>42.403789101847629</v>
      </c>
      <c r="U206" s="30">
        <f t="shared" si="60"/>
        <v>56.094056347863464</v>
      </c>
      <c r="V206" s="30"/>
      <c r="W206" s="30">
        <f t="shared" ref="W206:Z206" si="61">AVERAGE(W203:W205)</f>
        <v>70.016307823238421</v>
      </c>
      <c r="X206" s="7">
        <f t="shared" si="61"/>
        <v>8.0368873809043322</v>
      </c>
      <c r="Y206" s="30">
        <f t="shared" si="61"/>
        <v>43.976990751184303</v>
      </c>
      <c r="Z206" s="30">
        <f t="shared" si="61"/>
        <v>55.943181966137537</v>
      </c>
      <c r="AA206" s="30"/>
      <c r="AB206" s="30">
        <f t="shared" ref="AB206:AE206" si="62">AVERAGE(AB203:AB205)</f>
        <v>70.049661129439343</v>
      </c>
      <c r="AC206" s="7">
        <f t="shared" si="62"/>
        <v>8.2877779327783436</v>
      </c>
      <c r="AD206" s="30">
        <f t="shared" si="62"/>
        <v>44.545167040423202</v>
      </c>
      <c r="AE206" s="30">
        <f t="shared" si="62"/>
        <v>56.643860810711395</v>
      </c>
    </row>
    <row r="207" spans="1:32" x14ac:dyDescent="0.2">
      <c r="A207" s="16" t="s">
        <v>189</v>
      </c>
      <c r="B207" s="26">
        <f>($I$99+$J$99)/(($F$99-2)*$P$99)*100</f>
        <v>28.30409356725146</v>
      </c>
      <c r="C207" s="20">
        <f>($I$103+$J$103)/(($F$103-2)*$P$103)*100</f>
        <v>92.696629213483149</v>
      </c>
      <c r="D207" s="20">
        <f>($I$107+$J$107)/(($F$107-2)*$P$107)*100</f>
        <v>50.215517241379317</v>
      </c>
      <c r="E207" s="17">
        <f>($I$111+$J$111)/(($F$111-2)*$P$111)*100</f>
        <v>19.841269841269842</v>
      </c>
      <c r="F207" s="12"/>
      <c r="G207" s="20">
        <f>($I$100+$J$100)/(($F$100-2)*$P$100)*100</f>
        <v>29.418742586002374</v>
      </c>
      <c r="H207" s="26">
        <f>($I$104+$J$104)/(($F$104-2)*$P$104)*100</f>
        <v>91.959064327485379</v>
      </c>
      <c r="I207" s="17">
        <f>($I$108+$J$108)/(($F$108-2)*$P$108)*100</f>
        <v>45.920745920745922</v>
      </c>
      <c r="J207" s="17">
        <f>($I$112+$J$112)/(($F$112-2)*$P$112)*100</f>
        <v>22.131147540983605</v>
      </c>
      <c r="K207" s="14"/>
      <c r="L207" s="26">
        <f>($I$101+$J$101)/(($F$101-2)*$P$101)*100</f>
        <v>28.22677925211098</v>
      </c>
      <c r="M207" s="26">
        <f>($I$105+$J$105)/(($F$105-2)*$P$105)*100</f>
        <v>91.993957703927492</v>
      </c>
      <c r="N207" s="26">
        <f>($I$109+$J$109)/(($F$109-2)*$P$109)*100</f>
        <v>46.81818181818182</v>
      </c>
      <c r="O207" s="21">
        <f>($I$113+$J$113)/(($F$113-2)*$P$113)*100</f>
        <v>23.478260869565219</v>
      </c>
      <c r="S207" s="30">
        <f>AVERAGE(R206:U206)</f>
        <v>44.145353332195775</v>
      </c>
      <c r="X207" s="30">
        <f>AVERAGE(W206:Z206)</f>
        <v>44.493341980366147</v>
      </c>
      <c r="AC207" s="70">
        <v>44.1</v>
      </c>
    </row>
    <row r="208" spans="1:32" x14ac:dyDescent="0.2">
      <c r="A208" s="15" t="s">
        <v>11</v>
      </c>
      <c r="B208" s="27"/>
      <c r="C208" s="27"/>
      <c r="D208" s="27"/>
      <c r="E208" s="27"/>
      <c r="F208" s="27"/>
      <c r="G208" s="27"/>
      <c r="H208" s="27"/>
      <c r="I208" s="27"/>
      <c r="J208" s="27"/>
      <c r="L208" s="27"/>
      <c r="M208" s="27"/>
      <c r="N208" s="27"/>
      <c r="O208" s="27"/>
    </row>
    <row r="209" spans="1:31" x14ac:dyDescent="0.2">
      <c r="A209" s="16" t="s">
        <v>187</v>
      </c>
      <c r="B209" s="19">
        <f>$L$59/(($F$59-2)*$P$59)*100</f>
        <v>4.6046046046046047</v>
      </c>
      <c r="C209" s="28">
        <f>$L$63/(($F$63-2)*$P$63)*100</f>
        <v>0.8040201005025126</v>
      </c>
      <c r="D209" s="20">
        <f>$L$67/(($F$67-2)*$P$67)*100</f>
        <v>14.723032069970845</v>
      </c>
      <c r="E209" s="19">
        <f>$L$71/(($F$71-2)*$P$71)*100</f>
        <v>9.6446700507614214</v>
      </c>
      <c r="F209" s="12"/>
      <c r="G209" s="18">
        <f>$L$60/(($F$60-2)*$P$60)*100</f>
        <v>4.3086172344689384</v>
      </c>
      <c r="H209" s="25">
        <f>$L$64/(($F$64-2)*$P$64)*100</f>
        <v>0.90634441087613304</v>
      </c>
      <c r="I209" s="17">
        <f>$L$68/(($F$68-2)*$P$68)*100</f>
        <v>13.48973607038123</v>
      </c>
      <c r="J209" s="19">
        <f>$L$72/(($F$72-2)*$P$72)*100</f>
        <v>9.6446700507614214</v>
      </c>
      <c r="L209" s="18">
        <f>$L$61/(($F$61-2)*$P$61)*100</f>
        <v>3.5000000000000004</v>
      </c>
      <c r="M209" s="28">
        <f>$L$65/(($F$65-2)*$P$65)*100</f>
        <v>0.50150451354062187</v>
      </c>
      <c r="N209" s="26">
        <f>$L$69/(($F$69-2)*$P$69)*100</f>
        <v>12.903225806451612</v>
      </c>
      <c r="O209" s="18">
        <f>$L$73/(($F$73-2)*$P$73)*100</f>
        <v>9.1370558375634516</v>
      </c>
    </row>
    <row r="210" spans="1:31" x14ac:dyDescent="0.2">
      <c r="A210" s="16" t="s">
        <v>188</v>
      </c>
      <c r="B210" s="19">
        <f>$L$75/(($F$75-2)*$P$75)*100</f>
        <v>3.0150753768844218</v>
      </c>
      <c r="C210" s="28">
        <f>$L$79/(($F$79-2)*$P$79)*100</f>
        <v>0.60180541624874617</v>
      </c>
      <c r="D210" s="18">
        <f>$L$83/(($F$83-2)*$P$83)*100</f>
        <v>8.3823529411764692</v>
      </c>
      <c r="E210" s="19">
        <f>$L$87/(($F$87-2)*$P$87)*100</f>
        <v>5.5837563451776653</v>
      </c>
      <c r="F210" s="12"/>
      <c r="G210" s="18">
        <f>$L$76/(($F$76-2)*$P$76)*100</f>
        <v>2.5050100200400802</v>
      </c>
      <c r="H210" s="31">
        <f>$L$80/(($F$80-2)*$P$80)*100</f>
        <v>0.70351758793969854</v>
      </c>
      <c r="I210" s="22">
        <f>$L$84/(($F$84-2)*$P$84)*100</f>
        <v>9.3841642228739008</v>
      </c>
      <c r="J210" s="18">
        <f>$L$88/(($F$88-2)*$P$88)*100</f>
        <v>2.5510204081632653</v>
      </c>
      <c r="L210" s="18">
        <f>$L$77/(($F$77-2)*$P$77)*100</f>
        <v>2.9116465863453818</v>
      </c>
      <c r="M210" s="28">
        <f>$L$81/(($F$81-2)*$P$81)*100</f>
        <v>0.60240963855421692</v>
      </c>
      <c r="N210" s="18">
        <f>$L$85/(($F$85-2)*$P$85)*100</f>
        <v>8.8235294117647065</v>
      </c>
      <c r="O210" s="18">
        <f>$L$89/(($F$89-2)*$P$89)*100</f>
        <v>3.5532994923857872</v>
      </c>
    </row>
    <row r="211" spans="1:31" x14ac:dyDescent="0.2">
      <c r="A211" s="16" t="s">
        <v>189</v>
      </c>
      <c r="B211" s="23">
        <f>$L$99/(($F$99-2)*$P$99)*100</f>
        <v>6.3157894736842106</v>
      </c>
      <c r="C211" s="25">
        <f>$L$103/(($F$103-2)*$P$103)*100</f>
        <v>0.84269662921348309</v>
      </c>
      <c r="D211" s="18">
        <f>$L$107/(($F$107-2)*$P$107)*100</f>
        <v>7.5431034482758621</v>
      </c>
      <c r="E211" s="20">
        <f>$L$111/(($F$111-2)*$P$111)*100</f>
        <v>17.460317460317459</v>
      </c>
      <c r="F211" s="12"/>
      <c r="G211" s="23">
        <f>$L$100/(($F$100-2)*$P$100)*100</f>
        <v>6.524317912218268</v>
      </c>
      <c r="H211" s="28">
        <f>$L$104/(($F$104-2)*$P$104)*100</f>
        <v>0.73099415204678353</v>
      </c>
      <c r="I211" s="18">
        <f>$L$108/(($F$108-2)*$P$108)*100</f>
        <v>7.9254079254079253</v>
      </c>
      <c r="J211" s="26">
        <f>$L$112/(($F$112-2)*$P$112)*100</f>
        <v>12.295081967213115</v>
      </c>
      <c r="L211" s="22">
        <f>$L$101/(($F$101-2)*$P$101)*100</f>
        <v>7.1170084439083237</v>
      </c>
      <c r="M211" s="24">
        <f>$L$105/(($F$105-2)*$P$105)*100</f>
        <v>0.60422960725075525</v>
      </c>
      <c r="N211" s="19">
        <f>$L$109/(($F$109-2)*$P$109)*100</f>
        <v>7.9545454545454541</v>
      </c>
      <c r="O211" s="26">
        <f>$L$113/(($F$113-2)*$P$113)*100</f>
        <v>12.173913043478262</v>
      </c>
    </row>
    <row r="212" spans="1:31" x14ac:dyDescent="0.2">
      <c r="A212" s="49"/>
      <c r="B212" s="47">
        <f>SUM(B197+B201+B205+B209)</f>
        <v>100</v>
      </c>
      <c r="C212" s="47">
        <f t="shared" ref="C212:E214" si="63">SUM(C197+C201+C205+C209)</f>
        <v>100</v>
      </c>
      <c r="D212" s="47">
        <f t="shared" si="63"/>
        <v>99.999999999999986</v>
      </c>
      <c r="E212" s="47">
        <f t="shared" si="63"/>
        <v>100</v>
      </c>
      <c r="F212" s="47"/>
      <c r="G212" s="47">
        <f t="shared" ref="G212:J214" si="64">SUM(G197+G201+G205+G209)</f>
        <v>100</v>
      </c>
      <c r="H212" s="47">
        <f t="shared" si="64"/>
        <v>100</v>
      </c>
      <c r="I212" s="47">
        <f t="shared" si="64"/>
        <v>100</v>
      </c>
      <c r="J212" s="47">
        <f t="shared" si="64"/>
        <v>100</v>
      </c>
      <c r="K212" s="47"/>
      <c r="L212" s="47">
        <f>SUM(L197+L201+L205+L209)</f>
        <v>100</v>
      </c>
      <c r="M212" s="47">
        <f t="shared" ref="M212:O214" si="65">SUM(M197+M201+M205+M209)</f>
        <v>100</v>
      </c>
      <c r="N212" s="47">
        <f t="shared" si="65"/>
        <v>100</v>
      </c>
      <c r="O212" s="47">
        <f t="shared" si="65"/>
        <v>100</v>
      </c>
    </row>
    <row r="213" spans="1:31" x14ac:dyDescent="0.2">
      <c r="A213" s="16"/>
      <c r="B213" s="17">
        <f>SUM(B198+B202+B206+B210)</f>
        <v>100</v>
      </c>
      <c r="C213" s="17">
        <f t="shared" si="63"/>
        <v>100</v>
      </c>
      <c r="D213" s="17">
        <f t="shared" si="63"/>
        <v>100</v>
      </c>
      <c r="E213" s="17">
        <f t="shared" si="63"/>
        <v>100</v>
      </c>
      <c r="F213" s="17"/>
      <c r="G213" s="17">
        <f t="shared" si="64"/>
        <v>99.999999999999986</v>
      </c>
      <c r="H213" s="17">
        <f t="shared" si="64"/>
        <v>100</v>
      </c>
      <c r="I213" s="17">
        <f t="shared" si="64"/>
        <v>100</v>
      </c>
      <c r="J213" s="17">
        <f t="shared" si="64"/>
        <v>100</v>
      </c>
      <c r="K213" s="17"/>
      <c r="L213" s="17">
        <f>SUM(L198+L202+L206+L210)</f>
        <v>100</v>
      </c>
      <c r="M213" s="17">
        <f t="shared" si="65"/>
        <v>100.00000000000001</v>
      </c>
      <c r="N213" s="17">
        <f t="shared" si="65"/>
        <v>100.00000000000001</v>
      </c>
      <c r="O213" s="17">
        <f t="shared" si="65"/>
        <v>99.999999999999986</v>
      </c>
    </row>
    <row r="214" spans="1:31" x14ac:dyDescent="0.2">
      <c r="A214" s="16"/>
      <c r="B214" s="17">
        <f>SUM(B199+B203+B207+B211)</f>
        <v>99.999999999999986</v>
      </c>
      <c r="C214" s="17">
        <f t="shared" si="63"/>
        <v>100</v>
      </c>
      <c r="D214" s="17">
        <f t="shared" si="63"/>
        <v>100</v>
      </c>
      <c r="E214" s="17">
        <f t="shared" si="63"/>
        <v>99.999999999999986</v>
      </c>
      <c r="F214" s="17"/>
      <c r="G214" s="17">
        <f t="shared" si="64"/>
        <v>100</v>
      </c>
      <c r="H214" s="17">
        <f t="shared" si="64"/>
        <v>100</v>
      </c>
      <c r="I214" s="17">
        <f t="shared" si="64"/>
        <v>100.00000000000001</v>
      </c>
      <c r="J214" s="17">
        <f t="shared" si="64"/>
        <v>100</v>
      </c>
      <c r="K214" s="17"/>
      <c r="L214" s="17">
        <f>SUM(L199+L203+L207+L211)</f>
        <v>99.999999999999986</v>
      </c>
      <c r="M214" s="17">
        <f t="shared" si="65"/>
        <v>100</v>
      </c>
      <c r="N214" s="17">
        <f t="shared" si="65"/>
        <v>100</v>
      </c>
      <c r="O214" s="17">
        <f t="shared" si="65"/>
        <v>100</v>
      </c>
    </row>
    <row r="217" spans="1:31" x14ac:dyDescent="0.2">
      <c r="A217" s="75" t="s">
        <v>277</v>
      </c>
      <c r="B217" s="150" t="s">
        <v>225</v>
      </c>
      <c r="C217" s="150"/>
      <c r="D217" s="150"/>
      <c r="E217" s="150"/>
      <c r="F217" s="135"/>
      <c r="G217" s="150" t="s">
        <v>226</v>
      </c>
      <c r="H217" s="150"/>
      <c r="I217" s="150"/>
      <c r="J217" s="150"/>
      <c r="K217" s="135"/>
      <c r="L217" s="150" t="s">
        <v>228</v>
      </c>
      <c r="M217" s="150"/>
      <c r="N217" s="150"/>
      <c r="O217" s="150"/>
    </row>
    <row r="218" spans="1:31" x14ac:dyDescent="0.2">
      <c r="A218" s="75"/>
      <c r="B218" s="77"/>
      <c r="C218" s="77"/>
      <c r="D218" s="77"/>
      <c r="E218" s="77"/>
      <c r="F218" s="151"/>
      <c r="G218" s="77"/>
      <c r="H218" s="77"/>
      <c r="I218" s="77"/>
      <c r="J218" s="77"/>
      <c r="K218" s="135"/>
      <c r="L218" s="77"/>
      <c r="M218" s="77"/>
      <c r="N218" s="77"/>
      <c r="O218" s="77"/>
    </row>
    <row r="219" spans="1:31" x14ac:dyDescent="0.2">
      <c r="A219" s="79"/>
      <c r="B219" s="35" t="s">
        <v>183</v>
      </c>
      <c r="C219" s="35" t="s">
        <v>184</v>
      </c>
      <c r="D219" s="35" t="s">
        <v>185</v>
      </c>
      <c r="E219" s="35" t="s">
        <v>186</v>
      </c>
      <c r="F219" s="152"/>
      <c r="G219" s="35" t="s">
        <v>183</v>
      </c>
      <c r="H219" s="35" t="s">
        <v>184</v>
      </c>
      <c r="I219" s="35" t="s">
        <v>185</v>
      </c>
      <c r="J219" s="35" t="s">
        <v>186</v>
      </c>
      <c r="K219" s="14"/>
      <c r="L219" s="35" t="s">
        <v>183</v>
      </c>
      <c r="M219" s="35" t="s">
        <v>184</v>
      </c>
      <c r="N219" s="35" t="s">
        <v>185</v>
      </c>
      <c r="O219" s="35" t="s">
        <v>186</v>
      </c>
    </row>
    <row r="220" spans="1:31" x14ac:dyDescent="0.2">
      <c r="A220" s="15" t="s">
        <v>7</v>
      </c>
      <c r="K220" s="135"/>
    </row>
    <row r="221" spans="1:31" x14ac:dyDescent="0.2">
      <c r="A221" s="16" t="s">
        <v>188</v>
      </c>
      <c r="B221" s="84">
        <f>B198</f>
        <v>28.643216080402013</v>
      </c>
      <c r="C221" s="83">
        <f t="shared" ref="C221:E221" si="66">C198</f>
        <v>1.7051153460381143</v>
      </c>
      <c r="D221" s="23">
        <f t="shared" si="66"/>
        <v>4.2647058823529411</v>
      </c>
      <c r="E221" s="84">
        <f t="shared" si="66"/>
        <v>23.350253807106601</v>
      </c>
      <c r="F221" s="94"/>
      <c r="G221" s="84">
        <f>G198</f>
        <v>28.757515030060119</v>
      </c>
      <c r="H221" s="19">
        <f t="shared" ref="H221:J221" si="67">H198</f>
        <v>1.5075376884422109</v>
      </c>
      <c r="I221" s="23">
        <f t="shared" si="67"/>
        <v>4.1055718475073313</v>
      </c>
      <c r="J221" s="21">
        <f t="shared" si="67"/>
        <v>15.816326530612246</v>
      </c>
      <c r="K221" s="91"/>
      <c r="L221" s="21">
        <f>L198</f>
        <v>27.811244979919682</v>
      </c>
      <c r="M221" s="83">
        <f t="shared" ref="M221:O221" si="68">M198</f>
        <v>2.0080321285140563</v>
      </c>
      <c r="N221" s="22">
        <f t="shared" si="68"/>
        <v>3.6764705882352944</v>
      </c>
      <c r="O221" s="84">
        <f t="shared" si="68"/>
        <v>18.781725888324875</v>
      </c>
    </row>
    <row r="222" spans="1:31" x14ac:dyDescent="0.2">
      <c r="A222" s="16" t="s">
        <v>192</v>
      </c>
      <c r="B222" s="23">
        <f>$H$131/(($F$131-2)*$P$131)*100</f>
        <v>3.1123139377537212</v>
      </c>
      <c r="C222" s="24">
        <f>$H$135/(($F$135-2)*$P$135)*100</f>
        <v>0.87463556851311952</v>
      </c>
      <c r="D222" s="19">
        <f>$H$139/(($F$139-2)*$P$139)*100</f>
        <v>4.5217391304347831</v>
      </c>
      <c r="E222" s="22">
        <f>$H$143/(($F$143-2)*$P$143)*100</f>
        <v>7.2222222222222214</v>
      </c>
      <c r="F222" s="102">
        <f>AVERAGE(B222:E222)</f>
        <v>3.9327277147309614</v>
      </c>
      <c r="G222" s="23">
        <f>$H$132/(($F$132-2)*$P$132)*100</f>
        <v>2.7359781121751023</v>
      </c>
      <c r="H222" s="25">
        <f>$H$136/(($F$136-2)*$P$136)*100</f>
        <v>0.5961251862891207</v>
      </c>
      <c r="I222" s="83">
        <f>$H$140/(($F$140-2)*$P$140)*100</f>
        <v>4.5375218150087253</v>
      </c>
      <c r="J222" s="23">
        <f>$H$144/(($F$144-2)*$P$144)*100</f>
        <v>8.1521739130434785</v>
      </c>
      <c r="K222" s="102">
        <f>AVERAGE(G222:J222)</f>
        <v>4.0054497566291065</v>
      </c>
      <c r="L222" s="22">
        <f>$H$133/(($F$133-2)*$P$133)*100</f>
        <v>2.6836158192090394</v>
      </c>
      <c r="M222" s="24">
        <f>$H$137/(($F$137-2)*$P$137)*100</f>
        <v>0.91743119266055051</v>
      </c>
      <c r="N222" s="83">
        <f>$H$141/(($F$141-2)*$P$141)*100</f>
        <v>4.6017699115044248</v>
      </c>
      <c r="O222" s="23">
        <f>$H$145/(($F$145-2)*$P$145)*100</f>
        <v>9.3922651933701662</v>
      </c>
      <c r="P222" s="102">
        <f>AVERAGE(L222:O222)</f>
        <v>4.3987705291860451</v>
      </c>
    </row>
    <row r="223" spans="1:31" x14ac:dyDescent="0.2">
      <c r="A223" s="15" t="s">
        <v>13</v>
      </c>
      <c r="B223" s="90"/>
      <c r="C223" s="90"/>
      <c r="D223" s="90"/>
      <c r="E223" s="90"/>
      <c r="F223" s="112"/>
      <c r="G223" s="90"/>
      <c r="H223" s="90"/>
      <c r="I223" s="90"/>
      <c r="J223" s="90"/>
      <c r="K223" s="112"/>
      <c r="L223" s="90"/>
      <c r="M223" s="90"/>
      <c r="N223" s="90"/>
      <c r="O223" s="90"/>
      <c r="Q223" s="75" t="s">
        <v>289</v>
      </c>
      <c r="R223" s="77" t="s">
        <v>290</v>
      </c>
      <c r="S223" s="77"/>
      <c r="T223" s="77"/>
      <c r="U223" s="77"/>
      <c r="V223" s="12"/>
      <c r="W223" s="77" t="s">
        <v>291</v>
      </c>
      <c r="X223" s="77"/>
      <c r="Y223" s="77"/>
      <c r="Z223" s="77"/>
      <c r="AA223" s="12"/>
      <c r="AB223" s="77" t="s">
        <v>292</v>
      </c>
      <c r="AC223" s="77"/>
      <c r="AD223" s="77"/>
      <c r="AE223" s="77"/>
    </row>
    <row r="224" spans="1:31" x14ac:dyDescent="0.2">
      <c r="A224" s="16" t="s">
        <v>188</v>
      </c>
      <c r="B224" s="20">
        <f>B202</f>
        <v>45.326633165829143</v>
      </c>
      <c r="C224" s="23">
        <f t="shared" ref="C224:E224" si="69">C202</f>
        <v>7.0210631895687063</v>
      </c>
      <c r="D224" s="26">
        <f t="shared" si="69"/>
        <v>43.970588235294116</v>
      </c>
      <c r="E224" s="20">
        <f t="shared" si="69"/>
        <v>25.380710659898476</v>
      </c>
      <c r="F224" s="99"/>
      <c r="G224" s="26">
        <f>G202</f>
        <v>45.69138276553106</v>
      </c>
      <c r="H224" s="22">
        <f t="shared" ref="H224:J224" si="70">H202</f>
        <v>6.9346733668341711</v>
      </c>
      <c r="I224" s="20">
        <f t="shared" si="70"/>
        <v>42.961876832844574</v>
      </c>
      <c r="J224" s="26">
        <f t="shared" si="70"/>
        <v>28.571428571428569</v>
      </c>
      <c r="K224" s="99"/>
      <c r="L224" s="26">
        <f>L202</f>
        <v>45.381526104417667</v>
      </c>
      <c r="M224" s="23">
        <f t="shared" ref="M224:O224" si="71">M202</f>
        <v>7.1285140562248994</v>
      </c>
      <c r="N224" s="26">
        <f t="shared" si="71"/>
        <v>43.529411764705884</v>
      </c>
      <c r="O224" s="26">
        <f t="shared" si="71"/>
        <v>27.411167512690355</v>
      </c>
      <c r="Q224" s="77"/>
      <c r="R224" s="12" t="s">
        <v>183</v>
      </c>
      <c r="S224" s="12" t="s">
        <v>184</v>
      </c>
      <c r="T224" s="12" t="s">
        <v>185</v>
      </c>
      <c r="U224" s="12" t="s">
        <v>186</v>
      </c>
      <c r="V224" s="12"/>
      <c r="W224" s="12" t="s">
        <v>183</v>
      </c>
      <c r="X224" s="12" t="s">
        <v>184</v>
      </c>
      <c r="Y224" s="12" t="s">
        <v>185</v>
      </c>
      <c r="Z224" s="12" t="s">
        <v>186</v>
      </c>
      <c r="AA224" s="12"/>
      <c r="AB224" s="12" t="s">
        <v>183</v>
      </c>
      <c r="AC224" s="12" t="s">
        <v>184</v>
      </c>
      <c r="AD224" s="12" t="s">
        <v>185</v>
      </c>
      <c r="AE224" s="12" t="s">
        <v>186</v>
      </c>
    </row>
    <row r="225" spans="1:31" x14ac:dyDescent="0.2">
      <c r="A225" s="16" t="s">
        <v>192</v>
      </c>
      <c r="B225" s="21">
        <f>$N$131/(($F$131-2)*$P$131)*100</f>
        <v>83.085250338294998</v>
      </c>
      <c r="C225" s="19">
        <f>$N$135/(($F$135-2)*$P$135)*100</f>
        <v>7.7259475218658888</v>
      </c>
      <c r="D225" s="84">
        <f>$N$139/(($F$139-2)*$P$139)*100</f>
        <v>47.652173913043477</v>
      </c>
      <c r="E225" s="84">
        <f>$N$143/(($F$143-2)*$P$143)*100</f>
        <v>47.222222222222221</v>
      </c>
      <c r="F225" s="102">
        <f>AVERAGE(B225:E225)</f>
        <v>46.421398498856647</v>
      </c>
      <c r="G225" s="84">
        <f>$N$132/(($F$132-2)*$P$132)*100</f>
        <v>84.404924760601915</v>
      </c>
      <c r="H225" s="83">
        <f>$N$136/(($F$136-2)*$P$136)*100</f>
        <v>8.3457526080476914</v>
      </c>
      <c r="I225" s="84">
        <f>$N$140/(($F$140-2)*$P$140)*100</f>
        <v>48.167539267015705</v>
      </c>
      <c r="J225" s="84">
        <f>$N$144/(($F$144-2)*$P$144)*100</f>
        <v>45.652173913043477</v>
      </c>
      <c r="K225" s="102">
        <f>AVERAGE(G225:J225)</f>
        <v>46.642597637177197</v>
      </c>
      <c r="L225" s="84">
        <f>$N$133/(($F$133-2)*$P$133)*100</f>
        <v>84.463276836158201</v>
      </c>
      <c r="M225" s="83">
        <f>$N$137/(($F$137-2)*$P$137)*100</f>
        <v>9.0214067278287455</v>
      </c>
      <c r="N225" s="21">
        <f>$N$141/(($F$141-2)*$P$141)*100</f>
        <v>47.610619469026553</v>
      </c>
      <c r="O225" s="21">
        <f>$N$145/(($F$145-2)*$P$145)*100</f>
        <v>44.751381215469614</v>
      </c>
      <c r="P225" s="102">
        <f>AVERAGE(L225:O225)</f>
        <v>46.461671062120779</v>
      </c>
      <c r="Q225" s="16" t="s">
        <v>188</v>
      </c>
      <c r="R225" s="57">
        <f>B221+B224</f>
        <v>73.969849246231149</v>
      </c>
      <c r="S225" s="57">
        <f t="shared" ref="S225:U225" si="72">C221+C224</f>
        <v>8.7261785356068202</v>
      </c>
      <c r="T225" s="57">
        <f t="shared" si="72"/>
        <v>48.235294117647058</v>
      </c>
      <c r="U225" s="57">
        <f t="shared" si="72"/>
        <v>48.73096446700508</v>
      </c>
      <c r="V225" s="30">
        <f>AVERAGE(R225:U225)</f>
        <v>44.915571591622523</v>
      </c>
      <c r="W225" s="57">
        <f>G221+G224</f>
        <v>74.448897795591179</v>
      </c>
      <c r="X225" s="57">
        <f t="shared" ref="X225:X226" si="73">H221+H224</f>
        <v>8.4422110552763812</v>
      </c>
      <c r="Y225" s="57">
        <f t="shared" ref="Y225:Y226" si="74">I221+I224</f>
        <v>47.067448680351902</v>
      </c>
      <c r="Z225" s="57">
        <f t="shared" ref="Z225:Z226" si="75">J221+J224</f>
        <v>44.387755102040813</v>
      </c>
      <c r="AA225" s="30"/>
      <c r="AB225" s="57">
        <f>L221+L224</f>
        <v>73.192771084337352</v>
      </c>
      <c r="AC225" s="57">
        <f t="shared" ref="AC225:AC226" si="76">M221+M224</f>
        <v>9.1365461847389557</v>
      </c>
      <c r="AD225" s="57">
        <f t="shared" ref="AD225:AD226" si="77">N221+N224</f>
        <v>47.205882352941181</v>
      </c>
      <c r="AE225" s="57">
        <f t="shared" ref="AE225:AE226" si="78">O221+O224</f>
        <v>46.192893401015226</v>
      </c>
    </row>
    <row r="226" spans="1:31" x14ac:dyDescent="0.2">
      <c r="A226" s="15" t="s">
        <v>190</v>
      </c>
      <c r="B226" s="90"/>
      <c r="C226" s="90"/>
      <c r="D226" s="90"/>
      <c r="E226" s="90"/>
      <c r="F226" s="112"/>
      <c r="G226" s="90"/>
      <c r="H226" s="90"/>
      <c r="I226" s="90"/>
      <c r="J226" s="90"/>
      <c r="K226" s="112"/>
      <c r="L226" s="90"/>
      <c r="M226" s="90"/>
      <c r="N226" s="90"/>
      <c r="O226" s="90"/>
      <c r="Q226" s="16" t="s">
        <v>192</v>
      </c>
      <c r="R226" s="57">
        <f>B222+B225</f>
        <v>86.197564276048723</v>
      </c>
      <c r="S226" s="57">
        <f t="shared" ref="S226:U226" si="79">C222+C225</f>
        <v>8.6005830903790077</v>
      </c>
      <c r="T226" s="57">
        <f t="shared" si="79"/>
        <v>52.173913043478258</v>
      </c>
      <c r="U226" s="57">
        <f t="shared" si="79"/>
        <v>54.444444444444443</v>
      </c>
      <c r="V226" s="30">
        <f>AVERAGE(R226:U226)</f>
        <v>50.354126213587605</v>
      </c>
      <c r="W226" s="57">
        <f>G222+G225</f>
        <v>87.140902872777019</v>
      </c>
      <c r="X226" s="57">
        <f t="shared" si="73"/>
        <v>8.9418777943368113</v>
      </c>
      <c r="Y226" s="57">
        <f t="shared" si="74"/>
        <v>52.705061082024429</v>
      </c>
      <c r="Z226" s="57">
        <f t="shared" si="75"/>
        <v>53.804347826086953</v>
      </c>
      <c r="AB226" s="57">
        <f>L222+L225</f>
        <v>87.146892655367239</v>
      </c>
      <c r="AC226" s="57">
        <f t="shared" si="76"/>
        <v>9.9388379204892967</v>
      </c>
      <c r="AD226" s="57">
        <f t="shared" si="77"/>
        <v>52.212389380530979</v>
      </c>
      <c r="AE226" s="57">
        <f t="shared" si="78"/>
        <v>54.143646408839778</v>
      </c>
    </row>
    <row r="227" spans="1:31" x14ac:dyDescent="0.2">
      <c r="A227" s="16" t="s">
        <v>188</v>
      </c>
      <c r="B227" s="26" cm="1">
        <f t="array" ref="B227:E227">B206:E206</f>
        <v>23.015075376884422</v>
      </c>
      <c r="C227" s="84">
        <v>90.672016048144428</v>
      </c>
      <c r="D227" s="84">
        <v>43.382352941176471</v>
      </c>
      <c r="E227" s="26">
        <v>45.685279187817258</v>
      </c>
      <c r="F227" s="99"/>
      <c r="G227" s="26" cm="1">
        <f t="array" ref="G227:J227">G206:J206</f>
        <v>23.046092184368739</v>
      </c>
      <c r="H227" s="20">
        <v>90.854271356783926</v>
      </c>
      <c r="I227" s="84">
        <v>43.548387096774192</v>
      </c>
      <c r="J227" s="20">
        <v>53.061224489795919</v>
      </c>
      <c r="K227" s="99"/>
      <c r="L227" s="20" cm="1">
        <f t="array" ref="L227:O227">L206:O206</f>
        <v>23.895582329317268</v>
      </c>
      <c r="M227" s="26">
        <v>90.261044176706832</v>
      </c>
      <c r="N227" s="21">
        <v>43.970588235294116</v>
      </c>
      <c r="O227" s="26">
        <v>50.253807106598977</v>
      </c>
      <c r="Q227" s="16" t="s">
        <v>168</v>
      </c>
      <c r="R227" s="30">
        <f>AVERAGE(R225:R226)</f>
        <v>80.083706761139936</v>
      </c>
      <c r="S227" s="7">
        <f>AVERAGE(S225:S226)</f>
        <v>8.663380812992914</v>
      </c>
      <c r="T227" s="30">
        <f>AVERAGE(T225:T226)</f>
        <v>50.204603580562662</v>
      </c>
      <c r="U227" s="30">
        <f>AVERAGE(U225:U226)</f>
        <v>51.587704455724761</v>
      </c>
      <c r="V227" s="30"/>
      <c r="W227" s="30">
        <f>AVERAGE(W225:W226)</f>
        <v>80.794900334184092</v>
      </c>
      <c r="X227" s="7">
        <f>AVERAGE(X225:X226)</f>
        <v>8.6920444248065962</v>
      </c>
      <c r="Y227" s="30">
        <f>AVERAGE(Y225:Y226)</f>
        <v>49.886254881188165</v>
      </c>
      <c r="Z227" s="30">
        <f>AVERAGE(Z225:Z226)</f>
        <v>49.096051464063883</v>
      </c>
      <c r="AA227" s="30"/>
      <c r="AB227" s="30">
        <f>AVERAGE(AB225:AB226)</f>
        <v>80.169831869852288</v>
      </c>
      <c r="AC227" s="7">
        <f>AVERAGE(AC225:AC226)</f>
        <v>9.5376920526141262</v>
      </c>
      <c r="AD227" s="30">
        <f>AVERAGE(AD225:AD226)</f>
        <v>49.709135866736077</v>
      </c>
      <c r="AE227" s="30">
        <f>AVERAGE(AE225:AE226)</f>
        <v>50.168269904927499</v>
      </c>
    </row>
    <row r="228" spans="1:31" x14ac:dyDescent="0.2">
      <c r="A228" s="16" t="s">
        <v>192</v>
      </c>
      <c r="B228" s="83">
        <f>($I$131+$J$131)/(($F$131-2)*$P$131)*100</f>
        <v>8.1190798376184041</v>
      </c>
      <c r="C228" s="20">
        <f>($I$135+$J$135)/(($F$135-2)*$P$135)*100</f>
        <v>90.816326530612244</v>
      </c>
      <c r="D228" s="26">
        <f>($I$139+$J$139)/(($F$139-2)*$P$139)*100</f>
        <v>45.739130434782609</v>
      </c>
      <c r="E228" s="84">
        <f>($I$143+$J$143)/(($F$143-2)*$P$143)*100</f>
        <v>40</v>
      </c>
      <c r="F228" s="102">
        <f>AVERAGE(B228:E228)</f>
        <v>46.168634200753317</v>
      </c>
      <c r="G228" s="83">
        <f>($I$132+$J$132)/(($F$132-2)*$P$132)*100</f>
        <v>8.0711354309165522</v>
      </c>
      <c r="H228" s="84">
        <f>($I$136+$J$136)/(($F$136-2)*$P$136)*100</f>
        <v>90.611028315946356</v>
      </c>
      <c r="I228" s="26">
        <f>($I$140+$J$140)/(($F$140-2)*$P$140)*100</f>
        <v>45.375218150087257</v>
      </c>
      <c r="J228" s="21">
        <f>($I$144+$J$144)/(($F$144-2)*$P$144)*100</f>
        <v>40.217391304347828</v>
      </c>
      <c r="K228" s="102">
        <f>AVERAGE(G228:J228)</f>
        <v>46.068693300324497</v>
      </c>
      <c r="L228" s="19">
        <f>($I$133+$J$133)/(($F$133-2)*$P$133)*100</f>
        <v>8.3333333333333321</v>
      </c>
      <c r="M228" s="84">
        <f>($I$137+$J$137)/(($F$137-2)*$P$137)*100</f>
        <v>90.061162079510709</v>
      </c>
      <c r="N228" s="20">
        <f>($I$141+$J$141)/(($F$141-2)*$P$141)*100</f>
        <v>45.663716814159294</v>
      </c>
      <c r="O228" s="84">
        <f>($I$145+$J$145)/(($F$145-2)*$P$145)*100</f>
        <v>38.121546961325969</v>
      </c>
      <c r="P228" s="102">
        <f>AVERAGE(L228:O228)</f>
        <v>45.544939797082328</v>
      </c>
      <c r="S228" s="30">
        <f>AVERAGE(R227:U227)</f>
        <v>47.634848902605071</v>
      </c>
      <c r="X228" s="30">
        <f>AVERAGE(W227:Z227)</f>
        <v>47.117312776060686</v>
      </c>
      <c r="AC228" s="30">
        <f>AVERAGE(AB227:AE227)</f>
        <v>47.396232423532496</v>
      </c>
    </row>
    <row r="229" spans="1:31" x14ac:dyDescent="0.2">
      <c r="A229" s="15" t="s">
        <v>11</v>
      </c>
      <c r="B229" s="90"/>
      <c r="C229" s="90"/>
      <c r="D229" s="90"/>
      <c r="E229" s="90"/>
      <c r="F229" s="112"/>
      <c r="G229" s="90"/>
      <c r="H229" s="90"/>
      <c r="I229" s="90"/>
      <c r="J229" s="90"/>
      <c r="K229" s="112"/>
      <c r="L229" s="90"/>
      <c r="M229" s="90"/>
      <c r="N229" s="90"/>
      <c r="O229" s="90"/>
      <c r="R229" t="s">
        <v>293</v>
      </c>
      <c r="S229" s="30">
        <f>AVERAGE(R226:U226)</f>
        <v>50.354126213587605</v>
      </c>
      <c r="W229" t="s">
        <v>293</v>
      </c>
      <c r="X229" s="30">
        <f>AVERAGE(W226:Z226)</f>
        <v>50.648047393806308</v>
      </c>
      <c r="AB229" t="s">
        <v>293</v>
      </c>
      <c r="AC229" s="30">
        <f>AVERAGE(AB226:AE226)</f>
        <v>50.860441591306817</v>
      </c>
    </row>
    <row r="230" spans="1:31" x14ac:dyDescent="0.2">
      <c r="A230" s="16" t="s">
        <v>188</v>
      </c>
      <c r="B230" s="19">
        <f>B210</f>
        <v>3.0150753768844218</v>
      </c>
      <c r="C230" s="24">
        <f t="shared" ref="C230:E230" si="80">C210</f>
        <v>0.60180541624874617</v>
      </c>
      <c r="D230" s="23">
        <f t="shared" si="80"/>
        <v>8.3823529411764692</v>
      </c>
      <c r="E230" s="22">
        <f t="shared" si="80"/>
        <v>5.5837563451776653</v>
      </c>
      <c r="F230" s="99"/>
      <c r="G230" s="83">
        <f>G210</f>
        <v>2.5050100200400802</v>
      </c>
      <c r="H230" s="25">
        <f t="shared" ref="H230:J231" si="81">H210</f>
        <v>0.70351758793969854</v>
      </c>
      <c r="I230" s="22">
        <f t="shared" si="81"/>
        <v>9.3841642228739008</v>
      </c>
      <c r="J230" s="83">
        <f t="shared" si="81"/>
        <v>2.5510204081632653</v>
      </c>
      <c r="K230" s="99"/>
      <c r="L230" s="83">
        <f>L210</f>
        <v>2.9116465863453818</v>
      </c>
      <c r="M230" s="24">
        <f t="shared" ref="M230:O230" si="82">M210</f>
        <v>0.60240963855421692</v>
      </c>
      <c r="N230" s="23">
        <f t="shared" si="82"/>
        <v>8.8235294117647065</v>
      </c>
      <c r="O230" s="83">
        <f t="shared" si="82"/>
        <v>3.5532994923857872</v>
      </c>
      <c r="S230" t="s">
        <v>257</v>
      </c>
      <c r="T230" t="s">
        <v>256</v>
      </c>
    </row>
    <row r="231" spans="1:31" x14ac:dyDescent="0.2">
      <c r="A231" s="136" t="s">
        <v>192</v>
      </c>
      <c r="B231" s="22">
        <f>$L$131/(($F$131-2)*$P$131)*100</f>
        <v>5.6833558863328824</v>
      </c>
      <c r="C231" s="31">
        <f>$L$135/(($F$135-2)*$P$135)*100</f>
        <v>0.58309037900874638</v>
      </c>
      <c r="D231" s="83">
        <f>$L$139/(($F$139-2)*$P$139)*100</f>
        <v>2.0869565217391308</v>
      </c>
      <c r="E231" s="83">
        <f>$L$143/(($F$143-2)*$P$143)*100</f>
        <v>5.5555555555555554</v>
      </c>
      <c r="F231" s="102">
        <f>AVERAGE(B231:E231)</f>
        <v>3.477239585659079</v>
      </c>
      <c r="G231" s="23">
        <f>$L$132/(($F$132-2)*$P$132)*100</f>
        <v>4.7879616963064295</v>
      </c>
      <c r="H231" s="12">
        <v>0.44700000000000001</v>
      </c>
      <c r="I231" s="83">
        <f>$L$140/(($F$140-2)*$P$140)*100</f>
        <v>1.9197207678883073</v>
      </c>
      <c r="J231" s="23">
        <f>$L$144/(($F$144-2)*$P$144)*100</f>
        <v>5.9782608695652177</v>
      </c>
      <c r="K231" s="102">
        <f>AVERAGE(G231:J231)</f>
        <v>3.2832358334399885</v>
      </c>
      <c r="L231" s="23">
        <f>$L$133/(($F$133-2)*$P$133)*100</f>
        <v>4.5197740112994351</v>
      </c>
      <c r="M231" s="83">
        <f>$L$137/(($F$137-2)*$P$137)*100</f>
        <v>0</v>
      </c>
      <c r="N231" s="19">
        <f>$L$141/(($F$141-2)*$P$141)*100</f>
        <v>2.1238938053097343</v>
      </c>
      <c r="O231" s="22">
        <f>$L$145/(($F$145-2)*$P$145)*100</f>
        <v>7.7348066298342539</v>
      </c>
      <c r="P231" s="102">
        <f>AVERAGE(L231:O231)</f>
        <v>3.5946186116108558</v>
      </c>
      <c r="S231" s="7">
        <f>(F222-$V$239)/$V$239*100</f>
        <v>-9.5924663280238693</v>
      </c>
      <c r="T231" s="7">
        <f>(K231-$V$248)/$V$248*100</f>
        <v>-28.313628090829944</v>
      </c>
    </row>
    <row r="232" spans="1:31" x14ac:dyDescent="0.2">
      <c r="A232" s="49"/>
      <c r="B232" s="153">
        <f>SUM(B221,B224,B227,B230)</f>
        <v>100</v>
      </c>
      <c r="C232" s="153">
        <f t="shared" ref="C232:E232" si="83">SUM(C221,C224,C227,C230)</f>
        <v>100</v>
      </c>
      <c r="D232" s="153">
        <f t="shared" si="83"/>
        <v>100</v>
      </c>
      <c r="E232" s="153">
        <f t="shared" si="83"/>
        <v>100</v>
      </c>
      <c r="F232" s="47"/>
      <c r="G232" s="153">
        <f>SUM(G221,G224,G227,G230)</f>
        <v>99.999999999999986</v>
      </c>
      <c r="H232" s="153">
        <f t="shared" ref="H232:J232" si="84">SUM(H221,H224,H227,H230)</f>
        <v>100</v>
      </c>
      <c r="I232" s="153">
        <f t="shared" si="84"/>
        <v>100</v>
      </c>
      <c r="J232" s="153">
        <f t="shared" si="84"/>
        <v>100</v>
      </c>
      <c r="K232" s="47"/>
      <c r="L232" s="153">
        <f>SUM(L221,L224,L227,L230)</f>
        <v>100</v>
      </c>
      <c r="M232" s="153">
        <f t="shared" ref="M232:O232" si="85">SUM(M221,M224,M227,M230)</f>
        <v>100.00000000000001</v>
      </c>
      <c r="N232" s="153">
        <f t="shared" si="85"/>
        <v>100.00000000000001</v>
      </c>
      <c r="O232" s="153">
        <f t="shared" si="85"/>
        <v>99.999999999999986</v>
      </c>
      <c r="S232" s="7">
        <f>(K222-$V$239)/$V$239*100</f>
        <v>-7.9206952499055907</v>
      </c>
      <c r="T232" s="7">
        <f>(P231-$V$248)/$V$248*100</f>
        <v>-21.514877475745507</v>
      </c>
    </row>
    <row r="233" spans="1:31" x14ac:dyDescent="0.2">
      <c r="A233" s="16"/>
      <c r="B233" s="144">
        <f>SUM(B222,B225,B228,B231)</f>
        <v>100</v>
      </c>
      <c r="C233" s="144">
        <f t="shared" ref="C233:E233" si="86">SUM(C222,C225,C228,C231)</f>
        <v>100</v>
      </c>
      <c r="D233" s="144">
        <f t="shared" si="86"/>
        <v>100</v>
      </c>
      <c r="E233" s="144">
        <f t="shared" si="86"/>
        <v>100</v>
      </c>
      <c r="F233" s="92"/>
      <c r="G233" s="144">
        <f>SUM(G222,G225,G228,G231)</f>
        <v>100</v>
      </c>
      <c r="H233" s="144">
        <f>SUM(H222,H225,H228,H237)</f>
        <v>100.00000000000001</v>
      </c>
      <c r="I233" s="144">
        <f t="shared" ref="H233:J233" si="87">SUM(I222,I225,I228,I231)</f>
        <v>99.999999999999986</v>
      </c>
      <c r="J233" s="144">
        <f t="shared" si="87"/>
        <v>100</v>
      </c>
      <c r="K233" s="92"/>
      <c r="L233" s="144">
        <f>SUM(L222,L225,L228,L231)</f>
        <v>100</v>
      </c>
      <c r="M233" s="144">
        <f t="shared" ref="M233:O233" si="88">SUM(M222,M225,M228,M231)</f>
        <v>100</v>
      </c>
      <c r="N233" s="144">
        <f t="shared" si="88"/>
        <v>100</v>
      </c>
      <c r="O233" s="144">
        <f t="shared" si="88"/>
        <v>100</v>
      </c>
      <c r="S233" s="7">
        <f>(P222-$V$239)/$V$239*100</f>
        <v>1.1211615904838026</v>
      </c>
    </row>
    <row r="235" spans="1:31" ht="30" customHeight="1" x14ac:dyDescent="0.2">
      <c r="Q235" s="131" t="s">
        <v>294</v>
      </c>
      <c r="R235" s="118" t="s">
        <v>138</v>
      </c>
      <c r="S235" s="118"/>
      <c r="T235" s="118"/>
      <c r="U235" s="118"/>
      <c r="V235" s="100"/>
      <c r="W235" s="131" t="s">
        <v>253</v>
      </c>
      <c r="X235" s="118" t="s">
        <v>254</v>
      </c>
      <c r="Y235" s="118"/>
      <c r="Z235" s="118"/>
      <c r="AA235" s="118"/>
    </row>
    <row r="236" spans="1:31" x14ac:dyDescent="0.2">
      <c r="Q236" s="155"/>
      <c r="R236" s="99" t="s">
        <v>183</v>
      </c>
      <c r="S236" s="99" t="s">
        <v>184</v>
      </c>
      <c r="T236" s="99" t="s">
        <v>185</v>
      </c>
      <c r="U236" s="99" t="s">
        <v>186</v>
      </c>
      <c r="V236" s="100"/>
      <c r="W236" s="131"/>
      <c r="X236" s="99" t="s">
        <v>183</v>
      </c>
      <c r="Y236" s="99" t="s">
        <v>184</v>
      </c>
      <c r="Z236" s="99" t="s">
        <v>185</v>
      </c>
      <c r="AA236" s="99" t="s">
        <v>186</v>
      </c>
    </row>
    <row r="237" spans="1:31" x14ac:dyDescent="0.2">
      <c r="H237" s="87">
        <f>$L$136/(($F$136-2)*$P$136)*100</f>
        <v>0.44709388971684055</v>
      </c>
      <c r="Q237" s="101" t="s">
        <v>7</v>
      </c>
      <c r="R237" s="101"/>
      <c r="S237" s="101"/>
      <c r="T237" s="101"/>
      <c r="U237" s="101"/>
      <c r="V237" s="100"/>
      <c r="W237" s="125" t="s">
        <v>188</v>
      </c>
      <c r="X237" s="70">
        <v>75.099999999999994</v>
      </c>
      <c r="Y237" s="70">
        <v>9.1999999999999993</v>
      </c>
      <c r="Z237" s="70">
        <v>48.2</v>
      </c>
      <c r="AA237" s="70">
        <v>43.8</v>
      </c>
    </row>
    <row r="238" spans="1:31" x14ac:dyDescent="0.2">
      <c r="Q238" s="125" t="s">
        <v>188</v>
      </c>
      <c r="R238" s="103">
        <v>29.4</v>
      </c>
      <c r="S238" s="117">
        <v>2.0099999999999998</v>
      </c>
      <c r="T238" s="102">
        <v>4.3600000000000003</v>
      </c>
      <c r="U238" s="104">
        <v>18.5</v>
      </c>
      <c r="V238" s="100"/>
      <c r="W238" s="125" t="s">
        <v>192</v>
      </c>
      <c r="X238" s="70">
        <v>84</v>
      </c>
      <c r="Y238" s="70">
        <v>8.1999999999999993</v>
      </c>
      <c r="Z238" s="70">
        <v>52.9</v>
      </c>
      <c r="AA238" s="70">
        <v>56.4</v>
      </c>
    </row>
    <row r="239" spans="1:31" x14ac:dyDescent="0.2">
      <c r="Q239" s="125" t="s">
        <v>192</v>
      </c>
      <c r="R239" s="102">
        <v>2.2200000000000002</v>
      </c>
      <c r="S239" s="107">
        <v>0.55500000000000005</v>
      </c>
      <c r="T239" s="117">
        <v>5.41</v>
      </c>
      <c r="U239" s="106">
        <v>9.24</v>
      </c>
      <c r="V239" s="102">
        <v>4.3499999999999996</v>
      </c>
      <c r="W239" s="125" t="s">
        <v>168</v>
      </c>
      <c r="X239" s="70">
        <v>79.599999999999994</v>
      </c>
      <c r="Y239" s="66">
        <v>8.7100000000000009</v>
      </c>
      <c r="Z239" s="70">
        <v>50.5</v>
      </c>
      <c r="AA239" s="70">
        <v>50.1</v>
      </c>
    </row>
    <row r="240" spans="1:31" x14ac:dyDescent="0.2">
      <c r="Q240" s="101" t="s">
        <v>13</v>
      </c>
      <c r="R240" s="101"/>
      <c r="S240" s="101"/>
      <c r="T240" s="101"/>
      <c r="U240" s="101"/>
      <c r="V240" s="100"/>
      <c r="W240" s="100"/>
      <c r="X240" s="100"/>
      <c r="Y240" s="70">
        <v>47.2</v>
      </c>
      <c r="Z240" s="100"/>
      <c r="AA240" s="100"/>
    </row>
    <row r="241" spans="1:27" x14ac:dyDescent="0.2">
      <c r="Q241" s="125" t="s">
        <v>188</v>
      </c>
      <c r="R241" s="108">
        <v>45.7</v>
      </c>
      <c r="S241" s="102">
        <v>7.21</v>
      </c>
      <c r="T241" s="71">
        <v>43.8</v>
      </c>
      <c r="U241" s="71">
        <v>25.3</v>
      </c>
      <c r="V241" s="100"/>
      <c r="W241" s="100"/>
      <c r="X241" s="100" t="s">
        <v>255</v>
      </c>
      <c r="Y241" s="70">
        <v>50.4</v>
      </c>
      <c r="Z241" s="100"/>
      <c r="AA241" s="100"/>
    </row>
    <row r="242" spans="1:27" x14ac:dyDescent="0.2">
      <c r="Q242" s="125" t="s">
        <v>192</v>
      </c>
      <c r="R242" s="103">
        <v>81.8</v>
      </c>
      <c r="S242" s="117">
        <v>7.64</v>
      </c>
      <c r="T242" s="104">
        <v>47.5</v>
      </c>
      <c r="U242" s="104">
        <v>47.2</v>
      </c>
      <c r="V242" s="102">
        <v>46.03</v>
      </c>
      <c r="W242" s="100"/>
      <c r="X242" s="100"/>
      <c r="Y242" s="100"/>
      <c r="Z242" s="100"/>
      <c r="AA242" s="100"/>
    </row>
    <row r="243" spans="1:27" x14ac:dyDescent="0.2">
      <c r="A243" s="134"/>
      <c r="B243" s="118" t="s">
        <v>138</v>
      </c>
      <c r="C243" s="118"/>
      <c r="D243" s="118"/>
      <c r="E243" s="118"/>
      <c r="Q243" s="101" t="s">
        <v>190</v>
      </c>
      <c r="R243" s="112"/>
      <c r="S243" s="112"/>
      <c r="T243" s="112"/>
      <c r="U243" s="112"/>
      <c r="V243" s="100"/>
      <c r="W243" s="100"/>
      <c r="X243" s="100"/>
      <c r="Y243" s="100"/>
      <c r="Z243" s="100"/>
      <c r="AA243" s="100"/>
    </row>
    <row r="244" spans="1:27" x14ac:dyDescent="0.2">
      <c r="A244" s="160"/>
      <c r="B244" s="99" t="s">
        <v>183</v>
      </c>
      <c r="C244" s="99" t="s">
        <v>184</v>
      </c>
      <c r="D244" s="99" t="s">
        <v>185</v>
      </c>
      <c r="E244" s="99" t="s">
        <v>186</v>
      </c>
      <c r="Q244" s="125" t="s">
        <v>188</v>
      </c>
      <c r="R244" s="108">
        <v>22.2</v>
      </c>
      <c r="S244" s="104">
        <v>90.1</v>
      </c>
      <c r="T244" s="104">
        <v>43.2</v>
      </c>
      <c r="U244" s="71">
        <v>50.3</v>
      </c>
      <c r="V244" s="100"/>
      <c r="W244" s="100"/>
      <c r="X244" s="100"/>
      <c r="Y244" s="100"/>
      <c r="Z244" s="100"/>
      <c r="AA244" s="100"/>
    </row>
    <row r="245" spans="1:27" x14ac:dyDescent="0.2">
      <c r="A245" s="101" t="s">
        <v>7</v>
      </c>
      <c r="B245" s="101"/>
      <c r="C245" s="101"/>
      <c r="D245" s="101"/>
      <c r="E245" s="101"/>
      <c r="Q245" s="125" t="s">
        <v>192</v>
      </c>
      <c r="R245" s="105">
        <v>8.81</v>
      </c>
      <c r="S245" s="71">
        <v>91.5</v>
      </c>
      <c r="T245" s="71">
        <v>44.5</v>
      </c>
      <c r="U245" s="104">
        <v>35.299999999999997</v>
      </c>
      <c r="V245" s="102">
        <v>45.03</v>
      </c>
      <c r="W245" s="100"/>
      <c r="X245" s="100"/>
      <c r="Y245" s="100"/>
      <c r="Z245" s="100"/>
      <c r="AA245" s="100"/>
    </row>
    <row r="246" spans="1:27" x14ac:dyDescent="0.2">
      <c r="A246" s="125" t="s">
        <v>187</v>
      </c>
      <c r="B246" s="102">
        <v>8.73</v>
      </c>
      <c r="C246" s="102">
        <v>1.54</v>
      </c>
      <c r="D246" s="103">
        <v>12.3</v>
      </c>
      <c r="E246" s="71">
        <v>13.8</v>
      </c>
      <c r="F246" s="7">
        <f>AVERAGE(B246:E248)</f>
        <v>9.334249999999999</v>
      </c>
      <c r="Q246" s="101" t="s">
        <v>11</v>
      </c>
      <c r="R246" s="112"/>
      <c r="S246" s="112"/>
      <c r="T246" s="112"/>
      <c r="U246" s="112"/>
      <c r="V246" s="100"/>
      <c r="W246" s="100"/>
      <c r="X246" s="100"/>
      <c r="Y246" s="100"/>
      <c r="Z246" s="100"/>
      <c r="AA246" s="100"/>
    </row>
    <row r="247" spans="1:27" x14ac:dyDescent="0.2">
      <c r="A247" s="125" t="s">
        <v>188</v>
      </c>
      <c r="B247" s="104">
        <v>29.4</v>
      </c>
      <c r="C247" s="105">
        <v>2.0099999999999998</v>
      </c>
      <c r="D247" s="106">
        <v>4.3600000000000003</v>
      </c>
      <c r="E247" s="104">
        <v>18.5</v>
      </c>
      <c r="Q247" s="125" t="s">
        <v>188</v>
      </c>
      <c r="R247" s="117">
        <v>2.65</v>
      </c>
      <c r="S247" s="123">
        <v>0.63700000000000001</v>
      </c>
      <c r="T247" s="102">
        <v>8.66</v>
      </c>
      <c r="U247" s="117">
        <v>5.78</v>
      </c>
      <c r="V247" s="100"/>
      <c r="W247" s="100"/>
      <c r="X247" s="100"/>
      <c r="Y247" s="100"/>
      <c r="Z247" s="100"/>
      <c r="AA247" s="100"/>
    </row>
    <row r="248" spans="1:27" x14ac:dyDescent="0.2">
      <c r="A248" s="125" t="s">
        <v>189</v>
      </c>
      <c r="B248" s="102">
        <v>6.21</v>
      </c>
      <c r="C248" s="107">
        <v>0.73099999999999998</v>
      </c>
      <c r="D248" s="102">
        <v>5.69</v>
      </c>
      <c r="E248" s="102">
        <v>8.74</v>
      </c>
      <c r="Q248" s="125" t="s">
        <v>192</v>
      </c>
      <c r="R248" s="102">
        <v>7.19</v>
      </c>
      <c r="S248" s="116">
        <v>0.308</v>
      </c>
      <c r="T248" s="117">
        <v>2.61</v>
      </c>
      <c r="U248" s="102">
        <v>8.23</v>
      </c>
      <c r="V248" s="102">
        <v>4.58</v>
      </c>
      <c r="W248" s="100"/>
      <c r="X248" s="100"/>
      <c r="Y248" s="100"/>
      <c r="Z248" s="100"/>
      <c r="AA248" s="100"/>
    </row>
    <row r="249" spans="1:27" x14ac:dyDescent="0.2">
      <c r="A249" s="101" t="s">
        <v>13</v>
      </c>
      <c r="B249" s="101"/>
      <c r="C249" s="101"/>
      <c r="D249" s="101"/>
      <c r="E249" s="101"/>
      <c r="Q249" s="100"/>
      <c r="R249" s="70">
        <v>100</v>
      </c>
      <c r="S249" s="70">
        <v>100</v>
      </c>
      <c r="T249" s="70">
        <v>100</v>
      </c>
      <c r="U249" s="70">
        <v>99.9</v>
      </c>
      <c r="V249" s="100"/>
      <c r="W249" s="100"/>
      <c r="X249" s="100"/>
      <c r="Y249" s="100"/>
      <c r="Z249" s="100"/>
      <c r="AA249" s="100"/>
    </row>
    <row r="250" spans="1:27" x14ac:dyDescent="0.2">
      <c r="A250" s="125" t="s">
        <v>187</v>
      </c>
      <c r="B250" s="104">
        <v>63.9</v>
      </c>
      <c r="C250" s="106">
        <v>7.03</v>
      </c>
      <c r="D250" s="71">
        <v>28.3</v>
      </c>
      <c r="E250" s="71">
        <v>43.2</v>
      </c>
      <c r="Q250" s="100"/>
      <c r="R250" s="70">
        <v>100</v>
      </c>
      <c r="S250" s="70">
        <v>100</v>
      </c>
      <c r="T250" s="70">
        <v>100</v>
      </c>
      <c r="U250" s="70">
        <v>100</v>
      </c>
      <c r="V250" s="66">
        <f>SUM(V239:V248)</f>
        <v>99.99</v>
      </c>
      <c r="W250" s="100"/>
      <c r="X250" s="100"/>
      <c r="Y250" s="100"/>
      <c r="Z250" s="100"/>
      <c r="AA250" s="100"/>
    </row>
    <row r="251" spans="1:27" x14ac:dyDescent="0.2">
      <c r="A251" s="125" t="s">
        <v>188</v>
      </c>
      <c r="B251" s="108">
        <v>45.7</v>
      </c>
      <c r="C251" s="105">
        <v>7.21</v>
      </c>
      <c r="D251" s="104">
        <v>43.8</v>
      </c>
      <c r="E251" s="71">
        <v>25.3</v>
      </c>
    </row>
    <row r="252" spans="1:27" ht="16" thickBot="1" x14ac:dyDescent="0.25">
      <c r="A252" s="159" t="s">
        <v>189</v>
      </c>
      <c r="B252" s="109">
        <v>56.9</v>
      </c>
      <c r="C252" s="110">
        <v>6.3</v>
      </c>
      <c r="D252" s="109">
        <v>35</v>
      </c>
      <c r="E252" s="111">
        <v>60.5</v>
      </c>
    </row>
    <row r="253" spans="1:27" x14ac:dyDescent="0.2">
      <c r="A253" s="101" t="s">
        <v>190</v>
      </c>
      <c r="B253" s="112"/>
      <c r="C253" s="112"/>
      <c r="D253" s="112"/>
      <c r="E253" s="112"/>
    </row>
    <row r="254" spans="1:27" x14ac:dyDescent="0.2">
      <c r="A254" s="125" t="s">
        <v>187</v>
      </c>
      <c r="B254" s="71">
        <v>24.1</v>
      </c>
      <c r="C254" s="71">
        <v>90.8</v>
      </c>
      <c r="D254" s="108">
        <v>46.1</v>
      </c>
      <c r="E254" s="108">
        <v>34.700000000000003</v>
      </c>
    </row>
    <row r="255" spans="1:27" x14ac:dyDescent="0.2">
      <c r="A255" s="125" t="s">
        <v>188</v>
      </c>
      <c r="B255" s="104">
        <v>22.2</v>
      </c>
      <c r="C255" s="103">
        <v>90.1</v>
      </c>
      <c r="D255" s="103">
        <v>43.2</v>
      </c>
      <c r="E255" s="71">
        <v>50.3</v>
      </c>
    </row>
    <row r="256" spans="1:27" x14ac:dyDescent="0.2">
      <c r="A256" s="127" t="s">
        <v>189</v>
      </c>
      <c r="B256" s="113">
        <v>28.9</v>
      </c>
      <c r="C256" s="114">
        <v>91.7</v>
      </c>
      <c r="D256" s="113">
        <v>50.9</v>
      </c>
      <c r="E256" s="115">
        <v>21.6</v>
      </c>
    </row>
    <row r="257" spans="1:6" x14ac:dyDescent="0.2">
      <c r="A257" s="100" t="s">
        <v>11</v>
      </c>
      <c r="B257" s="99"/>
      <c r="C257" s="99"/>
      <c r="D257" s="99"/>
      <c r="E257" s="99"/>
    </row>
    <row r="258" spans="1:6" x14ac:dyDescent="0.2">
      <c r="A258" s="125" t="s">
        <v>187</v>
      </c>
      <c r="B258" s="102">
        <v>3.28</v>
      </c>
      <c r="C258" s="116">
        <v>0.60199999999999998</v>
      </c>
      <c r="D258" s="71">
        <v>13.3</v>
      </c>
      <c r="E258" s="102">
        <v>8.33</v>
      </c>
      <c r="F258" s="7">
        <f>AVERAGE(B258:E260)</f>
        <v>5.8382499999999995</v>
      </c>
    </row>
    <row r="259" spans="1:6" x14ac:dyDescent="0.2">
      <c r="A259" s="125" t="s">
        <v>188</v>
      </c>
      <c r="B259" s="117">
        <v>2.65</v>
      </c>
      <c r="C259" s="107">
        <v>0.63700000000000001</v>
      </c>
      <c r="D259" s="102">
        <v>8.66</v>
      </c>
      <c r="E259" s="117">
        <v>5.78</v>
      </c>
    </row>
    <row r="260" spans="1:6" x14ac:dyDescent="0.2">
      <c r="A260" s="125" t="s">
        <v>189</v>
      </c>
      <c r="B260" s="102">
        <v>8.02</v>
      </c>
      <c r="C260" s="102">
        <v>1.23</v>
      </c>
      <c r="D260" s="117">
        <v>8.3699999999999992</v>
      </c>
      <c r="E260" s="106">
        <v>9.1999999999999993</v>
      </c>
    </row>
  </sheetData>
  <mergeCells count="40">
    <mergeCell ref="A243:A244"/>
    <mergeCell ref="B243:E243"/>
    <mergeCell ref="Q223:Q224"/>
    <mergeCell ref="R223:U223"/>
    <mergeCell ref="W223:Z223"/>
    <mergeCell ref="AB223:AE223"/>
    <mergeCell ref="Q235:Q236"/>
    <mergeCell ref="R235:U235"/>
    <mergeCell ref="W235:W236"/>
    <mergeCell ref="X235:AA235"/>
    <mergeCell ref="A217:A219"/>
    <mergeCell ref="B217:E218"/>
    <mergeCell ref="G217:J218"/>
    <mergeCell ref="L217:O218"/>
    <mergeCell ref="F218:F219"/>
    <mergeCell ref="F174:F175"/>
    <mergeCell ref="A173:A175"/>
    <mergeCell ref="B173:E174"/>
    <mergeCell ref="G173:J174"/>
    <mergeCell ref="L173:O174"/>
    <mergeCell ref="R153:U153"/>
    <mergeCell ref="V153:V154"/>
    <mergeCell ref="W153:Z153"/>
    <mergeCell ref="AB153:AE153"/>
    <mergeCell ref="A194:A195"/>
    <mergeCell ref="B194:E194"/>
    <mergeCell ref="F194:F195"/>
    <mergeCell ref="G194:J194"/>
    <mergeCell ref="L194:O194"/>
    <mergeCell ref="Q153:Q154"/>
    <mergeCell ref="Q177:Q178"/>
    <mergeCell ref="R177:U177"/>
    <mergeCell ref="V177:V178"/>
    <mergeCell ref="W177:Z177"/>
    <mergeCell ref="AB177:AE177"/>
    <mergeCell ref="Q201:Q202"/>
    <mergeCell ref="R201:U201"/>
    <mergeCell ref="V201:V202"/>
    <mergeCell ref="W201:Z201"/>
    <mergeCell ref="AB201:AE20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388B-2ADB-CE46-9EA8-AB2B0DFCE1F0}">
  <dimension ref="A1:AL193"/>
  <sheetViews>
    <sheetView topLeftCell="K87" zoomScale="60" zoomScaleNormal="60" workbookViewId="0">
      <selection activeCell="U122" sqref="U122"/>
    </sheetView>
  </sheetViews>
  <sheetFormatPr baseColWidth="10" defaultColWidth="8.83203125" defaultRowHeight="15" x14ac:dyDescent="0.2"/>
  <cols>
    <col min="1" max="2" width="20" customWidth="1"/>
    <col min="3" max="3" width="8" customWidth="1"/>
    <col min="4" max="4" width="12" customWidth="1"/>
    <col min="5" max="5" width="29" customWidth="1"/>
    <col min="6" max="6" width="12" customWidth="1"/>
    <col min="7" max="7" width="18" customWidth="1"/>
    <col min="8" max="8" width="15" customWidth="1"/>
    <col min="9" max="9" width="20" customWidth="1"/>
    <col min="10" max="10" width="18" customWidth="1"/>
    <col min="11" max="11" width="20" customWidth="1"/>
    <col min="12" max="12" width="15" customWidth="1"/>
    <col min="13" max="13" width="20" customWidth="1"/>
    <col min="14" max="14" width="17" customWidth="1"/>
    <col min="15" max="15" width="20" customWidth="1"/>
    <col min="16" max="16" width="11" customWidth="1"/>
    <col min="17" max="17" width="17" customWidth="1"/>
    <col min="18" max="20" width="20" customWidth="1"/>
  </cols>
  <sheetData>
    <row r="1" spans="1:23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3" x14ac:dyDescent="0.2">
      <c r="A2" s="8" t="s">
        <v>37</v>
      </c>
      <c r="B2" s="8" t="s">
        <v>21</v>
      </c>
      <c r="C2" s="8" t="s">
        <v>22</v>
      </c>
      <c r="D2" s="8" t="s">
        <v>23</v>
      </c>
      <c r="E2" s="8" t="s">
        <v>38</v>
      </c>
      <c r="F2" s="8">
        <v>3</v>
      </c>
      <c r="G2" s="8" t="s">
        <v>25</v>
      </c>
      <c r="H2" s="8">
        <v>261</v>
      </c>
      <c r="I2" s="8">
        <v>234</v>
      </c>
      <c r="J2" s="8">
        <v>486</v>
      </c>
      <c r="K2" s="8">
        <v>0</v>
      </c>
      <c r="L2" s="8">
        <v>98</v>
      </c>
      <c r="M2" s="8">
        <v>0</v>
      </c>
      <c r="N2" s="8">
        <v>1912</v>
      </c>
      <c r="O2" s="8">
        <v>0</v>
      </c>
      <c r="P2" s="8">
        <v>997</v>
      </c>
      <c r="Q2" s="8">
        <v>0</v>
      </c>
      <c r="R2" s="8">
        <v>0</v>
      </c>
      <c r="S2" s="8">
        <v>0</v>
      </c>
      <c r="T2" s="8">
        <v>0</v>
      </c>
      <c r="U2" s="8"/>
      <c r="V2" s="8">
        <f>(N2+L2)*2/3</f>
        <v>1340</v>
      </c>
    </row>
    <row r="3" spans="1:23" x14ac:dyDescent="0.2">
      <c r="A3" t="s">
        <v>37</v>
      </c>
      <c r="B3" t="s">
        <v>21</v>
      </c>
      <c r="C3" t="s">
        <v>22</v>
      </c>
      <c r="D3" t="s">
        <v>23</v>
      </c>
      <c r="E3" t="s">
        <v>39</v>
      </c>
      <c r="F3">
        <v>3</v>
      </c>
      <c r="G3" t="s">
        <v>67</v>
      </c>
      <c r="H3">
        <v>274</v>
      </c>
      <c r="I3">
        <v>340</v>
      </c>
      <c r="J3">
        <v>36</v>
      </c>
      <c r="K3">
        <v>0</v>
      </c>
      <c r="L3">
        <v>338</v>
      </c>
      <c r="M3">
        <v>0</v>
      </c>
      <c r="N3">
        <v>1002</v>
      </c>
      <c r="O3">
        <v>0</v>
      </c>
      <c r="P3">
        <v>995</v>
      </c>
      <c r="Q3">
        <v>0</v>
      </c>
      <c r="R3">
        <v>0</v>
      </c>
      <c r="S3">
        <v>0</v>
      </c>
      <c r="T3">
        <v>0</v>
      </c>
      <c r="V3">
        <f>(N3+L3)</f>
        <v>1340</v>
      </c>
      <c r="W3" s="2">
        <f>(V$2-V3)/V$2</f>
        <v>0</v>
      </c>
    </row>
    <row r="4" spans="1:23" x14ac:dyDescent="0.2">
      <c r="A4" t="s">
        <v>37</v>
      </c>
      <c r="B4" t="s">
        <v>21</v>
      </c>
      <c r="C4" t="s">
        <v>22</v>
      </c>
      <c r="D4" t="s">
        <v>23</v>
      </c>
      <c r="E4" t="s">
        <v>213</v>
      </c>
      <c r="F4">
        <v>3</v>
      </c>
      <c r="G4" t="s">
        <v>69</v>
      </c>
      <c r="H4">
        <v>255</v>
      </c>
      <c r="I4">
        <v>371</v>
      </c>
      <c r="J4">
        <v>26</v>
      </c>
      <c r="K4">
        <v>0</v>
      </c>
      <c r="L4">
        <v>312</v>
      </c>
      <c r="M4">
        <v>0</v>
      </c>
      <c r="N4">
        <v>1020</v>
      </c>
      <c r="O4">
        <v>0</v>
      </c>
      <c r="P4">
        <v>992</v>
      </c>
      <c r="Q4">
        <v>0</v>
      </c>
      <c r="R4">
        <v>0</v>
      </c>
      <c r="S4">
        <v>0</v>
      </c>
      <c r="T4">
        <v>0</v>
      </c>
      <c r="V4">
        <f t="shared" ref="V4:V5" si="0">(N4+L4)</f>
        <v>1332</v>
      </c>
      <c r="W4" s="2">
        <f t="shared" ref="W4:W5" si="1">(V$2-V4)/V$2</f>
        <v>5.9701492537313433E-3</v>
      </c>
    </row>
    <row r="5" spans="1:23" x14ac:dyDescent="0.2">
      <c r="A5" t="s">
        <v>37</v>
      </c>
      <c r="B5" t="s">
        <v>21</v>
      </c>
      <c r="C5" t="s">
        <v>22</v>
      </c>
      <c r="D5" t="s">
        <v>23</v>
      </c>
      <c r="E5" t="s">
        <v>212</v>
      </c>
      <c r="F5">
        <v>3</v>
      </c>
      <c r="G5" t="s">
        <v>71</v>
      </c>
      <c r="H5">
        <v>250</v>
      </c>
      <c r="I5">
        <v>378</v>
      </c>
      <c r="J5">
        <v>22</v>
      </c>
      <c r="K5">
        <v>0</v>
      </c>
      <c r="L5">
        <v>333</v>
      </c>
      <c r="M5">
        <v>0</v>
      </c>
      <c r="N5">
        <v>993</v>
      </c>
      <c r="O5">
        <v>0</v>
      </c>
      <c r="P5">
        <v>988</v>
      </c>
      <c r="Q5">
        <v>0</v>
      </c>
      <c r="R5">
        <v>0</v>
      </c>
      <c r="S5">
        <v>0</v>
      </c>
      <c r="T5">
        <v>0</v>
      </c>
      <c r="V5">
        <f t="shared" si="0"/>
        <v>1326</v>
      </c>
      <c r="W5" s="2">
        <f t="shared" si="1"/>
        <v>1.0447761194029851E-2</v>
      </c>
    </row>
    <row r="6" spans="1:23" x14ac:dyDescent="0.2">
      <c r="A6" s="8" t="s">
        <v>41</v>
      </c>
      <c r="B6" s="8" t="s">
        <v>21</v>
      </c>
      <c r="C6" s="8" t="s">
        <v>22</v>
      </c>
      <c r="D6" s="8" t="s">
        <v>23</v>
      </c>
      <c r="E6" s="8" t="s">
        <v>42</v>
      </c>
      <c r="F6" s="8">
        <v>3</v>
      </c>
      <c r="G6" s="8" t="s">
        <v>25</v>
      </c>
      <c r="H6" s="8">
        <v>46</v>
      </c>
      <c r="I6" s="8">
        <v>1505</v>
      </c>
      <c r="J6" s="8">
        <v>1209</v>
      </c>
      <c r="K6" s="8">
        <v>0</v>
      </c>
      <c r="L6" s="8">
        <v>18</v>
      </c>
      <c r="M6" s="8">
        <v>0</v>
      </c>
      <c r="N6" s="8">
        <v>210</v>
      </c>
      <c r="O6" s="8">
        <v>0</v>
      </c>
      <c r="P6" s="8">
        <v>996</v>
      </c>
      <c r="Q6" s="8">
        <v>0</v>
      </c>
      <c r="R6" s="8">
        <v>0</v>
      </c>
      <c r="S6" s="8">
        <v>0</v>
      </c>
      <c r="T6" s="8">
        <v>0</v>
      </c>
      <c r="U6" s="8"/>
      <c r="V6" s="8">
        <f>(N6+L6)*2/3</f>
        <v>152</v>
      </c>
    </row>
    <row r="7" spans="1:23" x14ac:dyDescent="0.2">
      <c r="A7" t="s">
        <v>41</v>
      </c>
      <c r="B7" t="s">
        <v>21</v>
      </c>
      <c r="C7" t="s">
        <v>22</v>
      </c>
      <c r="D7" t="s">
        <v>23</v>
      </c>
      <c r="E7" t="s">
        <v>43</v>
      </c>
      <c r="F7">
        <v>3</v>
      </c>
      <c r="G7" t="s">
        <v>67</v>
      </c>
      <c r="H7">
        <v>381</v>
      </c>
      <c r="I7">
        <v>1409</v>
      </c>
      <c r="J7">
        <v>42</v>
      </c>
      <c r="K7">
        <v>0</v>
      </c>
      <c r="L7">
        <v>59</v>
      </c>
      <c r="M7">
        <v>0</v>
      </c>
      <c r="N7">
        <v>87</v>
      </c>
      <c r="O7">
        <v>0</v>
      </c>
      <c r="P7">
        <v>989</v>
      </c>
      <c r="Q7">
        <v>0</v>
      </c>
      <c r="R7">
        <v>0</v>
      </c>
      <c r="S7">
        <v>0</v>
      </c>
      <c r="T7">
        <v>0</v>
      </c>
      <c r="V7">
        <f t="shared" ref="V7:V13" si="2">(N7+L7)</f>
        <v>146</v>
      </c>
      <c r="W7" s="2">
        <f>(V$6-V7)/V$6</f>
        <v>3.9473684210526314E-2</v>
      </c>
    </row>
    <row r="8" spans="1:23" x14ac:dyDescent="0.2">
      <c r="A8" t="s">
        <v>41</v>
      </c>
      <c r="B8" t="s">
        <v>21</v>
      </c>
      <c r="C8" t="s">
        <v>22</v>
      </c>
      <c r="D8" t="s">
        <v>23</v>
      </c>
      <c r="E8" t="s">
        <v>211</v>
      </c>
      <c r="F8">
        <v>3</v>
      </c>
      <c r="G8" t="s">
        <v>69</v>
      </c>
      <c r="H8">
        <v>332</v>
      </c>
      <c r="I8">
        <v>1424</v>
      </c>
      <c r="J8">
        <v>72</v>
      </c>
      <c r="K8">
        <v>0</v>
      </c>
      <c r="L8">
        <v>42</v>
      </c>
      <c r="M8">
        <v>0</v>
      </c>
      <c r="N8">
        <v>106</v>
      </c>
      <c r="O8">
        <v>0</v>
      </c>
      <c r="P8">
        <v>988</v>
      </c>
      <c r="Q8">
        <v>0</v>
      </c>
      <c r="R8">
        <v>0</v>
      </c>
      <c r="S8">
        <v>0</v>
      </c>
      <c r="T8">
        <v>0</v>
      </c>
      <c r="V8">
        <f t="shared" si="2"/>
        <v>148</v>
      </c>
      <c r="W8" s="2">
        <f t="shared" ref="W8:W9" si="3">(V$6-V8)/V$6</f>
        <v>2.6315789473684209E-2</v>
      </c>
    </row>
    <row r="9" spans="1:23" x14ac:dyDescent="0.2">
      <c r="A9" t="s">
        <v>41</v>
      </c>
      <c r="B9" t="s">
        <v>21</v>
      </c>
      <c r="C9" t="s">
        <v>22</v>
      </c>
      <c r="D9" t="s">
        <v>23</v>
      </c>
      <c r="E9" t="s">
        <v>210</v>
      </c>
      <c r="F9">
        <v>3</v>
      </c>
      <c r="G9" t="s">
        <v>71</v>
      </c>
      <c r="H9">
        <v>427</v>
      </c>
      <c r="I9">
        <v>1353</v>
      </c>
      <c r="J9">
        <v>46</v>
      </c>
      <c r="K9">
        <v>0</v>
      </c>
      <c r="L9">
        <v>36</v>
      </c>
      <c r="M9">
        <v>0</v>
      </c>
      <c r="N9">
        <v>116</v>
      </c>
      <c r="O9">
        <v>0</v>
      </c>
      <c r="P9">
        <v>989</v>
      </c>
      <c r="Q9">
        <v>0</v>
      </c>
      <c r="R9">
        <v>0</v>
      </c>
      <c r="S9">
        <v>0</v>
      </c>
      <c r="T9">
        <v>0</v>
      </c>
      <c r="V9">
        <f t="shared" si="2"/>
        <v>152</v>
      </c>
      <c r="W9" s="2">
        <f t="shared" si="3"/>
        <v>0</v>
      </c>
    </row>
    <row r="10" spans="1:23" x14ac:dyDescent="0.2">
      <c r="A10" s="8" t="s">
        <v>45</v>
      </c>
      <c r="B10" s="8" t="s">
        <v>21</v>
      </c>
      <c r="C10" s="8" t="s">
        <v>22</v>
      </c>
      <c r="D10" s="8" t="s">
        <v>23</v>
      </c>
      <c r="E10" s="8" t="s">
        <v>46</v>
      </c>
      <c r="F10" s="8">
        <v>3</v>
      </c>
      <c r="G10" s="8" t="s">
        <v>25</v>
      </c>
      <c r="H10" s="8">
        <v>253</v>
      </c>
      <c r="I10" s="8">
        <v>365</v>
      </c>
      <c r="J10" s="8">
        <v>582</v>
      </c>
      <c r="K10" s="8">
        <v>0</v>
      </c>
      <c r="L10" s="8">
        <v>273</v>
      </c>
      <c r="M10" s="8">
        <v>0</v>
      </c>
      <c r="N10" s="8">
        <v>582</v>
      </c>
      <c r="O10" s="8">
        <v>0</v>
      </c>
      <c r="P10" s="8">
        <v>685</v>
      </c>
      <c r="Q10" s="8">
        <v>0</v>
      </c>
      <c r="R10" s="8">
        <v>0</v>
      </c>
      <c r="S10" s="8">
        <v>0</v>
      </c>
      <c r="T10" s="8">
        <v>0</v>
      </c>
      <c r="U10" s="8"/>
      <c r="V10" s="8">
        <f>(N10+L10)*2/3</f>
        <v>570</v>
      </c>
    </row>
    <row r="11" spans="1:23" x14ac:dyDescent="0.2">
      <c r="A11" t="s">
        <v>45</v>
      </c>
      <c r="B11" t="s">
        <v>21</v>
      </c>
      <c r="C11" t="s">
        <v>22</v>
      </c>
      <c r="D11" t="s">
        <v>23</v>
      </c>
      <c r="E11" t="s">
        <v>47</v>
      </c>
      <c r="F11">
        <v>3</v>
      </c>
      <c r="G11" t="s">
        <v>67</v>
      </c>
      <c r="H11">
        <v>403</v>
      </c>
      <c r="I11">
        <v>335</v>
      </c>
      <c r="J11">
        <v>48</v>
      </c>
      <c r="K11">
        <v>0</v>
      </c>
      <c r="L11">
        <v>176</v>
      </c>
      <c r="M11">
        <v>0</v>
      </c>
      <c r="N11">
        <v>384</v>
      </c>
      <c r="O11">
        <v>0</v>
      </c>
      <c r="P11">
        <v>673</v>
      </c>
      <c r="Q11">
        <v>0</v>
      </c>
      <c r="R11">
        <v>0</v>
      </c>
      <c r="S11">
        <v>0</v>
      </c>
      <c r="T11">
        <v>0</v>
      </c>
      <c r="V11">
        <f>(N11+L11)</f>
        <v>560</v>
      </c>
      <c r="W11" s="2">
        <f>(V$10-V11)/V$10</f>
        <v>1.7543859649122806E-2</v>
      </c>
    </row>
    <row r="12" spans="1:23" x14ac:dyDescent="0.2">
      <c r="A12" t="s">
        <v>45</v>
      </c>
      <c r="B12" t="s">
        <v>21</v>
      </c>
      <c r="C12" t="s">
        <v>22</v>
      </c>
      <c r="D12" t="s">
        <v>23</v>
      </c>
      <c r="E12" t="s">
        <v>209</v>
      </c>
      <c r="F12">
        <v>3</v>
      </c>
      <c r="G12" t="s">
        <v>69</v>
      </c>
      <c r="H12">
        <v>354</v>
      </c>
      <c r="I12">
        <v>382</v>
      </c>
      <c r="J12">
        <v>48</v>
      </c>
      <c r="K12">
        <v>0</v>
      </c>
      <c r="L12">
        <v>162</v>
      </c>
      <c r="M12">
        <v>0</v>
      </c>
      <c r="N12">
        <v>406</v>
      </c>
      <c r="O12">
        <v>0</v>
      </c>
      <c r="P12">
        <v>676</v>
      </c>
      <c r="Q12">
        <v>0</v>
      </c>
      <c r="R12">
        <v>0</v>
      </c>
      <c r="S12">
        <v>0</v>
      </c>
      <c r="T12">
        <v>0</v>
      </c>
      <c r="V12">
        <f t="shared" si="2"/>
        <v>568</v>
      </c>
      <c r="W12" s="2">
        <f t="shared" ref="W12:W13" si="4">(V$10-V12)/V$10</f>
        <v>3.5087719298245615E-3</v>
      </c>
    </row>
    <row r="13" spans="1:23" x14ac:dyDescent="0.2">
      <c r="A13" t="s">
        <v>45</v>
      </c>
      <c r="B13" t="s">
        <v>21</v>
      </c>
      <c r="C13" t="s">
        <v>22</v>
      </c>
      <c r="D13" t="s">
        <v>23</v>
      </c>
      <c r="E13" t="s">
        <v>208</v>
      </c>
      <c r="F13">
        <v>3</v>
      </c>
      <c r="G13" t="s">
        <v>71</v>
      </c>
      <c r="H13">
        <v>405</v>
      </c>
      <c r="I13">
        <v>337</v>
      </c>
      <c r="J13">
        <v>40</v>
      </c>
      <c r="K13">
        <v>0</v>
      </c>
      <c r="L13">
        <v>109</v>
      </c>
      <c r="M13">
        <v>0</v>
      </c>
      <c r="N13">
        <v>459</v>
      </c>
      <c r="O13">
        <v>0</v>
      </c>
      <c r="P13">
        <v>675</v>
      </c>
      <c r="Q13">
        <v>0</v>
      </c>
      <c r="R13">
        <v>0</v>
      </c>
      <c r="S13">
        <v>0</v>
      </c>
      <c r="T13">
        <v>0</v>
      </c>
      <c r="V13">
        <f t="shared" si="2"/>
        <v>568</v>
      </c>
      <c r="W13" s="2">
        <f t="shared" si="4"/>
        <v>3.5087719298245615E-3</v>
      </c>
    </row>
    <row r="14" spans="1:23" x14ac:dyDescent="0.2">
      <c r="A14" s="8" t="s">
        <v>49</v>
      </c>
      <c r="B14" s="8" t="s">
        <v>21</v>
      </c>
      <c r="C14" s="8" t="s">
        <v>22</v>
      </c>
      <c r="D14" s="8" t="s">
        <v>23</v>
      </c>
      <c r="E14" s="8" t="s">
        <v>50</v>
      </c>
      <c r="F14" s="8">
        <v>3</v>
      </c>
      <c r="G14" s="8" t="s">
        <v>25</v>
      </c>
      <c r="H14" s="8">
        <v>81</v>
      </c>
      <c r="I14" s="8">
        <v>6</v>
      </c>
      <c r="J14" s="8">
        <v>198</v>
      </c>
      <c r="K14" s="8">
        <v>0</v>
      </c>
      <c r="L14" s="8">
        <v>49</v>
      </c>
      <c r="M14" s="8">
        <v>0</v>
      </c>
      <c r="N14" s="8">
        <v>254</v>
      </c>
      <c r="O14" s="8">
        <v>0</v>
      </c>
      <c r="P14" s="8">
        <v>196</v>
      </c>
      <c r="Q14" s="8">
        <v>0</v>
      </c>
      <c r="R14" s="8">
        <v>0</v>
      </c>
      <c r="S14" s="8">
        <v>0</v>
      </c>
      <c r="T14" s="8">
        <v>0</v>
      </c>
      <c r="U14" s="8"/>
      <c r="V14" s="8">
        <f>(N14+L14)*2/3</f>
        <v>202</v>
      </c>
    </row>
    <row r="15" spans="1:23" x14ac:dyDescent="0.2">
      <c r="A15" t="s">
        <v>49</v>
      </c>
      <c r="B15" t="s">
        <v>21</v>
      </c>
      <c r="C15" t="s">
        <v>22</v>
      </c>
      <c r="D15" t="s">
        <v>23</v>
      </c>
      <c r="E15" t="s">
        <v>51</v>
      </c>
      <c r="F15">
        <v>3</v>
      </c>
      <c r="G15" t="s">
        <v>67</v>
      </c>
      <c r="H15">
        <v>78</v>
      </c>
      <c r="I15">
        <v>42</v>
      </c>
      <c r="J15">
        <v>72</v>
      </c>
      <c r="K15">
        <v>0</v>
      </c>
      <c r="L15">
        <v>24</v>
      </c>
      <c r="M15">
        <v>0</v>
      </c>
      <c r="N15">
        <v>178</v>
      </c>
      <c r="O15">
        <v>0</v>
      </c>
      <c r="P15">
        <v>197</v>
      </c>
      <c r="Q15">
        <v>0</v>
      </c>
      <c r="R15">
        <v>0</v>
      </c>
      <c r="S15">
        <v>0</v>
      </c>
      <c r="T15">
        <v>0</v>
      </c>
      <c r="V15">
        <f>(N15+L15)</f>
        <v>202</v>
      </c>
      <c r="W15" s="2">
        <f>(V$14-V15)/V$14</f>
        <v>0</v>
      </c>
    </row>
    <row r="16" spans="1:23" x14ac:dyDescent="0.2">
      <c r="A16" t="s">
        <v>49</v>
      </c>
      <c r="B16" t="s">
        <v>21</v>
      </c>
      <c r="C16" t="s">
        <v>22</v>
      </c>
      <c r="D16" t="s">
        <v>23</v>
      </c>
      <c r="E16" t="s">
        <v>207</v>
      </c>
      <c r="F16">
        <v>3</v>
      </c>
      <c r="G16" t="s">
        <v>69</v>
      </c>
      <c r="H16">
        <v>53</v>
      </c>
      <c r="I16">
        <v>57</v>
      </c>
      <c r="J16">
        <v>82</v>
      </c>
      <c r="K16">
        <v>0</v>
      </c>
      <c r="L16">
        <v>22</v>
      </c>
      <c r="M16">
        <v>0</v>
      </c>
      <c r="N16">
        <v>178</v>
      </c>
      <c r="O16">
        <v>0</v>
      </c>
      <c r="P16">
        <v>196</v>
      </c>
      <c r="Q16">
        <v>0</v>
      </c>
      <c r="R16">
        <v>0</v>
      </c>
      <c r="S16">
        <v>0</v>
      </c>
      <c r="T16">
        <v>0</v>
      </c>
      <c r="V16">
        <f t="shared" ref="V16:V21" si="5">(N16+L16)</f>
        <v>200</v>
      </c>
      <c r="W16" s="2">
        <f t="shared" ref="W16:W17" si="6">(V$14-V16)/V$14</f>
        <v>9.9009900990099011E-3</v>
      </c>
    </row>
    <row r="17" spans="1:23" x14ac:dyDescent="0.2">
      <c r="A17" t="s">
        <v>49</v>
      </c>
      <c r="B17" t="s">
        <v>21</v>
      </c>
      <c r="C17" t="s">
        <v>22</v>
      </c>
      <c r="D17" t="s">
        <v>23</v>
      </c>
      <c r="E17" t="s">
        <v>206</v>
      </c>
      <c r="F17">
        <v>3</v>
      </c>
      <c r="G17" t="s">
        <v>71</v>
      </c>
      <c r="H17">
        <v>82</v>
      </c>
      <c r="I17">
        <v>74</v>
      </c>
      <c r="J17">
        <v>36</v>
      </c>
      <c r="K17">
        <v>0</v>
      </c>
      <c r="L17">
        <v>32</v>
      </c>
      <c r="M17">
        <v>0</v>
      </c>
      <c r="N17">
        <v>168</v>
      </c>
      <c r="O17">
        <v>0</v>
      </c>
      <c r="P17">
        <v>196</v>
      </c>
      <c r="Q17">
        <v>0</v>
      </c>
      <c r="R17">
        <v>0</v>
      </c>
      <c r="S17">
        <v>0</v>
      </c>
      <c r="T17">
        <v>0</v>
      </c>
      <c r="V17">
        <f t="shared" si="5"/>
        <v>200</v>
      </c>
      <c r="W17" s="2">
        <f t="shared" si="6"/>
        <v>9.9009900990099011E-3</v>
      </c>
    </row>
    <row r="18" spans="1:23" x14ac:dyDescent="0.2">
      <c r="A18" s="8" t="s">
        <v>53</v>
      </c>
      <c r="B18" s="8" t="s">
        <v>30</v>
      </c>
      <c r="C18" s="8" t="s">
        <v>22</v>
      </c>
      <c r="D18" s="8" t="s">
        <v>23</v>
      </c>
      <c r="E18" s="8" t="s">
        <v>38</v>
      </c>
      <c r="F18" s="8">
        <v>3</v>
      </c>
      <c r="G18" s="8" t="s">
        <v>25</v>
      </c>
      <c r="H18" s="8">
        <v>879</v>
      </c>
      <c r="I18" s="8">
        <v>483</v>
      </c>
      <c r="J18" s="8">
        <v>180</v>
      </c>
      <c r="K18" s="8">
        <v>0</v>
      </c>
      <c r="L18" s="8">
        <v>79</v>
      </c>
      <c r="M18" s="8">
        <v>0</v>
      </c>
      <c r="N18" s="8">
        <v>1364</v>
      </c>
      <c r="O18" s="8">
        <v>0</v>
      </c>
      <c r="P18" s="8">
        <v>995</v>
      </c>
      <c r="Q18" s="8">
        <v>0</v>
      </c>
      <c r="R18" s="8">
        <v>0</v>
      </c>
      <c r="S18" s="8">
        <v>0</v>
      </c>
      <c r="T18" s="8">
        <v>0</v>
      </c>
      <c r="U18" s="8"/>
      <c r="V18" s="8">
        <f>(N18+L18)*2/3</f>
        <v>962</v>
      </c>
    </row>
    <row r="19" spans="1:23" x14ac:dyDescent="0.2">
      <c r="A19" t="s">
        <v>53</v>
      </c>
      <c r="B19" t="s">
        <v>30</v>
      </c>
      <c r="C19" t="s">
        <v>22</v>
      </c>
      <c r="D19" t="s">
        <v>23</v>
      </c>
      <c r="E19" t="s">
        <v>39</v>
      </c>
      <c r="F19">
        <v>3</v>
      </c>
      <c r="G19" t="s">
        <v>67</v>
      </c>
      <c r="H19">
        <v>660</v>
      </c>
      <c r="I19">
        <v>298</v>
      </c>
      <c r="J19">
        <v>26</v>
      </c>
      <c r="K19">
        <v>0</v>
      </c>
      <c r="L19">
        <v>81</v>
      </c>
      <c r="M19">
        <v>0</v>
      </c>
      <c r="N19">
        <v>857</v>
      </c>
      <c r="O19">
        <v>0</v>
      </c>
      <c r="P19">
        <v>961</v>
      </c>
      <c r="Q19">
        <v>0</v>
      </c>
      <c r="R19">
        <v>0</v>
      </c>
      <c r="S19">
        <v>0</v>
      </c>
      <c r="T19">
        <v>0</v>
      </c>
      <c r="V19">
        <f>(N19+L19)</f>
        <v>938</v>
      </c>
      <c r="W19" s="2">
        <f>(V$18-V19)/V$18</f>
        <v>2.4948024948024949E-2</v>
      </c>
    </row>
    <row r="20" spans="1:23" x14ac:dyDescent="0.2">
      <c r="A20" t="s">
        <v>53</v>
      </c>
      <c r="B20" t="s">
        <v>30</v>
      </c>
      <c r="C20" t="s">
        <v>22</v>
      </c>
      <c r="D20" t="s">
        <v>23</v>
      </c>
      <c r="E20" t="s">
        <v>213</v>
      </c>
      <c r="F20">
        <v>3</v>
      </c>
      <c r="G20" t="s">
        <v>69</v>
      </c>
      <c r="H20">
        <v>618</v>
      </c>
      <c r="I20">
        <v>350</v>
      </c>
      <c r="J20">
        <v>26</v>
      </c>
      <c r="K20">
        <v>0</v>
      </c>
      <c r="L20">
        <v>82</v>
      </c>
      <c r="M20">
        <v>0</v>
      </c>
      <c r="N20">
        <v>852</v>
      </c>
      <c r="O20">
        <v>0</v>
      </c>
      <c r="P20">
        <v>964</v>
      </c>
      <c r="Q20">
        <v>0</v>
      </c>
      <c r="R20">
        <v>0</v>
      </c>
      <c r="S20">
        <v>0</v>
      </c>
      <c r="T20">
        <v>0</v>
      </c>
      <c r="V20">
        <f t="shared" si="5"/>
        <v>934</v>
      </c>
      <c r="W20" s="2">
        <f>(V$18-V20)/V$18</f>
        <v>2.9106029106029108E-2</v>
      </c>
    </row>
    <row r="21" spans="1:23" x14ac:dyDescent="0.2">
      <c r="A21" t="s">
        <v>53</v>
      </c>
      <c r="B21" t="s">
        <v>30</v>
      </c>
      <c r="C21" t="s">
        <v>22</v>
      </c>
      <c r="D21" t="s">
        <v>23</v>
      </c>
      <c r="E21" t="s">
        <v>212</v>
      </c>
      <c r="F21">
        <v>3</v>
      </c>
      <c r="G21" t="s">
        <v>71</v>
      </c>
      <c r="H21">
        <v>633</v>
      </c>
      <c r="I21">
        <v>339</v>
      </c>
      <c r="J21">
        <v>30</v>
      </c>
      <c r="K21">
        <v>0</v>
      </c>
      <c r="L21">
        <v>48</v>
      </c>
      <c r="M21">
        <v>0</v>
      </c>
      <c r="N21">
        <v>888</v>
      </c>
      <c r="O21">
        <v>0</v>
      </c>
      <c r="P21">
        <v>969</v>
      </c>
      <c r="Q21">
        <v>0</v>
      </c>
      <c r="R21">
        <v>0</v>
      </c>
      <c r="S21">
        <v>0</v>
      </c>
      <c r="T21">
        <v>0</v>
      </c>
      <c r="V21">
        <f t="shared" si="5"/>
        <v>936</v>
      </c>
      <c r="W21" s="2">
        <f>(V$18-V21)/V$18</f>
        <v>2.7027027027027029E-2</v>
      </c>
    </row>
    <row r="22" spans="1:23" x14ac:dyDescent="0.2">
      <c r="A22" s="8" t="s">
        <v>54</v>
      </c>
      <c r="B22" s="8" t="s">
        <v>30</v>
      </c>
      <c r="C22" s="8" t="s">
        <v>22</v>
      </c>
      <c r="D22" s="8" t="s">
        <v>23</v>
      </c>
      <c r="E22" s="8" t="s">
        <v>42</v>
      </c>
      <c r="F22" s="8">
        <v>3</v>
      </c>
      <c r="G22" s="8" t="s">
        <v>25</v>
      </c>
      <c r="H22" s="8">
        <v>60</v>
      </c>
      <c r="I22" s="8">
        <v>1479</v>
      </c>
      <c r="J22" s="8">
        <v>1209</v>
      </c>
      <c r="K22" s="8">
        <v>0</v>
      </c>
      <c r="L22" s="8">
        <v>19</v>
      </c>
      <c r="M22" s="8">
        <v>0</v>
      </c>
      <c r="N22" s="8">
        <v>215</v>
      </c>
      <c r="O22" s="8">
        <v>0</v>
      </c>
      <c r="P22" s="8">
        <v>994</v>
      </c>
      <c r="Q22" s="8">
        <v>0</v>
      </c>
      <c r="R22" s="8">
        <v>0</v>
      </c>
      <c r="S22" s="8">
        <v>0</v>
      </c>
      <c r="T22" s="8">
        <v>0</v>
      </c>
      <c r="U22" s="8"/>
      <c r="V22" s="8">
        <f>(N22+L22)*2/3</f>
        <v>156</v>
      </c>
    </row>
    <row r="23" spans="1:23" x14ac:dyDescent="0.2">
      <c r="A23" t="s">
        <v>54</v>
      </c>
      <c r="B23" t="s">
        <v>30</v>
      </c>
      <c r="C23" t="s">
        <v>22</v>
      </c>
      <c r="D23" t="s">
        <v>23</v>
      </c>
      <c r="E23" t="s">
        <v>43</v>
      </c>
      <c r="F23">
        <v>3</v>
      </c>
      <c r="G23" t="s">
        <v>67</v>
      </c>
      <c r="H23">
        <v>413</v>
      </c>
      <c r="I23">
        <v>1297</v>
      </c>
      <c r="J23">
        <v>86</v>
      </c>
      <c r="K23">
        <v>0</v>
      </c>
      <c r="L23">
        <v>8</v>
      </c>
      <c r="M23">
        <v>0</v>
      </c>
      <c r="N23">
        <v>140</v>
      </c>
      <c r="O23">
        <v>0</v>
      </c>
      <c r="P23">
        <v>972</v>
      </c>
      <c r="Q23">
        <v>0</v>
      </c>
      <c r="R23">
        <v>0</v>
      </c>
      <c r="S23">
        <v>0</v>
      </c>
      <c r="T23">
        <v>0</v>
      </c>
      <c r="V23">
        <f>(N23+L23)</f>
        <v>148</v>
      </c>
      <c r="W23" s="2">
        <f>(V$22-V23)/V$22</f>
        <v>5.128205128205128E-2</v>
      </c>
    </row>
    <row r="24" spans="1:23" x14ac:dyDescent="0.2">
      <c r="A24" t="s">
        <v>54</v>
      </c>
      <c r="B24" t="s">
        <v>30</v>
      </c>
      <c r="C24" t="s">
        <v>22</v>
      </c>
      <c r="D24" t="s">
        <v>23</v>
      </c>
      <c r="E24" t="s">
        <v>211</v>
      </c>
      <c r="F24">
        <v>3</v>
      </c>
      <c r="G24" t="s">
        <v>69</v>
      </c>
      <c r="H24">
        <v>217</v>
      </c>
      <c r="I24">
        <v>1445</v>
      </c>
      <c r="J24">
        <v>122</v>
      </c>
      <c r="K24">
        <v>0</v>
      </c>
      <c r="L24">
        <v>13</v>
      </c>
      <c r="M24">
        <v>0</v>
      </c>
      <c r="N24">
        <v>133</v>
      </c>
      <c r="O24">
        <v>0</v>
      </c>
      <c r="P24">
        <v>965</v>
      </c>
      <c r="Q24">
        <v>0</v>
      </c>
      <c r="R24">
        <v>0</v>
      </c>
      <c r="S24">
        <v>0</v>
      </c>
      <c r="T24">
        <v>0</v>
      </c>
      <c r="V24">
        <f t="shared" ref="V24:V25" si="7">(N24+L24)</f>
        <v>146</v>
      </c>
      <c r="W24" s="2">
        <f>(V$22-V24)/V$22</f>
        <v>6.4102564102564097E-2</v>
      </c>
    </row>
    <row r="25" spans="1:23" x14ac:dyDescent="0.2">
      <c r="A25" t="s">
        <v>54</v>
      </c>
      <c r="B25" t="s">
        <v>30</v>
      </c>
      <c r="C25" t="s">
        <v>22</v>
      </c>
      <c r="D25" t="s">
        <v>23</v>
      </c>
      <c r="E25" t="s">
        <v>210</v>
      </c>
      <c r="F25">
        <v>3</v>
      </c>
      <c r="G25" t="s">
        <v>71</v>
      </c>
      <c r="H25">
        <v>167</v>
      </c>
      <c r="I25">
        <v>1503</v>
      </c>
      <c r="J25">
        <v>114</v>
      </c>
      <c r="K25">
        <v>0</v>
      </c>
      <c r="L25">
        <v>10</v>
      </c>
      <c r="M25">
        <v>0</v>
      </c>
      <c r="N25">
        <v>134</v>
      </c>
      <c r="O25">
        <v>0</v>
      </c>
      <c r="P25">
        <v>964</v>
      </c>
      <c r="Q25">
        <v>0</v>
      </c>
      <c r="R25">
        <v>0</v>
      </c>
      <c r="S25">
        <v>0</v>
      </c>
      <c r="T25">
        <v>0</v>
      </c>
      <c r="V25">
        <f t="shared" si="7"/>
        <v>144</v>
      </c>
      <c r="W25" s="2">
        <f>(V$22-V25)/V$22</f>
        <v>7.6923076923076927E-2</v>
      </c>
    </row>
    <row r="26" spans="1:23" x14ac:dyDescent="0.2">
      <c r="A26" s="8" t="s">
        <v>55</v>
      </c>
      <c r="B26" s="8" t="s">
        <v>30</v>
      </c>
      <c r="C26" s="8" t="s">
        <v>22</v>
      </c>
      <c r="D26" s="8" t="s">
        <v>23</v>
      </c>
      <c r="E26" s="8" t="s">
        <v>46</v>
      </c>
      <c r="F26" s="8">
        <v>3</v>
      </c>
      <c r="G26" s="8" t="s">
        <v>25</v>
      </c>
      <c r="H26" s="8">
        <v>89</v>
      </c>
      <c r="I26" s="8">
        <v>325</v>
      </c>
      <c r="J26" s="8">
        <v>558</v>
      </c>
      <c r="K26" s="8">
        <v>0</v>
      </c>
      <c r="L26" s="8">
        <v>177</v>
      </c>
      <c r="M26" s="8">
        <v>0</v>
      </c>
      <c r="N26" s="8">
        <v>894</v>
      </c>
      <c r="O26" s="8">
        <v>0</v>
      </c>
      <c r="P26" s="8">
        <v>681</v>
      </c>
      <c r="Q26" s="8">
        <v>0</v>
      </c>
      <c r="R26" s="8">
        <v>0</v>
      </c>
      <c r="S26" s="8">
        <v>0</v>
      </c>
      <c r="T26" s="8">
        <v>0</v>
      </c>
      <c r="U26" s="8"/>
      <c r="V26" s="8">
        <f>(N26+L26)*2/3</f>
        <v>714</v>
      </c>
    </row>
    <row r="27" spans="1:23" x14ac:dyDescent="0.2">
      <c r="A27" t="s">
        <v>55</v>
      </c>
      <c r="B27" t="s">
        <v>30</v>
      </c>
      <c r="C27" t="s">
        <v>22</v>
      </c>
      <c r="D27" t="s">
        <v>23</v>
      </c>
      <c r="E27" t="s">
        <v>47</v>
      </c>
      <c r="F27">
        <v>3</v>
      </c>
      <c r="G27" t="s">
        <v>67</v>
      </c>
      <c r="H27">
        <v>191</v>
      </c>
      <c r="I27">
        <v>373</v>
      </c>
      <c r="J27">
        <v>66</v>
      </c>
      <c r="K27">
        <v>0</v>
      </c>
      <c r="L27">
        <v>139</v>
      </c>
      <c r="M27">
        <v>0</v>
      </c>
      <c r="N27">
        <v>559</v>
      </c>
      <c r="O27">
        <v>0</v>
      </c>
      <c r="P27">
        <v>664</v>
      </c>
      <c r="Q27">
        <v>0</v>
      </c>
      <c r="R27">
        <v>0</v>
      </c>
      <c r="S27">
        <v>0</v>
      </c>
      <c r="T27">
        <v>0</v>
      </c>
      <c r="V27">
        <f>(N27+L27)</f>
        <v>698</v>
      </c>
      <c r="W27" s="2">
        <f>(V$26-V27)/V$26</f>
        <v>2.2408963585434174E-2</v>
      </c>
    </row>
    <row r="28" spans="1:23" x14ac:dyDescent="0.2">
      <c r="A28" t="s">
        <v>55</v>
      </c>
      <c r="B28" t="s">
        <v>30</v>
      </c>
      <c r="C28" t="s">
        <v>22</v>
      </c>
      <c r="D28" t="s">
        <v>23</v>
      </c>
      <c r="E28" t="s">
        <v>209</v>
      </c>
      <c r="F28">
        <v>3</v>
      </c>
      <c r="G28" t="s">
        <v>69</v>
      </c>
      <c r="H28">
        <v>141</v>
      </c>
      <c r="I28">
        <v>405</v>
      </c>
      <c r="J28">
        <v>88</v>
      </c>
      <c r="K28">
        <v>0</v>
      </c>
      <c r="L28">
        <v>139</v>
      </c>
      <c r="M28">
        <v>0</v>
      </c>
      <c r="N28">
        <v>559</v>
      </c>
      <c r="O28">
        <v>0</v>
      </c>
      <c r="P28">
        <v>666</v>
      </c>
      <c r="Q28">
        <v>0</v>
      </c>
      <c r="R28">
        <v>0</v>
      </c>
      <c r="S28">
        <v>0</v>
      </c>
      <c r="T28">
        <v>0</v>
      </c>
      <c r="V28">
        <f t="shared" ref="V28:V33" si="8">(N28+L28)</f>
        <v>698</v>
      </c>
      <c r="W28" s="2">
        <f>(V$26-V28)/V$26</f>
        <v>2.2408963585434174E-2</v>
      </c>
    </row>
    <row r="29" spans="1:23" x14ac:dyDescent="0.2">
      <c r="A29" t="s">
        <v>55</v>
      </c>
      <c r="B29" t="s">
        <v>30</v>
      </c>
      <c r="C29" t="s">
        <v>22</v>
      </c>
      <c r="D29" t="s">
        <v>23</v>
      </c>
      <c r="E29" t="s">
        <v>208</v>
      </c>
      <c r="F29">
        <v>3</v>
      </c>
      <c r="G29" t="s">
        <v>71</v>
      </c>
      <c r="H29">
        <v>135</v>
      </c>
      <c r="I29">
        <v>411</v>
      </c>
      <c r="J29">
        <v>86</v>
      </c>
      <c r="K29">
        <v>0</v>
      </c>
      <c r="L29">
        <v>133</v>
      </c>
      <c r="M29">
        <v>0</v>
      </c>
      <c r="N29">
        <v>559</v>
      </c>
      <c r="O29">
        <v>0</v>
      </c>
      <c r="P29">
        <v>662</v>
      </c>
      <c r="Q29">
        <v>0</v>
      </c>
      <c r="R29">
        <v>0</v>
      </c>
      <c r="S29">
        <v>0</v>
      </c>
      <c r="T29">
        <v>0</v>
      </c>
      <c r="V29">
        <f t="shared" si="8"/>
        <v>692</v>
      </c>
      <c r="W29" s="2">
        <f>(V$26-V29)/V$26</f>
        <v>3.081232492997199E-2</v>
      </c>
    </row>
    <row r="30" spans="1:23" x14ac:dyDescent="0.2">
      <c r="A30" s="8" t="s">
        <v>56</v>
      </c>
      <c r="B30" s="8" t="s">
        <v>30</v>
      </c>
      <c r="C30" s="8" t="s">
        <v>22</v>
      </c>
      <c r="D30" s="8" t="s">
        <v>23</v>
      </c>
      <c r="E30" s="8" t="s">
        <v>50</v>
      </c>
      <c r="F30" s="8">
        <v>3</v>
      </c>
      <c r="G30" s="8" t="s">
        <v>25</v>
      </c>
      <c r="H30" s="8">
        <v>109</v>
      </c>
      <c r="I30" s="8">
        <v>155</v>
      </c>
      <c r="J30" s="8">
        <v>141</v>
      </c>
      <c r="K30" s="8">
        <v>0</v>
      </c>
      <c r="L30" s="8">
        <v>34</v>
      </c>
      <c r="M30" s="8">
        <v>0</v>
      </c>
      <c r="N30" s="8">
        <v>149</v>
      </c>
      <c r="O30" s="8">
        <v>0</v>
      </c>
      <c r="P30" s="8">
        <v>196</v>
      </c>
      <c r="Q30" s="8">
        <v>0</v>
      </c>
      <c r="R30" s="8">
        <v>0</v>
      </c>
      <c r="S30" s="8">
        <v>0</v>
      </c>
      <c r="T30" s="8">
        <v>0</v>
      </c>
      <c r="U30" s="8"/>
      <c r="V30" s="8">
        <f>(N30+L30)*2/3</f>
        <v>122</v>
      </c>
    </row>
    <row r="31" spans="1:23" x14ac:dyDescent="0.2">
      <c r="A31" t="s">
        <v>56</v>
      </c>
      <c r="B31" t="s">
        <v>30</v>
      </c>
      <c r="C31" t="s">
        <v>22</v>
      </c>
      <c r="D31" t="s">
        <v>23</v>
      </c>
      <c r="E31" t="s">
        <v>51</v>
      </c>
      <c r="F31">
        <v>3</v>
      </c>
      <c r="G31" t="s">
        <v>67</v>
      </c>
      <c r="H31">
        <v>180</v>
      </c>
      <c r="I31">
        <v>68</v>
      </c>
      <c r="J31">
        <v>16</v>
      </c>
      <c r="K31">
        <v>0</v>
      </c>
      <c r="L31">
        <v>18</v>
      </c>
      <c r="M31">
        <v>0</v>
      </c>
      <c r="N31">
        <v>100</v>
      </c>
      <c r="O31">
        <v>0</v>
      </c>
      <c r="P31">
        <v>191</v>
      </c>
      <c r="Q31">
        <v>0</v>
      </c>
      <c r="R31">
        <v>0</v>
      </c>
      <c r="S31">
        <v>0</v>
      </c>
      <c r="T31">
        <v>0</v>
      </c>
      <c r="V31">
        <f>(N31+L31)</f>
        <v>118</v>
      </c>
      <c r="W31" s="2">
        <f>(V$30-V31)/V$30</f>
        <v>3.2786885245901641E-2</v>
      </c>
    </row>
    <row r="32" spans="1:23" x14ac:dyDescent="0.2">
      <c r="A32" t="s">
        <v>56</v>
      </c>
      <c r="B32" t="s">
        <v>30</v>
      </c>
      <c r="C32" t="s">
        <v>22</v>
      </c>
      <c r="D32" t="s">
        <v>23</v>
      </c>
      <c r="E32" t="s">
        <v>207</v>
      </c>
      <c r="F32">
        <v>3</v>
      </c>
      <c r="G32" t="s">
        <v>69</v>
      </c>
      <c r="H32">
        <v>136</v>
      </c>
      <c r="I32">
        <v>110</v>
      </c>
      <c r="J32">
        <v>18</v>
      </c>
      <c r="K32">
        <v>0</v>
      </c>
      <c r="L32">
        <v>14</v>
      </c>
      <c r="M32">
        <v>0</v>
      </c>
      <c r="N32">
        <v>102</v>
      </c>
      <c r="O32">
        <v>0</v>
      </c>
      <c r="P32">
        <v>190</v>
      </c>
      <c r="Q32">
        <v>0</v>
      </c>
      <c r="R32">
        <v>0</v>
      </c>
      <c r="S32">
        <v>0</v>
      </c>
      <c r="T32">
        <v>0</v>
      </c>
      <c r="V32">
        <f t="shared" si="8"/>
        <v>116</v>
      </c>
      <c r="W32" s="2">
        <f>(V$30-V32)/V$30</f>
        <v>4.9180327868852458E-2</v>
      </c>
    </row>
    <row r="33" spans="1:23" x14ac:dyDescent="0.2">
      <c r="A33" t="s">
        <v>56</v>
      </c>
      <c r="B33" t="s">
        <v>30</v>
      </c>
      <c r="C33" t="s">
        <v>22</v>
      </c>
      <c r="D33" t="s">
        <v>23</v>
      </c>
      <c r="E33" t="s">
        <v>206</v>
      </c>
      <c r="F33">
        <v>3</v>
      </c>
      <c r="G33" t="s">
        <v>71</v>
      </c>
      <c r="H33">
        <v>127</v>
      </c>
      <c r="I33">
        <v>119</v>
      </c>
      <c r="J33">
        <v>18</v>
      </c>
      <c r="K33">
        <v>0</v>
      </c>
      <c r="L33">
        <v>14</v>
      </c>
      <c r="M33">
        <v>0</v>
      </c>
      <c r="N33">
        <v>100</v>
      </c>
      <c r="O33">
        <v>0</v>
      </c>
      <c r="P33">
        <v>189</v>
      </c>
      <c r="Q33">
        <v>0</v>
      </c>
      <c r="R33">
        <v>0</v>
      </c>
      <c r="S33">
        <v>0</v>
      </c>
      <c r="T33">
        <v>0</v>
      </c>
      <c r="V33">
        <f t="shared" si="8"/>
        <v>114</v>
      </c>
      <c r="W33" s="2">
        <f>(V$30-V33)/V$30</f>
        <v>6.5573770491803282E-2</v>
      </c>
    </row>
    <row r="34" spans="1:23" x14ac:dyDescent="0.2">
      <c r="A34" s="8" t="s">
        <v>62</v>
      </c>
      <c r="B34" s="8" t="s">
        <v>32</v>
      </c>
      <c r="C34" s="8" t="s">
        <v>22</v>
      </c>
      <c r="D34" s="8" t="s">
        <v>23</v>
      </c>
      <c r="E34" s="8" t="s">
        <v>38</v>
      </c>
      <c r="F34" s="8">
        <v>3</v>
      </c>
      <c r="G34" s="8" t="s">
        <v>25</v>
      </c>
      <c r="H34" s="8">
        <v>162</v>
      </c>
      <c r="I34" s="8">
        <v>312</v>
      </c>
      <c r="J34" s="8">
        <v>441</v>
      </c>
      <c r="K34" s="8">
        <v>0</v>
      </c>
      <c r="L34" s="8">
        <v>209</v>
      </c>
      <c r="M34" s="8">
        <v>0</v>
      </c>
      <c r="N34" s="8">
        <v>1483</v>
      </c>
      <c r="O34" s="8">
        <v>0</v>
      </c>
      <c r="P34" s="8">
        <v>869</v>
      </c>
      <c r="Q34" s="8">
        <v>0</v>
      </c>
      <c r="R34" s="8">
        <v>0</v>
      </c>
      <c r="S34" s="8">
        <v>0</v>
      </c>
      <c r="T34" s="8">
        <v>0</v>
      </c>
      <c r="U34" s="8"/>
      <c r="V34" s="8">
        <f>(N34+L34)*2/3</f>
        <v>1128</v>
      </c>
    </row>
    <row r="35" spans="1:23" x14ac:dyDescent="0.2">
      <c r="A35" t="s">
        <v>62</v>
      </c>
      <c r="B35" t="s">
        <v>32</v>
      </c>
      <c r="C35" t="s">
        <v>22</v>
      </c>
      <c r="D35" t="s">
        <v>23</v>
      </c>
      <c r="E35" t="s">
        <v>39</v>
      </c>
      <c r="F35">
        <v>3</v>
      </c>
      <c r="G35" t="s">
        <v>67</v>
      </c>
      <c r="H35">
        <v>107</v>
      </c>
      <c r="I35">
        <v>365</v>
      </c>
      <c r="J35">
        <v>10</v>
      </c>
      <c r="K35">
        <v>0</v>
      </c>
      <c r="L35">
        <v>333</v>
      </c>
      <c r="M35">
        <v>0</v>
      </c>
      <c r="N35">
        <v>593</v>
      </c>
      <c r="O35">
        <v>0</v>
      </c>
      <c r="P35">
        <v>704</v>
      </c>
      <c r="Q35">
        <v>0</v>
      </c>
      <c r="R35">
        <v>0</v>
      </c>
      <c r="S35">
        <v>0</v>
      </c>
      <c r="T35">
        <v>0</v>
      </c>
      <c r="V35">
        <f>(N35+L35)</f>
        <v>926</v>
      </c>
      <c r="W35" s="73">
        <f>(V$34-V35)/V$34</f>
        <v>0.17907801418439717</v>
      </c>
    </row>
    <row r="36" spans="1:23" x14ac:dyDescent="0.2">
      <c r="A36" t="s">
        <v>62</v>
      </c>
      <c r="B36" t="s">
        <v>32</v>
      </c>
      <c r="C36" t="s">
        <v>22</v>
      </c>
      <c r="D36" t="s">
        <v>23</v>
      </c>
      <c r="E36" t="s">
        <v>213</v>
      </c>
      <c r="F36">
        <v>3</v>
      </c>
      <c r="G36" t="s">
        <v>69</v>
      </c>
      <c r="H36">
        <v>101</v>
      </c>
      <c r="I36">
        <v>351</v>
      </c>
      <c r="J36">
        <v>12</v>
      </c>
      <c r="K36">
        <v>0</v>
      </c>
      <c r="L36">
        <v>232</v>
      </c>
      <c r="M36">
        <v>0</v>
      </c>
      <c r="N36">
        <v>618</v>
      </c>
      <c r="O36">
        <v>0</v>
      </c>
      <c r="P36">
        <v>657</v>
      </c>
      <c r="Q36">
        <v>0</v>
      </c>
      <c r="R36">
        <v>0</v>
      </c>
      <c r="S36">
        <v>0</v>
      </c>
      <c r="T36">
        <v>0</v>
      </c>
      <c r="V36">
        <f t="shared" ref="V36:V41" si="9">(N36+L36)</f>
        <v>850</v>
      </c>
      <c r="W36" s="73">
        <f>(V$34-V36)/V$34</f>
        <v>0.24645390070921985</v>
      </c>
    </row>
    <row r="37" spans="1:23" x14ac:dyDescent="0.2">
      <c r="A37" t="s">
        <v>62</v>
      </c>
      <c r="B37" t="s">
        <v>32</v>
      </c>
      <c r="C37" t="s">
        <v>22</v>
      </c>
      <c r="D37" t="s">
        <v>23</v>
      </c>
      <c r="E37" t="s">
        <v>212</v>
      </c>
      <c r="F37">
        <v>3</v>
      </c>
      <c r="G37" t="s">
        <v>71</v>
      </c>
      <c r="H37">
        <v>88</v>
      </c>
      <c r="I37">
        <v>338</v>
      </c>
      <c r="J37">
        <v>12</v>
      </c>
      <c r="K37">
        <v>0</v>
      </c>
      <c r="L37">
        <v>265</v>
      </c>
      <c r="M37">
        <v>0</v>
      </c>
      <c r="N37">
        <v>559</v>
      </c>
      <c r="O37">
        <v>0</v>
      </c>
      <c r="P37">
        <v>631</v>
      </c>
      <c r="Q37">
        <v>0</v>
      </c>
      <c r="R37">
        <v>0</v>
      </c>
      <c r="S37">
        <v>0</v>
      </c>
      <c r="T37">
        <v>0</v>
      </c>
      <c r="V37">
        <f t="shared" si="9"/>
        <v>824</v>
      </c>
      <c r="W37" s="73">
        <f>(V$34-V37)/V$34</f>
        <v>0.26950354609929078</v>
      </c>
    </row>
    <row r="38" spans="1:23" x14ac:dyDescent="0.2">
      <c r="A38" s="8" t="s">
        <v>63</v>
      </c>
      <c r="B38" s="8" t="s">
        <v>32</v>
      </c>
      <c r="C38" s="8" t="s">
        <v>22</v>
      </c>
      <c r="D38" s="8" t="s">
        <v>23</v>
      </c>
      <c r="E38" s="8" t="s">
        <v>42</v>
      </c>
      <c r="F38" s="8">
        <v>3</v>
      </c>
      <c r="G38" s="8" t="s">
        <v>25</v>
      </c>
      <c r="H38" s="8">
        <v>16</v>
      </c>
      <c r="I38" s="8">
        <v>734</v>
      </c>
      <c r="J38" s="8">
        <v>1275</v>
      </c>
      <c r="K38" s="8">
        <v>0</v>
      </c>
      <c r="L38" s="8">
        <v>27</v>
      </c>
      <c r="M38" s="8">
        <v>0</v>
      </c>
      <c r="N38" s="8">
        <v>138</v>
      </c>
      <c r="O38" s="8">
        <v>0</v>
      </c>
      <c r="P38" s="8">
        <v>730</v>
      </c>
      <c r="Q38" s="8">
        <v>0</v>
      </c>
      <c r="R38" s="8">
        <v>0</v>
      </c>
      <c r="S38" s="8">
        <v>0</v>
      </c>
      <c r="T38" s="8">
        <v>0</v>
      </c>
      <c r="U38" s="8"/>
      <c r="V38" s="8">
        <f>(N38+L38)*2/3</f>
        <v>110</v>
      </c>
    </row>
    <row r="39" spans="1:23" x14ac:dyDescent="0.2">
      <c r="A39" t="s">
        <v>63</v>
      </c>
      <c r="B39" t="s">
        <v>32</v>
      </c>
      <c r="C39" t="s">
        <v>22</v>
      </c>
      <c r="D39" t="s">
        <v>23</v>
      </c>
      <c r="E39" t="s">
        <v>43</v>
      </c>
      <c r="F39">
        <v>3</v>
      </c>
      <c r="G39" t="s">
        <v>67</v>
      </c>
      <c r="H39">
        <v>333</v>
      </c>
      <c r="I39">
        <v>803</v>
      </c>
      <c r="J39">
        <v>24</v>
      </c>
      <c r="K39">
        <v>0</v>
      </c>
      <c r="L39">
        <v>19</v>
      </c>
      <c r="M39">
        <v>0</v>
      </c>
      <c r="N39">
        <v>79</v>
      </c>
      <c r="O39">
        <v>0</v>
      </c>
      <c r="P39">
        <v>629</v>
      </c>
      <c r="Q39">
        <v>0</v>
      </c>
      <c r="R39">
        <v>0</v>
      </c>
      <c r="S39">
        <v>0</v>
      </c>
      <c r="T39">
        <v>0</v>
      </c>
      <c r="V39">
        <f>(N39+L39)</f>
        <v>98</v>
      </c>
      <c r="W39" s="73">
        <f>(V$38-V39)/V$38</f>
        <v>0.10909090909090909</v>
      </c>
    </row>
    <row r="40" spans="1:23" x14ac:dyDescent="0.2">
      <c r="A40" t="s">
        <v>63</v>
      </c>
      <c r="B40" t="s">
        <v>32</v>
      </c>
      <c r="C40" t="s">
        <v>22</v>
      </c>
      <c r="D40" t="s">
        <v>23</v>
      </c>
      <c r="E40" t="s">
        <v>211</v>
      </c>
      <c r="F40">
        <v>3</v>
      </c>
      <c r="G40" t="s">
        <v>69</v>
      </c>
      <c r="H40">
        <v>118</v>
      </c>
      <c r="I40">
        <v>978</v>
      </c>
      <c r="J40">
        <v>22</v>
      </c>
      <c r="K40">
        <v>0</v>
      </c>
      <c r="L40">
        <v>17</v>
      </c>
      <c r="M40">
        <v>0</v>
      </c>
      <c r="N40">
        <v>71</v>
      </c>
      <c r="O40">
        <v>0</v>
      </c>
      <c r="P40">
        <v>603</v>
      </c>
      <c r="Q40">
        <v>0</v>
      </c>
      <c r="R40">
        <v>0</v>
      </c>
      <c r="S40">
        <v>0</v>
      </c>
      <c r="T40">
        <v>0</v>
      </c>
      <c r="V40">
        <f t="shared" si="9"/>
        <v>88</v>
      </c>
      <c r="W40" s="73">
        <f>(V$38-V40)/V$38</f>
        <v>0.2</v>
      </c>
    </row>
    <row r="41" spans="1:23" x14ac:dyDescent="0.2">
      <c r="A41" t="s">
        <v>63</v>
      </c>
      <c r="B41" t="s">
        <v>32</v>
      </c>
      <c r="C41" t="s">
        <v>22</v>
      </c>
      <c r="D41" t="s">
        <v>23</v>
      </c>
      <c r="E41" t="s">
        <v>210</v>
      </c>
      <c r="F41">
        <v>3</v>
      </c>
      <c r="G41" t="s">
        <v>71</v>
      </c>
      <c r="H41">
        <v>123</v>
      </c>
      <c r="I41">
        <v>1021</v>
      </c>
      <c r="J41">
        <v>20</v>
      </c>
      <c r="K41">
        <v>0</v>
      </c>
      <c r="L41">
        <v>16</v>
      </c>
      <c r="M41">
        <v>0</v>
      </c>
      <c r="N41">
        <v>70</v>
      </c>
      <c r="O41">
        <v>0</v>
      </c>
      <c r="P41">
        <v>625</v>
      </c>
      <c r="Q41">
        <v>0</v>
      </c>
      <c r="R41">
        <v>0</v>
      </c>
      <c r="S41">
        <v>0</v>
      </c>
      <c r="T41">
        <v>0</v>
      </c>
      <c r="V41">
        <f t="shared" si="9"/>
        <v>86</v>
      </c>
      <c r="W41" s="73">
        <f>(V$38-V41)/V$38</f>
        <v>0.21818181818181817</v>
      </c>
    </row>
    <row r="42" spans="1:23" x14ac:dyDescent="0.2">
      <c r="A42" s="8" t="s">
        <v>64</v>
      </c>
      <c r="B42" s="8" t="s">
        <v>32</v>
      </c>
      <c r="C42" s="8" t="s">
        <v>22</v>
      </c>
      <c r="D42" s="8" t="s">
        <v>23</v>
      </c>
      <c r="E42" s="8" t="s">
        <v>46</v>
      </c>
      <c r="F42" s="8">
        <v>3</v>
      </c>
      <c r="G42" s="8" t="s">
        <v>25</v>
      </c>
      <c r="H42" s="8">
        <v>85</v>
      </c>
      <c r="I42" s="8">
        <v>188</v>
      </c>
      <c r="J42" s="8">
        <v>573</v>
      </c>
      <c r="K42" s="8">
        <v>0</v>
      </c>
      <c r="L42" s="8">
        <v>125</v>
      </c>
      <c r="M42" s="8">
        <v>0</v>
      </c>
      <c r="N42" s="8">
        <v>523</v>
      </c>
      <c r="O42" s="8">
        <v>0</v>
      </c>
      <c r="P42" s="8">
        <v>498</v>
      </c>
      <c r="Q42" s="8">
        <v>0</v>
      </c>
      <c r="R42" s="8">
        <v>0</v>
      </c>
      <c r="S42" s="8">
        <v>0</v>
      </c>
      <c r="T42" s="8">
        <v>0</v>
      </c>
      <c r="U42" s="8"/>
      <c r="V42" s="8">
        <f>(N42+L42)*2/3</f>
        <v>432</v>
      </c>
    </row>
    <row r="43" spans="1:23" x14ac:dyDescent="0.2">
      <c r="A43" t="s">
        <v>64</v>
      </c>
      <c r="B43" t="s">
        <v>32</v>
      </c>
      <c r="C43" t="s">
        <v>22</v>
      </c>
      <c r="D43" t="s">
        <v>23</v>
      </c>
      <c r="E43" t="s">
        <v>47</v>
      </c>
      <c r="F43">
        <v>3</v>
      </c>
      <c r="G43" t="s">
        <v>67</v>
      </c>
      <c r="H43">
        <v>245</v>
      </c>
      <c r="I43">
        <v>241</v>
      </c>
      <c r="J43">
        <v>52</v>
      </c>
      <c r="K43">
        <v>0</v>
      </c>
      <c r="L43">
        <v>101</v>
      </c>
      <c r="M43">
        <v>0</v>
      </c>
      <c r="N43">
        <v>379</v>
      </c>
      <c r="O43">
        <v>0</v>
      </c>
      <c r="P43">
        <v>509</v>
      </c>
      <c r="Q43">
        <v>0</v>
      </c>
      <c r="R43">
        <v>0</v>
      </c>
      <c r="S43">
        <v>0</v>
      </c>
      <c r="T43">
        <v>0</v>
      </c>
      <c r="V43">
        <f>(N43+L43)</f>
        <v>480</v>
      </c>
      <c r="W43" s="73">
        <f>(V$42-V43)/V$42</f>
        <v>-0.1111111111111111</v>
      </c>
    </row>
    <row r="44" spans="1:23" x14ac:dyDescent="0.2">
      <c r="A44" t="s">
        <v>64</v>
      </c>
      <c r="B44" t="s">
        <v>32</v>
      </c>
      <c r="C44" t="s">
        <v>22</v>
      </c>
      <c r="D44" t="s">
        <v>23</v>
      </c>
      <c r="E44" t="s">
        <v>209</v>
      </c>
      <c r="F44">
        <v>3</v>
      </c>
      <c r="G44" t="s">
        <v>69</v>
      </c>
      <c r="H44">
        <v>134</v>
      </c>
      <c r="I44">
        <v>340</v>
      </c>
      <c r="J44">
        <v>64</v>
      </c>
      <c r="K44">
        <v>0</v>
      </c>
      <c r="L44">
        <v>102</v>
      </c>
      <c r="M44">
        <v>0</v>
      </c>
      <c r="N44">
        <v>360</v>
      </c>
      <c r="O44">
        <v>0</v>
      </c>
      <c r="P44">
        <v>500</v>
      </c>
      <c r="Q44">
        <v>0</v>
      </c>
      <c r="R44">
        <v>0</v>
      </c>
      <c r="S44">
        <v>0</v>
      </c>
      <c r="T44">
        <v>0</v>
      </c>
      <c r="V44">
        <f t="shared" ref="V44:V45" si="10">(N44+L44)</f>
        <v>462</v>
      </c>
      <c r="W44" s="2">
        <f>(V$42-V44)/V$42</f>
        <v>-6.9444444444444448E-2</v>
      </c>
    </row>
    <row r="45" spans="1:23" x14ac:dyDescent="0.2">
      <c r="A45" t="s">
        <v>64</v>
      </c>
      <c r="B45" t="s">
        <v>32</v>
      </c>
      <c r="C45" t="s">
        <v>22</v>
      </c>
      <c r="D45" t="s">
        <v>23</v>
      </c>
      <c r="E45" t="s">
        <v>208</v>
      </c>
      <c r="F45">
        <v>3</v>
      </c>
      <c r="G45" t="s">
        <v>71</v>
      </c>
      <c r="H45">
        <v>142</v>
      </c>
      <c r="I45">
        <v>334</v>
      </c>
      <c r="J45">
        <v>60</v>
      </c>
      <c r="K45">
        <v>0</v>
      </c>
      <c r="L45">
        <v>121</v>
      </c>
      <c r="M45">
        <v>0</v>
      </c>
      <c r="N45">
        <v>363</v>
      </c>
      <c r="O45">
        <v>0</v>
      </c>
      <c r="P45">
        <v>510</v>
      </c>
      <c r="Q45">
        <v>0</v>
      </c>
      <c r="R45">
        <v>0</v>
      </c>
      <c r="S45">
        <v>0</v>
      </c>
      <c r="T45">
        <v>0</v>
      </c>
      <c r="V45">
        <f t="shared" si="10"/>
        <v>484</v>
      </c>
      <c r="W45" s="73">
        <f>(V$42-V45)/V$42</f>
        <v>-0.12037037037037036</v>
      </c>
    </row>
    <row r="46" spans="1:23" x14ac:dyDescent="0.2">
      <c r="A46" s="8" t="s">
        <v>79</v>
      </c>
      <c r="B46" s="8" t="s">
        <v>32</v>
      </c>
      <c r="C46" s="8" t="s">
        <v>22</v>
      </c>
      <c r="D46" s="8" t="s">
        <v>23</v>
      </c>
      <c r="E46" s="8" t="s">
        <v>50</v>
      </c>
      <c r="F46" s="8">
        <v>3</v>
      </c>
      <c r="G46" s="8" t="s">
        <v>25</v>
      </c>
      <c r="H46" s="8">
        <v>38</v>
      </c>
      <c r="I46" s="8">
        <v>7</v>
      </c>
      <c r="J46" s="8">
        <v>87</v>
      </c>
      <c r="K46" s="8">
        <v>0</v>
      </c>
      <c r="L46" s="8">
        <v>40</v>
      </c>
      <c r="M46" s="8">
        <v>0</v>
      </c>
      <c r="N46" s="8">
        <v>263</v>
      </c>
      <c r="O46" s="8">
        <v>0</v>
      </c>
      <c r="P46" s="8">
        <v>145</v>
      </c>
      <c r="Q46" s="8">
        <v>0</v>
      </c>
      <c r="R46" s="8">
        <v>0</v>
      </c>
      <c r="S46" s="8">
        <v>0</v>
      </c>
      <c r="T46" s="8">
        <v>0</v>
      </c>
      <c r="U46" s="8"/>
      <c r="V46" s="8">
        <f>(N46+L46)*2/3</f>
        <v>202</v>
      </c>
    </row>
    <row r="47" spans="1:23" x14ac:dyDescent="0.2">
      <c r="A47" t="s">
        <v>79</v>
      </c>
      <c r="B47" t="s">
        <v>32</v>
      </c>
      <c r="C47" t="s">
        <v>22</v>
      </c>
      <c r="D47" t="s">
        <v>23</v>
      </c>
      <c r="E47" t="s">
        <v>51</v>
      </c>
      <c r="F47">
        <v>3</v>
      </c>
      <c r="G47" t="s">
        <v>67</v>
      </c>
      <c r="H47">
        <v>70</v>
      </c>
      <c r="I47">
        <v>16</v>
      </c>
      <c r="J47">
        <v>12</v>
      </c>
      <c r="K47">
        <v>0</v>
      </c>
      <c r="L47">
        <v>72</v>
      </c>
      <c r="M47">
        <v>0</v>
      </c>
      <c r="N47">
        <v>96</v>
      </c>
      <c r="O47">
        <v>0</v>
      </c>
      <c r="P47">
        <v>133</v>
      </c>
      <c r="Q47">
        <v>0</v>
      </c>
      <c r="R47">
        <v>0</v>
      </c>
      <c r="S47">
        <v>0</v>
      </c>
      <c r="T47">
        <v>0</v>
      </c>
      <c r="V47">
        <f>(N47+L47)</f>
        <v>168</v>
      </c>
      <c r="W47" s="73">
        <f>(V$46-V47)/V$46</f>
        <v>0.16831683168316833</v>
      </c>
    </row>
    <row r="48" spans="1:23" x14ac:dyDescent="0.2">
      <c r="A48" t="s">
        <v>79</v>
      </c>
      <c r="B48" t="s">
        <v>32</v>
      </c>
      <c r="C48" t="s">
        <v>22</v>
      </c>
      <c r="D48" t="s">
        <v>23</v>
      </c>
      <c r="E48" t="s">
        <v>207</v>
      </c>
      <c r="F48">
        <v>3</v>
      </c>
      <c r="G48" t="s">
        <v>69</v>
      </c>
      <c r="H48">
        <v>58</v>
      </c>
      <c r="I48">
        <v>22</v>
      </c>
      <c r="J48">
        <v>6</v>
      </c>
      <c r="K48">
        <v>0</v>
      </c>
      <c r="L48">
        <v>84</v>
      </c>
      <c r="M48">
        <v>0</v>
      </c>
      <c r="N48">
        <v>108</v>
      </c>
      <c r="O48">
        <v>0</v>
      </c>
      <c r="P48">
        <v>139</v>
      </c>
      <c r="Q48">
        <v>0</v>
      </c>
      <c r="R48">
        <v>0</v>
      </c>
      <c r="S48">
        <v>0</v>
      </c>
      <c r="T48">
        <v>0</v>
      </c>
      <c r="V48">
        <f t="shared" ref="V48:V49" si="11">(N48+L48)</f>
        <v>192</v>
      </c>
      <c r="W48" s="2">
        <f>(V$46-V48)/V$46</f>
        <v>4.9504950495049507E-2</v>
      </c>
    </row>
    <row r="49" spans="1:23" ht="16" thickBot="1" x14ac:dyDescent="0.25">
      <c r="A49" t="s">
        <v>79</v>
      </c>
      <c r="B49" t="s">
        <v>32</v>
      </c>
      <c r="C49" t="s">
        <v>22</v>
      </c>
      <c r="D49" t="s">
        <v>23</v>
      </c>
      <c r="E49" t="s">
        <v>206</v>
      </c>
      <c r="F49">
        <v>3</v>
      </c>
      <c r="G49" t="s">
        <v>71</v>
      </c>
      <c r="H49">
        <v>76</v>
      </c>
      <c r="I49">
        <v>14</v>
      </c>
      <c r="J49">
        <v>8</v>
      </c>
      <c r="K49">
        <v>0</v>
      </c>
      <c r="L49">
        <v>83</v>
      </c>
      <c r="M49">
        <v>0</v>
      </c>
      <c r="N49">
        <v>115</v>
      </c>
      <c r="O49">
        <v>0</v>
      </c>
      <c r="P49">
        <v>148</v>
      </c>
      <c r="Q49">
        <v>0</v>
      </c>
      <c r="R49">
        <v>0</v>
      </c>
      <c r="S49">
        <v>0</v>
      </c>
      <c r="T49">
        <v>0</v>
      </c>
      <c r="V49">
        <f t="shared" si="11"/>
        <v>198</v>
      </c>
      <c r="W49" s="2">
        <f>(V$46-V49)/V$46</f>
        <v>1.9801980198019802E-2</v>
      </c>
    </row>
    <row r="50" spans="1:23" x14ac:dyDescent="0.2">
      <c r="A50" s="72" t="s">
        <v>37</v>
      </c>
      <c r="B50" s="72" t="s">
        <v>21</v>
      </c>
      <c r="C50" s="72" t="s">
        <v>22</v>
      </c>
      <c r="D50" s="72" t="s">
        <v>23</v>
      </c>
      <c r="E50" s="72" t="s">
        <v>38</v>
      </c>
      <c r="F50" s="72">
        <v>3</v>
      </c>
      <c r="G50" s="72" t="s">
        <v>25</v>
      </c>
      <c r="H50" s="72">
        <v>261</v>
      </c>
      <c r="I50" s="72">
        <v>234</v>
      </c>
      <c r="J50" s="72">
        <v>486</v>
      </c>
      <c r="K50" s="72">
        <v>0</v>
      </c>
      <c r="L50" s="72">
        <v>98</v>
      </c>
      <c r="M50" s="72">
        <v>0</v>
      </c>
      <c r="N50" s="72">
        <v>1912</v>
      </c>
      <c r="O50" s="72">
        <v>0</v>
      </c>
      <c r="P50" s="72">
        <v>997</v>
      </c>
      <c r="Q50" s="72">
        <v>0</v>
      </c>
      <c r="R50" s="72">
        <v>0</v>
      </c>
      <c r="S50" s="72">
        <v>0</v>
      </c>
      <c r="T50" s="72">
        <v>0</v>
      </c>
      <c r="U50" s="8"/>
      <c r="V50" s="8">
        <f>(N50+L50)*1/3</f>
        <v>670</v>
      </c>
    </row>
    <row r="51" spans="1:23" x14ac:dyDescent="0.2">
      <c r="A51" t="s">
        <v>37</v>
      </c>
      <c r="B51" t="s">
        <v>21</v>
      </c>
      <c r="C51" t="s">
        <v>22</v>
      </c>
      <c r="D51" t="s">
        <v>23</v>
      </c>
      <c r="E51" t="s">
        <v>40</v>
      </c>
      <c r="F51">
        <v>3</v>
      </c>
      <c r="G51" t="s">
        <v>114</v>
      </c>
      <c r="H51">
        <v>138</v>
      </c>
      <c r="I51">
        <v>168</v>
      </c>
      <c r="J51">
        <v>19</v>
      </c>
      <c r="K51">
        <v>0</v>
      </c>
      <c r="L51">
        <v>144</v>
      </c>
      <c r="M51">
        <v>0</v>
      </c>
      <c r="N51">
        <v>523</v>
      </c>
      <c r="O51">
        <v>0</v>
      </c>
      <c r="P51">
        <v>992</v>
      </c>
      <c r="Q51">
        <v>0</v>
      </c>
      <c r="R51">
        <v>0</v>
      </c>
      <c r="S51">
        <v>0</v>
      </c>
      <c r="T51">
        <v>0</v>
      </c>
      <c r="V51">
        <f>(N51+L51)</f>
        <v>667</v>
      </c>
      <c r="W51" s="2">
        <f>(V$50-V51)/V$50</f>
        <v>4.4776119402985077E-3</v>
      </c>
    </row>
    <row r="52" spans="1:23" x14ac:dyDescent="0.2">
      <c r="A52" t="s">
        <v>37</v>
      </c>
      <c r="B52" t="s">
        <v>21</v>
      </c>
      <c r="C52" t="s">
        <v>22</v>
      </c>
      <c r="D52" t="s">
        <v>23</v>
      </c>
      <c r="E52" t="s">
        <v>122</v>
      </c>
      <c r="F52">
        <v>3</v>
      </c>
      <c r="G52" t="s">
        <v>116</v>
      </c>
      <c r="H52">
        <v>164</v>
      </c>
      <c r="I52">
        <v>155</v>
      </c>
      <c r="J52">
        <v>5</v>
      </c>
      <c r="K52">
        <v>0</v>
      </c>
      <c r="L52">
        <v>160</v>
      </c>
      <c r="M52">
        <v>0</v>
      </c>
      <c r="N52">
        <v>504</v>
      </c>
      <c r="O52">
        <v>0</v>
      </c>
      <c r="P52">
        <v>988</v>
      </c>
      <c r="Q52">
        <v>0</v>
      </c>
      <c r="R52">
        <v>0</v>
      </c>
      <c r="S52">
        <v>0</v>
      </c>
      <c r="T52">
        <v>0</v>
      </c>
      <c r="V52">
        <f t="shared" ref="V52:V57" si="12">(N52+L52)</f>
        <v>664</v>
      </c>
      <c r="W52" s="2">
        <f>(V$50-V52)/V$50</f>
        <v>8.9552238805970154E-3</v>
      </c>
    </row>
    <row r="53" spans="1:23" x14ac:dyDescent="0.2">
      <c r="A53" t="s">
        <v>37</v>
      </c>
      <c r="B53" t="s">
        <v>21</v>
      </c>
      <c r="C53" t="s">
        <v>22</v>
      </c>
      <c r="D53" t="s">
        <v>23</v>
      </c>
      <c r="E53" t="s">
        <v>123</v>
      </c>
      <c r="F53">
        <v>3</v>
      </c>
      <c r="G53" t="s">
        <v>118</v>
      </c>
      <c r="H53">
        <v>126</v>
      </c>
      <c r="I53">
        <v>186</v>
      </c>
      <c r="J53">
        <v>11</v>
      </c>
      <c r="K53">
        <v>0</v>
      </c>
      <c r="L53">
        <v>133</v>
      </c>
      <c r="M53">
        <v>0</v>
      </c>
      <c r="N53">
        <v>523</v>
      </c>
      <c r="O53">
        <v>0</v>
      </c>
      <c r="P53">
        <v>979</v>
      </c>
      <c r="Q53">
        <v>0</v>
      </c>
      <c r="R53">
        <v>0</v>
      </c>
      <c r="S53">
        <v>0</v>
      </c>
      <c r="T53">
        <v>0</v>
      </c>
      <c r="V53">
        <f t="shared" si="12"/>
        <v>656</v>
      </c>
      <c r="W53" s="2">
        <f>(V$50-V53)/V$50</f>
        <v>2.0895522388059702E-2</v>
      </c>
    </row>
    <row r="54" spans="1:23" x14ac:dyDescent="0.2">
      <c r="A54" s="8" t="s">
        <v>41</v>
      </c>
      <c r="B54" s="8" t="s">
        <v>21</v>
      </c>
      <c r="C54" s="8" t="s">
        <v>22</v>
      </c>
      <c r="D54" s="8" t="s">
        <v>23</v>
      </c>
      <c r="E54" s="8" t="s">
        <v>42</v>
      </c>
      <c r="F54" s="8">
        <v>3</v>
      </c>
      <c r="G54" s="8" t="s">
        <v>25</v>
      </c>
      <c r="H54" s="8">
        <v>46</v>
      </c>
      <c r="I54" s="8">
        <v>1505</v>
      </c>
      <c r="J54" s="8">
        <v>1209</v>
      </c>
      <c r="K54" s="8">
        <v>0</v>
      </c>
      <c r="L54" s="8">
        <v>18</v>
      </c>
      <c r="M54" s="8">
        <v>0</v>
      </c>
      <c r="N54" s="8">
        <v>210</v>
      </c>
      <c r="O54" s="8">
        <v>0</v>
      </c>
      <c r="P54" s="8">
        <v>996</v>
      </c>
      <c r="Q54" s="8">
        <v>0</v>
      </c>
      <c r="R54" s="8">
        <v>0</v>
      </c>
      <c r="S54" s="8">
        <v>0</v>
      </c>
      <c r="T54" s="8">
        <v>0</v>
      </c>
      <c r="U54" s="8"/>
      <c r="V54" s="8">
        <f>(N54+L54)*1/3</f>
        <v>76</v>
      </c>
    </row>
    <row r="55" spans="1:23" x14ac:dyDescent="0.2">
      <c r="A55" t="s">
        <v>41</v>
      </c>
      <c r="B55" t="s">
        <v>21</v>
      </c>
      <c r="C55" t="s">
        <v>22</v>
      </c>
      <c r="D55" t="s">
        <v>23</v>
      </c>
      <c r="E55" t="s">
        <v>44</v>
      </c>
      <c r="F55">
        <v>3</v>
      </c>
      <c r="G55" t="s">
        <v>114</v>
      </c>
      <c r="H55">
        <v>214</v>
      </c>
      <c r="I55">
        <v>684</v>
      </c>
      <c r="J55">
        <v>13</v>
      </c>
      <c r="K55">
        <v>0</v>
      </c>
      <c r="L55">
        <v>24</v>
      </c>
      <c r="M55">
        <v>0</v>
      </c>
      <c r="N55">
        <v>52</v>
      </c>
      <c r="O55">
        <v>0</v>
      </c>
      <c r="P55">
        <v>987</v>
      </c>
      <c r="Q55">
        <v>0</v>
      </c>
      <c r="R55">
        <v>0</v>
      </c>
      <c r="S55">
        <v>0</v>
      </c>
      <c r="T55">
        <v>0</v>
      </c>
      <c r="V55">
        <f>(N55+L55)</f>
        <v>76</v>
      </c>
      <c r="W55" s="2">
        <f>(V$54-V55)/V$54</f>
        <v>0</v>
      </c>
    </row>
    <row r="56" spans="1:23" x14ac:dyDescent="0.2">
      <c r="A56" t="s">
        <v>41</v>
      </c>
      <c r="B56" t="s">
        <v>21</v>
      </c>
      <c r="C56" t="s">
        <v>22</v>
      </c>
      <c r="D56" t="s">
        <v>23</v>
      </c>
      <c r="E56" t="s">
        <v>127</v>
      </c>
      <c r="F56">
        <v>3</v>
      </c>
      <c r="G56" t="s">
        <v>116</v>
      </c>
      <c r="H56">
        <v>215</v>
      </c>
      <c r="I56">
        <v>675</v>
      </c>
      <c r="J56">
        <v>13</v>
      </c>
      <c r="K56">
        <v>0</v>
      </c>
      <c r="L56">
        <v>29</v>
      </c>
      <c r="M56">
        <v>0</v>
      </c>
      <c r="N56">
        <v>46</v>
      </c>
      <c r="O56">
        <v>0</v>
      </c>
      <c r="P56">
        <v>978</v>
      </c>
      <c r="Q56">
        <v>0</v>
      </c>
      <c r="R56">
        <v>0</v>
      </c>
      <c r="S56">
        <v>0</v>
      </c>
      <c r="T56">
        <v>0</v>
      </c>
      <c r="V56">
        <f t="shared" si="12"/>
        <v>75</v>
      </c>
      <c r="W56" s="2">
        <f>(V$54-V56)/V$54</f>
        <v>1.3157894736842105E-2</v>
      </c>
    </row>
    <row r="57" spans="1:23" x14ac:dyDescent="0.2">
      <c r="A57" t="s">
        <v>41</v>
      </c>
      <c r="B57" t="s">
        <v>21</v>
      </c>
      <c r="C57" t="s">
        <v>22</v>
      </c>
      <c r="D57" t="s">
        <v>23</v>
      </c>
      <c r="E57" t="s">
        <v>128</v>
      </c>
      <c r="F57">
        <v>3</v>
      </c>
      <c r="G57" t="s">
        <v>118</v>
      </c>
      <c r="H57">
        <v>209</v>
      </c>
      <c r="I57">
        <v>691</v>
      </c>
      <c r="J57">
        <v>11</v>
      </c>
      <c r="K57">
        <v>0</v>
      </c>
      <c r="L57">
        <v>26</v>
      </c>
      <c r="M57">
        <v>0</v>
      </c>
      <c r="N57">
        <v>48</v>
      </c>
      <c r="O57">
        <v>0</v>
      </c>
      <c r="P57">
        <v>985</v>
      </c>
      <c r="Q57">
        <v>0</v>
      </c>
      <c r="R57">
        <v>0</v>
      </c>
      <c r="S57">
        <v>0</v>
      </c>
      <c r="T57">
        <v>0</v>
      </c>
      <c r="V57">
        <f t="shared" si="12"/>
        <v>74</v>
      </c>
      <c r="W57" s="2">
        <f>(V$54-V57)/V$54</f>
        <v>2.6315789473684209E-2</v>
      </c>
    </row>
    <row r="58" spans="1:23" x14ac:dyDescent="0.2">
      <c r="A58" s="8" t="s">
        <v>45</v>
      </c>
      <c r="B58" s="8" t="s">
        <v>21</v>
      </c>
      <c r="C58" s="8" t="s">
        <v>22</v>
      </c>
      <c r="D58" s="8" t="s">
        <v>23</v>
      </c>
      <c r="E58" s="8" t="s">
        <v>46</v>
      </c>
      <c r="F58" s="8">
        <v>3</v>
      </c>
      <c r="G58" s="8" t="s">
        <v>25</v>
      </c>
      <c r="H58" s="8">
        <v>253</v>
      </c>
      <c r="I58" s="8">
        <v>365</v>
      </c>
      <c r="J58" s="8">
        <v>582</v>
      </c>
      <c r="K58" s="8">
        <v>0</v>
      </c>
      <c r="L58" s="8">
        <v>273</v>
      </c>
      <c r="M58" s="8">
        <v>0</v>
      </c>
      <c r="N58" s="8">
        <v>582</v>
      </c>
      <c r="O58" s="8">
        <v>0</v>
      </c>
      <c r="P58" s="8">
        <v>685</v>
      </c>
      <c r="Q58" s="8">
        <v>0</v>
      </c>
      <c r="R58" s="8">
        <v>0</v>
      </c>
      <c r="S58" s="8">
        <v>0</v>
      </c>
      <c r="T58" s="8">
        <v>0</v>
      </c>
      <c r="U58" s="8"/>
      <c r="V58" s="8">
        <f>(N58+L58)*1/3</f>
        <v>285</v>
      </c>
    </row>
    <row r="59" spans="1:23" x14ac:dyDescent="0.2">
      <c r="A59" t="s">
        <v>45</v>
      </c>
      <c r="B59" t="s">
        <v>21</v>
      </c>
      <c r="C59" t="s">
        <v>22</v>
      </c>
      <c r="D59" t="s">
        <v>23</v>
      </c>
      <c r="E59" t="s">
        <v>48</v>
      </c>
      <c r="F59">
        <v>3</v>
      </c>
      <c r="G59" t="s">
        <v>114</v>
      </c>
      <c r="H59">
        <v>183</v>
      </c>
      <c r="I59">
        <v>186</v>
      </c>
      <c r="J59">
        <v>23</v>
      </c>
      <c r="K59">
        <v>0</v>
      </c>
      <c r="L59">
        <v>93</v>
      </c>
      <c r="M59">
        <v>0</v>
      </c>
      <c r="N59">
        <v>187</v>
      </c>
      <c r="O59">
        <v>0</v>
      </c>
      <c r="P59">
        <v>672</v>
      </c>
      <c r="Q59">
        <v>0</v>
      </c>
      <c r="R59">
        <v>0</v>
      </c>
      <c r="S59">
        <v>0</v>
      </c>
      <c r="T59">
        <v>0</v>
      </c>
      <c r="V59">
        <f>(N59+L59)</f>
        <v>280</v>
      </c>
      <c r="W59" s="2">
        <f>(V$58-V59)/V$58</f>
        <v>1.7543859649122806E-2</v>
      </c>
    </row>
    <row r="60" spans="1:23" x14ac:dyDescent="0.2">
      <c r="A60" t="s">
        <v>45</v>
      </c>
      <c r="B60" t="s">
        <v>21</v>
      </c>
      <c r="C60" t="s">
        <v>22</v>
      </c>
      <c r="D60" t="s">
        <v>23</v>
      </c>
      <c r="E60" t="s">
        <v>132</v>
      </c>
      <c r="F60">
        <v>3</v>
      </c>
      <c r="G60" t="s">
        <v>116</v>
      </c>
      <c r="H60">
        <v>201</v>
      </c>
      <c r="I60">
        <v>169</v>
      </c>
      <c r="J60">
        <v>14</v>
      </c>
      <c r="K60">
        <v>0</v>
      </c>
      <c r="L60">
        <v>70</v>
      </c>
      <c r="M60">
        <v>0</v>
      </c>
      <c r="N60">
        <v>207</v>
      </c>
      <c r="O60">
        <v>0</v>
      </c>
      <c r="P60">
        <v>661</v>
      </c>
      <c r="Q60">
        <v>0</v>
      </c>
      <c r="R60">
        <v>0</v>
      </c>
      <c r="S60">
        <v>0</v>
      </c>
      <c r="T60">
        <v>0</v>
      </c>
      <c r="V60">
        <f t="shared" ref="V60:V61" si="13">(N60+L60)</f>
        <v>277</v>
      </c>
      <c r="W60" s="2">
        <f>(V$58-V60)/V$58</f>
        <v>2.8070175438596492E-2</v>
      </c>
    </row>
    <row r="61" spans="1:23" x14ac:dyDescent="0.2">
      <c r="A61" t="s">
        <v>45</v>
      </c>
      <c r="B61" t="s">
        <v>21</v>
      </c>
      <c r="C61" t="s">
        <v>22</v>
      </c>
      <c r="D61" t="s">
        <v>23</v>
      </c>
      <c r="E61" t="s">
        <v>133</v>
      </c>
      <c r="F61">
        <v>3</v>
      </c>
      <c r="G61" t="s">
        <v>118</v>
      </c>
      <c r="H61">
        <v>188</v>
      </c>
      <c r="I61">
        <v>183</v>
      </c>
      <c r="J61">
        <v>22</v>
      </c>
      <c r="K61">
        <v>0</v>
      </c>
      <c r="L61">
        <v>69</v>
      </c>
      <c r="M61">
        <v>0</v>
      </c>
      <c r="N61">
        <v>211</v>
      </c>
      <c r="O61">
        <v>0</v>
      </c>
      <c r="P61">
        <v>673</v>
      </c>
      <c r="Q61">
        <v>0</v>
      </c>
      <c r="R61">
        <v>0</v>
      </c>
      <c r="S61">
        <v>0</v>
      </c>
      <c r="T61">
        <v>0</v>
      </c>
      <c r="V61">
        <f t="shared" si="13"/>
        <v>280</v>
      </c>
      <c r="W61" s="2">
        <f>(V$58-V61)/V$58</f>
        <v>1.7543859649122806E-2</v>
      </c>
    </row>
    <row r="62" spans="1:23" x14ac:dyDescent="0.2">
      <c r="A62" s="8" t="s">
        <v>49</v>
      </c>
      <c r="B62" s="8" t="s">
        <v>21</v>
      </c>
      <c r="C62" s="8" t="s">
        <v>22</v>
      </c>
      <c r="D62" s="8" t="s">
        <v>23</v>
      </c>
      <c r="E62" s="8" t="s">
        <v>50</v>
      </c>
      <c r="F62" s="8">
        <v>3</v>
      </c>
      <c r="G62" s="8" t="s">
        <v>25</v>
      </c>
      <c r="H62" s="8">
        <v>81</v>
      </c>
      <c r="I62" s="8">
        <v>6</v>
      </c>
      <c r="J62" s="8">
        <v>198</v>
      </c>
      <c r="K62" s="8">
        <v>0</v>
      </c>
      <c r="L62" s="8">
        <v>49</v>
      </c>
      <c r="M62" s="8">
        <v>0</v>
      </c>
      <c r="N62" s="8">
        <v>254</v>
      </c>
      <c r="O62" s="8">
        <v>0</v>
      </c>
      <c r="P62" s="8">
        <v>196</v>
      </c>
      <c r="Q62" s="8">
        <v>0</v>
      </c>
      <c r="R62" s="8">
        <v>0</v>
      </c>
      <c r="S62" s="8">
        <v>0</v>
      </c>
      <c r="T62" s="8">
        <v>0</v>
      </c>
      <c r="U62" s="8"/>
      <c r="V62" s="8">
        <f>(N62+L62)*1/3</f>
        <v>101</v>
      </c>
    </row>
    <row r="63" spans="1:23" x14ac:dyDescent="0.2">
      <c r="A63" t="s">
        <v>49</v>
      </c>
      <c r="B63" t="s">
        <v>21</v>
      </c>
      <c r="C63" t="s">
        <v>22</v>
      </c>
      <c r="D63" t="s">
        <v>23</v>
      </c>
      <c r="E63" t="s">
        <v>52</v>
      </c>
      <c r="F63">
        <v>3</v>
      </c>
      <c r="G63" t="s">
        <v>114</v>
      </c>
      <c r="H63">
        <v>32</v>
      </c>
      <c r="I63">
        <v>23</v>
      </c>
      <c r="J63">
        <v>41</v>
      </c>
      <c r="K63">
        <v>0</v>
      </c>
      <c r="L63">
        <v>16</v>
      </c>
      <c r="M63">
        <v>0</v>
      </c>
      <c r="N63">
        <v>84</v>
      </c>
      <c r="O63">
        <v>0</v>
      </c>
      <c r="P63">
        <v>196</v>
      </c>
      <c r="Q63">
        <v>0</v>
      </c>
      <c r="R63">
        <v>0</v>
      </c>
      <c r="S63">
        <v>0</v>
      </c>
      <c r="T63">
        <v>0</v>
      </c>
      <c r="V63">
        <f>(N63+L63)</f>
        <v>100</v>
      </c>
      <c r="W63" s="2">
        <f>(V$62-V63)/V$62</f>
        <v>9.9009900990099011E-3</v>
      </c>
    </row>
    <row r="64" spans="1:23" x14ac:dyDescent="0.2">
      <c r="A64" t="s">
        <v>49</v>
      </c>
      <c r="B64" t="s">
        <v>21</v>
      </c>
      <c r="C64" t="s">
        <v>22</v>
      </c>
      <c r="D64" t="s">
        <v>23</v>
      </c>
      <c r="E64" t="s">
        <v>115</v>
      </c>
      <c r="F64">
        <v>3</v>
      </c>
      <c r="G64" t="s">
        <v>116</v>
      </c>
      <c r="H64">
        <v>40</v>
      </c>
      <c r="I64">
        <v>39</v>
      </c>
      <c r="J64">
        <v>16</v>
      </c>
      <c r="K64">
        <v>0</v>
      </c>
      <c r="L64">
        <v>24</v>
      </c>
      <c r="M64">
        <v>0</v>
      </c>
      <c r="N64">
        <v>77</v>
      </c>
      <c r="O64">
        <v>0</v>
      </c>
      <c r="P64">
        <v>196</v>
      </c>
      <c r="Q64">
        <v>0</v>
      </c>
      <c r="R64">
        <v>0</v>
      </c>
      <c r="S64">
        <v>0</v>
      </c>
      <c r="T64">
        <v>0</v>
      </c>
      <c r="V64">
        <f t="shared" ref="V64:V65" si="14">(N64+L64)</f>
        <v>101</v>
      </c>
      <c r="W64" s="2">
        <f>(V$62-V64)/V$62</f>
        <v>0</v>
      </c>
    </row>
    <row r="65" spans="1:23" x14ac:dyDescent="0.2">
      <c r="A65" t="s">
        <v>49</v>
      </c>
      <c r="B65" t="s">
        <v>21</v>
      </c>
      <c r="C65" t="s">
        <v>22</v>
      </c>
      <c r="D65" t="s">
        <v>23</v>
      </c>
      <c r="E65" t="s">
        <v>117</v>
      </c>
      <c r="F65">
        <v>3</v>
      </c>
      <c r="G65" t="s">
        <v>118</v>
      </c>
      <c r="H65">
        <v>41</v>
      </c>
      <c r="I65">
        <v>33</v>
      </c>
      <c r="J65">
        <v>22</v>
      </c>
      <c r="K65">
        <v>0</v>
      </c>
      <c r="L65">
        <v>24</v>
      </c>
      <c r="M65">
        <v>0</v>
      </c>
      <c r="N65">
        <v>77</v>
      </c>
      <c r="O65">
        <v>0</v>
      </c>
      <c r="P65">
        <v>197</v>
      </c>
      <c r="Q65">
        <v>0</v>
      </c>
      <c r="R65">
        <v>0</v>
      </c>
      <c r="S65">
        <v>0</v>
      </c>
      <c r="T65">
        <v>0</v>
      </c>
      <c r="V65">
        <f t="shared" si="14"/>
        <v>101</v>
      </c>
      <c r="W65" s="2">
        <f>(V$62-V65)/V$62</f>
        <v>0</v>
      </c>
    </row>
    <row r="66" spans="1:23" x14ac:dyDescent="0.2">
      <c r="A66" s="8" t="s">
        <v>53</v>
      </c>
      <c r="B66" s="8" t="s">
        <v>30</v>
      </c>
      <c r="C66" s="8" t="s">
        <v>22</v>
      </c>
      <c r="D66" s="8" t="s">
        <v>23</v>
      </c>
      <c r="E66" s="8" t="s">
        <v>38</v>
      </c>
      <c r="F66" s="8">
        <v>3</v>
      </c>
      <c r="G66" s="8" t="s">
        <v>25</v>
      </c>
      <c r="H66" s="8">
        <v>879</v>
      </c>
      <c r="I66" s="8">
        <v>483</v>
      </c>
      <c r="J66" s="8">
        <v>180</v>
      </c>
      <c r="K66" s="8">
        <v>0</v>
      </c>
      <c r="L66" s="8">
        <v>79</v>
      </c>
      <c r="M66" s="8">
        <v>0</v>
      </c>
      <c r="N66" s="8">
        <v>1364</v>
      </c>
      <c r="O66" s="8">
        <v>0</v>
      </c>
      <c r="P66" s="8">
        <v>995</v>
      </c>
      <c r="Q66" s="8">
        <v>0</v>
      </c>
      <c r="R66" s="8">
        <v>0</v>
      </c>
      <c r="S66" s="8">
        <v>0</v>
      </c>
      <c r="T66" s="8">
        <v>0</v>
      </c>
      <c r="U66" s="8"/>
      <c r="V66" s="8">
        <f>(N66+L66)*1/3</f>
        <v>481</v>
      </c>
    </row>
    <row r="67" spans="1:23" x14ac:dyDescent="0.2">
      <c r="A67" t="s">
        <v>53</v>
      </c>
      <c r="B67" t="s">
        <v>30</v>
      </c>
      <c r="C67" t="s">
        <v>22</v>
      </c>
      <c r="D67" t="s">
        <v>23</v>
      </c>
      <c r="E67" t="s">
        <v>40</v>
      </c>
      <c r="F67">
        <v>3</v>
      </c>
      <c r="G67" t="s">
        <v>114</v>
      </c>
      <c r="H67">
        <v>275</v>
      </c>
      <c r="I67">
        <v>176</v>
      </c>
      <c r="J67">
        <v>10</v>
      </c>
      <c r="K67">
        <v>0</v>
      </c>
      <c r="L67">
        <v>68</v>
      </c>
      <c r="M67">
        <v>0</v>
      </c>
      <c r="N67">
        <v>362</v>
      </c>
      <c r="O67">
        <v>0</v>
      </c>
      <c r="P67">
        <v>891</v>
      </c>
      <c r="Q67">
        <v>0</v>
      </c>
      <c r="R67">
        <v>0</v>
      </c>
      <c r="S67">
        <v>0</v>
      </c>
      <c r="T67">
        <v>0</v>
      </c>
      <c r="V67">
        <f>(N67+L67)</f>
        <v>430</v>
      </c>
      <c r="W67" s="73">
        <f>(V$66-V67)/V$66</f>
        <v>0.10602910602910603</v>
      </c>
    </row>
    <row r="68" spans="1:23" x14ac:dyDescent="0.2">
      <c r="A68" t="s">
        <v>53</v>
      </c>
      <c r="B68" t="s">
        <v>30</v>
      </c>
      <c r="C68" t="s">
        <v>22</v>
      </c>
      <c r="D68" t="s">
        <v>23</v>
      </c>
      <c r="E68" t="s">
        <v>122</v>
      </c>
      <c r="F68">
        <v>3</v>
      </c>
      <c r="G68" t="s">
        <v>116</v>
      </c>
      <c r="H68">
        <v>308</v>
      </c>
      <c r="I68">
        <v>156</v>
      </c>
      <c r="J68">
        <v>8</v>
      </c>
      <c r="K68">
        <v>0</v>
      </c>
      <c r="L68">
        <v>49</v>
      </c>
      <c r="M68">
        <v>0</v>
      </c>
      <c r="N68">
        <v>394</v>
      </c>
      <c r="O68">
        <v>0</v>
      </c>
      <c r="P68">
        <v>915</v>
      </c>
      <c r="Q68">
        <v>0</v>
      </c>
      <c r="R68">
        <v>0</v>
      </c>
      <c r="S68">
        <v>0</v>
      </c>
      <c r="T68">
        <v>0</v>
      </c>
      <c r="V68">
        <f t="shared" ref="V68:V69" si="15">(N68+L68)</f>
        <v>443</v>
      </c>
      <c r="W68" s="2">
        <f>(V$66-V68)/V$66</f>
        <v>7.9002079002079006E-2</v>
      </c>
    </row>
    <row r="69" spans="1:23" x14ac:dyDescent="0.2">
      <c r="A69" t="s">
        <v>53</v>
      </c>
      <c r="B69" t="s">
        <v>30</v>
      </c>
      <c r="C69" t="s">
        <v>22</v>
      </c>
      <c r="D69" t="s">
        <v>23</v>
      </c>
      <c r="E69" t="s">
        <v>123</v>
      </c>
      <c r="F69">
        <v>3</v>
      </c>
      <c r="G69" t="s">
        <v>118</v>
      </c>
      <c r="H69">
        <v>325</v>
      </c>
      <c r="I69">
        <v>151</v>
      </c>
      <c r="J69">
        <v>5</v>
      </c>
      <c r="K69">
        <v>0</v>
      </c>
      <c r="L69">
        <v>38</v>
      </c>
      <c r="M69">
        <v>0</v>
      </c>
      <c r="N69">
        <v>402</v>
      </c>
      <c r="O69">
        <v>0</v>
      </c>
      <c r="P69">
        <v>921</v>
      </c>
      <c r="Q69">
        <v>0</v>
      </c>
      <c r="R69">
        <v>0</v>
      </c>
      <c r="S69">
        <v>0</v>
      </c>
      <c r="T69">
        <v>0</v>
      </c>
      <c r="V69">
        <f t="shared" si="15"/>
        <v>440</v>
      </c>
      <c r="W69" s="2">
        <f>(V$66-V69)/V$66</f>
        <v>8.5239085239085244E-2</v>
      </c>
    </row>
    <row r="70" spans="1:23" x14ac:dyDescent="0.2">
      <c r="A70" s="8" t="s">
        <v>54</v>
      </c>
      <c r="B70" s="8" t="s">
        <v>30</v>
      </c>
      <c r="C70" s="8" t="s">
        <v>22</v>
      </c>
      <c r="D70" s="8" t="s">
        <v>23</v>
      </c>
      <c r="E70" s="8" t="s">
        <v>42</v>
      </c>
      <c r="F70" s="8">
        <v>3</v>
      </c>
      <c r="G70" s="8" t="s">
        <v>25</v>
      </c>
      <c r="H70" s="8">
        <v>60</v>
      </c>
      <c r="I70" s="8">
        <v>1479</v>
      </c>
      <c r="J70" s="8">
        <v>1209</v>
      </c>
      <c r="K70" s="8">
        <v>0</v>
      </c>
      <c r="L70" s="8">
        <v>19</v>
      </c>
      <c r="M70" s="8">
        <v>0</v>
      </c>
      <c r="N70" s="8">
        <v>215</v>
      </c>
      <c r="O70" s="8">
        <v>0</v>
      </c>
      <c r="P70" s="8">
        <v>994</v>
      </c>
      <c r="Q70" s="8">
        <v>0</v>
      </c>
      <c r="R70" s="8">
        <v>0</v>
      </c>
      <c r="S70" s="8">
        <v>0</v>
      </c>
      <c r="T70" s="8">
        <v>0</v>
      </c>
      <c r="U70" s="8"/>
      <c r="V70" s="8">
        <f>(N70+L70)*1/3</f>
        <v>78</v>
      </c>
    </row>
    <row r="71" spans="1:23" x14ac:dyDescent="0.2">
      <c r="A71" t="s">
        <v>54</v>
      </c>
      <c r="B71" t="s">
        <v>30</v>
      </c>
      <c r="C71" t="s">
        <v>22</v>
      </c>
      <c r="D71" t="s">
        <v>23</v>
      </c>
      <c r="E71" t="s">
        <v>44</v>
      </c>
      <c r="F71">
        <v>3</v>
      </c>
      <c r="G71" t="s">
        <v>114</v>
      </c>
      <c r="H71">
        <v>296</v>
      </c>
      <c r="I71">
        <v>569</v>
      </c>
      <c r="J71">
        <v>18</v>
      </c>
      <c r="K71">
        <v>0</v>
      </c>
      <c r="L71">
        <v>3</v>
      </c>
      <c r="M71">
        <v>0</v>
      </c>
      <c r="N71">
        <v>70</v>
      </c>
      <c r="O71">
        <v>0</v>
      </c>
      <c r="P71">
        <v>956</v>
      </c>
      <c r="Q71">
        <v>0</v>
      </c>
      <c r="R71">
        <v>0</v>
      </c>
      <c r="S71">
        <v>0</v>
      </c>
      <c r="T71">
        <v>0</v>
      </c>
      <c r="V71">
        <f>(N71+L71)</f>
        <v>73</v>
      </c>
      <c r="W71" s="2">
        <f>(V$70-V71)/V$70</f>
        <v>6.4102564102564097E-2</v>
      </c>
    </row>
    <row r="72" spans="1:23" x14ac:dyDescent="0.2">
      <c r="A72" t="s">
        <v>54</v>
      </c>
      <c r="B72" t="s">
        <v>30</v>
      </c>
      <c r="C72" t="s">
        <v>22</v>
      </c>
      <c r="D72" t="s">
        <v>23</v>
      </c>
      <c r="E72" t="s">
        <v>127</v>
      </c>
      <c r="F72">
        <v>3</v>
      </c>
      <c r="G72" t="s">
        <v>116</v>
      </c>
      <c r="H72">
        <v>266</v>
      </c>
      <c r="I72">
        <v>601</v>
      </c>
      <c r="J72">
        <v>22</v>
      </c>
      <c r="K72">
        <v>0</v>
      </c>
      <c r="L72">
        <v>2</v>
      </c>
      <c r="M72">
        <v>0</v>
      </c>
      <c r="N72">
        <v>73</v>
      </c>
      <c r="O72">
        <v>0</v>
      </c>
      <c r="P72">
        <v>964</v>
      </c>
      <c r="Q72">
        <v>0</v>
      </c>
      <c r="R72">
        <v>0</v>
      </c>
      <c r="S72">
        <v>0</v>
      </c>
      <c r="T72">
        <v>0</v>
      </c>
      <c r="V72">
        <f t="shared" ref="V72:V73" si="16">(N72+L72)</f>
        <v>75</v>
      </c>
      <c r="W72" s="2">
        <f>(V$70-V72)/V$70</f>
        <v>3.8461538461538464E-2</v>
      </c>
    </row>
    <row r="73" spans="1:23" x14ac:dyDescent="0.2">
      <c r="A73" t="s">
        <v>54</v>
      </c>
      <c r="B73" t="s">
        <v>30</v>
      </c>
      <c r="C73" t="s">
        <v>22</v>
      </c>
      <c r="D73" t="s">
        <v>23</v>
      </c>
      <c r="E73" t="s">
        <v>128</v>
      </c>
      <c r="F73">
        <v>3</v>
      </c>
      <c r="G73" t="s">
        <v>118</v>
      </c>
      <c r="H73">
        <v>148</v>
      </c>
      <c r="I73">
        <v>700</v>
      </c>
      <c r="J73">
        <v>34</v>
      </c>
      <c r="K73">
        <v>0</v>
      </c>
      <c r="L73">
        <v>2</v>
      </c>
      <c r="M73">
        <v>0</v>
      </c>
      <c r="N73">
        <v>70</v>
      </c>
      <c r="O73">
        <v>0</v>
      </c>
      <c r="P73">
        <v>954</v>
      </c>
      <c r="Q73">
        <v>0</v>
      </c>
      <c r="R73">
        <v>0</v>
      </c>
      <c r="S73">
        <v>0</v>
      </c>
      <c r="T73">
        <v>0</v>
      </c>
      <c r="V73">
        <f t="shared" si="16"/>
        <v>72</v>
      </c>
      <c r="W73" s="2">
        <f>(V$70-V73)/V$70</f>
        <v>7.6923076923076927E-2</v>
      </c>
    </row>
    <row r="74" spans="1:23" x14ac:dyDescent="0.2">
      <c r="A74" s="8" t="s">
        <v>55</v>
      </c>
      <c r="B74" s="8" t="s">
        <v>30</v>
      </c>
      <c r="C74" s="8" t="s">
        <v>22</v>
      </c>
      <c r="D74" s="8" t="s">
        <v>23</v>
      </c>
      <c r="E74" s="8" t="s">
        <v>46</v>
      </c>
      <c r="F74" s="8">
        <v>3</v>
      </c>
      <c r="G74" s="8" t="s">
        <v>25</v>
      </c>
      <c r="H74" s="8">
        <v>89</v>
      </c>
      <c r="I74" s="8">
        <v>325</v>
      </c>
      <c r="J74" s="8">
        <v>558</v>
      </c>
      <c r="K74" s="8">
        <v>0</v>
      </c>
      <c r="L74" s="8">
        <v>177</v>
      </c>
      <c r="M74" s="8">
        <v>0</v>
      </c>
      <c r="N74" s="8">
        <v>894</v>
      </c>
      <c r="O74" s="8">
        <v>0</v>
      </c>
      <c r="P74" s="8">
        <v>681</v>
      </c>
      <c r="Q74" s="8">
        <v>0</v>
      </c>
      <c r="R74" s="8">
        <v>0</v>
      </c>
      <c r="S74" s="8">
        <v>0</v>
      </c>
      <c r="T74" s="8">
        <v>0</v>
      </c>
      <c r="U74" s="8"/>
      <c r="V74" s="8">
        <f>(N74+L74)*1/3</f>
        <v>357</v>
      </c>
    </row>
    <row r="75" spans="1:23" x14ac:dyDescent="0.2">
      <c r="A75" t="s">
        <v>55</v>
      </c>
      <c r="B75" t="s">
        <v>30</v>
      </c>
      <c r="C75" t="s">
        <v>22</v>
      </c>
      <c r="D75" t="s">
        <v>23</v>
      </c>
      <c r="E75" t="s">
        <v>48</v>
      </c>
      <c r="F75">
        <v>3</v>
      </c>
      <c r="G75" t="s">
        <v>114</v>
      </c>
      <c r="H75">
        <v>106</v>
      </c>
      <c r="I75">
        <v>183</v>
      </c>
      <c r="J75">
        <v>20</v>
      </c>
      <c r="K75">
        <v>0</v>
      </c>
      <c r="L75">
        <v>90</v>
      </c>
      <c r="M75">
        <v>0</v>
      </c>
      <c r="N75">
        <v>254</v>
      </c>
      <c r="O75">
        <v>0</v>
      </c>
      <c r="P75">
        <v>653</v>
      </c>
      <c r="Q75">
        <v>0</v>
      </c>
      <c r="R75">
        <v>0</v>
      </c>
      <c r="S75">
        <v>0</v>
      </c>
      <c r="T75">
        <v>0</v>
      </c>
      <c r="V75">
        <f>(N75+L75)</f>
        <v>344</v>
      </c>
      <c r="W75" s="2">
        <f>(V$74-V75)/V$74</f>
        <v>3.6414565826330535E-2</v>
      </c>
    </row>
    <row r="76" spans="1:23" x14ac:dyDescent="0.2">
      <c r="A76" t="s">
        <v>55</v>
      </c>
      <c r="B76" t="s">
        <v>30</v>
      </c>
      <c r="C76" t="s">
        <v>22</v>
      </c>
      <c r="D76" t="s">
        <v>23</v>
      </c>
      <c r="E76" t="s">
        <v>132</v>
      </c>
      <c r="F76">
        <v>3</v>
      </c>
      <c r="G76" t="s">
        <v>116</v>
      </c>
      <c r="H76">
        <v>103</v>
      </c>
      <c r="I76">
        <v>179</v>
      </c>
      <c r="J76">
        <v>28</v>
      </c>
      <c r="K76">
        <v>0</v>
      </c>
      <c r="L76">
        <v>91</v>
      </c>
      <c r="M76">
        <v>0</v>
      </c>
      <c r="N76">
        <v>253</v>
      </c>
      <c r="O76">
        <v>0</v>
      </c>
      <c r="P76">
        <v>654</v>
      </c>
      <c r="Q76">
        <v>0</v>
      </c>
      <c r="R76">
        <v>0</v>
      </c>
      <c r="S76">
        <v>0</v>
      </c>
      <c r="T76">
        <v>0</v>
      </c>
      <c r="V76">
        <f t="shared" ref="V76:V77" si="17">(N76+L76)</f>
        <v>344</v>
      </c>
      <c r="W76" s="2">
        <f>(V$74-V76)/V$74</f>
        <v>3.6414565826330535E-2</v>
      </c>
    </row>
    <row r="77" spans="1:23" x14ac:dyDescent="0.2">
      <c r="A77" t="s">
        <v>55</v>
      </c>
      <c r="B77" t="s">
        <v>30</v>
      </c>
      <c r="C77" t="s">
        <v>22</v>
      </c>
      <c r="D77" t="s">
        <v>23</v>
      </c>
      <c r="E77" t="s">
        <v>133</v>
      </c>
      <c r="F77">
        <v>3</v>
      </c>
      <c r="G77" t="s">
        <v>118</v>
      </c>
      <c r="H77">
        <v>68</v>
      </c>
      <c r="I77">
        <v>208</v>
      </c>
      <c r="J77">
        <v>32</v>
      </c>
      <c r="K77">
        <v>0</v>
      </c>
      <c r="L77">
        <v>63</v>
      </c>
      <c r="M77">
        <v>0</v>
      </c>
      <c r="N77">
        <v>279</v>
      </c>
      <c r="O77">
        <v>0</v>
      </c>
      <c r="P77">
        <v>650</v>
      </c>
      <c r="Q77">
        <v>0</v>
      </c>
      <c r="R77">
        <v>0</v>
      </c>
      <c r="S77">
        <v>0</v>
      </c>
      <c r="T77">
        <v>0</v>
      </c>
      <c r="V77">
        <f t="shared" si="17"/>
        <v>342</v>
      </c>
      <c r="W77" s="2">
        <f>(V$74-V77)/V$74</f>
        <v>4.2016806722689079E-2</v>
      </c>
    </row>
    <row r="78" spans="1:23" x14ac:dyDescent="0.2">
      <c r="A78" s="8" t="s">
        <v>56</v>
      </c>
      <c r="B78" s="8" t="s">
        <v>30</v>
      </c>
      <c r="C78" s="8" t="s">
        <v>22</v>
      </c>
      <c r="D78" s="8" t="s">
        <v>23</v>
      </c>
      <c r="E78" s="8" t="s">
        <v>50</v>
      </c>
      <c r="F78" s="8">
        <v>3</v>
      </c>
      <c r="G78" s="8" t="s">
        <v>25</v>
      </c>
      <c r="H78" s="8">
        <v>109</v>
      </c>
      <c r="I78" s="8">
        <v>155</v>
      </c>
      <c r="J78" s="8">
        <v>141</v>
      </c>
      <c r="K78" s="8">
        <v>0</v>
      </c>
      <c r="L78" s="8">
        <v>34</v>
      </c>
      <c r="M78" s="8">
        <v>0</v>
      </c>
      <c r="N78" s="8">
        <v>149</v>
      </c>
      <c r="O78" s="8">
        <v>0</v>
      </c>
      <c r="P78" s="8">
        <v>196</v>
      </c>
      <c r="Q78" s="8">
        <v>0</v>
      </c>
      <c r="R78" s="8">
        <v>0</v>
      </c>
      <c r="S78" s="8">
        <v>0</v>
      </c>
      <c r="T78" s="8">
        <v>0</v>
      </c>
      <c r="U78" s="8"/>
      <c r="V78" s="8">
        <f>(N78+L78)*1/3</f>
        <v>61</v>
      </c>
    </row>
    <row r="79" spans="1:23" x14ac:dyDescent="0.2">
      <c r="A79" t="s">
        <v>56</v>
      </c>
      <c r="B79" t="s">
        <v>30</v>
      </c>
      <c r="C79" t="s">
        <v>22</v>
      </c>
      <c r="D79" t="s">
        <v>23</v>
      </c>
      <c r="E79" t="s">
        <v>52</v>
      </c>
      <c r="F79">
        <v>3</v>
      </c>
      <c r="G79" t="s">
        <v>114</v>
      </c>
      <c r="H79">
        <v>97</v>
      </c>
      <c r="I79">
        <v>30</v>
      </c>
      <c r="J79">
        <v>2</v>
      </c>
      <c r="K79">
        <v>0</v>
      </c>
      <c r="L79">
        <v>7</v>
      </c>
      <c r="M79">
        <v>0</v>
      </c>
      <c r="N79">
        <v>52</v>
      </c>
      <c r="O79">
        <v>0</v>
      </c>
      <c r="P79">
        <v>188</v>
      </c>
      <c r="Q79">
        <v>0</v>
      </c>
      <c r="R79">
        <v>0</v>
      </c>
      <c r="S79">
        <v>0</v>
      </c>
      <c r="T79">
        <v>0</v>
      </c>
      <c r="V79">
        <f>(N79+L79)</f>
        <v>59</v>
      </c>
      <c r="W79" s="2">
        <f>(V$78-V79)/V$78</f>
        <v>3.2786885245901641E-2</v>
      </c>
    </row>
    <row r="80" spans="1:23" x14ac:dyDescent="0.2">
      <c r="A80" t="s">
        <v>56</v>
      </c>
      <c r="B80" t="s">
        <v>30</v>
      </c>
      <c r="C80" t="s">
        <v>22</v>
      </c>
      <c r="D80" t="s">
        <v>23</v>
      </c>
      <c r="E80" t="s">
        <v>115</v>
      </c>
      <c r="F80">
        <v>3</v>
      </c>
      <c r="G80" t="s">
        <v>116</v>
      </c>
      <c r="H80">
        <v>93</v>
      </c>
      <c r="I80">
        <v>37</v>
      </c>
      <c r="J80">
        <v>2</v>
      </c>
      <c r="K80">
        <v>0</v>
      </c>
      <c r="L80">
        <v>11</v>
      </c>
      <c r="M80">
        <v>0</v>
      </c>
      <c r="N80">
        <v>47</v>
      </c>
      <c r="O80">
        <v>0</v>
      </c>
      <c r="P80">
        <v>190</v>
      </c>
      <c r="Q80">
        <v>0</v>
      </c>
      <c r="R80">
        <v>0</v>
      </c>
      <c r="S80">
        <v>0</v>
      </c>
      <c r="T80">
        <v>0</v>
      </c>
      <c r="V80">
        <f t="shared" ref="V80:V81" si="18">(N80+L80)</f>
        <v>58</v>
      </c>
      <c r="W80" s="2">
        <f>(V$78-V80)/V$78</f>
        <v>4.9180327868852458E-2</v>
      </c>
    </row>
    <row r="81" spans="1:23" x14ac:dyDescent="0.2">
      <c r="A81" t="s">
        <v>56</v>
      </c>
      <c r="B81" t="s">
        <v>30</v>
      </c>
      <c r="C81" t="s">
        <v>22</v>
      </c>
      <c r="D81" t="s">
        <v>23</v>
      </c>
      <c r="E81" t="s">
        <v>117</v>
      </c>
      <c r="F81">
        <v>3</v>
      </c>
      <c r="G81" t="s">
        <v>118</v>
      </c>
      <c r="H81">
        <v>75</v>
      </c>
      <c r="I81">
        <v>52</v>
      </c>
      <c r="J81">
        <v>4</v>
      </c>
      <c r="K81">
        <v>0</v>
      </c>
      <c r="L81">
        <v>9</v>
      </c>
      <c r="M81">
        <v>0</v>
      </c>
      <c r="N81">
        <v>50</v>
      </c>
      <c r="O81">
        <v>0</v>
      </c>
      <c r="P81">
        <v>190</v>
      </c>
      <c r="Q81">
        <v>0</v>
      </c>
      <c r="R81">
        <v>0</v>
      </c>
      <c r="S81">
        <v>0</v>
      </c>
      <c r="T81">
        <v>0</v>
      </c>
      <c r="V81">
        <f t="shared" si="18"/>
        <v>59</v>
      </c>
      <c r="W81" s="2">
        <f>(V$78-V81)/V$78</f>
        <v>3.2786885245901641E-2</v>
      </c>
    </row>
    <row r="82" spans="1:23" x14ac:dyDescent="0.2">
      <c r="A82" s="8" t="s">
        <v>62</v>
      </c>
      <c r="B82" s="8" t="s">
        <v>32</v>
      </c>
      <c r="C82" s="8" t="s">
        <v>22</v>
      </c>
      <c r="D82" s="8" t="s">
        <v>23</v>
      </c>
      <c r="E82" s="8" t="s">
        <v>38</v>
      </c>
      <c r="F82" s="8">
        <v>3</v>
      </c>
      <c r="G82" s="8" t="s">
        <v>25</v>
      </c>
      <c r="H82" s="8">
        <v>162</v>
      </c>
      <c r="I82" s="8">
        <v>312</v>
      </c>
      <c r="J82" s="8">
        <v>441</v>
      </c>
      <c r="K82" s="8">
        <v>0</v>
      </c>
      <c r="L82" s="8">
        <v>209</v>
      </c>
      <c r="M82" s="8">
        <v>0</v>
      </c>
      <c r="N82" s="8">
        <v>1483</v>
      </c>
      <c r="O82" s="8">
        <v>0</v>
      </c>
      <c r="P82" s="8">
        <v>869</v>
      </c>
      <c r="Q82" s="8">
        <v>0</v>
      </c>
      <c r="R82" s="8">
        <v>0</v>
      </c>
      <c r="S82" s="8">
        <v>0</v>
      </c>
      <c r="T82" s="8">
        <v>0</v>
      </c>
      <c r="U82" s="8"/>
      <c r="V82" s="8">
        <f>(N82+L82)*1/3</f>
        <v>564</v>
      </c>
    </row>
    <row r="83" spans="1:23" x14ac:dyDescent="0.2">
      <c r="A83" t="s">
        <v>62</v>
      </c>
      <c r="B83" t="s">
        <v>32</v>
      </c>
      <c r="C83" t="s">
        <v>22</v>
      </c>
      <c r="D83" t="s">
        <v>23</v>
      </c>
      <c r="E83" t="s">
        <v>40</v>
      </c>
      <c r="F83">
        <v>3</v>
      </c>
      <c r="G83" t="s">
        <v>114</v>
      </c>
      <c r="H83">
        <v>55</v>
      </c>
      <c r="I83">
        <v>154</v>
      </c>
      <c r="J83">
        <v>2</v>
      </c>
      <c r="K83">
        <v>0</v>
      </c>
      <c r="L83">
        <v>162</v>
      </c>
      <c r="M83">
        <v>0</v>
      </c>
      <c r="N83">
        <v>217</v>
      </c>
      <c r="O83">
        <v>0</v>
      </c>
      <c r="P83">
        <v>590</v>
      </c>
      <c r="Q83">
        <v>0</v>
      </c>
      <c r="R83">
        <v>0</v>
      </c>
      <c r="S83">
        <v>0</v>
      </c>
      <c r="T83">
        <v>0</v>
      </c>
      <c r="V83">
        <f>(N83+L83)</f>
        <v>379</v>
      </c>
      <c r="W83" s="73">
        <f>(V$82-V83)/V$82</f>
        <v>0.32801418439716312</v>
      </c>
    </row>
    <row r="84" spans="1:23" x14ac:dyDescent="0.2">
      <c r="A84" t="s">
        <v>62</v>
      </c>
      <c r="B84" t="s">
        <v>32</v>
      </c>
      <c r="C84" t="s">
        <v>22</v>
      </c>
      <c r="D84" t="s">
        <v>23</v>
      </c>
      <c r="E84" t="s">
        <v>122</v>
      </c>
      <c r="F84">
        <v>3</v>
      </c>
      <c r="G84" t="s">
        <v>116</v>
      </c>
      <c r="H84">
        <v>45</v>
      </c>
      <c r="I84">
        <v>142</v>
      </c>
      <c r="J84">
        <v>4</v>
      </c>
      <c r="K84">
        <v>0</v>
      </c>
      <c r="L84">
        <v>121</v>
      </c>
      <c r="M84">
        <v>0</v>
      </c>
      <c r="N84">
        <v>256</v>
      </c>
      <c r="O84">
        <v>0</v>
      </c>
      <c r="P84">
        <v>568</v>
      </c>
      <c r="Q84">
        <v>0</v>
      </c>
      <c r="R84">
        <v>0</v>
      </c>
      <c r="S84">
        <v>0</v>
      </c>
      <c r="T84">
        <v>0</v>
      </c>
      <c r="V84">
        <f t="shared" ref="V84:V85" si="19">(N84+L84)</f>
        <v>377</v>
      </c>
      <c r="W84" s="73">
        <f>(V$82-V84)/V$82</f>
        <v>0.33156028368794327</v>
      </c>
    </row>
    <row r="85" spans="1:23" x14ac:dyDescent="0.2">
      <c r="A85" t="s">
        <v>62</v>
      </c>
      <c r="B85" t="s">
        <v>32</v>
      </c>
      <c r="C85" t="s">
        <v>22</v>
      </c>
      <c r="D85" t="s">
        <v>23</v>
      </c>
      <c r="E85" t="s">
        <v>123</v>
      </c>
      <c r="F85">
        <v>3</v>
      </c>
      <c r="G85" t="s">
        <v>118</v>
      </c>
      <c r="H85">
        <v>47</v>
      </c>
      <c r="I85">
        <v>139</v>
      </c>
      <c r="J85">
        <v>1</v>
      </c>
      <c r="K85">
        <v>0</v>
      </c>
      <c r="L85">
        <v>94</v>
      </c>
      <c r="M85">
        <v>0</v>
      </c>
      <c r="N85">
        <v>249</v>
      </c>
      <c r="O85">
        <v>0</v>
      </c>
      <c r="P85">
        <v>530</v>
      </c>
      <c r="Q85">
        <v>0</v>
      </c>
      <c r="R85">
        <v>0</v>
      </c>
      <c r="S85">
        <v>0</v>
      </c>
      <c r="T85">
        <v>0</v>
      </c>
      <c r="V85">
        <f t="shared" si="19"/>
        <v>343</v>
      </c>
      <c r="W85" s="73">
        <f>(V$82-V85)/V$82</f>
        <v>0.39184397163120566</v>
      </c>
    </row>
    <row r="86" spans="1:23" x14ac:dyDescent="0.2">
      <c r="A86" s="8" t="s">
        <v>63</v>
      </c>
      <c r="B86" s="8" t="s">
        <v>32</v>
      </c>
      <c r="C86" s="8" t="s">
        <v>22</v>
      </c>
      <c r="D86" s="8" t="s">
        <v>23</v>
      </c>
      <c r="E86" s="8" t="s">
        <v>42</v>
      </c>
      <c r="F86" s="8">
        <v>3</v>
      </c>
      <c r="G86" s="8" t="s">
        <v>25</v>
      </c>
      <c r="H86" s="8">
        <v>16</v>
      </c>
      <c r="I86" s="8">
        <v>734</v>
      </c>
      <c r="J86" s="8">
        <v>1275</v>
      </c>
      <c r="K86" s="8">
        <v>0</v>
      </c>
      <c r="L86" s="8">
        <v>27</v>
      </c>
      <c r="M86" s="8">
        <v>0</v>
      </c>
      <c r="N86" s="8">
        <v>138</v>
      </c>
      <c r="O86" s="8">
        <v>0</v>
      </c>
      <c r="P86" s="8">
        <v>730</v>
      </c>
      <c r="Q86" s="8">
        <v>0</v>
      </c>
      <c r="R86" s="8">
        <v>0</v>
      </c>
      <c r="S86" s="8">
        <v>0</v>
      </c>
      <c r="T86" s="8">
        <v>0</v>
      </c>
      <c r="U86" s="8"/>
      <c r="V86" s="8">
        <f>(N86+L86)*1/3</f>
        <v>55</v>
      </c>
    </row>
    <row r="87" spans="1:23" x14ac:dyDescent="0.2">
      <c r="A87" t="s">
        <v>63</v>
      </c>
      <c r="B87" t="s">
        <v>32</v>
      </c>
      <c r="C87" t="s">
        <v>22</v>
      </c>
      <c r="D87" t="s">
        <v>23</v>
      </c>
      <c r="E87" t="s">
        <v>44</v>
      </c>
      <c r="F87">
        <v>3</v>
      </c>
      <c r="G87" t="s">
        <v>114</v>
      </c>
      <c r="H87">
        <v>160</v>
      </c>
      <c r="I87">
        <v>354</v>
      </c>
      <c r="J87">
        <v>6</v>
      </c>
      <c r="K87">
        <v>0</v>
      </c>
      <c r="L87">
        <v>10</v>
      </c>
      <c r="M87">
        <v>0</v>
      </c>
      <c r="N87">
        <v>33</v>
      </c>
      <c r="O87">
        <v>0</v>
      </c>
      <c r="P87">
        <v>563</v>
      </c>
      <c r="Q87">
        <v>0</v>
      </c>
      <c r="R87">
        <v>0</v>
      </c>
      <c r="S87">
        <v>0</v>
      </c>
      <c r="T87">
        <v>0</v>
      </c>
      <c r="V87">
        <f>(N87+L87)</f>
        <v>43</v>
      </c>
      <c r="W87" s="73">
        <f>(V$86-V87)/V$86</f>
        <v>0.21818181818181817</v>
      </c>
    </row>
    <row r="88" spans="1:23" x14ac:dyDescent="0.2">
      <c r="A88" t="s">
        <v>63</v>
      </c>
      <c r="B88" t="s">
        <v>32</v>
      </c>
      <c r="C88" t="s">
        <v>22</v>
      </c>
      <c r="D88" t="s">
        <v>23</v>
      </c>
      <c r="E88" t="s">
        <v>127</v>
      </c>
      <c r="F88">
        <v>3</v>
      </c>
      <c r="G88" t="s">
        <v>116</v>
      </c>
      <c r="H88">
        <v>178</v>
      </c>
      <c r="I88">
        <v>347</v>
      </c>
      <c r="J88">
        <v>3</v>
      </c>
      <c r="K88">
        <v>0</v>
      </c>
      <c r="L88">
        <v>10</v>
      </c>
      <c r="M88">
        <v>0</v>
      </c>
      <c r="N88">
        <v>38</v>
      </c>
      <c r="O88">
        <v>0</v>
      </c>
      <c r="P88">
        <v>576</v>
      </c>
      <c r="Q88">
        <v>0</v>
      </c>
      <c r="R88">
        <v>0</v>
      </c>
      <c r="S88">
        <v>0</v>
      </c>
      <c r="T88">
        <v>0</v>
      </c>
      <c r="V88">
        <f t="shared" ref="V88:V89" si="20">(N88+L88)</f>
        <v>48</v>
      </c>
      <c r="W88" s="73">
        <f>(V$86-V88)/V$86</f>
        <v>0.12727272727272726</v>
      </c>
    </row>
    <row r="89" spans="1:23" x14ac:dyDescent="0.2">
      <c r="A89" t="s">
        <v>63</v>
      </c>
      <c r="B89" t="s">
        <v>32</v>
      </c>
      <c r="C89" t="s">
        <v>22</v>
      </c>
      <c r="D89" t="s">
        <v>23</v>
      </c>
      <c r="E89" t="s">
        <v>128</v>
      </c>
      <c r="F89">
        <v>3</v>
      </c>
      <c r="G89" t="s">
        <v>118</v>
      </c>
      <c r="H89">
        <v>86</v>
      </c>
      <c r="I89">
        <v>421</v>
      </c>
      <c r="J89">
        <v>6</v>
      </c>
      <c r="K89">
        <v>0</v>
      </c>
      <c r="L89">
        <v>5</v>
      </c>
      <c r="M89">
        <v>0</v>
      </c>
      <c r="N89">
        <v>32</v>
      </c>
      <c r="O89">
        <v>0</v>
      </c>
      <c r="P89">
        <v>550</v>
      </c>
      <c r="Q89">
        <v>0</v>
      </c>
      <c r="R89">
        <v>0</v>
      </c>
      <c r="S89">
        <v>0</v>
      </c>
      <c r="T89">
        <v>0</v>
      </c>
      <c r="V89">
        <f t="shared" si="20"/>
        <v>37</v>
      </c>
      <c r="W89" s="73">
        <f>(V$86-V89)/V$86</f>
        <v>0.32727272727272727</v>
      </c>
    </row>
    <row r="90" spans="1:23" x14ac:dyDescent="0.2">
      <c r="A90" s="8" t="s">
        <v>64</v>
      </c>
      <c r="B90" s="8" t="s">
        <v>32</v>
      </c>
      <c r="C90" s="8" t="s">
        <v>22</v>
      </c>
      <c r="D90" s="8" t="s">
        <v>23</v>
      </c>
      <c r="E90" s="8" t="s">
        <v>46</v>
      </c>
      <c r="F90" s="8">
        <v>3</v>
      </c>
      <c r="G90" s="8" t="s">
        <v>25</v>
      </c>
      <c r="H90" s="8">
        <v>85</v>
      </c>
      <c r="I90" s="8">
        <v>188</v>
      </c>
      <c r="J90" s="8">
        <v>573</v>
      </c>
      <c r="K90" s="8">
        <v>0</v>
      </c>
      <c r="L90" s="8">
        <v>125</v>
      </c>
      <c r="M90" s="8">
        <v>0</v>
      </c>
      <c r="N90" s="8">
        <v>523</v>
      </c>
      <c r="O90" s="8">
        <v>0</v>
      </c>
      <c r="P90" s="8">
        <v>498</v>
      </c>
      <c r="Q90" s="8">
        <v>0</v>
      </c>
      <c r="R90" s="8">
        <v>0</v>
      </c>
      <c r="S90" s="8">
        <v>0</v>
      </c>
      <c r="T90" s="8">
        <v>0</v>
      </c>
      <c r="U90" s="8"/>
      <c r="V90" s="8">
        <f>(N90+L90)*1/3</f>
        <v>216</v>
      </c>
    </row>
    <row r="91" spans="1:23" x14ac:dyDescent="0.2">
      <c r="A91" t="s">
        <v>64</v>
      </c>
      <c r="B91" t="s">
        <v>32</v>
      </c>
      <c r="C91" t="s">
        <v>22</v>
      </c>
      <c r="D91" t="s">
        <v>23</v>
      </c>
      <c r="E91" t="s">
        <v>48</v>
      </c>
      <c r="F91">
        <v>3</v>
      </c>
      <c r="G91" t="s">
        <v>114</v>
      </c>
      <c r="H91">
        <v>87</v>
      </c>
      <c r="I91">
        <v>155</v>
      </c>
      <c r="J91">
        <v>13</v>
      </c>
      <c r="K91">
        <v>0</v>
      </c>
      <c r="L91">
        <v>47</v>
      </c>
      <c r="M91">
        <v>0</v>
      </c>
      <c r="N91">
        <v>164</v>
      </c>
      <c r="O91">
        <v>0</v>
      </c>
      <c r="P91">
        <v>466</v>
      </c>
      <c r="Q91">
        <v>0</v>
      </c>
      <c r="R91">
        <v>0</v>
      </c>
      <c r="S91">
        <v>0</v>
      </c>
      <c r="T91">
        <v>0</v>
      </c>
      <c r="V91">
        <f>(N91+L91)</f>
        <v>211</v>
      </c>
      <c r="W91" s="2">
        <f>(V$90-V91)/V$90</f>
        <v>2.3148148148148147E-2</v>
      </c>
    </row>
    <row r="92" spans="1:23" x14ac:dyDescent="0.2">
      <c r="A92" t="s">
        <v>64</v>
      </c>
      <c r="B92" t="s">
        <v>32</v>
      </c>
      <c r="C92" t="s">
        <v>22</v>
      </c>
      <c r="D92" t="s">
        <v>23</v>
      </c>
      <c r="E92" t="s">
        <v>132</v>
      </c>
      <c r="F92">
        <v>3</v>
      </c>
      <c r="G92" t="s">
        <v>116</v>
      </c>
      <c r="H92">
        <v>92</v>
      </c>
      <c r="I92">
        <v>146</v>
      </c>
      <c r="J92">
        <v>14</v>
      </c>
      <c r="K92">
        <v>0</v>
      </c>
      <c r="L92">
        <v>50</v>
      </c>
      <c r="M92">
        <v>0</v>
      </c>
      <c r="N92">
        <v>161</v>
      </c>
      <c r="O92">
        <v>0</v>
      </c>
      <c r="P92">
        <v>463</v>
      </c>
      <c r="Q92">
        <v>0</v>
      </c>
      <c r="R92">
        <v>0</v>
      </c>
      <c r="S92">
        <v>0</v>
      </c>
      <c r="T92">
        <v>0</v>
      </c>
      <c r="V92">
        <f t="shared" ref="V92:V93" si="21">(N92+L92)</f>
        <v>211</v>
      </c>
      <c r="W92" s="2">
        <f>(V$90-V92)/V$90</f>
        <v>2.3148148148148147E-2</v>
      </c>
    </row>
    <row r="93" spans="1:23" x14ac:dyDescent="0.2">
      <c r="A93" t="s">
        <v>64</v>
      </c>
      <c r="B93" t="s">
        <v>32</v>
      </c>
      <c r="C93" t="s">
        <v>22</v>
      </c>
      <c r="D93" t="s">
        <v>23</v>
      </c>
      <c r="E93" t="s">
        <v>133</v>
      </c>
      <c r="F93">
        <v>3</v>
      </c>
      <c r="G93" t="s">
        <v>118</v>
      </c>
      <c r="H93">
        <v>49</v>
      </c>
      <c r="I93">
        <v>174</v>
      </c>
      <c r="J93">
        <v>19</v>
      </c>
      <c r="K93">
        <v>0</v>
      </c>
      <c r="L93">
        <v>39</v>
      </c>
      <c r="M93">
        <v>0</v>
      </c>
      <c r="N93">
        <v>150</v>
      </c>
      <c r="O93">
        <v>0</v>
      </c>
      <c r="P93">
        <v>431</v>
      </c>
      <c r="Q93">
        <v>0</v>
      </c>
      <c r="R93">
        <v>0</v>
      </c>
      <c r="S93">
        <v>0</v>
      </c>
      <c r="T93">
        <v>0</v>
      </c>
      <c r="V93">
        <f t="shared" si="21"/>
        <v>189</v>
      </c>
      <c r="W93" s="73">
        <f>(V$90-V93)/V$90</f>
        <v>0.125</v>
      </c>
    </row>
    <row r="94" spans="1:23" x14ac:dyDescent="0.2">
      <c r="A94" s="8" t="s">
        <v>79</v>
      </c>
      <c r="B94" s="8" t="s">
        <v>32</v>
      </c>
      <c r="C94" s="8" t="s">
        <v>22</v>
      </c>
      <c r="D94" s="8" t="s">
        <v>23</v>
      </c>
      <c r="E94" s="8" t="s">
        <v>50</v>
      </c>
      <c r="F94" s="8">
        <v>3</v>
      </c>
      <c r="G94" s="8" t="s">
        <v>25</v>
      </c>
      <c r="H94" s="8">
        <v>38</v>
      </c>
      <c r="I94" s="8">
        <v>7</v>
      </c>
      <c r="J94" s="8">
        <v>87</v>
      </c>
      <c r="K94" s="8">
        <v>0</v>
      </c>
      <c r="L94" s="8">
        <v>40</v>
      </c>
      <c r="M94" s="8">
        <v>0</v>
      </c>
      <c r="N94" s="8">
        <v>263</v>
      </c>
      <c r="O94" s="8">
        <v>0</v>
      </c>
      <c r="P94" s="8">
        <v>145</v>
      </c>
      <c r="Q94" s="8">
        <v>0</v>
      </c>
      <c r="R94" s="8">
        <v>0</v>
      </c>
      <c r="S94" s="8">
        <v>0</v>
      </c>
      <c r="T94" s="8">
        <v>0</v>
      </c>
      <c r="U94" s="8"/>
      <c r="V94" s="8">
        <f>(N94+L94)*1/3</f>
        <v>101</v>
      </c>
    </row>
    <row r="95" spans="1:23" x14ac:dyDescent="0.2">
      <c r="A95" t="s">
        <v>79</v>
      </c>
      <c r="B95" t="s">
        <v>32</v>
      </c>
      <c r="C95" t="s">
        <v>22</v>
      </c>
      <c r="D95" t="s">
        <v>23</v>
      </c>
      <c r="E95" t="s">
        <v>52</v>
      </c>
      <c r="F95">
        <v>3</v>
      </c>
      <c r="G95" t="s">
        <v>114</v>
      </c>
      <c r="H95">
        <v>32</v>
      </c>
      <c r="I95">
        <v>16</v>
      </c>
      <c r="J95">
        <v>1</v>
      </c>
      <c r="K95">
        <v>0</v>
      </c>
      <c r="L95">
        <v>49</v>
      </c>
      <c r="M95">
        <v>0</v>
      </c>
      <c r="N95">
        <v>42</v>
      </c>
      <c r="O95">
        <v>0</v>
      </c>
      <c r="P95">
        <v>140</v>
      </c>
      <c r="Q95">
        <v>0</v>
      </c>
      <c r="R95">
        <v>0</v>
      </c>
      <c r="S95">
        <v>0</v>
      </c>
      <c r="T95">
        <v>0</v>
      </c>
    </row>
    <row r="96" spans="1:23" x14ac:dyDescent="0.2">
      <c r="A96" t="s">
        <v>79</v>
      </c>
      <c r="B96" t="s">
        <v>32</v>
      </c>
      <c r="C96" t="s">
        <v>22</v>
      </c>
      <c r="D96" t="s">
        <v>23</v>
      </c>
      <c r="E96" t="s">
        <v>115</v>
      </c>
      <c r="F96">
        <v>3</v>
      </c>
      <c r="G96" t="s">
        <v>116</v>
      </c>
      <c r="H96">
        <v>30</v>
      </c>
      <c r="I96">
        <v>15</v>
      </c>
      <c r="J96">
        <v>1</v>
      </c>
      <c r="K96">
        <v>0</v>
      </c>
      <c r="L96">
        <v>46</v>
      </c>
      <c r="M96">
        <v>0</v>
      </c>
      <c r="N96">
        <v>51</v>
      </c>
      <c r="O96">
        <v>0</v>
      </c>
      <c r="P96">
        <v>143</v>
      </c>
      <c r="Q96">
        <v>0</v>
      </c>
      <c r="R96">
        <v>0</v>
      </c>
      <c r="S96">
        <v>0</v>
      </c>
      <c r="T96">
        <v>0</v>
      </c>
    </row>
    <row r="97" spans="1:20" x14ac:dyDescent="0.2">
      <c r="A97" t="s">
        <v>79</v>
      </c>
      <c r="B97" t="s">
        <v>32</v>
      </c>
      <c r="C97" t="s">
        <v>22</v>
      </c>
      <c r="D97" t="s">
        <v>23</v>
      </c>
      <c r="E97" t="s">
        <v>117</v>
      </c>
      <c r="F97">
        <v>3</v>
      </c>
      <c r="G97" t="s">
        <v>118</v>
      </c>
      <c r="H97">
        <v>26</v>
      </c>
      <c r="I97">
        <v>12</v>
      </c>
      <c r="J97">
        <v>2</v>
      </c>
      <c r="K97">
        <v>0</v>
      </c>
      <c r="L97">
        <v>42</v>
      </c>
      <c r="M97">
        <v>0</v>
      </c>
      <c r="N97">
        <v>46</v>
      </c>
      <c r="O97">
        <v>0</v>
      </c>
      <c r="P97">
        <v>128</v>
      </c>
      <c r="Q97">
        <v>0</v>
      </c>
      <c r="R97">
        <v>0</v>
      </c>
      <c r="S97">
        <v>0</v>
      </c>
      <c r="T97">
        <v>0</v>
      </c>
    </row>
    <row r="102" spans="1:20" x14ac:dyDescent="0.2">
      <c r="A102" s="75" t="s">
        <v>214</v>
      </c>
      <c r="B102" s="77" t="s">
        <v>215</v>
      </c>
      <c r="C102" s="77"/>
      <c r="D102" s="77"/>
      <c r="E102" s="77"/>
      <c r="F102" s="78"/>
      <c r="G102" s="77" t="s">
        <v>216</v>
      </c>
      <c r="H102" s="77"/>
      <c r="I102" s="77"/>
      <c r="J102" s="77"/>
      <c r="L102" s="77" t="s">
        <v>217</v>
      </c>
      <c r="M102" s="77"/>
      <c r="N102" s="77"/>
      <c r="O102" s="77"/>
    </row>
    <row r="103" spans="1:20" x14ac:dyDescent="0.2">
      <c r="A103" s="76"/>
      <c r="B103" s="12" t="s">
        <v>183</v>
      </c>
      <c r="C103" s="12" t="s">
        <v>184</v>
      </c>
      <c r="D103" s="12" t="s">
        <v>185</v>
      </c>
      <c r="E103" s="12" t="s">
        <v>186</v>
      </c>
      <c r="F103" s="78"/>
      <c r="G103" s="12" t="s">
        <v>183</v>
      </c>
      <c r="H103" s="12" t="s">
        <v>184</v>
      </c>
      <c r="I103" s="12" t="s">
        <v>185</v>
      </c>
      <c r="J103" s="12" t="s">
        <v>186</v>
      </c>
      <c r="K103" s="14"/>
      <c r="L103" s="12" t="s">
        <v>183</v>
      </c>
      <c r="M103" s="12" t="s">
        <v>184</v>
      </c>
      <c r="N103" s="12" t="s">
        <v>185</v>
      </c>
      <c r="O103" s="12" t="s">
        <v>186</v>
      </c>
    </row>
    <row r="104" spans="1:20" x14ac:dyDescent="0.2">
      <c r="A104" s="15" t="s">
        <v>7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20" x14ac:dyDescent="0.2">
      <c r="A105" s="16" t="s">
        <v>187</v>
      </c>
      <c r="B105" s="17">
        <f>$H$3/(($F$3-1)*$P$3)*100</f>
        <v>13.768844221105528</v>
      </c>
      <c r="C105" s="26">
        <f>$H$7/(($F$7-1)*$P$7)*100</f>
        <v>19.261880687563195</v>
      </c>
      <c r="D105" s="17">
        <f>$H$11/(($F$11-1)*$P$11)*100</f>
        <v>29.940564635958395</v>
      </c>
      <c r="E105" s="26">
        <f>$H$15/(($F$15-1)*$P$15)*100</f>
        <v>19.796954314720814</v>
      </c>
      <c r="G105" s="17">
        <f>$H$4/(($F$4-1)*$P$4)*100</f>
        <v>12.852822580645162</v>
      </c>
      <c r="H105" s="21">
        <f>$H$8/(($F$8-1)*$P$8)*100</f>
        <v>16.801619433198383</v>
      </c>
      <c r="I105" s="21">
        <f>$H$12/(($F$12-1)*$P$12)*100</f>
        <v>26.183431952662723</v>
      </c>
      <c r="J105" s="20">
        <f>$H$16/(($F$16-1)*$P$16)*100</f>
        <v>13.520408163265307</v>
      </c>
      <c r="L105" s="21">
        <f>$H$5/(($F$5-1)*$P$5)*100</f>
        <v>12.651821862348179</v>
      </c>
      <c r="M105" s="17">
        <f>$H$9/(($F$9-1)*$P$9)*100</f>
        <v>21.587462082912033</v>
      </c>
      <c r="N105" s="17">
        <f>$H$13/(($F$13-1)*$P$13)*100</f>
        <v>30</v>
      </c>
      <c r="O105" s="26">
        <f>$H$17/(($F$17-1)*$P$17)*100</f>
        <v>20.918367346938776</v>
      </c>
    </row>
    <row r="106" spans="1:20" x14ac:dyDescent="0.2">
      <c r="A106" s="16" t="s">
        <v>188</v>
      </c>
      <c r="B106" s="17">
        <f>$H$19/(($F$19-1)*$P$19)*100</f>
        <v>34.339229968782519</v>
      </c>
      <c r="C106" s="17">
        <f>$H$23/(($F$23-1)*$P$23)*100</f>
        <v>21.244855967078188</v>
      </c>
      <c r="D106" s="26">
        <f>$H$27/(($F$27-1)*$P$27)*100</f>
        <v>14.382530120481929</v>
      </c>
      <c r="E106" s="17">
        <f>$H$31/(($F$31-1)*$P$31)*100</f>
        <v>47.120418848167539</v>
      </c>
      <c r="F106" s="12"/>
      <c r="G106" s="21">
        <f>$H$20/(($F$20-1)*$P$20)*100</f>
        <v>32.053941908713696</v>
      </c>
      <c r="H106" s="17">
        <f>$H$24/(($F$24-1)*$P$24)*100</f>
        <v>11.243523316062177</v>
      </c>
      <c r="I106" s="26">
        <f>$H$28/(($F$28-1)*$P$28)*100</f>
        <v>10.585585585585585</v>
      </c>
      <c r="J106" s="17">
        <f>$H$32/(($F$32-1)*$P$32)*100</f>
        <v>35.789473684210527</v>
      </c>
      <c r="L106" s="17">
        <f>$H$21/(($F$21-1)*$P$21)*100</f>
        <v>32.662538699690401</v>
      </c>
      <c r="M106" s="22">
        <f>$H$25/(($F$25-1)*$P$25)*100</f>
        <v>8.6618257261410783</v>
      </c>
      <c r="N106" s="20">
        <f>$H$29/(($F$29-1)*$P$29)*100</f>
        <v>10.196374622356496</v>
      </c>
      <c r="O106" s="21">
        <f>$H$33/(($F$33-1)*$P$33)*100</f>
        <v>33.597883597883602</v>
      </c>
    </row>
    <row r="107" spans="1:20" x14ac:dyDescent="0.2">
      <c r="A107" s="16" t="s">
        <v>189</v>
      </c>
      <c r="B107" s="23">
        <f>$H$35/(($F$35-1)*$P$35)*100</f>
        <v>7.5994318181818175</v>
      </c>
      <c r="C107" s="17">
        <f>$H$39/(($F$39-1)*$P$39)*100</f>
        <v>26.47058823529412</v>
      </c>
      <c r="D107" s="17">
        <f>$H$43/(($F$43-1)*$P$43)*100</f>
        <v>24.06679764243615</v>
      </c>
      <c r="E107" s="17">
        <f>$H$47/(($F$47-1)*$P$47)*100</f>
        <v>26.315789473684209</v>
      </c>
      <c r="F107" s="12"/>
      <c r="G107" s="23">
        <f>$H$36/(($F$36-1)*$P$36)*100</f>
        <v>7.686453576864535</v>
      </c>
      <c r="H107" s="22">
        <f>$H$40/(($F$40-1)*$P$40)*100</f>
        <v>9.7844112769485907</v>
      </c>
      <c r="I107" s="21">
        <f>$H$44/(($F$44-1)*$P$44)*100</f>
        <v>13.4</v>
      </c>
      <c r="J107" s="21">
        <f>$H$48/(($F$48-1)*$P$48)*100</f>
        <v>20.863309352517987</v>
      </c>
      <c r="L107" s="22">
        <f>$H$37/(($F$37-1)*$P$37)*100</f>
        <v>6.9730586370839935</v>
      </c>
      <c r="M107" s="18">
        <f>$H$41/(($F$41-1)*$P$41)*100</f>
        <v>9.84</v>
      </c>
      <c r="N107" s="17">
        <f>$H$45/(($F$45-1)*$P$45)*100</f>
        <v>13.921568627450981</v>
      </c>
      <c r="O107" s="17">
        <f>$H$49/(($F$49-1)*$P$49)*100</f>
        <v>25.675675675675674</v>
      </c>
    </row>
    <row r="108" spans="1:20" x14ac:dyDescent="0.2">
      <c r="A108" s="15" t="s">
        <v>13</v>
      </c>
      <c r="B108" s="47"/>
      <c r="C108" s="47"/>
      <c r="D108" s="47"/>
      <c r="E108" s="47"/>
      <c r="F108" s="27"/>
      <c r="G108" s="47"/>
      <c r="H108" s="47"/>
      <c r="I108" s="47"/>
      <c r="J108" s="47"/>
      <c r="K108" s="15"/>
      <c r="L108" s="47"/>
      <c r="M108" s="47"/>
      <c r="N108" s="47"/>
      <c r="O108" s="47"/>
      <c r="Q108" t="s">
        <v>241</v>
      </c>
    </row>
    <row r="109" spans="1:20" x14ac:dyDescent="0.2">
      <c r="A109" s="16" t="s">
        <v>187</v>
      </c>
      <c r="B109" s="17">
        <f>$N$3/(($F$3-1)*$P$3)*100</f>
        <v>50.35175879396985</v>
      </c>
      <c r="C109" s="22">
        <f>$N$7/(($F$7-1)*$P$7)*100</f>
        <v>4.3983822042467136</v>
      </c>
      <c r="D109" s="20">
        <f>$N$11/(($F$11-1)*$P$11)*100</f>
        <v>28.52897473997028</v>
      </c>
      <c r="E109" s="17">
        <f>$N$15/(($F$15-1)*$P$15)*100</f>
        <v>45.17766497461929</v>
      </c>
      <c r="F109" s="17">
        <f>AVERAGE(B109:E109)</f>
        <v>32.114195178201534</v>
      </c>
      <c r="G109" s="17">
        <f>$N$4/(($F$4-1)*$P$4)*100</f>
        <v>51.411290322580648</v>
      </c>
      <c r="H109" s="23">
        <f>$N$8/(($F$8-1)*$P$8)*100</f>
        <v>5.3643724696356276</v>
      </c>
      <c r="I109" s="26">
        <f>$N$12/(($F$12-1)*$P$12)*100</f>
        <v>30.029585798816566</v>
      </c>
      <c r="J109" s="17">
        <f>$N$16/(($F$16-1)*$P$16)*100</f>
        <v>45.408163265306122</v>
      </c>
      <c r="K109" s="17">
        <f>AVERAGE(G109:J109)</f>
        <v>33.053352964084738</v>
      </c>
      <c r="L109" s="21">
        <f>$N$5/(($F$5-1)*$P$5)*100</f>
        <v>50.253036437246969</v>
      </c>
      <c r="M109" s="18">
        <f>$N$9/(($F$9-1)*$P$9)*100</f>
        <v>5.8645096056622856</v>
      </c>
      <c r="N109" s="26">
        <f>$N$13/(($F$13-1)*$P$13)*100</f>
        <v>34</v>
      </c>
      <c r="O109" s="21">
        <f>$N$17/(($F$17-1)*$P$17)*100</f>
        <v>42.857142857142854</v>
      </c>
      <c r="P109" s="17">
        <f>AVERAGE(L109:O109)</f>
        <v>33.243672225013029</v>
      </c>
      <c r="Q109" s="7">
        <f>(L109+L117+G109+G117+B109+B117)/3</f>
        <v>67.193014449724572</v>
      </c>
      <c r="R109" s="7">
        <f t="shared" ref="R109:T109" si="22">(M109+M117+H109+H117+C109+C117)/3</f>
        <v>7.5185338316624568</v>
      </c>
      <c r="S109" s="7">
        <f t="shared" si="22"/>
        <v>41.896887740908006</v>
      </c>
      <c r="T109" s="7">
        <f t="shared" si="22"/>
        <v>51.103283953175179</v>
      </c>
    </row>
    <row r="110" spans="1:20" x14ac:dyDescent="0.2">
      <c r="A110" s="16" t="s">
        <v>188</v>
      </c>
      <c r="B110" s="17">
        <f>$N$19/(($F$19-1)*$P$19)*100</f>
        <v>44.588969823100939</v>
      </c>
      <c r="C110" s="18">
        <f>$N$23/(($F$23-1)*$P$23)*100</f>
        <v>7.2016460905349797</v>
      </c>
      <c r="D110" s="17">
        <f>$N$27/(($F$27-1)*$P$27)*100</f>
        <v>42.093373493975903</v>
      </c>
      <c r="E110" s="20">
        <f>$N$31/(($F$31-1)*$P$31)*100</f>
        <v>26.178010471204189</v>
      </c>
      <c r="F110" s="17">
        <f t="shared" ref="F110:F112" si="23">AVERAGE(B110:E110)</f>
        <v>30.015499969704003</v>
      </c>
      <c r="G110" s="20">
        <f>$N$20/(($F$20-1)*$P$20)*100</f>
        <v>44.190871369294605</v>
      </c>
      <c r="H110" s="19">
        <f>$N$24/(($F$24-1)*$P$24)*100</f>
        <v>6.8911917098445601</v>
      </c>
      <c r="I110" s="21">
        <f>$N$28/(($F$28-1)*$P$28)*100</f>
        <v>41.966966966966964</v>
      </c>
      <c r="J110" s="26">
        <f>$N$32/(($F$32-1)*$P$32)*100</f>
        <v>26.842105263157894</v>
      </c>
      <c r="K110" s="17">
        <f t="shared" ref="K110:K111" si="24">AVERAGE(G110:J110)</f>
        <v>29.972783827316007</v>
      </c>
      <c r="L110" s="17">
        <f>$N$21/(($F$21-1)*$P$21)*100</f>
        <v>45.820433436532511</v>
      </c>
      <c r="M110" s="18">
        <f>$N$25/(($F$25-1)*$P$25)*100</f>
        <v>6.9502074688796682</v>
      </c>
      <c r="N110" s="17">
        <f>$N$29/(($F$29-1)*$P$29)*100</f>
        <v>42.220543806646525</v>
      </c>
      <c r="O110" s="26">
        <f>$N$33/(($F$33-1)*$P$33)*100</f>
        <v>26.455026455026452</v>
      </c>
      <c r="P110" s="17">
        <f t="shared" ref="P110:P111" si="25">AVERAGE(L110:O110)</f>
        <v>30.361552791771288</v>
      </c>
      <c r="Q110" s="7">
        <f>(L110+L118+G110+G118+B110+B118)/3</f>
        <v>48.514842296501627</v>
      </c>
      <c r="R110" s="7">
        <f t="shared" ref="R110:T111" si="26">(M110+M118+H110+H118+C110+C118)/3</f>
        <v>7.5489384105692894</v>
      </c>
      <c r="S110" s="7">
        <f t="shared" si="26"/>
        <v>52.409501464482709</v>
      </c>
      <c r="T110" s="7">
        <f t="shared" si="26"/>
        <v>30.525032768074926</v>
      </c>
    </row>
    <row r="111" spans="1:20" x14ac:dyDescent="0.2">
      <c r="A111" s="16" t="s">
        <v>189</v>
      </c>
      <c r="B111" s="20">
        <f>$N$35/(($F$35-1)*$P$35)*100</f>
        <v>42.116477272727273</v>
      </c>
      <c r="C111" s="18">
        <f>$N$39/(($F$39-1)*$P$39)*100</f>
        <v>6.2798092209856913</v>
      </c>
      <c r="D111" s="17">
        <f>$N$43/(($F$43-1)*$P$43)*100</f>
        <v>37.229862475442047</v>
      </c>
      <c r="E111" s="21">
        <f>$N$47/(($F$47-1)*$P$47)*100</f>
        <v>36.090225563909769</v>
      </c>
      <c r="F111" s="17">
        <f t="shared" si="23"/>
        <v>30.429093633266195</v>
      </c>
      <c r="G111" s="17">
        <f>$N$36/(($F$36-1)*$P$36)*100</f>
        <v>47.031963470319631</v>
      </c>
      <c r="H111" s="18">
        <f>$N$40/(($F$40-1)*$P$40)*100</f>
        <v>5.8872305140961858</v>
      </c>
      <c r="I111" s="17">
        <f>$N$44/(($F$44-1)*$P$44)*100</f>
        <v>36</v>
      </c>
      <c r="J111" s="17">
        <f>$N$48/(($F$48-1)*$P$48)*100</f>
        <v>38.848920863309353</v>
      </c>
      <c r="K111" s="17">
        <f t="shared" si="24"/>
        <v>31.942028711931293</v>
      </c>
      <c r="L111" s="26">
        <f>$N$37/(($F$37-1)*$P$37)*100</f>
        <v>44.294770206022186</v>
      </c>
      <c r="M111" s="22">
        <f>$N$41/(($F$41-1)*$P$41)*100</f>
        <v>5.6000000000000005</v>
      </c>
      <c r="N111" s="21">
        <f>$N$45/(($F$45-1)*$P$45)*100</f>
        <v>35.588235294117645</v>
      </c>
      <c r="O111" s="17">
        <f>$N$49/(($F$49-1)*$P$49)*100</f>
        <v>38.851351351351347</v>
      </c>
      <c r="P111" s="17">
        <f t="shared" si="25"/>
        <v>31.083589212872795</v>
      </c>
      <c r="Q111" s="7">
        <f t="shared" ref="Q111" si="27">(L111+L119+G111+G119+B111+B119)/3</f>
        <v>65.249402173797833</v>
      </c>
      <c r="R111" s="7">
        <f t="shared" si="26"/>
        <v>7.3223307240515325</v>
      </c>
      <c r="S111" s="7">
        <f t="shared" si="26"/>
        <v>46.934085801969779</v>
      </c>
      <c r="T111" s="7">
        <f t="shared" si="26"/>
        <v>66.37151161005761</v>
      </c>
    </row>
    <row r="112" spans="1:20" x14ac:dyDescent="0.2">
      <c r="A112" s="15" t="s">
        <v>190</v>
      </c>
      <c r="B112" s="27"/>
      <c r="C112" s="27"/>
      <c r="D112" s="27"/>
      <c r="E112" s="27"/>
      <c r="F112" s="17"/>
      <c r="G112" s="27"/>
      <c r="H112" s="27"/>
      <c r="I112" s="27"/>
      <c r="J112" s="27"/>
      <c r="K112" s="15"/>
      <c r="L112" s="27"/>
      <c r="M112" s="27"/>
      <c r="N112" s="27"/>
      <c r="O112" s="27"/>
      <c r="Q112" s="7"/>
      <c r="R112" s="7"/>
      <c r="S112" s="7"/>
      <c r="T112" s="7"/>
    </row>
    <row r="113" spans="1:33" x14ac:dyDescent="0.2">
      <c r="A113" s="16" t="s">
        <v>187</v>
      </c>
      <c r="B113" s="17">
        <f>($I$3+$J$3)/(($F$3-1)*$P$3)*100</f>
        <v>18.894472361809044</v>
      </c>
      <c r="C113" s="26">
        <f>($I$7+$J$7)/(($F$7-1)*$P$7)*100</f>
        <v>73.356926188068755</v>
      </c>
      <c r="D113" s="17">
        <f>($I$11+$J$11)/(($F$11-1)*$P$11)*100</f>
        <v>28.454680534918275</v>
      </c>
      <c r="E113" s="26">
        <f>($I$15+$J$15)/(($F$15-1)*$P$15)*100</f>
        <v>28.934010152284262</v>
      </c>
      <c r="F113" s="12"/>
      <c r="G113" s="17">
        <f>($I$4+$J$4)/(($F$4-1)*$P$4)*100</f>
        <v>20.010080645161292</v>
      </c>
      <c r="H113" s="21">
        <f>($I$8+$J$8)/(($F$8-1)*$P$8)*100</f>
        <v>75.708502024291505</v>
      </c>
      <c r="I113" s="21">
        <f>($I$12+$J$12)/(($F$12-1)*$P$12)*100</f>
        <v>31.804733727810653</v>
      </c>
      <c r="J113" s="20">
        <f>($I$16+$J$16)/(($F$16-1)*$P$16)*100</f>
        <v>35.459183673469383</v>
      </c>
      <c r="L113" s="21">
        <f>($I$5+$J$5)/(($F$5-1)*$P$5)*100</f>
        <v>20.242914979757085</v>
      </c>
      <c r="M113" s="17">
        <f>($I$9+$J$9)/(($F$9-1)*$P$9)*100</f>
        <v>70.728008088978768</v>
      </c>
      <c r="N113" s="17">
        <f>($I$13+$J$13)/(($F$13-1)*$P$13)*100</f>
        <v>27.925925925925927</v>
      </c>
      <c r="O113" s="17">
        <f>($I$17+$J$17)/(($F$17-1)*$P$17)*100</f>
        <v>28.061224489795915</v>
      </c>
      <c r="Q113" s="7"/>
      <c r="R113" s="7"/>
      <c r="S113" s="7"/>
      <c r="T113" s="7"/>
    </row>
    <row r="114" spans="1:33" x14ac:dyDescent="0.2">
      <c r="A114" s="16" t="s">
        <v>188</v>
      </c>
      <c r="B114" s="17">
        <f>($I$19+$J$19)/(($F$19-1)*$P$19)*100</f>
        <v>16.857440166493237</v>
      </c>
      <c r="C114" s="17">
        <f>($I$23+$J$23)/(($F$23-1)*$P$23)*100</f>
        <v>71.141975308641975</v>
      </c>
      <c r="D114" s="26">
        <f>($I$27+$J$27)/(($F$27-1)*$P$27)*100</f>
        <v>33.057228915662648</v>
      </c>
      <c r="E114" s="17">
        <f>($I$31+$J$31)/(($F$31-1)*$P$31)*100</f>
        <v>21.98952879581152</v>
      </c>
      <c r="F114" s="12"/>
      <c r="G114" s="21">
        <f>($I$20+$J$20)/(($F$20-1)*$P$20)*100</f>
        <v>19.502074688796682</v>
      </c>
      <c r="H114" s="17">
        <f>($I$24+$J$24)/(($F$24-1)*$P$24)*100</f>
        <v>81.191709844559597</v>
      </c>
      <c r="I114" s="17">
        <f>($I$28+$J$28)/(($F$28-1)*$P$28)*100</f>
        <v>37.012012012012015</v>
      </c>
      <c r="J114" s="17">
        <f>($I$32+$J$32)/(($F$32-1)*$P$32)*100</f>
        <v>33.684210526315788</v>
      </c>
      <c r="L114" s="17">
        <f>($I$21+$J$21)/(($F$21-1)*$P$21)*100</f>
        <v>19.040247678018577</v>
      </c>
      <c r="M114" s="20">
        <f>($I$25+$J$25)/(($F$25-1)*$P$25)*100</f>
        <v>83.869294605809131</v>
      </c>
      <c r="N114" s="21">
        <f>($I$29+$J$29)/(($F$29-1)*$P$29)*100</f>
        <v>37.537764350453173</v>
      </c>
      <c r="O114" s="20">
        <f>($I$33+$J$33)/(($F$33-1)*$P$33)*100</f>
        <v>36.243386243386247</v>
      </c>
    </row>
    <row r="115" spans="1:33" x14ac:dyDescent="0.2">
      <c r="A115" s="16" t="s">
        <v>189</v>
      </c>
      <c r="B115" s="26">
        <f>($I$35+$J$35)/(($F$35-1)*$P$35)*100</f>
        <v>26.63352272727273</v>
      </c>
      <c r="C115" s="17">
        <f>($I$39+$J$39)/(($F$39-1)*$P$39)*100</f>
        <v>65.73926868044515</v>
      </c>
      <c r="D115" s="17">
        <f>($I$43+$J$43)/(($F$43-1)*$P$43)*100</f>
        <v>28.781925343811395</v>
      </c>
      <c r="E115" s="17">
        <f>($I$47+$J$47)/(($F$47-1)*$P$47)*100</f>
        <v>10.526315789473683</v>
      </c>
      <c r="F115" s="12"/>
      <c r="G115" s="26">
        <f>($I$36+$J$36)/(($F$36-1)*$P$36)*100</f>
        <v>27.62557077625571</v>
      </c>
      <c r="H115" s="26">
        <f>($I$40+$J$40)/(($F$40-1)*$P$40)*100</f>
        <v>82.91873963515755</v>
      </c>
      <c r="I115" s="26">
        <f>($I$44+$J$44)/(($F$44-1)*$P$44)*100</f>
        <v>40.400000000000006</v>
      </c>
      <c r="J115" s="17">
        <f>($I$48+$J$48)/(($F$48-1)*$P$48)*100</f>
        <v>10.071942446043165</v>
      </c>
      <c r="K115" s="14"/>
      <c r="L115" s="26">
        <f>($I$37+$J$37)/(($F$37-1)*$P$37)*100</f>
        <v>27.733755942947703</v>
      </c>
      <c r="M115" s="17">
        <f>($I$41+$J$41)/(($F$41-1)*$P$41)*100</f>
        <v>83.28</v>
      </c>
      <c r="N115" s="26">
        <f>($I$45+$J$45)/(($F$45-1)*$P$45)*100</f>
        <v>38.627450980392162</v>
      </c>
      <c r="O115" s="18">
        <f>($I$49+$J$49)/(($F$49-1)*$P$49)*100</f>
        <v>7.4324324324324325</v>
      </c>
    </row>
    <row r="116" spans="1:33" x14ac:dyDescent="0.2">
      <c r="A116" s="15" t="s">
        <v>11</v>
      </c>
      <c r="B116" s="27"/>
      <c r="C116" s="27"/>
      <c r="D116" s="27"/>
      <c r="E116" s="27"/>
      <c r="F116" s="27"/>
      <c r="G116" s="27"/>
      <c r="H116" s="27"/>
      <c r="I116" s="27"/>
      <c r="J116" s="27"/>
      <c r="L116" s="27"/>
      <c r="M116" s="27"/>
      <c r="N116" s="27"/>
      <c r="O116" s="27"/>
    </row>
    <row r="117" spans="1:33" x14ac:dyDescent="0.2">
      <c r="A117" s="16" t="s">
        <v>187</v>
      </c>
      <c r="B117" s="21">
        <f>$L$3/(($F$3-1)*$P$3)*100</f>
        <v>16.984924623115578</v>
      </c>
      <c r="C117" s="22">
        <f>$L$7/(($F$7-1)*$P$7)*100</f>
        <v>2.9828109201213349</v>
      </c>
      <c r="D117" s="20">
        <f>$L$11/(($F$11-1)*$P$11)*100</f>
        <v>13.075780089153048</v>
      </c>
      <c r="E117" s="18">
        <f>$L$15/(($F$15-1)*$P$15)*100</f>
        <v>6.091370558375635</v>
      </c>
      <c r="F117" s="12"/>
      <c r="G117" s="17">
        <f>$L$4/(($F$4-1)*$P$4)*100</f>
        <v>15.725806451612904</v>
      </c>
      <c r="H117" s="23">
        <f>$L$8/(($F$8-1)*$P$8)*100</f>
        <v>2.1255060728744937</v>
      </c>
      <c r="I117" s="26">
        <f>$L$12/(($F$12-1)*$P$12)*100</f>
        <v>11.982248520710058</v>
      </c>
      <c r="J117" s="18">
        <f>$L$16/(($F$16-1)*$P$16)*100</f>
        <v>5.6122448979591839</v>
      </c>
      <c r="L117" s="17">
        <f>$L$5/(($F$5-1)*$P$5)*100</f>
        <v>16.852226720647774</v>
      </c>
      <c r="M117" s="23">
        <f>$L$9/(($F$9-1)*$P$9)*100</f>
        <v>1.820020222446916</v>
      </c>
      <c r="N117" s="18">
        <f>$L$13/(($F$13-1)*$P$13)*100</f>
        <v>8.0740740740740744</v>
      </c>
      <c r="O117" s="19">
        <f>$L$17/(($F$17-1)*$P$17)*100</f>
        <v>8.1632653061224492</v>
      </c>
    </row>
    <row r="118" spans="1:33" x14ac:dyDescent="0.2">
      <c r="A118" s="16" t="s">
        <v>188</v>
      </c>
      <c r="B118" s="18">
        <f>$L$19/(($F$19-1)*$P$19)*100</f>
        <v>4.2143600416233093</v>
      </c>
      <c r="C118" s="28">
        <f>$L$23/(($F$23-1)*$P$23)*100</f>
        <v>0.41152263374485598</v>
      </c>
      <c r="D118" s="21">
        <f>$L$27/(($F$27-1)*$P$27)*100</f>
        <v>10.466867469879517</v>
      </c>
      <c r="E118" s="19">
        <f>$L$31/(($F$31-1)*$P$31)*100</f>
        <v>4.7120418848167542</v>
      </c>
      <c r="F118" s="12"/>
      <c r="G118" s="19">
        <f>$L$20/(($F$20-1)*$P$20)*100</f>
        <v>4.2531120331950207</v>
      </c>
      <c r="H118" s="31">
        <f>$L$24/(($F$24-1)*$P$24)*100</f>
        <v>0.67357512953367882</v>
      </c>
      <c r="I118" s="17">
        <f>$L$28/(($F$28-1)*$P$28)*100</f>
        <v>10.435435435435435</v>
      </c>
      <c r="J118" s="18">
        <f>$L$32/(($F$32-1)*$P$32)*100</f>
        <v>3.6842105263157889</v>
      </c>
      <c r="L118" s="18">
        <f>$L$21/(($F$21-1)*$P$21)*100</f>
        <v>2.4767801857585141</v>
      </c>
      <c r="M118" s="28">
        <f>$L$25/(($F$25-1)*$P$25)*100</f>
        <v>0.51867219917012441</v>
      </c>
      <c r="N118" s="17">
        <f>$L$29/(($F$29-1)*$P$29)*100</f>
        <v>10.045317220543806</v>
      </c>
      <c r="O118" s="18">
        <f>$L$33/(($F$33-1)*$P$33)*100</f>
        <v>3.7037037037037033</v>
      </c>
    </row>
    <row r="119" spans="1:33" ht="15" customHeight="1" x14ac:dyDescent="0.2">
      <c r="A119" s="16" t="s">
        <v>189</v>
      </c>
      <c r="B119" s="20">
        <f>$L$35/(($F$35-1)*$P$35)*100</f>
        <v>23.650568181818183</v>
      </c>
      <c r="C119" s="19">
        <f>$L$39/(($F$39-1)*$P$39)*100</f>
        <v>1.5103338632750398</v>
      </c>
      <c r="D119" s="18">
        <f>$L$43/(($F$43-1)*$P$43)*100</f>
        <v>9.9214145383104118</v>
      </c>
      <c r="E119" s="26">
        <f>$L$47/(($F$47-1)*$P$47)*100</f>
        <v>27.06766917293233</v>
      </c>
      <c r="F119" s="12"/>
      <c r="G119" s="26">
        <f>$L$36/(($F$36-1)*$P$36)*100</f>
        <v>17.656012176560122</v>
      </c>
      <c r="H119" s="18">
        <f>$L$40/(($F$40-1)*$P$40)*100</f>
        <v>1.4096185737976783</v>
      </c>
      <c r="I119" s="17">
        <f>$L$44/(($F$44-1)*$P$44)*100</f>
        <v>10.199999999999999</v>
      </c>
      <c r="J119" s="20">
        <f>$L$48/(($F$48-1)*$P$48)*100</f>
        <v>30.215827338129497</v>
      </c>
      <c r="L119" s="26">
        <f>$L$37/(($F$37-1)*$P$37)*100</f>
        <v>20.998415213946117</v>
      </c>
      <c r="M119" s="18">
        <f>$L$41/(($F$41-1)*$P$41)*100</f>
        <v>1.28</v>
      </c>
      <c r="N119" s="20">
        <f>$L$45/(($F$45-1)*$P$45)*100</f>
        <v>11.862745098039214</v>
      </c>
      <c r="O119" s="26">
        <f>$L$49/(($F$49-1)*$P$49)*100</f>
        <v>28.040540540540544</v>
      </c>
      <c r="Q119" s="75" t="s">
        <v>214</v>
      </c>
      <c r="R119" s="77" t="s">
        <v>215</v>
      </c>
      <c r="S119" s="77"/>
      <c r="T119" s="77"/>
      <c r="U119" s="77"/>
      <c r="V119" s="78"/>
      <c r="W119" s="77" t="s">
        <v>216</v>
      </c>
      <c r="X119" s="77"/>
      <c r="Y119" s="77"/>
      <c r="Z119" s="77"/>
      <c r="AB119" s="77" t="s">
        <v>217</v>
      </c>
      <c r="AC119" s="77"/>
      <c r="AD119" s="77"/>
      <c r="AE119" s="77"/>
    </row>
    <row r="120" spans="1:33" x14ac:dyDescent="0.2">
      <c r="A120" s="49"/>
      <c r="B120" s="47">
        <f>SUM(B105+B109+B113+B117)</f>
        <v>100</v>
      </c>
      <c r="C120" s="47">
        <f t="shared" ref="C120:E120" si="28">SUM(C105+C109+C113+C117)</f>
        <v>100</v>
      </c>
      <c r="D120" s="47">
        <f t="shared" si="28"/>
        <v>99.999999999999986</v>
      </c>
      <c r="E120" s="47">
        <f t="shared" si="28"/>
        <v>99.999999999999986</v>
      </c>
      <c r="F120" s="47"/>
      <c r="G120" s="47">
        <f t="shared" ref="G120:J120" si="29">SUM(G105+G109+G113+G117)</f>
        <v>100</v>
      </c>
      <c r="H120" s="47">
        <f t="shared" si="29"/>
        <v>100</v>
      </c>
      <c r="I120" s="47">
        <f t="shared" si="29"/>
        <v>100</v>
      </c>
      <c r="J120" s="47">
        <f t="shared" si="29"/>
        <v>100</v>
      </c>
      <c r="K120" s="47"/>
      <c r="L120" s="47">
        <f>SUM(L105+L109+L113+L117)</f>
        <v>100.00000000000001</v>
      </c>
      <c r="M120" s="47">
        <f t="shared" ref="M120:O120" si="30">SUM(M105+M109+M113+M117)</f>
        <v>100</v>
      </c>
      <c r="N120" s="47">
        <f t="shared" si="30"/>
        <v>100</v>
      </c>
      <c r="O120" s="47">
        <f t="shared" si="30"/>
        <v>100</v>
      </c>
      <c r="Q120" s="76"/>
      <c r="R120" s="12" t="s">
        <v>183</v>
      </c>
      <c r="S120" s="12" t="s">
        <v>184</v>
      </c>
      <c r="T120" s="12" t="s">
        <v>185</v>
      </c>
      <c r="U120" s="12" t="s">
        <v>186</v>
      </c>
      <c r="V120" s="78"/>
      <c r="W120" s="12" t="s">
        <v>183</v>
      </c>
      <c r="X120" s="12" t="s">
        <v>184</v>
      </c>
      <c r="Y120" s="12" t="s">
        <v>185</v>
      </c>
      <c r="Z120" s="12" t="s">
        <v>186</v>
      </c>
      <c r="AA120" s="14"/>
      <c r="AB120" s="12" t="s">
        <v>183</v>
      </c>
      <c r="AC120" s="12" t="s">
        <v>184</v>
      </c>
      <c r="AD120" s="12" t="s">
        <v>185</v>
      </c>
      <c r="AE120" s="12" t="s">
        <v>186</v>
      </c>
    </row>
    <row r="121" spans="1:33" x14ac:dyDescent="0.2">
      <c r="A121" s="16"/>
      <c r="B121" s="17">
        <f>SUM(B106+B110+B114+B118)</f>
        <v>100</v>
      </c>
      <c r="C121" s="17">
        <f t="shared" ref="C121:E122" si="31">SUM(C106+C110+C114+C118)</f>
        <v>100</v>
      </c>
      <c r="D121" s="17">
        <f t="shared" si="31"/>
        <v>100</v>
      </c>
      <c r="E121" s="17">
        <f t="shared" si="31"/>
        <v>100.00000000000001</v>
      </c>
      <c r="F121" s="17"/>
      <c r="G121" s="17">
        <f t="shared" ref="G121:J121" si="32">SUM(G106+G110+G114+G118)</f>
        <v>100.00000000000001</v>
      </c>
      <c r="H121" s="17">
        <f t="shared" si="32"/>
        <v>100</v>
      </c>
      <c r="I121" s="17">
        <f t="shared" si="32"/>
        <v>100</v>
      </c>
      <c r="J121" s="17">
        <f t="shared" si="32"/>
        <v>100.00000000000001</v>
      </c>
      <c r="K121" s="17"/>
      <c r="L121" s="17">
        <f>SUM(L106+L110+L114+L118)</f>
        <v>100</v>
      </c>
      <c r="M121" s="17">
        <f t="shared" ref="M121:O121" si="33">SUM(M106+M110+M114+M118)</f>
        <v>100</v>
      </c>
      <c r="N121" s="17">
        <f t="shared" si="33"/>
        <v>100</v>
      </c>
      <c r="O121" s="17">
        <f t="shared" si="33"/>
        <v>100.00000000000001</v>
      </c>
      <c r="Q121" s="16" t="s">
        <v>187</v>
      </c>
      <c r="R121" s="30">
        <f t="shared" ref="R121:U123" si="34">B105+B109</f>
        <v>64.120603015075375</v>
      </c>
      <c r="S121" s="7">
        <f t="shared" si="34"/>
        <v>23.660262891809907</v>
      </c>
      <c r="T121" s="30">
        <f t="shared" si="34"/>
        <v>58.469539375928676</v>
      </c>
      <c r="U121" s="30">
        <f>E105+E109</f>
        <v>64.974619289340097</v>
      </c>
      <c r="V121" s="30"/>
      <c r="W121" s="30">
        <f t="shared" ref="W121:Z123" si="35">G105+G109</f>
        <v>64.264112903225808</v>
      </c>
      <c r="X121" s="7">
        <f t="shared" si="35"/>
        <v>22.165991902834008</v>
      </c>
      <c r="Y121" s="30">
        <f t="shared" si="35"/>
        <v>56.213017751479285</v>
      </c>
      <c r="Z121" s="30">
        <f t="shared" si="35"/>
        <v>58.928571428571431</v>
      </c>
      <c r="AA121" s="30"/>
      <c r="AB121" s="30">
        <f t="shared" ref="AB121:AE123" si="36">L105+L109</f>
        <v>62.904858299595148</v>
      </c>
      <c r="AC121" s="7">
        <f t="shared" si="36"/>
        <v>27.451971688574318</v>
      </c>
      <c r="AD121" s="30">
        <f t="shared" si="36"/>
        <v>64</v>
      </c>
      <c r="AE121" s="30">
        <f t="shared" si="36"/>
        <v>63.775510204081627</v>
      </c>
      <c r="AF121" s="30">
        <f>AVERAGE(R121:U121,W121:Z121,AB121:AE121)</f>
        <v>52.577421562542987</v>
      </c>
      <c r="AG121" s="30"/>
    </row>
    <row r="122" spans="1:33" x14ac:dyDescent="0.2">
      <c r="A122" s="16"/>
      <c r="B122" s="17">
        <f>SUM(B107+B111+B115+B119)</f>
        <v>100.00000000000001</v>
      </c>
      <c r="C122" s="17">
        <f t="shared" si="31"/>
        <v>100</v>
      </c>
      <c r="D122" s="17">
        <f t="shared" si="31"/>
        <v>100</v>
      </c>
      <c r="E122" s="17">
        <f t="shared" si="31"/>
        <v>99.999999999999986</v>
      </c>
      <c r="F122" s="17"/>
      <c r="G122" s="17">
        <f t="shared" ref="G122:J122" si="37">SUM(G107+G111+G115+G119)</f>
        <v>100</v>
      </c>
      <c r="H122" s="17">
        <f t="shared" si="37"/>
        <v>100</v>
      </c>
      <c r="I122" s="17">
        <f t="shared" si="37"/>
        <v>100.00000000000001</v>
      </c>
      <c r="J122" s="17">
        <f t="shared" si="37"/>
        <v>100</v>
      </c>
      <c r="K122" s="17"/>
      <c r="L122" s="17">
        <f>SUM(L107+L111+L115+L119)</f>
        <v>100</v>
      </c>
      <c r="M122" s="17">
        <f t="shared" ref="M122:O122" si="38">SUM(M107+M111+M115+M119)</f>
        <v>100</v>
      </c>
      <c r="N122" s="17">
        <f t="shared" si="38"/>
        <v>100</v>
      </c>
      <c r="O122" s="17">
        <f t="shared" si="38"/>
        <v>100</v>
      </c>
      <c r="Q122" s="16" t="s">
        <v>188</v>
      </c>
      <c r="R122" s="30">
        <f t="shared" si="34"/>
        <v>78.928199791883458</v>
      </c>
      <c r="S122" s="7">
        <f t="shared" si="34"/>
        <v>28.446502057613166</v>
      </c>
      <c r="T122" s="30">
        <f t="shared" si="34"/>
        <v>56.475903614457835</v>
      </c>
      <c r="U122" s="30">
        <f t="shared" si="34"/>
        <v>73.298429319371735</v>
      </c>
      <c r="V122" s="30"/>
      <c r="W122" s="30">
        <f t="shared" si="35"/>
        <v>76.244813278008309</v>
      </c>
      <c r="X122" s="7">
        <f t="shared" si="35"/>
        <v>18.134715025906736</v>
      </c>
      <c r="Y122" s="30">
        <f t="shared" si="35"/>
        <v>52.552552552552548</v>
      </c>
      <c r="Z122" s="30">
        <f t="shared" si="35"/>
        <v>62.631578947368425</v>
      </c>
      <c r="AA122" s="30"/>
      <c r="AB122" s="30">
        <f t="shared" si="36"/>
        <v>78.482972136222912</v>
      </c>
      <c r="AC122" s="7">
        <f t="shared" si="36"/>
        <v>15.612033195020746</v>
      </c>
      <c r="AD122" s="30">
        <f t="shared" si="36"/>
        <v>52.416918429003019</v>
      </c>
      <c r="AE122" s="30">
        <f t="shared" si="36"/>
        <v>60.05291005291005</v>
      </c>
      <c r="AF122" s="30">
        <f t="shared" ref="AF122" si="39">AVERAGE(R122:U122,W122:Z122,AB122:AE122)</f>
        <v>54.439794033359924</v>
      </c>
      <c r="AG122" s="30"/>
    </row>
    <row r="123" spans="1:33" ht="16" thickBot="1" x14ac:dyDescent="0.25">
      <c r="A123" s="16"/>
      <c r="B123" s="18"/>
      <c r="C123" s="21"/>
      <c r="D123" s="21"/>
      <c r="E123" s="17"/>
      <c r="G123" s="19"/>
      <c r="H123" s="18"/>
      <c r="I123" s="17"/>
      <c r="J123" s="18"/>
      <c r="L123" s="18"/>
      <c r="M123" s="18"/>
      <c r="N123" s="17"/>
      <c r="O123" s="21"/>
      <c r="Q123" s="40" t="s">
        <v>189</v>
      </c>
      <c r="R123" s="30">
        <f t="shared" si="34"/>
        <v>49.715909090909093</v>
      </c>
      <c r="S123" s="7">
        <f t="shared" si="34"/>
        <v>32.750397456279813</v>
      </c>
      <c r="T123" s="30">
        <f t="shared" si="34"/>
        <v>61.296660117878197</v>
      </c>
      <c r="U123" s="30">
        <f t="shared" si="34"/>
        <v>62.406015037593974</v>
      </c>
      <c r="V123" s="30"/>
      <c r="W123" s="30">
        <f t="shared" si="35"/>
        <v>54.718417047184168</v>
      </c>
      <c r="X123" s="7">
        <f t="shared" si="35"/>
        <v>15.671641791044777</v>
      </c>
      <c r="Y123" s="30">
        <f t="shared" si="35"/>
        <v>49.4</v>
      </c>
      <c r="Z123" s="30">
        <f t="shared" si="35"/>
        <v>59.71223021582734</v>
      </c>
      <c r="AA123" s="30"/>
      <c r="AB123" s="30">
        <f t="shared" si="36"/>
        <v>51.26782884310618</v>
      </c>
      <c r="AC123" s="7">
        <f t="shared" si="36"/>
        <v>15.440000000000001</v>
      </c>
      <c r="AD123" s="30">
        <f t="shared" si="36"/>
        <v>49.509803921568626</v>
      </c>
      <c r="AE123" s="30">
        <f t="shared" si="36"/>
        <v>64.527027027027017</v>
      </c>
      <c r="AF123" s="30">
        <f>AVERAGE(R123:U123,W123:Z123,AB123:AE123)</f>
        <v>47.201327545701595</v>
      </c>
      <c r="AG123" s="30"/>
    </row>
    <row r="124" spans="1:33" x14ac:dyDescent="0.2">
      <c r="A124" s="75" t="s">
        <v>221</v>
      </c>
      <c r="B124" s="77" t="s">
        <v>218</v>
      </c>
      <c r="C124" s="77"/>
      <c r="D124" s="77"/>
      <c r="E124" s="77"/>
      <c r="F124" s="78"/>
      <c r="G124" s="77" t="s">
        <v>219</v>
      </c>
      <c r="H124" s="77"/>
      <c r="I124" s="77"/>
      <c r="J124" s="77"/>
      <c r="L124" s="77" t="s">
        <v>220</v>
      </c>
      <c r="M124" s="77"/>
      <c r="N124" s="77"/>
      <c r="O124" s="77"/>
      <c r="Q124" s="16" t="s">
        <v>168</v>
      </c>
      <c r="R124" s="30">
        <f>AVERAGE(R121:R123)</f>
        <v>64.254903965955975</v>
      </c>
      <c r="S124" s="7">
        <f t="shared" ref="S124:AE124" si="40">AVERAGE(S121:S123)</f>
        <v>28.285720801900965</v>
      </c>
      <c r="T124" s="30">
        <f t="shared" si="40"/>
        <v>58.7473677027549</v>
      </c>
      <c r="U124" s="30">
        <f t="shared" si="40"/>
        <v>66.893021215435269</v>
      </c>
      <c r="V124" s="30"/>
      <c r="W124" s="30">
        <f t="shared" si="40"/>
        <v>65.075781076139435</v>
      </c>
      <c r="X124" s="7">
        <f t="shared" si="40"/>
        <v>18.65744957326184</v>
      </c>
      <c r="Y124" s="30">
        <f t="shared" si="40"/>
        <v>52.72185676801061</v>
      </c>
      <c r="Z124" s="30">
        <f t="shared" si="40"/>
        <v>60.424126863922396</v>
      </c>
      <c r="AA124" s="30"/>
      <c r="AB124" s="30">
        <f t="shared" si="40"/>
        <v>64.218553092974744</v>
      </c>
      <c r="AC124" s="7">
        <f t="shared" si="40"/>
        <v>19.501334961198353</v>
      </c>
      <c r="AD124" s="30">
        <f t="shared" si="40"/>
        <v>55.308907450190553</v>
      </c>
      <c r="AE124" s="30">
        <f t="shared" si="40"/>
        <v>62.785149094672896</v>
      </c>
    </row>
    <row r="125" spans="1:33" x14ac:dyDescent="0.2">
      <c r="A125" s="76"/>
      <c r="B125" s="12" t="s">
        <v>183</v>
      </c>
      <c r="C125" s="12" t="s">
        <v>184</v>
      </c>
      <c r="D125" s="12" t="s">
        <v>185</v>
      </c>
      <c r="E125" s="12" t="s">
        <v>186</v>
      </c>
      <c r="F125" s="78"/>
      <c r="G125" s="12" t="s">
        <v>183</v>
      </c>
      <c r="H125" s="12" t="s">
        <v>184</v>
      </c>
      <c r="I125" s="12" t="s">
        <v>185</v>
      </c>
      <c r="J125" s="12" t="s">
        <v>186</v>
      </c>
      <c r="K125" s="14"/>
      <c r="L125" s="12" t="s">
        <v>183</v>
      </c>
      <c r="M125" s="12" t="s">
        <v>184</v>
      </c>
      <c r="N125" s="12" t="s">
        <v>185</v>
      </c>
      <c r="O125" s="12" t="s">
        <v>186</v>
      </c>
      <c r="S125" s="30">
        <f>AVERAGE(R124:U124)</f>
        <v>54.545253421511774</v>
      </c>
      <c r="X125" s="30">
        <f>AVERAGE(W124:Z124)</f>
        <v>49.219803570333575</v>
      </c>
      <c r="AC125" s="30">
        <f>AVERAGE(AB124:AE124)</f>
        <v>50.453486149759136</v>
      </c>
    </row>
    <row r="126" spans="1:33" x14ac:dyDescent="0.2">
      <c r="A126" s="15" t="s">
        <v>7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33" x14ac:dyDescent="0.2">
      <c r="A127" s="16" t="s">
        <v>187</v>
      </c>
      <c r="B127" s="17">
        <f>$H$51/(($F$51-2)*$P$51)*100</f>
        <v>13.911290322580644</v>
      </c>
      <c r="C127" s="26">
        <f>$H$55/(($F$55-2)*$P$55)*100</f>
        <v>21.681864235055727</v>
      </c>
      <c r="D127" s="21">
        <f>$H$59/(($F$59-2)*$P$59)*100</f>
        <v>27.232142857142854</v>
      </c>
      <c r="E127" s="20">
        <f>$H$63/(($F$63-2)*$P$63)*100</f>
        <v>16.326530612244898</v>
      </c>
      <c r="F127" s="30">
        <f>AVERAGE(B127:E127)</f>
        <v>19.787957006756031</v>
      </c>
      <c r="G127" s="17">
        <f>$H$52/(($F$52-2)*$P$52)*100</f>
        <v>16.599190283400812</v>
      </c>
      <c r="H127" s="26">
        <f>$H$56/(($F$56-2)*$P$56)*100</f>
        <v>21.983640081799592</v>
      </c>
      <c r="I127" s="17">
        <f>$H$60/(($F$60-2)*$P$60)*100</f>
        <v>30.408472012102873</v>
      </c>
      <c r="J127" s="26">
        <f>$H$64/(($F$64-2)*$P$64)*100</f>
        <v>20.408163265306122</v>
      </c>
      <c r="K127" s="30">
        <f>AVERAGE(G127:J127)</f>
        <v>22.349866410652353</v>
      </c>
      <c r="L127" s="21">
        <f>$H$53/(($F$53-2)*$P$53)*100</f>
        <v>12.870275791624106</v>
      </c>
      <c r="M127" s="21">
        <f>$H$57/(($F$57-2)*$P$57)*100</f>
        <v>21.218274111675125</v>
      </c>
      <c r="N127" s="17">
        <f>$H$61/(($F$61-2)*$P$61)*100</f>
        <v>27.934621099554235</v>
      </c>
      <c r="O127" s="17">
        <f>$H$65/(($F$65-2)*$P$65)*100</f>
        <v>20.812182741116754</v>
      </c>
      <c r="P127" s="30">
        <f>AVERAGE(L127:O127)</f>
        <v>20.708838435992554</v>
      </c>
    </row>
    <row r="128" spans="1:33" x14ac:dyDescent="0.2">
      <c r="A128" s="16" t="s">
        <v>188</v>
      </c>
      <c r="B128" s="21">
        <f>$H$67/(($F$67-2)*$P$67)*100</f>
        <v>30.864197530864196</v>
      </c>
      <c r="C128" s="17">
        <f>$H$71/(($F$71-2)*$P$71)*100</f>
        <v>30.962343096234306</v>
      </c>
      <c r="D128" s="26">
        <f>$H$75/(($F$75-2)*$P$75)*100</f>
        <v>16.232771822358348</v>
      </c>
      <c r="E128" s="17">
        <f>$H$79/(($F$79-2)*$P$79)*100</f>
        <v>51.595744680851062</v>
      </c>
      <c r="F128" s="30">
        <f t="shared" ref="F128:F129" si="41">AVERAGE(B128:E128)</f>
        <v>32.413764282576977</v>
      </c>
      <c r="G128" s="17">
        <f>$H$68/(($F$68-2)*$P$68)*100</f>
        <v>33.661202185792348</v>
      </c>
      <c r="H128" s="17">
        <f>$H$72/(($F$72-2)*$P$72)*100</f>
        <v>27.593360995850624</v>
      </c>
      <c r="I128" s="26">
        <f>$H$76/(($F$76-2)*$P$76)*100</f>
        <v>15.749235474006115</v>
      </c>
      <c r="J128" s="17">
        <f>$H$80/(($F$80-2)*$P$80)*100</f>
        <v>48.947368421052637</v>
      </c>
      <c r="K128" s="30">
        <f t="shared" ref="K128:K129" si="42">AVERAGE(G128:J128)</f>
        <v>31.487791769175431</v>
      </c>
      <c r="L128" s="17">
        <f>$H$69/(($F$69-2)*$P$69)*100</f>
        <v>35.287730727470141</v>
      </c>
      <c r="M128" s="20">
        <f>$H$73/(($F$73-2)*$P$73)*100</f>
        <v>15.513626834381553</v>
      </c>
      <c r="N128" s="20">
        <f>$H$77/(($F$77-2)*$P$77)*100</f>
        <v>10.461538461538462</v>
      </c>
      <c r="O128" s="21">
        <f>$H$81/(($F$81-2)*$P$81)*100</f>
        <v>39.473684210526315</v>
      </c>
      <c r="P128" s="30">
        <f t="shared" ref="P128:P129" si="43">AVERAGE(L128:O128)</f>
        <v>25.184145058479118</v>
      </c>
    </row>
    <row r="129" spans="1:35" x14ac:dyDescent="0.2">
      <c r="A129" s="16" t="s">
        <v>189</v>
      </c>
      <c r="B129" s="23">
        <f>$H$83/(($F$83-2)*$P$83)*100</f>
        <v>9.3220338983050848</v>
      </c>
      <c r="C129" s="17">
        <f>$H$87/(($F$87-2)*$P$87)*100</f>
        <v>28.419182948490228</v>
      </c>
      <c r="D129" s="17">
        <f>$H$91/(($F$91-2)*$P$91)*100</f>
        <v>18.669527896995707</v>
      </c>
      <c r="E129" s="17">
        <f>$H$95/(($F$95-2)*$P$95)*100</f>
        <v>22.857142857142858</v>
      </c>
      <c r="F129" s="30">
        <f t="shared" si="41"/>
        <v>19.816971900233469</v>
      </c>
      <c r="G129" s="22">
        <f>$H$84/(($F$84-2)*$P$84)*100</f>
        <v>7.922535211267606</v>
      </c>
      <c r="H129" s="17">
        <f>$H$88/(($F$88-2)*$P$88)*100</f>
        <v>30.902777777777779</v>
      </c>
      <c r="I129" s="17">
        <f>$H$92/(($F$92-2)*$P$92)*100</f>
        <v>19.870410367170628</v>
      </c>
      <c r="J129" s="17">
        <f>$H$96/(($F$96-2)*$P$96)*100</f>
        <v>20.97902097902098</v>
      </c>
      <c r="K129" s="30">
        <f t="shared" si="42"/>
        <v>19.918686083809249</v>
      </c>
      <c r="L129" s="23">
        <f>$H$85/(($F$85-2)*$P$85)*100</f>
        <v>8.8679245283018862</v>
      </c>
      <c r="M129" s="21">
        <f>$H$89/(($F$89-2)*$P$89)*100</f>
        <v>15.636363636363637</v>
      </c>
      <c r="N129" s="21">
        <f>$H$93/(($F$93-2)*$P$93)*100</f>
        <v>11.36890951276102</v>
      </c>
      <c r="O129" s="20">
        <f>$H$97/(($F$97-2)*$P$97)*100</f>
        <v>20.3125</v>
      </c>
      <c r="P129" s="30">
        <f t="shared" si="43"/>
        <v>14.046424419356637</v>
      </c>
    </row>
    <row r="130" spans="1:35" x14ac:dyDescent="0.2">
      <c r="A130" s="15" t="s">
        <v>13</v>
      </c>
      <c r="B130" s="27"/>
      <c r="C130" s="27"/>
      <c r="D130" s="27"/>
      <c r="E130" s="27"/>
      <c r="F130" s="47">
        <f>AVERAGE(F127:F129)</f>
        <v>24.006231063188824</v>
      </c>
      <c r="G130" s="27"/>
      <c r="H130" s="27"/>
      <c r="I130" s="27"/>
      <c r="J130" s="27"/>
      <c r="K130" s="47">
        <f>AVERAGE(K127:K129)</f>
        <v>24.585448087879012</v>
      </c>
      <c r="L130" s="27"/>
      <c r="M130" s="27"/>
      <c r="N130" s="27"/>
      <c r="O130" s="27"/>
      <c r="P130" s="47">
        <f>AVERAGE(P127:P129)</f>
        <v>19.979802637942768</v>
      </c>
    </row>
    <row r="131" spans="1:35" x14ac:dyDescent="0.2">
      <c r="A131" s="16" t="s">
        <v>187</v>
      </c>
      <c r="B131" s="17">
        <f>$N$51/(($F$51-2)*$P$51)*100</f>
        <v>52.721774193548384</v>
      </c>
      <c r="C131" s="23">
        <f>$N$55/(($F$55-2)*$P$55)*100</f>
        <v>5.2684903748733536</v>
      </c>
      <c r="D131" s="20">
        <f>$N$59/(($F$59-2)*$P$59)*100</f>
        <v>27.827380952380953</v>
      </c>
      <c r="E131" s="17">
        <f>$N$63/(($F$63-2)*$P$63)*100</f>
        <v>42.857142857142854</v>
      </c>
      <c r="F131" s="12"/>
      <c r="G131" s="21">
        <f>$N$52/(($F$52-2)*$P$52)*100</f>
        <v>51.012145748987855</v>
      </c>
      <c r="H131" s="22">
        <f>$N$56/(($F$56-2)*$P$56)*100</f>
        <v>4.703476482617587</v>
      </c>
      <c r="I131" s="26">
        <f>$N$60/(($F$60-2)*$P$60)*100</f>
        <v>31.316187594553707</v>
      </c>
      <c r="J131" s="17">
        <f>$N$64/(($F$64-2)*$P$64)*100</f>
        <v>39.285714285714285</v>
      </c>
      <c r="L131" s="17">
        <f>$N$53/(($F$53-2)*$P$53)*100</f>
        <v>53.421859039836569</v>
      </c>
      <c r="M131" s="23">
        <f>$N$57/(($F$57-2)*$P$57)*100</f>
        <v>4.8730964467005071</v>
      </c>
      <c r="N131" s="26">
        <f>$N$61/(($F$61-2)*$P$61)*100</f>
        <v>31.352154531946507</v>
      </c>
      <c r="O131" s="21">
        <f>$N$65/(($F$65-2)*$P$65)*100</f>
        <v>39.086294416243653</v>
      </c>
    </row>
    <row r="132" spans="1:35" x14ac:dyDescent="0.2">
      <c r="A132" s="16" t="s">
        <v>188</v>
      </c>
      <c r="B132" s="21">
        <f>$N$67/(($F$67-2)*$P$67)*100</f>
        <v>40.628507295173961</v>
      </c>
      <c r="C132" s="19">
        <f>$N$71/(($F$71-2)*$P$71)*100</f>
        <v>7.3221757322175733</v>
      </c>
      <c r="D132" s="17">
        <f>$N$75/(($F$75-2)*$P$75)*100</f>
        <v>38.897396630934153</v>
      </c>
      <c r="E132" s="26">
        <f>$N$79/(($F$79-2)*$P$79)*100</f>
        <v>27.659574468085108</v>
      </c>
      <c r="F132" s="12"/>
      <c r="G132" s="26">
        <f>$N$68/(($F$68-2)*$P$68)*100</f>
        <v>43.060109289617486</v>
      </c>
      <c r="H132" s="18">
        <f>$N$72/(($F$72-2)*$P$72)*100</f>
        <v>7.5726141078838172</v>
      </c>
      <c r="I132" s="21">
        <f>$N$76/(($F$76-2)*$P$76)*100</f>
        <v>38.685015290519878</v>
      </c>
      <c r="J132" s="20">
        <f>$N$80/(($F$80-2)*$P$80)*100</f>
        <v>24.736842105263158</v>
      </c>
      <c r="L132" s="26">
        <f>$N$69/(($F$69-2)*$P$69)*100</f>
        <v>43.648208469055376</v>
      </c>
      <c r="M132" s="18">
        <f>$N$73/(($F$73-2)*$P$73)*100</f>
        <v>7.3375262054507342</v>
      </c>
      <c r="N132" s="17">
        <f>$N$77/(($F$77-2)*$P$77)*100</f>
        <v>42.923076923076927</v>
      </c>
      <c r="O132" s="26">
        <f>$N$81/(($F$81-2)*$P$81)*100</f>
        <v>26.315789473684209</v>
      </c>
      <c r="AI132">
        <f>(AF144-AF122)/AF122*100</f>
        <v>7.9372257237348487</v>
      </c>
    </row>
    <row r="133" spans="1:35" x14ac:dyDescent="0.2">
      <c r="A133" s="16" t="s">
        <v>189</v>
      </c>
      <c r="B133" s="20">
        <f>$N$83/(($F$83-2)*$P$83)*100</f>
        <v>36.779661016949149</v>
      </c>
      <c r="C133" s="18">
        <f>$N$87/(($F$87-2)*$P$87)*100</f>
        <v>5.8614564831261102</v>
      </c>
      <c r="D133" s="17">
        <f>$N$91/(($F$91-2)*$P$91)*100</f>
        <v>35.193133047210303</v>
      </c>
      <c r="E133" s="21">
        <f>$N$95/(($F$95-2)*$P$95)*100</f>
        <v>30</v>
      </c>
      <c r="F133" s="12"/>
      <c r="G133" s="17">
        <f>$N$84/(($F$84-2)*$P$84)*100</f>
        <v>45.070422535211272</v>
      </c>
      <c r="H133" s="18">
        <f>$N$88/(($F$88-2)*$P$88)*100</f>
        <v>6.5972222222222223</v>
      </c>
      <c r="I133" s="21">
        <f>$N$92/(($F$92-2)*$P$92)*100</f>
        <v>34.773218142548593</v>
      </c>
      <c r="J133" s="17">
        <f>$N$96/(($F$96-2)*$P$96)*100</f>
        <v>35.664335664335667</v>
      </c>
      <c r="L133" s="17">
        <f>$N$85/(($F$85-2)*$P$85)*100</f>
        <v>46.981132075471699</v>
      </c>
      <c r="M133" s="19">
        <f>$N$89/(($F$89-2)*$P$89)*100</f>
        <v>5.8181818181818183</v>
      </c>
      <c r="N133" s="21">
        <f>$N$93/(($F$93-2)*$P$93)*100</f>
        <v>34.80278422273782</v>
      </c>
      <c r="O133" s="17">
        <f>$N$97/(($F$97-2)*$P$97)*100</f>
        <v>35.9375</v>
      </c>
    </row>
    <row r="134" spans="1:35" x14ac:dyDescent="0.2">
      <c r="A134" s="15" t="s">
        <v>190</v>
      </c>
      <c r="B134" s="27"/>
      <c r="C134" s="27"/>
      <c r="D134" s="27"/>
      <c r="E134" s="27"/>
      <c r="F134" s="27"/>
      <c r="G134" s="27"/>
      <c r="H134" s="27"/>
      <c r="I134" s="27"/>
      <c r="J134" s="27"/>
      <c r="K134" s="15"/>
      <c r="L134" s="27"/>
      <c r="M134" s="27"/>
      <c r="N134" s="27"/>
      <c r="O134" s="27"/>
    </row>
    <row r="135" spans="1:35" x14ac:dyDescent="0.2">
      <c r="A135" s="16" t="s">
        <v>187</v>
      </c>
      <c r="B135" s="17">
        <f>($I$51+$J$51)/(($F$51-2)*$P$51)*100</f>
        <v>18.850806451612904</v>
      </c>
      <c r="C135" s="26">
        <f>($I$55+$J$55)/(($F$55-2)*$P$55)*100</f>
        <v>70.618034447821685</v>
      </c>
      <c r="D135" s="17">
        <f>($I$59+$J$59)/(($F$59-2)*$P$59)*100</f>
        <v>31.101190476190478</v>
      </c>
      <c r="E135" s="26">
        <f>($I$63+$J$63)/(($F$63-2)*$P$63)*100</f>
        <v>32.653061224489797</v>
      </c>
      <c r="F135" s="12"/>
      <c r="G135" s="17">
        <f>($I$52+$J$52)/(($F$52-2)*$P$52)*100</f>
        <v>16.194331983805668</v>
      </c>
      <c r="H135" s="26">
        <f>($I$56+$J$56)/(($F$56-2)*$P$56)*100</f>
        <v>70.347648261758692</v>
      </c>
      <c r="I135" s="21">
        <f>($I$60+$J$60)/(($F$60-2)*$P$60)*100</f>
        <v>27.685325264750375</v>
      </c>
      <c r="J135" s="26">
        <f>($I$64+$J$64)/(($F$64-2)*$P$64)*100</f>
        <v>28.061224489795915</v>
      </c>
      <c r="L135" s="21">
        <f>($I$53+$J$53)/(($F$53-2)*$P$53)*100</f>
        <v>20.122574055158324</v>
      </c>
      <c r="M135" s="21">
        <f>($I$57+$J$57)/(($F$57-2)*$P$57)*100</f>
        <v>71.269035532994934</v>
      </c>
      <c r="N135" s="17">
        <f>($I$61+$J$61)/(($F$61-2)*$P$61)*100</f>
        <v>30.460624071322435</v>
      </c>
      <c r="O135" s="21">
        <f>($I$65+$J$65)/(($F$65-2)*$P$65)*100</f>
        <v>27.918781725888326</v>
      </c>
    </row>
    <row r="136" spans="1:35" x14ac:dyDescent="0.2">
      <c r="A136" s="16" t="s">
        <v>188</v>
      </c>
      <c r="B136" s="17">
        <f>($I$67+$J$67)/(($F$67-2)*$P$67)*100</f>
        <v>20.875420875420875</v>
      </c>
      <c r="C136" s="17">
        <f>($I$71+$J$71)/(($F$71-2)*$P$71)*100</f>
        <v>61.401673640167367</v>
      </c>
      <c r="D136" s="17">
        <f>($I$75+$J$75)/(($F$75-2)*$P$75)*100</f>
        <v>31.087289433384381</v>
      </c>
      <c r="E136" s="17">
        <f>($I$79+$J$79)/(($F$79-2)*$P$79)*100</f>
        <v>17.021276595744681</v>
      </c>
      <c r="F136" s="12"/>
      <c r="G136" s="17">
        <f>($I$68+$J$68)/(($F$68-2)*$P$68)*100</f>
        <v>17.923497267759565</v>
      </c>
      <c r="H136" s="17">
        <f>($I$72+$J$72)/(($F$72-2)*$P$72)*100</f>
        <v>64.626556016597519</v>
      </c>
      <c r="I136" s="17">
        <f>($I$76+$J$76)/(($F$76-2)*$P$76)*100</f>
        <v>31.651376146788991</v>
      </c>
      <c r="J136" s="17">
        <f>($I$80+$J$80)/(($F$80-2)*$P$80)*100</f>
        <v>20.526315789473685</v>
      </c>
      <c r="L136" s="21">
        <f>($I$69+$J$69)/(($F$69-2)*$P$69)*100</f>
        <v>16.938110749185668</v>
      </c>
      <c r="M136" s="21">
        <f>($I$73+$J$73)/(($F$73-2)*$P$73)*100</f>
        <v>76.939203354297689</v>
      </c>
      <c r="N136" s="20">
        <f>($I$77+$J$77)/(($F$77-2)*$P$77)*100</f>
        <v>36.923076923076927</v>
      </c>
      <c r="O136" s="20">
        <f>($I$81+$J$81)/(($F$81-2)*$P$81)*100</f>
        <v>29.473684210526311</v>
      </c>
    </row>
    <row r="137" spans="1:35" x14ac:dyDescent="0.2">
      <c r="A137" s="16" t="s">
        <v>189</v>
      </c>
      <c r="B137" s="26">
        <f>($I$83+$J$83)/(($F$83-2)*$P$83)*100</f>
        <v>26.440677966101696</v>
      </c>
      <c r="C137" s="17">
        <f>($I$87+$J$87)/(($F$87-2)*$P$87)*100</f>
        <v>63.943161634103021</v>
      </c>
      <c r="D137" s="26">
        <f>($I$91+$J$91)/(($F$91-2)*$P$91)*100</f>
        <v>36.051502145922747</v>
      </c>
      <c r="E137" s="17">
        <f>($I$95+$J$95)/(($F$95-2)*$P$95)*100</f>
        <v>12.142857142857142</v>
      </c>
      <c r="F137" s="12"/>
      <c r="G137" s="26">
        <f>($I$84+$J$84)/(($F$84-2)*$P$84)*100</f>
        <v>25.704225352112676</v>
      </c>
      <c r="H137" s="17">
        <f>($I$88+$J$88)/(($F$88-2)*$P$88)*100</f>
        <v>60.763888888888886</v>
      </c>
      <c r="I137" s="26">
        <f>($I$92+$J$92)/(($F$92-2)*$P$92)*100</f>
        <v>34.557235421166304</v>
      </c>
      <c r="J137" s="17">
        <f>($I$96+$J$96)/(($F$96-2)*$P$96)*100</f>
        <v>11.188811188811188</v>
      </c>
      <c r="K137" s="14"/>
      <c r="L137" s="26">
        <f>($I$85+$J$85)/(($F$85-2)*$P$85)*100</f>
        <v>26.415094339622641</v>
      </c>
      <c r="M137" s="26">
        <f>($I$89+$J$89)/(($F$89-2)*$P$89)*100</f>
        <v>77.63636363636364</v>
      </c>
      <c r="N137" s="17">
        <f>($I$93+$J$93)/(($F$93-2)*$P$93)*100</f>
        <v>44.779582366589324</v>
      </c>
      <c r="O137" s="17">
        <f>($I$97+$J$97)/(($F$97-2)*$P$97)*100</f>
        <v>10.9375</v>
      </c>
    </row>
    <row r="138" spans="1:35" x14ac:dyDescent="0.2">
      <c r="A138" s="15" t="s">
        <v>11</v>
      </c>
      <c r="B138" s="27"/>
      <c r="C138" s="27"/>
      <c r="D138" s="27"/>
      <c r="E138" s="27"/>
      <c r="F138" s="27"/>
      <c r="G138" s="27"/>
      <c r="H138" s="27"/>
      <c r="I138" s="27"/>
      <c r="J138" s="27"/>
      <c r="L138" s="27"/>
      <c r="M138" s="27"/>
      <c r="N138" s="27"/>
      <c r="O138" s="27"/>
    </row>
    <row r="139" spans="1:35" x14ac:dyDescent="0.2">
      <c r="A139" s="16" t="s">
        <v>187</v>
      </c>
      <c r="B139" s="17">
        <f>$L$51/(($F$51-2)*$P$51)*100</f>
        <v>14.516129032258066</v>
      </c>
      <c r="C139" s="18">
        <f>$L$55/(($F$55-2)*$P$55)*100</f>
        <v>2.43161094224924</v>
      </c>
      <c r="D139" s="20">
        <f>$L$59/(($F$59-2)*$P$59)*100</f>
        <v>13.839285714285715</v>
      </c>
      <c r="E139" s="18">
        <f>$L$63/(($F$63-2)*$P$63)*100</f>
        <v>8.1632653061224492</v>
      </c>
      <c r="F139" s="12"/>
      <c r="G139" s="21">
        <f>$L$52/(($F$52-2)*$P$52)*100</f>
        <v>16.194331983805668</v>
      </c>
      <c r="H139" s="22">
        <f>$L$56/(($F$56-2)*$P$56)*100</f>
        <v>2.9652351738241309</v>
      </c>
      <c r="I139" s="17">
        <f>$L$60/(($F$60-2)*$P$60)*100</f>
        <v>10.59001512859304</v>
      </c>
      <c r="J139" s="21">
        <f>$L$64/(($F$64-2)*$P$64)*100</f>
        <v>12.244897959183673</v>
      </c>
      <c r="L139" s="17">
        <f>$L$53/(($F$53-2)*$P$53)*100</f>
        <v>13.585291113381</v>
      </c>
      <c r="M139" s="23">
        <f>$L$57/(($F$57-2)*$P$57)*100</f>
        <v>2.6395939086294415</v>
      </c>
      <c r="N139" s="17">
        <f>$L$61/(($F$61-2)*$P$61)*100</f>
        <v>10.252600297176819</v>
      </c>
      <c r="O139" s="21">
        <f>$L$65/(($F$65-2)*$P$65)*100</f>
        <v>12.18274111675127</v>
      </c>
    </row>
    <row r="140" spans="1:35" x14ac:dyDescent="0.2">
      <c r="A140" s="16" t="s">
        <v>188</v>
      </c>
      <c r="B140" s="19">
        <f>$L$67/(($F$67-2)*$P$67)*100</f>
        <v>7.6318742985409651</v>
      </c>
      <c r="C140" s="31">
        <f>$L$71/(($F$71-2)*$P$71)*100</f>
        <v>0.31380753138075312</v>
      </c>
      <c r="D140" s="26">
        <f>$L$75/(($F$75-2)*$P$75)*100</f>
        <v>13.782542113323123</v>
      </c>
      <c r="E140" s="18">
        <f>$L$79/(($F$79-2)*$P$79)*100</f>
        <v>3.7234042553191489</v>
      </c>
      <c r="F140" s="12"/>
      <c r="G140" s="18">
        <f>$L$68/(($F$68-2)*$P$68)*100</f>
        <v>5.3551912568306017</v>
      </c>
      <c r="H140" s="28">
        <f>$L$72/(($F$72-2)*$P$72)*100</f>
        <v>0.2074688796680498</v>
      </c>
      <c r="I140" s="20">
        <f>$L$76/(($F$76-2)*$P$76)*100</f>
        <v>13.914373088685014</v>
      </c>
      <c r="J140" s="19">
        <f>$L$80/(($F$80-2)*$P$80)*100</f>
        <v>5.7894736842105265</v>
      </c>
      <c r="L140" s="18">
        <f>$L$69/(($F$69-2)*$P$69)*100</f>
        <v>4.1259500542888166</v>
      </c>
      <c r="M140" s="28">
        <f>$L$73/(($F$73-2)*$P$73)*100</f>
        <v>0.20964360587002098</v>
      </c>
      <c r="N140" s="23">
        <f>$L$77/(($F$77-2)*$P$77)*100</f>
        <v>9.6923076923076916</v>
      </c>
      <c r="O140" s="18">
        <f>$L$81/(($F$81-2)*$P$81)*100</f>
        <v>4.7368421052631584</v>
      </c>
    </row>
    <row r="141" spans="1:35" ht="15" customHeight="1" x14ac:dyDescent="0.2">
      <c r="A141" s="16" t="s">
        <v>189</v>
      </c>
      <c r="B141" s="20">
        <f>$L$83/(($F$83-2)*$P$83)*100</f>
        <v>27.457627118644069</v>
      </c>
      <c r="C141" s="22">
        <f>$L$87/(($F$87-2)*$P$87)*100</f>
        <v>1.7761989342806392</v>
      </c>
      <c r="D141" s="17">
        <f>$L$91/(($F$91-2)*$P$91)*100</f>
        <v>10.085836909871244</v>
      </c>
      <c r="E141" s="20">
        <f>$L$95/(($F$95-2)*$P$95)*100</f>
        <v>35</v>
      </c>
      <c r="F141" s="12"/>
      <c r="G141" s="26">
        <f>$L$84/(($F$84-2)*$P$84)*100</f>
        <v>21.302816901408448</v>
      </c>
      <c r="H141" s="18">
        <f>$L$88/(($F$88-2)*$P$88)*100</f>
        <v>1.7361111111111112</v>
      </c>
      <c r="I141" s="21">
        <f>$L$92/(($F$92-2)*$P$92)*100</f>
        <v>10.799136069114471</v>
      </c>
      <c r="J141" s="26">
        <f>$L$96/(($F$96-2)*$P$96)*100</f>
        <v>32.167832167832167</v>
      </c>
      <c r="L141" s="26">
        <f>$L$85/(($F$85-2)*$P$85)*100</f>
        <v>17.735849056603772</v>
      </c>
      <c r="M141" s="28">
        <f>$L$89/(($F$89-2)*$P$89)*100</f>
        <v>0.90909090909090906</v>
      </c>
      <c r="N141" s="18">
        <f>$L$93/(($F$93-2)*$P$93)*100</f>
        <v>9.0487238979118327</v>
      </c>
      <c r="O141" s="26">
        <f>$L$97/(($F$97-2)*$P$97)*100</f>
        <v>32.8125</v>
      </c>
      <c r="Q141" s="75" t="s">
        <v>221</v>
      </c>
      <c r="R141" s="77" t="s">
        <v>218</v>
      </c>
      <c r="S141" s="77"/>
      <c r="T141" s="77"/>
      <c r="U141" s="77"/>
      <c r="V141" s="78"/>
      <c r="W141" s="77" t="s">
        <v>219</v>
      </c>
      <c r="X141" s="77"/>
      <c r="Y141" s="77"/>
      <c r="Z141" s="77"/>
      <c r="AB141" s="77" t="s">
        <v>220</v>
      </c>
      <c r="AC141" s="77"/>
      <c r="AD141" s="77"/>
      <c r="AE141" s="77"/>
      <c r="AF141" t="s">
        <v>168</v>
      </c>
    </row>
    <row r="142" spans="1:35" x14ac:dyDescent="0.2">
      <c r="A142" s="49"/>
      <c r="B142" s="47">
        <f>SUM(B127+B131+B135+B139)</f>
        <v>99.999999999999986</v>
      </c>
      <c r="C142" s="47">
        <f t="shared" ref="C142:E142" si="44">SUM(C127+C131+C135+C139)</f>
        <v>100</v>
      </c>
      <c r="D142" s="47">
        <f t="shared" si="44"/>
        <v>100</v>
      </c>
      <c r="E142" s="47">
        <f t="shared" si="44"/>
        <v>100.00000000000001</v>
      </c>
      <c r="F142" s="47"/>
      <c r="G142" s="47">
        <f t="shared" ref="G142:J142" si="45">SUM(G127+G131+G135+G139)</f>
        <v>100</v>
      </c>
      <c r="H142" s="47">
        <f t="shared" si="45"/>
        <v>100</v>
      </c>
      <c r="I142" s="47">
        <f t="shared" si="45"/>
        <v>99.999999999999986</v>
      </c>
      <c r="J142" s="47">
        <f t="shared" si="45"/>
        <v>100</v>
      </c>
      <c r="K142" s="47"/>
      <c r="L142" s="47">
        <f>SUM(L127+L131+L135+L139)</f>
        <v>100</v>
      </c>
      <c r="M142" s="47">
        <f t="shared" ref="M142:O142" si="46">SUM(M127+M131+M135+M139)</f>
        <v>100</v>
      </c>
      <c r="N142" s="47">
        <f t="shared" si="46"/>
        <v>100</v>
      </c>
      <c r="O142" s="47">
        <f t="shared" si="46"/>
        <v>100</v>
      </c>
      <c r="Q142" s="76"/>
      <c r="R142" s="12" t="s">
        <v>183</v>
      </c>
      <c r="S142" s="12" t="s">
        <v>184</v>
      </c>
      <c r="T142" s="12" t="s">
        <v>185</v>
      </c>
      <c r="U142" s="12" t="s">
        <v>186</v>
      </c>
      <c r="V142" s="78"/>
      <c r="W142" s="12" t="s">
        <v>183</v>
      </c>
      <c r="X142" s="12" t="s">
        <v>184</v>
      </c>
      <c r="Y142" s="12" t="s">
        <v>185</v>
      </c>
      <c r="Z142" s="12" t="s">
        <v>186</v>
      </c>
      <c r="AA142" s="14"/>
      <c r="AB142" s="12" t="s">
        <v>183</v>
      </c>
      <c r="AC142" s="12" t="s">
        <v>184</v>
      </c>
      <c r="AD142" s="12" t="s">
        <v>185</v>
      </c>
      <c r="AE142" s="12" t="s">
        <v>186</v>
      </c>
    </row>
    <row r="143" spans="1:35" x14ac:dyDescent="0.2">
      <c r="A143" s="16"/>
      <c r="B143" s="17">
        <f>SUM(B128+B132+B136+B140)</f>
        <v>100</v>
      </c>
      <c r="C143" s="17">
        <f t="shared" ref="C143:E143" si="47">SUM(C128+C132+C136+C140)</f>
        <v>100</v>
      </c>
      <c r="D143" s="17">
        <f t="shared" si="47"/>
        <v>100</v>
      </c>
      <c r="E143" s="17">
        <f t="shared" si="47"/>
        <v>100</v>
      </c>
      <c r="F143" s="17"/>
      <c r="G143" s="17">
        <f t="shared" ref="G143:J143" si="48">SUM(G128+G132+G136+G140)</f>
        <v>100</v>
      </c>
      <c r="H143" s="17">
        <f t="shared" si="48"/>
        <v>100.00000000000001</v>
      </c>
      <c r="I143" s="17">
        <f t="shared" si="48"/>
        <v>100</v>
      </c>
      <c r="J143" s="17">
        <f t="shared" si="48"/>
        <v>100</v>
      </c>
      <c r="K143" s="17"/>
      <c r="L143" s="17">
        <f>SUM(L128+L132+L136+L140)</f>
        <v>100</v>
      </c>
      <c r="M143" s="17">
        <f t="shared" ref="M143:O143" si="49">SUM(M128+M132+M136+M140)</f>
        <v>100</v>
      </c>
      <c r="N143" s="17">
        <f t="shared" si="49"/>
        <v>100.00000000000001</v>
      </c>
      <c r="O143" s="17">
        <f t="shared" si="49"/>
        <v>100</v>
      </c>
      <c r="Q143" s="16" t="s">
        <v>187</v>
      </c>
      <c r="R143" s="30">
        <f t="shared" ref="R143:U145" si="50">B127+B131</f>
        <v>66.633064516129025</v>
      </c>
      <c r="S143" s="7">
        <f t="shared" si="50"/>
        <v>26.950354609929079</v>
      </c>
      <c r="T143" s="30">
        <f t="shared" si="50"/>
        <v>55.05952380952381</v>
      </c>
      <c r="U143" s="30">
        <f t="shared" si="50"/>
        <v>59.183673469387756</v>
      </c>
      <c r="V143" s="30"/>
      <c r="W143" s="30">
        <f t="shared" ref="W143:Z145" si="51">G127+G131</f>
        <v>67.611336032388664</v>
      </c>
      <c r="X143" s="7">
        <f t="shared" si="51"/>
        <v>26.687116564417181</v>
      </c>
      <c r="Y143" s="30">
        <f t="shared" si="51"/>
        <v>61.72465960665658</v>
      </c>
      <c r="Z143" s="30">
        <f t="shared" si="51"/>
        <v>59.693877551020407</v>
      </c>
      <c r="AA143" s="30"/>
      <c r="AB143" s="30">
        <f t="shared" ref="AB143:AE145" si="52">L127+L131</f>
        <v>66.292134831460672</v>
      </c>
      <c r="AC143" s="7">
        <f t="shared" si="52"/>
        <v>26.091370558375633</v>
      </c>
      <c r="AD143" s="30">
        <f t="shared" si="52"/>
        <v>59.286775631500745</v>
      </c>
      <c r="AE143" s="30">
        <f t="shared" si="52"/>
        <v>59.898477157360404</v>
      </c>
      <c r="AF143" s="30">
        <f>AVERAGE(R143:U143,W143:Z143,AB143:AE143)</f>
        <v>52.926030361512495</v>
      </c>
      <c r="AG143" s="30"/>
    </row>
    <row r="144" spans="1:35" x14ac:dyDescent="0.2">
      <c r="A144" s="16"/>
      <c r="B144" s="17">
        <f>SUM(B129+B133+B137+B141)</f>
        <v>100</v>
      </c>
      <c r="C144" s="17">
        <f t="shared" ref="C144:E144" si="53">SUM(C129+C133+C137+C141)</f>
        <v>100</v>
      </c>
      <c r="D144" s="17">
        <f t="shared" si="53"/>
        <v>100.00000000000001</v>
      </c>
      <c r="E144" s="17">
        <f t="shared" si="53"/>
        <v>100</v>
      </c>
      <c r="F144" s="17"/>
      <c r="G144" s="17">
        <f t="shared" ref="G144:J144" si="54">SUM(G129+G133+G137+G141)</f>
        <v>100</v>
      </c>
      <c r="H144" s="17">
        <f t="shared" si="54"/>
        <v>100</v>
      </c>
      <c r="I144" s="17">
        <f t="shared" si="54"/>
        <v>100</v>
      </c>
      <c r="J144" s="17">
        <f t="shared" si="54"/>
        <v>100</v>
      </c>
      <c r="K144" s="17"/>
      <c r="L144" s="17">
        <f>SUM(L129+L133+L137+L141)</f>
        <v>100</v>
      </c>
      <c r="M144" s="17">
        <f t="shared" ref="M144:O144" si="55">SUM(M129+M133+M137+M141)</f>
        <v>100</v>
      </c>
      <c r="N144" s="17">
        <f t="shared" si="55"/>
        <v>100</v>
      </c>
      <c r="O144" s="17">
        <f t="shared" si="55"/>
        <v>100</v>
      </c>
      <c r="Q144" s="16" t="s">
        <v>188</v>
      </c>
      <c r="R144" s="30">
        <f t="shared" si="50"/>
        <v>71.492704826038164</v>
      </c>
      <c r="S144" s="7">
        <f t="shared" si="50"/>
        <v>38.28451882845188</v>
      </c>
      <c r="T144" s="30">
        <f t="shared" si="50"/>
        <v>55.130168453292498</v>
      </c>
      <c r="U144" s="30">
        <f t="shared" si="50"/>
        <v>79.255319148936167</v>
      </c>
      <c r="V144" s="30"/>
      <c r="W144" s="30">
        <f t="shared" si="51"/>
        <v>76.721311475409834</v>
      </c>
      <c r="X144" s="7">
        <f t="shared" si="51"/>
        <v>35.165975103734439</v>
      </c>
      <c r="Y144" s="30">
        <f t="shared" si="51"/>
        <v>54.434250764525991</v>
      </c>
      <c r="Z144" s="30">
        <f t="shared" si="51"/>
        <v>73.684210526315795</v>
      </c>
      <c r="AA144" s="30"/>
      <c r="AB144" s="30">
        <f t="shared" si="52"/>
        <v>78.93593919652551</v>
      </c>
      <c r="AC144" s="7">
        <f t="shared" si="52"/>
        <v>22.851153039832287</v>
      </c>
      <c r="AD144" s="30">
        <f t="shared" si="52"/>
        <v>53.384615384615387</v>
      </c>
      <c r="AE144" s="30">
        <f t="shared" si="52"/>
        <v>65.78947368421052</v>
      </c>
      <c r="AF144" s="30">
        <f t="shared" ref="AF144:AF145" si="56">AVERAGE(R144:U144,W144:Z144,AB144:AE144)</f>
        <v>58.760803369324037</v>
      </c>
      <c r="AG144" s="30"/>
    </row>
    <row r="145" spans="17:33" ht="16" thickBot="1" x14ac:dyDescent="0.25">
      <c r="Q145" s="40" t="s">
        <v>189</v>
      </c>
      <c r="R145" s="30">
        <f t="shared" si="50"/>
        <v>46.101694915254235</v>
      </c>
      <c r="S145" s="7">
        <f t="shared" si="50"/>
        <v>34.280639431616336</v>
      </c>
      <c r="T145" s="30">
        <f t="shared" si="50"/>
        <v>53.862660944206013</v>
      </c>
      <c r="U145" s="30">
        <f t="shared" si="50"/>
        <v>52.857142857142861</v>
      </c>
      <c r="V145" s="30"/>
      <c r="W145" s="30">
        <f t="shared" si="51"/>
        <v>52.992957746478879</v>
      </c>
      <c r="X145" s="7">
        <f t="shared" si="51"/>
        <v>37.5</v>
      </c>
      <c r="Y145" s="30">
        <f t="shared" si="51"/>
        <v>54.643628509719221</v>
      </c>
      <c r="Z145" s="30">
        <f t="shared" si="51"/>
        <v>56.643356643356647</v>
      </c>
      <c r="AA145" s="30"/>
      <c r="AB145" s="30">
        <f t="shared" si="52"/>
        <v>55.849056603773583</v>
      </c>
      <c r="AC145" s="7">
        <f t="shared" si="52"/>
        <v>21.454545454545453</v>
      </c>
      <c r="AD145" s="30">
        <f t="shared" si="52"/>
        <v>46.171693735498842</v>
      </c>
      <c r="AE145" s="30">
        <f t="shared" si="52"/>
        <v>56.25</v>
      </c>
      <c r="AF145" s="30">
        <f t="shared" si="56"/>
        <v>47.383948070132675</v>
      </c>
      <c r="AG145" s="30"/>
    </row>
    <row r="146" spans="17:33" x14ac:dyDescent="0.2">
      <c r="Q146" s="16" t="s">
        <v>168</v>
      </c>
      <c r="R146" s="30">
        <f>AVERAGE(R143:R145)</f>
        <v>61.409154752473803</v>
      </c>
      <c r="S146" s="7">
        <f t="shared" ref="S146" si="57">AVERAGE(S143:S145)</f>
        <v>33.171837623332429</v>
      </c>
      <c r="T146" s="30">
        <f t="shared" ref="T146" si="58">AVERAGE(T143:T145)</f>
        <v>54.684117735674107</v>
      </c>
      <c r="U146" s="30">
        <f t="shared" ref="U146" si="59">AVERAGE(U143:U145)</f>
        <v>63.765378491822268</v>
      </c>
      <c r="V146" s="30"/>
      <c r="W146" s="30">
        <f t="shared" ref="W146" si="60">AVERAGE(W143:W145)</f>
        <v>65.775201751425797</v>
      </c>
      <c r="X146" s="7">
        <f t="shared" ref="X146" si="61">AVERAGE(X143:X145)</f>
        <v>33.117697222717204</v>
      </c>
      <c r="Y146" s="30">
        <f t="shared" ref="Y146" si="62">AVERAGE(Y143:Y145)</f>
        <v>56.934179626967271</v>
      </c>
      <c r="Z146" s="30">
        <f t="shared" ref="Z146" si="63">AVERAGE(Z143:Z145)</f>
        <v>63.340481573564283</v>
      </c>
      <c r="AA146" s="30"/>
      <c r="AB146" s="30">
        <f t="shared" ref="AB146" si="64">AVERAGE(AB143:AB145)</f>
        <v>67.025710210586581</v>
      </c>
      <c r="AC146" s="7">
        <f t="shared" ref="AC146" si="65">AVERAGE(AC143:AC145)</f>
        <v>23.465689684251128</v>
      </c>
      <c r="AD146" s="30">
        <f t="shared" ref="AD146" si="66">AVERAGE(AD143:AD145)</f>
        <v>52.947694917204991</v>
      </c>
      <c r="AE146" s="30">
        <f t="shared" ref="AE146" si="67">AVERAGE(AE143:AE145)</f>
        <v>60.64598361385697</v>
      </c>
    </row>
    <row r="147" spans="17:33" x14ac:dyDescent="0.2">
      <c r="S147" s="30">
        <f>AVERAGE(R146:U146)</f>
        <v>53.257622150825654</v>
      </c>
      <c r="X147" s="30">
        <f>AVERAGE(W146:Z146)</f>
        <v>54.791890043668644</v>
      </c>
      <c r="AC147" s="30">
        <f>AVERAGE(AB146:AE146)</f>
        <v>51.021269606474917</v>
      </c>
    </row>
    <row r="183" spans="17:38" x14ac:dyDescent="0.2">
      <c r="Q183" s="75" t="s">
        <v>214</v>
      </c>
      <c r="R183" s="77" t="s">
        <v>215</v>
      </c>
      <c r="S183" s="77"/>
      <c r="T183" s="77"/>
      <c r="U183" s="77"/>
      <c r="V183" s="78"/>
      <c r="W183" s="77" t="s">
        <v>216</v>
      </c>
      <c r="X183" s="77"/>
      <c r="Y183" s="77"/>
      <c r="Z183" s="77"/>
      <c r="AB183" s="77" t="s">
        <v>217</v>
      </c>
      <c r="AC183" s="77"/>
      <c r="AD183" s="77"/>
      <c r="AE183" s="77"/>
      <c r="AH183" s="118" t="s">
        <v>297</v>
      </c>
      <c r="AI183" s="118"/>
      <c r="AJ183" s="118"/>
      <c r="AK183" s="118"/>
    </row>
    <row r="184" spans="17:38" x14ac:dyDescent="0.2">
      <c r="Q184" s="76"/>
      <c r="R184" s="12" t="s">
        <v>183</v>
      </c>
      <c r="S184" s="12" t="s">
        <v>184</v>
      </c>
      <c r="T184" s="12" t="s">
        <v>185</v>
      </c>
      <c r="U184" s="12" t="s">
        <v>186</v>
      </c>
      <c r="V184" s="78"/>
      <c r="W184" s="12" t="s">
        <v>183</v>
      </c>
      <c r="X184" s="12" t="s">
        <v>184</v>
      </c>
      <c r="Y184" s="12" t="s">
        <v>185</v>
      </c>
      <c r="Z184" s="12" t="s">
        <v>186</v>
      </c>
      <c r="AA184" s="14"/>
      <c r="AB184" s="12" t="s">
        <v>183</v>
      </c>
      <c r="AC184" s="12" t="s">
        <v>184</v>
      </c>
      <c r="AD184" s="12" t="s">
        <v>185</v>
      </c>
      <c r="AE184" s="12" t="s">
        <v>186</v>
      </c>
      <c r="AH184" s="99" t="s">
        <v>183</v>
      </c>
      <c r="AI184" s="99" t="s">
        <v>184</v>
      </c>
      <c r="AJ184" s="99" t="s">
        <v>185</v>
      </c>
      <c r="AK184" s="99" t="s">
        <v>186</v>
      </c>
    </row>
    <row r="185" spans="17:38" x14ac:dyDescent="0.2">
      <c r="Q185" s="15" t="s">
        <v>7</v>
      </c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H185" s="101"/>
      <c r="AI185" s="101"/>
      <c r="AJ185" s="101"/>
      <c r="AK185" s="101"/>
    </row>
    <row r="186" spans="17:38" x14ac:dyDescent="0.2">
      <c r="Q186" s="16" t="s">
        <v>187</v>
      </c>
      <c r="R186" s="21">
        <f>$H$3/(($F$3-1)*$P$3)*100</f>
        <v>13.768844221105528</v>
      </c>
      <c r="S186" s="17">
        <f>$H$7/(($F$7-1)*$P$7)*100</f>
        <v>19.261880687563195</v>
      </c>
      <c r="T186" s="26">
        <f>$H$11/(($F$11-1)*$P$11)*100</f>
        <v>29.940564635958395</v>
      </c>
      <c r="U186" s="17">
        <f>$H$15/(($F$15-1)*$P$15)*100</f>
        <v>19.796954314720814</v>
      </c>
      <c r="W186" s="17">
        <f>$H$4/(($F$4-1)*$P$4)*100</f>
        <v>12.852822580645162</v>
      </c>
      <c r="X186" s="17">
        <f>$H$8/(($F$8-1)*$P$8)*100</f>
        <v>16.801619433198383</v>
      </c>
      <c r="Y186" s="17">
        <f>$H$12/(($F$12-1)*$P$12)*100</f>
        <v>26.183431952662723</v>
      </c>
      <c r="Z186" s="17">
        <f>$H$16/(($F$16-1)*$P$16)*100</f>
        <v>13.520408163265307</v>
      </c>
      <c r="AB186" s="17">
        <f>$H$5/(($F$5-1)*$P$5)*100</f>
        <v>12.651821862348179</v>
      </c>
      <c r="AC186" s="21">
        <f>$H$9/(($F$9-1)*$P$9)*100</f>
        <v>21.587462082912033</v>
      </c>
      <c r="AD186" s="21">
        <f>$H$13/(($F$13-1)*$P$13)*100</f>
        <v>30</v>
      </c>
      <c r="AE186" s="21">
        <f>$H$17/(($F$17-1)*$P$17)*100</f>
        <v>20.918367346938776</v>
      </c>
      <c r="AH186" s="102">
        <v>8.73</v>
      </c>
      <c r="AI186" s="102">
        <v>1.54</v>
      </c>
      <c r="AJ186" s="103">
        <v>12.3</v>
      </c>
      <c r="AK186" s="71">
        <v>13.8</v>
      </c>
    </row>
    <row r="187" spans="17:38" x14ac:dyDescent="0.2">
      <c r="Q187" s="16" t="s">
        <v>188</v>
      </c>
      <c r="R187" s="20">
        <f>$H$19/(($F$19-1)*$P$19)*100</f>
        <v>34.339229968782519</v>
      </c>
      <c r="S187" s="21">
        <f>$H$23/(($F$23-1)*$P$23)*100</f>
        <v>21.244855967078188</v>
      </c>
      <c r="T187" s="21">
        <f>$H$27/(($F$27-1)*$P$27)*100</f>
        <v>14.382530120481929</v>
      </c>
      <c r="U187" s="20">
        <f>$H$31/(($F$31-1)*$P$31)*100</f>
        <v>47.120418848167539</v>
      </c>
      <c r="V187" s="12"/>
      <c r="W187" s="26">
        <f>$H$20/(($F$20-1)*$P$20)*100</f>
        <v>32.053941908713696</v>
      </c>
      <c r="X187" s="17">
        <f>$H$24/(($F$24-1)*$P$24)*100</f>
        <v>11.243523316062177</v>
      </c>
      <c r="Y187" s="17">
        <f>$H$28/(($F$28-1)*$P$28)*100</f>
        <v>10.585585585585585</v>
      </c>
      <c r="Z187" s="17">
        <f>$H$32/(($F$32-1)*$P$32)*100</f>
        <v>35.789473684210527</v>
      </c>
      <c r="AB187" s="17">
        <f>$H$21/(($F$21-1)*$P$21)*100</f>
        <v>32.662538699690401</v>
      </c>
      <c r="AC187" s="18">
        <f>$H$25/(($F$25-1)*$P$25)*100</f>
        <v>8.6618257261410783</v>
      </c>
      <c r="AD187" s="17">
        <f>$H$29/(($F$29-1)*$P$29)*100</f>
        <v>10.196374622356496</v>
      </c>
      <c r="AE187" s="17">
        <f>$H$33/(($F$33-1)*$P$33)*100</f>
        <v>33.597883597883602</v>
      </c>
      <c r="AH187" s="104">
        <v>29.4</v>
      </c>
      <c r="AI187" s="105">
        <v>2.0099999999999998</v>
      </c>
      <c r="AJ187" s="106">
        <v>4.3600000000000003</v>
      </c>
      <c r="AK187" s="104">
        <v>18.5</v>
      </c>
    </row>
    <row r="188" spans="17:38" x14ac:dyDescent="0.2">
      <c r="Q188" s="16" t="s">
        <v>189</v>
      </c>
      <c r="R188" s="18">
        <f>$H$35/(($F$35-1)*$P$35)*100</f>
        <v>7.5994318181818175</v>
      </c>
      <c r="S188" s="20">
        <f>$H$39/(($F$39-1)*$P$39)*100</f>
        <v>26.47058823529412</v>
      </c>
      <c r="T188" s="21">
        <f>$H$43/(($F$43-1)*$P$43)*100</f>
        <v>24.06679764243615</v>
      </c>
      <c r="U188" s="21">
        <f>$H$47/(($F$47-1)*$P$47)*100</f>
        <v>26.315789473684209</v>
      </c>
      <c r="V188" s="12"/>
      <c r="W188" s="19">
        <f>$H$36/(($F$36-1)*$P$36)*100</f>
        <v>7.686453576864535</v>
      </c>
      <c r="X188" s="18">
        <f>$H$40/(($F$40-1)*$P$40)*100</f>
        <v>9.7844112769485907</v>
      </c>
      <c r="Y188" s="17">
        <f>$H$44/(($F$44-1)*$P$44)*100</f>
        <v>13.4</v>
      </c>
      <c r="Z188" s="17">
        <f>$H$48/(($F$48-1)*$P$48)*100</f>
        <v>20.863309352517987</v>
      </c>
      <c r="AB188" s="18">
        <f>$H$37/(($F$37-1)*$P$37)*100</f>
        <v>6.9730586370839935</v>
      </c>
      <c r="AC188" s="18">
        <f>$H$41/(($F$41-1)*$P$41)*100</f>
        <v>9.84</v>
      </c>
      <c r="AD188" s="17">
        <f>$H$45/(($F$45-1)*$P$45)*100</f>
        <v>13.921568627450981</v>
      </c>
      <c r="AE188" s="17">
        <f>$H$49/(($F$49-1)*$P$49)*100</f>
        <v>25.675675675675674</v>
      </c>
      <c r="AH188" s="102">
        <v>6.21</v>
      </c>
      <c r="AI188" s="107">
        <v>0.73099999999999998</v>
      </c>
      <c r="AJ188" s="102">
        <v>5.69</v>
      </c>
      <c r="AK188" s="102">
        <v>8.74</v>
      </c>
    </row>
    <row r="189" spans="17:38" x14ac:dyDescent="0.2">
      <c r="R189" s="30">
        <f>AVERAGE(R186:R188)</f>
        <v>18.569168669356621</v>
      </c>
      <c r="S189" s="30">
        <f t="shared" ref="S189:U189" si="68">AVERAGE(S186:S188)</f>
        <v>22.325774963311833</v>
      </c>
      <c r="T189" s="30">
        <f t="shared" si="68"/>
        <v>22.79663079962549</v>
      </c>
      <c r="U189" s="30">
        <f t="shared" si="68"/>
        <v>31.077720878857519</v>
      </c>
      <c r="V189" s="57">
        <f>AVERAGE(R189:U189)</f>
        <v>23.692323827787867</v>
      </c>
      <c r="W189" s="30">
        <f>AVERAGE(W186:W188)</f>
        <v>17.53107268874113</v>
      </c>
      <c r="X189" s="30">
        <f t="shared" ref="X189" si="69">AVERAGE(X186:X188)</f>
        <v>12.609851342069717</v>
      </c>
      <c r="Y189" s="30">
        <f t="shared" ref="Y189" si="70">AVERAGE(Y186:Y188)</f>
        <v>16.723005846082767</v>
      </c>
      <c r="Z189" s="30">
        <f t="shared" ref="Z189" si="71">AVERAGE(Z186:Z188)</f>
        <v>23.391063733331276</v>
      </c>
      <c r="AA189" s="57">
        <f>AVERAGE(W189:Z189)</f>
        <v>17.563748402556222</v>
      </c>
      <c r="AB189" s="30">
        <f>AVERAGE(AB186:AB188)</f>
        <v>17.429139733040859</v>
      </c>
      <c r="AC189" s="30">
        <f t="shared" ref="AC189" si="72">AVERAGE(AC186:AC188)</f>
        <v>13.363095936351037</v>
      </c>
      <c r="AD189" s="30">
        <f t="shared" ref="AD189" si="73">AVERAGE(AD186:AD188)</f>
        <v>18.03931441660249</v>
      </c>
      <c r="AE189" s="30">
        <f t="shared" ref="AE189" si="74">AVERAGE(AE186:AE188)</f>
        <v>26.730642206832684</v>
      </c>
      <c r="AF189" s="57">
        <f>AVERAGE(AB189:AE189)</f>
        <v>18.890548073206766</v>
      </c>
      <c r="AH189" s="30">
        <f>AVERAGE(AH186:AH188)</f>
        <v>14.78</v>
      </c>
      <c r="AI189" s="30">
        <f t="shared" ref="AI189:AK189" si="75">AVERAGE(AI186:AI188)</f>
        <v>1.4269999999999998</v>
      </c>
      <c r="AJ189" s="30">
        <f t="shared" si="75"/>
        <v>7.45</v>
      </c>
      <c r="AK189" s="30">
        <f t="shared" si="75"/>
        <v>13.68</v>
      </c>
      <c r="AL189" s="30">
        <f>AVERAGE(AH189:AK189)</f>
        <v>9.3342500000000008</v>
      </c>
    </row>
    <row r="191" spans="17:38" x14ac:dyDescent="0.2">
      <c r="AI191">
        <f>(AC186-AI186)/AI186*100</f>
        <v>1301.7832521371452</v>
      </c>
    </row>
    <row r="192" spans="17:38" x14ac:dyDescent="0.2">
      <c r="AI192" s="7">
        <f>(S187-AI187)/AI187*100</f>
        <v>956.95800831234783</v>
      </c>
    </row>
    <row r="193" spans="35:35" x14ac:dyDescent="0.2">
      <c r="AI193">
        <f>(S188-AI188)/AI188*100</f>
        <v>3521.1475014082239</v>
      </c>
    </row>
  </sheetData>
  <mergeCells count="26">
    <mergeCell ref="AH183:AK183"/>
    <mergeCell ref="A102:A103"/>
    <mergeCell ref="B102:E102"/>
    <mergeCell ref="F102:F103"/>
    <mergeCell ref="G102:J102"/>
    <mergeCell ref="L102:O102"/>
    <mergeCell ref="R119:U119"/>
    <mergeCell ref="V119:V120"/>
    <mergeCell ref="W119:Z119"/>
    <mergeCell ref="AB119:AE119"/>
    <mergeCell ref="A124:A125"/>
    <mergeCell ref="B124:E124"/>
    <mergeCell ref="F124:F125"/>
    <mergeCell ref="G124:J124"/>
    <mergeCell ref="L124:O124"/>
    <mergeCell ref="Q119:Q120"/>
    <mergeCell ref="Q183:Q184"/>
    <mergeCell ref="R183:U183"/>
    <mergeCell ref="V183:V184"/>
    <mergeCell ref="W183:Z183"/>
    <mergeCell ref="AB183:AE183"/>
    <mergeCell ref="Q141:Q142"/>
    <mergeCell ref="R141:U141"/>
    <mergeCell ref="V141:V142"/>
    <mergeCell ref="W141:Z141"/>
    <mergeCell ref="AB141:AE14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47"/>
  <sheetViews>
    <sheetView tabSelected="1" topLeftCell="O1" zoomScale="60" zoomScaleNormal="60" workbookViewId="0">
      <pane ySplit="1" topLeftCell="A197" activePane="bottomLeft" state="frozen"/>
      <selection activeCell="K1" sqref="K1"/>
      <selection pane="bottomLeft" activeCell="Z217" sqref="Z217"/>
    </sheetView>
  </sheetViews>
  <sheetFormatPr baseColWidth="10" defaultColWidth="8.83203125" defaultRowHeight="15" x14ac:dyDescent="0.2"/>
  <cols>
    <col min="1" max="1" width="27.6640625" customWidth="1"/>
    <col min="2" max="2" width="20" customWidth="1"/>
    <col min="3" max="3" width="8" customWidth="1"/>
    <col min="4" max="4" width="12" customWidth="1"/>
    <col min="5" max="5" width="39.33203125" customWidth="1"/>
    <col min="6" max="6" width="12" customWidth="1"/>
    <col min="7" max="7" width="18" customWidth="1"/>
    <col min="8" max="8" width="15" customWidth="1"/>
    <col min="9" max="9" width="20" customWidth="1"/>
    <col min="10" max="10" width="18" customWidth="1"/>
    <col min="11" max="11" width="20" customWidth="1"/>
    <col min="12" max="12" width="15" customWidth="1"/>
    <col min="13" max="13" width="20" customWidth="1"/>
    <col min="14" max="14" width="17" customWidth="1"/>
    <col min="15" max="15" width="20" customWidth="1"/>
    <col min="16" max="16" width="11" customWidth="1"/>
    <col min="17" max="17" width="17" customWidth="1"/>
    <col min="18" max="18" width="20" customWidth="1"/>
    <col min="19" max="19" width="33.83203125" bestFit="1" customWidth="1"/>
    <col min="20" max="20" width="20" customWidth="1"/>
    <col min="21" max="21" width="16.83203125" customWidth="1"/>
    <col min="22" max="22" width="17.83203125" customWidth="1"/>
    <col min="23" max="23" width="13.1640625" bestFit="1" customWidth="1"/>
    <col min="24" max="24" width="20" customWidth="1"/>
  </cols>
  <sheetData>
    <row r="1" spans="1:23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167</v>
      </c>
    </row>
    <row r="2" spans="1:23" x14ac:dyDescent="0.2">
      <c r="A2" t="s">
        <v>49</v>
      </c>
      <c r="B2" t="s">
        <v>21</v>
      </c>
      <c r="C2" t="s">
        <v>22</v>
      </c>
      <c r="D2" t="s">
        <v>23</v>
      </c>
      <c r="E2" t="s">
        <v>65</v>
      </c>
      <c r="F2">
        <v>3</v>
      </c>
      <c r="G2" t="s">
        <v>25</v>
      </c>
      <c r="H2">
        <v>81</v>
      </c>
      <c r="I2">
        <v>6</v>
      </c>
      <c r="J2">
        <v>198</v>
      </c>
      <c r="K2">
        <v>0</v>
      </c>
      <c r="L2">
        <v>49</v>
      </c>
      <c r="M2">
        <v>0</v>
      </c>
      <c r="N2">
        <v>254</v>
      </c>
      <c r="O2">
        <v>0</v>
      </c>
      <c r="P2">
        <v>196</v>
      </c>
      <c r="Q2">
        <v>0</v>
      </c>
      <c r="R2">
        <v>0</v>
      </c>
      <c r="S2">
        <v>0</v>
      </c>
      <c r="T2">
        <v>0</v>
      </c>
      <c r="U2" s="2"/>
      <c r="V2" s="74">
        <f>(O2+M2+N2)*2/3</f>
        <v>169.33333333333334</v>
      </c>
    </row>
    <row r="3" spans="1:23" x14ac:dyDescent="0.2">
      <c r="A3" t="s">
        <v>49</v>
      </c>
      <c r="B3" t="s">
        <v>21</v>
      </c>
      <c r="C3" t="s">
        <v>22</v>
      </c>
      <c r="D3" t="s">
        <v>23</v>
      </c>
      <c r="E3" t="s">
        <v>66</v>
      </c>
      <c r="F3">
        <v>3</v>
      </c>
      <c r="G3" t="s">
        <v>67</v>
      </c>
      <c r="H3">
        <v>25</v>
      </c>
      <c r="I3">
        <v>13</v>
      </c>
      <c r="J3">
        <v>4</v>
      </c>
      <c r="K3">
        <v>26</v>
      </c>
      <c r="L3">
        <v>2</v>
      </c>
      <c r="M3">
        <v>63</v>
      </c>
      <c r="N3">
        <v>103</v>
      </c>
      <c r="O3">
        <v>89</v>
      </c>
      <c r="P3">
        <v>118</v>
      </c>
      <c r="Q3">
        <v>0</v>
      </c>
      <c r="R3">
        <v>48</v>
      </c>
      <c r="S3">
        <v>1</v>
      </c>
      <c r="T3">
        <v>29</v>
      </c>
      <c r="U3" s="3">
        <f>SUM(R3:T3)/(P3+(SUM(R3:T3)))</f>
        <v>0.39795918367346939</v>
      </c>
      <c r="V3">
        <f>(O3+M3+N3)</f>
        <v>255</v>
      </c>
      <c r="W3" s="2">
        <f>(V$2-V3)/V$2</f>
        <v>-0.5059055118110235</v>
      </c>
    </row>
    <row r="4" spans="1:23" x14ac:dyDescent="0.2">
      <c r="A4" t="s">
        <v>49</v>
      </c>
      <c r="B4" t="s">
        <v>21</v>
      </c>
      <c r="C4" t="s">
        <v>22</v>
      </c>
      <c r="D4" t="s">
        <v>23</v>
      </c>
      <c r="E4" t="s">
        <v>68</v>
      </c>
      <c r="F4">
        <v>3</v>
      </c>
      <c r="G4" t="s">
        <v>69</v>
      </c>
      <c r="H4">
        <v>27</v>
      </c>
      <c r="I4">
        <v>13</v>
      </c>
      <c r="J4">
        <v>4</v>
      </c>
      <c r="K4">
        <v>32</v>
      </c>
      <c r="L4">
        <v>4</v>
      </c>
      <c r="M4">
        <v>49</v>
      </c>
      <c r="N4">
        <v>119</v>
      </c>
      <c r="O4">
        <v>81</v>
      </c>
      <c r="P4">
        <v>124</v>
      </c>
      <c r="Q4">
        <v>0</v>
      </c>
      <c r="R4">
        <v>43</v>
      </c>
      <c r="S4">
        <v>1</v>
      </c>
      <c r="T4">
        <v>28</v>
      </c>
      <c r="U4" s="3">
        <f t="shared" ref="U4:U67" si="0">SUM(R4:T4)/(P4+(SUM(R4:T4)))</f>
        <v>0.36734693877551022</v>
      </c>
      <c r="V4">
        <f t="shared" ref="V4:V5" si="1">(O4+M4+N4)</f>
        <v>249</v>
      </c>
      <c r="W4" s="2">
        <f t="shared" ref="W4:W5" si="2">(V$2-V4)/V$2</f>
        <v>-0.47047244094488183</v>
      </c>
    </row>
    <row r="5" spans="1:23" x14ac:dyDescent="0.2">
      <c r="A5" t="s">
        <v>49</v>
      </c>
      <c r="B5" t="s">
        <v>21</v>
      </c>
      <c r="C5" t="s">
        <v>22</v>
      </c>
      <c r="D5" t="s">
        <v>23</v>
      </c>
      <c r="E5" t="s">
        <v>70</v>
      </c>
      <c r="F5">
        <v>3</v>
      </c>
      <c r="G5" t="s">
        <v>71</v>
      </c>
      <c r="H5">
        <v>43</v>
      </c>
      <c r="I5">
        <v>20</v>
      </c>
      <c r="J5">
        <v>14</v>
      </c>
      <c r="K5">
        <v>15</v>
      </c>
      <c r="L5">
        <v>20</v>
      </c>
      <c r="M5">
        <v>44</v>
      </c>
      <c r="N5">
        <v>114</v>
      </c>
      <c r="O5">
        <v>59</v>
      </c>
      <c r="P5">
        <v>135</v>
      </c>
      <c r="Q5">
        <v>0</v>
      </c>
      <c r="R5">
        <v>32</v>
      </c>
      <c r="S5">
        <v>1</v>
      </c>
      <c r="T5">
        <v>25</v>
      </c>
      <c r="U5" s="3">
        <f t="shared" si="0"/>
        <v>0.30051813471502592</v>
      </c>
      <c r="V5">
        <f t="shared" si="1"/>
        <v>217</v>
      </c>
      <c r="W5" s="2">
        <f t="shared" si="2"/>
        <v>-0.28149606299212593</v>
      </c>
    </row>
    <row r="6" spans="1:23" x14ac:dyDescent="0.2">
      <c r="A6" t="s">
        <v>72</v>
      </c>
      <c r="B6" t="s">
        <v>21</v>
      </c>
      <c r="C6" t="s">
        <v>22</v>
      </c>
      <c r="D6" t="s">
        <v>73</v>
      </c>
      <c r="E6" t="s">
        <v>74</v>
      </c>
      <c r="F6">
        <v>3</v>
      </c>
      <c r="G6" t="s">
        <v>25</v>
      </c>
      <c r="H6">
        <v>61</v>
      </c>
      <c r="I6">
        <v>56</v>
      </c>
      <c r="J6">
        <v>168</v>
      </c>
      <c r="K6">
        <v>0</v>
      </c>
      <c r="L6">
        <v>70</v>
      </c>
      <c r="M6">
        <v>0</v>
      </c>
      <c r="N6">
        <v>233</v>
      </c>
      <c r="O6">
        <v>0</v>
      </c>
      <c r="P6">
        <v>196</v>
      </c>
      <c r="Q6">
        <v>0</v>
      </c>
      <c r="R6">
        <v>0</v>
      </c>
      <c r="S6">
        <v>0</v>
      </c>
      <c r="T6">
        <v>0</v>
      </c>
      <c r="U6" s="3"/>
      <c r="V6" s="74">
        <f>(O6+M6+N6)*2/3</f>
        <v>155.33333333333334</v>
      </c>
    </row>
    <row r="7" spans="1:23" x14ac:dyDescent="0.2">
      <c r="A7" t="s">
        <v>72</v>
      </c>
      <c r="B7" t="s">
        <v>21</v>
      </c>
      <c r="C7" t="s">
        <v>22</v>
      </c>
      <c r="D7" t="s">
        <v>73</v>
      </c>
      <c r="E7" t="s">
        <v>75</v>
      </c>
      <c r="F7">
        <v>3</v>
      </c>
      <c r="G7" t="s">
        <v>67</v>
      </c>
      <c r="H7">
        <v>26</v>
      </c>
      <c r="I7">
        <v>13</v>
      </c>
      <c r="J7">
        <v>10</v>
      </c>
      <c r="K7">
        <v>13</v>
      </c>
      <c r="L7">
        <v>9</v>
      </c>
      <c r="M7">
        <v>10</v>
      </c>
      <c r="N7">
        <v>163</v>
      </c>
      <c r="O7">
        <v>23</v>
      </c>
      <c r="P7">
        <v>122</v>
      </c>
      <c r="Q7">
        <v>0</v>
      </c>
      <c r="R7">
        <v>30</v>
      </c>
      <c r="S7">
        <v>1</v>
      </c>
      <c r="T7">
        <v>42</v>
      </c>
      <c r="U7" s="3">
        <f t="shared" si="0"/>
        <v>0.37435897435897436</v>
      </c>
      <c r="V7">
        <f>(O7+M7+N7)</f>
        <v>196</v>
      </c>
      <c r="W7" s="2">
        <f>(V$6-V7)/V$6</f>
        <v>-0.26180257510729604</v>
      </c>
    </row>
    <row r="8" spans="1:23" x14ac:dyDescent="0.2">
      <c r="A8" t="s">
        <v>72</v>
      </c>
      <c r="B8" t="s">
        <v>21</v>
      </c>
      <c r="C8" t="s">
        <v>22</v>
      </c>
      <c r="D8" t="s">
        <v>73</v>
      </c>
      <c r="E8" t="s">
        <v>76</v>
      </c>
      <c r="F8">
        <v>3</v>
      </c>
      <c r="G8" t="s">
        <v>69</v>
      </c>
      <c r="H8">
        <v>16</v>
      </c>
      <c r="I8">
        <v>14</v>
      </c>
      <c r="J8">
        <v>2</v>
      </c>
      <c r="K8">
        <v>22</v>
      </c>
      <c r="L8">
        <v>26</v>
      </c>
      <c r="M8">
        <v>20</v>
      </c>
      <c r="N8">
        <v>128</v>
      </c>
      <c r="O8">
        <v>42</v>
      </c>
      <c r="P8">
        <v>114</v>
      </c>
      <c r="Q8">
        <v>0</v>
      </c>
      <c r="R8">
        <v>46</v>
      </c>
      <c r="S8">
        <v>1</v>
      </c>
      <c r="T8">
        <v>34</v>
      </c>
      <c r="U8" s="3">
        <f t="shared" si="0"/>
        <v>0.41538461538461541</v>
      </c>
      <c r="V8">
        <f t="shared" ref="V8:V9" si="3">(O8+M8+N8)</f>
        <v>190</v>
      </c>
      <c r="W8" s="2">
        <f t="shared" ref="W8:W9" si="4">(V$6-V8)/V$6</f>
        <v>-0.22317596566523598</v>
      </c>
    </row>
    <row r="9" spans="1:23" x14ac:dyDescent="0.2">
      <c r="A9" t="s">
        <v>72</v>
      </c>
      <c r="B9" t="s">
        <v>21</v>
      </c>
      <c r="C9" t="s">
        <v>22</v>
      </c>
      <c r="D9" t="s">
        <v>73</v>
      </c>
      <c r="E9" t="s">
        <v>77</v>
      </c>
      <c r="F9">
        <v>3</v>
      </c>
      <c r="G9" t="s">
        <v>71</v>
      </c>
      <c r="H9">
        <v>15</v>
      </c>
      <c r="I9">
        <v>9</v>
      </c>
      <c r="J9">
        <v>6</v>
      </c>
      <c r="K9">
        <v>26</v>
      </c>
      <c r="L9">
        <v>14</v>
      </c>
      <c r="M9">
        <v>25</v>
      </c>
      <c r="N9">
        <v>141</v>
      </c>
      <c r="O9">
        <v>51</v>
      </c>
      <c r="P9">
        <v>118</v>
      </c>
      <c r="Q9">
        <v>0</v>
      </c>
      <c r="R9">
        <v>51</v>
      </c>
      <c r="S9">
        <v>1</v>
      </c>
      <c r="T9">
        <v>23</v>
      </c>
      <c r="U9" s="3">
        <f t="shared" si="0"/>
        <v>0.38860103626943004</v>
      </c>
      <c r="V9">
        <f t="shared" si="3"/>
        <v>217</v>
      </c>
      <c r="W9" s="2">
        <f t="shared" si="4"/>
        <v>-0.39699570815450635</v>
      </c>
    </row>
    <row r="10" spans="1:23" x14ac:dyDescent="0.2">
      <c r="A10" t="s">
        <v>56</v>
      </c>
      <c r="B10" t="s">
        <v>30</v>
      </c>
      <c r="C10" t="s">
        <v>22</v>
      </c>
      <c r="D10" t="s">
        <v>23</v>
      </c>
      <c r="E10" t="s">
        <v>65</v>
      </c>
      <c r="F10">
        <v>3</v>
      </c>
      <c r="G10" t="s">
        <v>25</v>
      </c>
      <c r="H10">
        <v>109</v>
      </c>
      <c r="I10">
        <v>155</v>
      </c>
      <c r="J10">
        <v>141</v>
      </c>
      <c r="K10">
        <v>0</v>
      </c>
      <c r="L10">
        <v>34</v>
      </c>
      <c r="M10">
        <v>0</v>
      </c>
      <c r="N10">
        <v>149</v>
      </c>
      <c r="O10">
        <v>0</v>
      </c>
      <c r="P10">
        <v>196</v>
      </c>
      <c r="Q10">
        <v>0</v>
      </c>
      <c r="R10">
        <v>0</v>
      </c>
      <c r="S10">
        <v>0</v>
      </c>
      <c r="T10">
        <v>0</v>
      </c>
      <c r="U10" s="3"/>
      <c r="V10" s="74">
        <f>(O10+M10+N10)*2/3</f>
        <v>99.333333333333329</v>
      </c>
    </row>
    <row r="11" spans="1:23" x14ac:dyDescent="0.2">
      <c r="A11" t="s">
        <v>56</v>
      </c>
      <c r="B11" t="s">
        <v>30</v>
      </c>
      <c r="C11" t="s">
        <v>22</v>
      </c>
      <c r="D11" t="s">
        <v>23</v>
      </c>
      <c r="E11" t="s">
        <v>66</v>
      </c>
      <c r="F11">
        <v>3</v>
      </c>
      <c r="G11" t="s">
        <v>67</v>
      </c>
      <c r="H11">
        <v>53</v>
      </c>
      <c r="I11">
        <v>96</v>
      </c>
      <c r="J11">
        <v>8</v>
      </c>
      <c r="K11">
        <v>37</v>
      </c>
      <c r="L11">
        <v>18</v>
      </c>
      <c r="M11">
        <v>11</v>
      </c>
      <c r="N11">
        <v>79</v>
      </c>
      <c r="O11">
        <v>48</v>
      </c>
      <c r="P11">
        <v>151</v>
      </c>
      <c r="Q11">
        <v>0</v>
      </c>
      <c r="R11">
        <v>5</v>
      </c>
      <c r="S11">
        <v>1</v>
      </c>
      <c r="T11">
        <v>29</v>
      </c>
      <c r="U11" s="3">
        <f t="shared" si="0"/>
        <v>0.18817204301075269</v>
      </c>
      <c r="V11">
        <f>(O11+M11+N11)</f>
        <v>138</v>
      </c>
      <c r="W11" s="2">
        <f>(V$10-V11)/V$10</f>
        <v>-0.389261744966443</v>
      </c>
    </row>
    <row r="12" spans="1:23" x14ac:dyDescent="0.2">
      <c r="A12" t="s">
        <v>56</v>
      </c>
      <c r="B12" t="s">
        <v>30</v>
      </c>
      <c r="C12" t="s">
        <v>22</v>
      </c>
      <c r="D12" t="s">
        <v>23</v>
      </c>
      <c r="E12" t="s">
        <v>68</v>
      </c>
      <c r="F12">
        <v>3</v>
      </c>
      <c r="G12" t="s">
        <v>69</v>
      </c>
      <c r="H12">
        <v>47</v>
      </c>
      <c r="I12">
        <v>52</v>
      </c>
      <c r="J12">
        <v>0</v>
      </c>
      <c r="K12">
        <v>33</v>
      </c>
      <c r="L12">
        <v>6</v>
      </c>
      <c r="M12">
        <v>13</v>
      </c>
      <c r="N12">
        <v>69</v>
      </c>
      <c r="O12">
        <v>46</v>
      </c>
      <c r="P12">
        <v>110</v>
      </c>
      <c r="Q12">
        <v>0</v>
      </c>
      <c r="R12">
        <v>12</v>
      </c>
      <c r="S12">
        <v>1</v>
      </c>
      <c r="T12">
        <v>67</v>
      </c>
      <c r="U12" s="3">
        <f t="shared" si="0"/>
        <v>0.42105263157894735</v>
      </c>
      <c r="V12">
        <f t="shared" ref="V12:V13" si="5">(O12+M12+N12)</f>
        <v>128</v>
      </c>
      <c r="W12" s="2">
        <f t="shared" ref="W12:W13" si="6">(V$10-V12)/V$10</f>
        <v>-0.28859060402684572</v>
      </c>
    </row>
    <row r="13" spans="1:23" x14ac:dyDescent="0.2">
      <c r="A13" t="s">
        <v>56</v>
      </c>
      <c r="B13" t="s">
        <v>30</v>
      </c>
      <c r="C13" t="s">
        <v>22</v>
      </c>
      <c r="D13" t="s">
        <v>23</v>
      </c>
      <c r="E13" t="s">
        <v>70</v>
      </c>
      <c r="F13">
        <v>3</v>
      </c>
      <c r="G13" t="s">
        <v>71</v>
      </c>
      <c r="H13">
        <v>41</v>
      </c>
      <c r="I13">
        <v>66</v>
      </c>
      <c r="J13">
        <v>4</v>
      </c>
      <c r="K13">
        <v>27</v>
      </c>
      <c r="L13">
        <v>9</v>
      </c>
      <c r="M13">
        <v>5</v>
      </c>
      <c r="N13">
        <v>68</v>
      </c>
      <c r="O13">
        <v>32</v>
      </c>
      <c r="P13">
        <v>110</v>
      </c>
      <c r="Q13">
        <v>0</v>
      </c>
      <c r="R13">
        <v>11</v>
      </c>
      <c r="S13">
        <v>1</v>
      </c>
      <c r="T13">
        <v>66</v>
      </c>
      <c r="U13" s="3">
        <f t="shared" si="0"/>
        <v>0.41489361702127658</v>
      </c>
      <c r="V13">
        <f t="shared" si="5"/>
        <v>105</v>
      </c>
      <c r="W13" s="2">
        <f t="shared" si="6"/>
        <v>-5.7046979865771862E-2</v>
      </c>
    </row>
    <row r="14" spans="1:23" x14ac:dyDescent="0.2">
      <c r="A14" t="s">
        <v>78</v>
      </c>
      <c r="B14" t="s">
        <v>30</v>
      </c>
      <c r="C14" t="s">
        <v>22</v>
      </c>
      <c r="D14" t="s">
        <v>73</v>
      </c>
      <c r="E14" t="s">
        <v>74</v>
      </c>
      <c r="F14">
        <v>3</v>
      </c>
      <c r="G14" t="s">
        <v>25</v>
      </c>
      <c r="H14">
        <v>806</v>
      </c>
      <c r="I14">
        <v>583</v>
      </c>
      <c r="J14">
        <v>162</v>
      </c>
      <c r="K14">
        <v>0</v>
      </c>
      <c r="L14">
        <v>84</v>
      </c>
      <c r="M14">
        <v>0</v>
      </c>
      <c r="N14">
        <v>1359</v>
      </c>
      <c r="O14">
        <v>0</v>
      </c>
      <c r="P14">
        <v>998</v>
      </c>
      <c r="Q14">
        <v>0</v>
      </c>
      <c r="R14">
        <v>0</v>
      </c>
      <c r="S14">
        <v>0</v>
      </c>
      <c r="T14">
        <v>0</v>
      </c>
      <c r="U14" s="3"/>
      <c r="V14" s="8">
        <f>(O14+M14+N14)*2/3</f>
        <v>906</v>
      </c>
    </row>
    <row r="15" spans="1:23" x14ac:dyDescent="0.2">
      <c r="A15" t="s">
        <v>78</v>
      </c>
      <c r="B15" t="s">
        <v>30</v>
      </c>
      <c r="C15" t="s">
        <v>22</v>
      </c>
      <c r="D15" t="s">
        <v>73</v>
      </c>
      <c r="E15" t="s">
        <v>75</v>
      </c>
      <c r="F15">
        <v>3</v>
      </c>
      <c r="G15" t="s">
        <v>67</v>
      </c>
      <c r="H15">
        <v>42</v>
      </c>
      <c r="I15">
        <v>107</v>
      </c>
      <c r="J15">
        <v>18</v>
      </c>
      <c r="K15">
        <v>35</v>
      </c>
      <c r="L15">
        <v>19</v>
      </c>
      <c r="M15">
        <v>12</v>
      </c>
      <c r="N15">
        <v>73</v>
      </c>
      <c r="O15">
        <v>47</v>
      </c>
      <c r="P15">
        <v>153</v>
      </c>
      <c r="Q15">
        <v>0</v>
      </c>
      <c r="R15">
        <v>0</v>
      </c>
      <c r="S15">
        <v>0</v>
      </c>
      <c r="T15">
        <v>30</v>
      </c>
      <c r="U15" s="3">
        <f t="shared" si="0"/>
        <v>0.16393442622950818</v>
      </c>
      <c r="V15">
        <f>(O15+M15+N15)</f>
        <v>132</v>
      </c>
      <c r="W15" s="2">
        <f>(V$14-V15)/V$14</f>
        <v>0.85430463576158944</v>
      </c>
    </row>
    <row r="16" spans="1:23" x14ac:dyDescent="0.2">
      <c r="A16" t="s">
        <v>78</v>
      </c>
      <c r="B16" t="s">
        <v>30</v>
      </c>
      <c r="C16" t="s">
        <v>22</v>
      </c>
      <c r="D16" t="s">
        <v>73</v>
      </c>
      <c r="E16" t="s">
        <v>76</v>
      </c>
      <c r="F16">
        <v>3</v>
      </c>
      <c r="G16" t="s">
        <v>69</v>
      </c>
      <c r="H16">
        <v>50</v>
      </c>
      <c r="I16">
        <v>79</v>
      </c>
      <c r="J16">
        <v>18</v>
      </c>
      <c r="K16">
        <v>41</v>
      </c>
      <c r="L16">
        <v>11</v>
      </c>
      <c r="M16">
        <v>11</v>
      </c>
      <c r="N16">
        <v>72</v>
      </c>
      <c r="O16">
        <v>52</v>
      </c>
      <c r="P16">
        <v>141</v>
      </c>
      <c r="Q16">
        <v>0</v>
      </c>
      <c r="R16">
        <v>0</v>
      </c>
      <c r="S16">
        <v>0</v>
      </c>
      <c r="T16">
        <v>48</v>
      </c>
      <c r="U16" s="3">
        <f t="shared" si="0"/>
        <v>0.25396825396825395</v>
      </c>
      <c r="V16">
        <f t="shared" ref="V16:V17" si="7">(O16+M16+N16)</f>
        <v>135</v>
      </c>
      <c r="W16" s="2">
        <f t="shared" ref="W16:W17" si="8">(V$14-V16)/V$14</f>
        <v>0.85099337748344372</v>
      </c>
    </row>
    <row r="17" spans="1:23" x14ac:dyDescent="0.2">
      <c r="A17" t="s">
        <v>78</v>
      </c>
      <c r="B17" t="s">
        <v>30</v>
      </c>
      <c r="C17" t="s">
        <v>22</v>
      </c>
      <c r="D17" t="s">
        <v>73</v>
      </c>
      <c r="E17" t="s">
        <v>77</v>
      </c>
      <c r="F17">
        <v>3</v>
      </c>
      <c r="G17" t="s">
        <v>71</v>
      </c>
      <c r="H17">
        <v>49</v>
      </c>
      <c r="I17">
        <v>71</v>
      </c>
      <c r="J17">
        <v>22</v>
      </c>
      <c r="K17">
        <v>36</v>
      </c>
      <c r="L17">
        <v>27</v>
      </c>
      <c r="M17">
        <v>10</v>
      </c>
      <c r="N17">
        <v>61</v>
      </c>
      <c r="O17">
        <v>46</v>
      </c>
      <c r="P17">
        <v>138</v>
      </c>
      <c r="Q17">
        <v>0</v>
      </c>
      <c r="R17">
        <v>0</v>
      </c>
      <c r="S17">
        <v>0</v>
      </c>
      <c r="T17">
        <v>52</v>
      </c>
      <c r="U17" s="3">
        <f t="shared" si="0"/>
        <v>0.27368421052631581</v>
      </c>
      <c r="V17">
        <f t="shared" si="7"/>
        <v>117</v>
      </c>
      <c r="W17" s="2">
        <f t="shared" si="8"/>
        <v>0.87086092715231789</v>
      </c>
    </row>
    <row r="18" spans="1:23" x14ac:dyDescent="0.2">
      <c r="A18" s="8" t="s">
        <v>61</v>
      </c>
      <c r="B18" s="8" t="s">
        <v>58</v>
      </c>
      <c r="C18" s="8" t="s">
        <v>22</v>
      </c>
      <c r="D18" s="8" t="s">
        <v>23</v>
      </c>
      <c r="E18" s="8" t="s">
        <v>65</v>
      </c>
      <c r="F18" s="8">
        <v>3</v>
      </c>
      <c r="G18" s="8" t="s">
        <v>25</v>
      </c>
      <c r="H18" s="8">
        <v>46</v>
      </c>
      <c r="I18" s="8">
        <v>20</v>
      </c>
      <c r="J18" s="8">
        <v>156</v>
      </c>
      <c r="K18" s="8">
        <v>0</v>
      </c>
      <c r="L18" s="8">
        <v>41</v>
      </c>
      <c r="M18" s="8">
        <v>0</v>
      </c>
      <c r="N18" s="8">
        <v>235</v>
      </c>
      <c r="O18" s="8">
        <v>0</v>
      </c>
      <c r="P18" s="8">
        <v>166</v>
      </c>
      <c r="Q18" s="8">
        <v>0</v>
      </c>
      <c r="R18" s="8">
        <v>0</v>
      </c>
      <c r="S18" s="8">
        <v>0</v>
      </c>
      <c r="T18" s="8">
        <v>0</v>
      </c>
      <c r="U18" s="9"/>
      <c r="V18" s="74">
        <f>(O18+M18+N18)*2/3</f>
        <v>156.66666666666666</v>
      </c>
    </row>
    <row r="19" spans="1:23" x14ac:dyDescent="0.2">
      <c r="A19" s="8" t="s">
        <v>61</v>
      </c>
      <c r="B19" s="8" t="s">
        <v>58</v>
      </c>
      <c r="C19" s="8" t="s">
        <v>22</v>
      </c>
      <c r="D19" s="8" t="s">
        <v>23</v>
      </c>
      <c r="E19" s="8" t="s">
        <v>66</v>
      </c>
      <c r="F19" s="8">
        <v>3</v>
      </c>
      <c r="G19" s="8" t="s">
        <v>67</v>
      </c>
      <c r="H19" s="8">
        <v>14</v>
      </c>
      <c r="I19" s="8">
        <v>20</v>
      </c>
      <c r="J19" s="8">
        <v>4</v>
      </c>
      <c r="K19" s="8">
        <v>26</v>
      </c>
      <c r="L19" s="8">
        <v>22</v>
      </c>
      <c r="M19" s="8">
        <v>20</v>
      </c>
      <c r="N19" s="8">
        <v>38</v>
      </c>
      <c r="O19" s="8">
        <v>46</v>
      </c>
      <c r="P19" s="8">
        <v>72</v>
      </c>
      <c r="Q19" s="8">
        <v>0</v>
      </c>
      <c r="R19" s="8">
        <v>10</v>
      </c>
      <c r="S19" s="8">
        <v>10</v>
      </c>
      <c r="T19" s="8">
        <v>12</v>
      </c>
      <c r="U19" s="9">
        <f t="shared" si="0"/>
        <v>0.30769230769230771</v>
      </c>
      <c r="V19">
        <f>(O19+M19+N19)</f>
        <v>104</v>
      </c>
      <c r="W19" s="2">
        <f>(V$18-V19)/V$18</f>
        <v>0.33617021276595743</v>
      </c>
    </row>
    <row r="20" spans="1:23" x14ac:dyDescent="0.2">
      <c r="A20" s="8" t="s">
        <v>61</v>
      </c>
      <c r="B20" s="8" t="s">
        <v>58</v>
      </c>
      <c r="C20" s="8" t="s">
        <v>22</v>
      </c>
      <c r="D20" s="8" t="s">
        <v>23</v>
      </c>
      <c r="E20" s="8" t="s">
        <v>68</v>
      </c>
      <c r="F20" s="8">
        <v>3</v>
      </c>
      <c r="G20" s="8" t="s">
        <v>69</v>
      </c>
      <c r="H20" s="8">
        <v>1</v>
      </c>
      <c r="I20" s="8">
        <v>13</v>
      </c>
      <c r="J20" s="8">
        <v>6</v>
      </c>
      <c r="K20" s="8">
        <v>8</v>
      </c>
      <c r="L20" s="8">
        <v>7</v>
      </c>
      <c r="M20" s="8">
        <v>11</v>
      </c>
      <c r="N20" s="8">
        <v>44</v>
      </c>
      <c r="O20" s="8">
        <v>19</v>
      </c>
      <c r="P20" s="8">
        <v>45</v>
      </c>
      <c r="Q20" s="8">
        <v>0</v>
      </c>
      <c r="R20" s="8">
        <v>15</v>
      </c>
      <c r="S20" s="8">
        <v>7</v>
      </c>
      <c r="T20" s="8">
        <v>33</v>
      </c>
      <c r="U20" s="9">
        <f t="shared" si="0"/>
        <v>0.55000000000000004</v>
      </c>
      <c r="V20">
        <f t="shared" ref="V20:V21" si="9">(O20+M20+N20)</f>
        <v>74</v>
      </c>
      <c r="W20" s="2">
        <f>(V$18-V20)/V$18</f>
        <v>0.52765957446808509</v>
      </c>
    </row>
    <row r="21" spans="1:23" x14ac:dyDescent="0.2">
      <c r="A21" s="8" t="s">
        <v>61</v>
      </c>
      <c r="B21" s="8" t="s">
        <v>58</v>
      </c>
      <c r="C21" s="8" t="s">
        <v>22</v>
      </c>
      <c r="D21" s="8" t="s">
        <v>23</v>
      </c>
      <c r="E21" s="8" t="s">
        <v>70</v>
      </c>
      <c r="F21" s="8">
        <v>3</v>
      </c>
      <c r="G21" s="8" t="s">
        <v>71</v>
      </c>
      <c r="H21" s="8">
        <v>3</v>
      </c>
      <c r="I21" s="8">
        <v>15</v>
      </c>
      <c r="J21" s="8">
        <v>4</v>
      </c>
      <c r="K21" s="8">
        <v>8</v>
      </c>
      <c r="L21" s="8">
        <v>2</v>
      </c>
      <c r="M21" s="8">
        <v>18</v>
      </c>
      <c r="N21" s="8">
        <v>48</v>
      </c>
      <c r="O21" s="8">
        <v>26</v>
      </c>
      <c r="P21" s="8">
        <v>49</v>
      </c>
      <c r="Q21" s="8">
        <v>0</v>
      </c>
      <c r="R21" s="8">
        <v>21</v>
      </c>
      <c r="S21" s="8">
        <v>4</v>
      </c>
      <c r="T21" s="8">
        <v>40</v>
      </c>
      <c r="U21" s="9">
        <f t="shared" si="0"/>
        <v>0.57017543859649122</v>
      </c>
      <c r="V21">
        <f t="shared" si="9"/>
        <v>92</v>
      </c>
      <c r="W21" s="2">
        <f>(V$18-V21)/V$18</f>
        <v>0.4127659574468085</v>
      </c>
    </row>
    <row r="22" spans="1:23" x14ac:dyDescent="0.2">
      <c r="A22" t="s">
        <v>79</v>
      </c>
      <c r="B22" t="s">
        <v>32</v>
      </c>
      <c r="C22" t="s">
        <v>22</v>
      </c>
      <c r="D22" t="s">
        <v>23</v>
      </c>
      <c r="E22" t="s">
        <v>65</v>
      </c>
      <c r="F22">
        <v>3</v>
      </c>
      <c r="G22" t="s">
        <v>25</v>
      </c>
      <c r="H22">
        <v>38</v>
      </c>
      <c r="I22">
        <v>7</v>
      </c>
      <c r="J22">
        <v>87</v>
      </c>
      <c r="K22">
        <v>0</v>
      </c>
      <c r="L22">
        <v>40</v>
      </c>
      <c r="M22">
        <v>0</v>
      </c>
      <c r="N22">
        <v>263</v>
      </c>
      <c r="O22">
        <v>0</v>
      </c>
      <c r="P22">
        <v>145</v>
      </c>
      <c r="Q22">
        <v>0</v>
      </c>
      <c r="R22">
        <v>0</v>
      </c>
      <c r="S22">
        <v>0</v>
      </c>
      <c r="T22">
        <v>0</v>
      </c>
      <c r="U22" s="3"/>
      <c r="V22" s="74">
        <f>(O22+M22+N22)*2/3</f>
        <v>175.33333333333334</v>
      </c>
    </row>
    <row r="23" spans="1:23" x14ac:dyDescent="0.2">
      <c r="A23" t="s">
        <v>79</v>
      </c>
      <c r="B23" t="s">
        <v>32</v>
      </c>
      <c r="C23" t="s">
        <v>22</v>
      </c>
      <c r="D23" t="s">
        <v>23</v>
      </c>
      <c r="E23" t="s">
        <v>66</v>
      </c>
      <c r="F23">
        <v>3</v>
      </c>
      <c r="G23" t="s">
        <v>67</v>
      </c>
      <c r="H23">
        <v>24</v>
      </c>
      <c r="I23">
        <v>20</v>
      </c>
      <c r="J23">
        <v>6</v>
      </c>
      <c r="K23">
        <v>4</v>
      </c>
      <c r="L23">
        <v>56</v>
      </c>
      <c r="M23">
        <v>17</v>
      </c>
      <c r="N23">
        <v>59</v>
      </c>
      <c r="O23">
        <v>21</v>
      </c>
      <c r="P23">
        <v>93</v>
      </c>
      <c r="Q23">
        <v>0</v>
      </c>
      <c r="R23">
        <v>11</v>
      </c>
      <c r="S23">
        <v>38</v>
      </c>
      <c r="T23">
        <v>2</v>
      </c>
      <c r="U23" s="3">
        <f t="shared" si="0"/>
        <v>0.35416666666666669</v>
      </c>
      <c r="V23">
        <f>(O23+M23+N23)</f>
        <v>97</v>
      </c>
      <c r="W23" s="2">
        <f>(V$22-V23)/V$22</f>
        <v>0.44676806083650195</v>
      </c>
    </row>
    <row r="24" spans="1:23" x14ac:dyDescent="0.2">
      <c r="A24" t="s">
        <v>79</v>
      </c>
      <c r="B24" t="s">
        <v>32</v>
      </c>
      <c r="C24" t="s">
        <v>22</v>
      </c>
      <c r="D24" t="s">
        <v>23</v>
      </c>
      <c r="E24" t="s">
        <v>68</v>
      </c>
      <c r="F24">
        <v>3</v>
      </c>
      <c r="G24" t="s">
        <v>69</v>
      </c>
      <c r="H24">
        <v>30</v>
      </c>
      <c r="I24">
        <v>25</v>
      </c>
      <c r="J24">
        <v>4</v>
      </c>
      <c r="K24">
        <v>1</v>
      </c>
      <c r="L24">
        <v>50</v>
      </c>
      <c r="M24">
        <v>9</v>
      </c>
      <c r="N24">
        <v>67</v>
      </c>
      <c r="O24">
        <v>10</v>
      </c>
      <c r="P24">
        <v>93</v>
      </c>
      <c r="Q24">
        <v>0</v>
      </c>
      <c r="R24">
        <v>2</v>
      </c>
      <c r="S24">
        <v>32</v>
      </c>
      <c r="T24">
        <v>6</v>
      </c>
      <c r="U24" s="3">
        <f t="shared" si="0"/>
        <v>0.3007518796992481</v>
      </c>
      <c r="V24">
        <f t="shared" ref="V24:V25" si="10">(O24+M24+N24)</f>
        <v>86</v>
      </c>
      <c r="W24" s="2">
        <f>(V$22-V24)/V$22</f>
        <v>0.50950570342205326</v>
      </c>
    </row>
    <row r="25" spans="1:23" x14ac:dyDescent="0.2">
      <c r="A25" t="s">
        <v>79</v>
      </c>
      <c r="B25" t="s">
        <v>32</v>
      </c>
      <c r="C25" t="s">
        <v>22</v>
      </c>
      <c r="D25" t="s">
        <v>23</v>
      </c>
      <c r="E25" t="s">
        <v>70</v>
      </c>
      <c r="F25">
        <v>3</v>
      </c>
      <c r="G25" t="s">
        <v>71</v>
      </c>
      <c r="H25">
        <v>30</v>
      </c>
      <c r="I25">
        <v>21</v>
      </c>
      <c r="J25">
        <v>4</v>
      </c>
      <c r="K25">
        <v>3</v>
      </c>
      <c r="L25">
        <v>59</v>
      </c>
      <c r="M25">
        <v>21</v>
      </c>
      <c r="N25">
        <v>62</v>
      </c>
      <c r="O25">
        <v>24</v>
      </c>
      <c r="P25">
        <v>100</v>
      </c>
      <c r="Q25">
        <v>0</v>
      </c>
      <c r="R25">
        <v>3</v>
      </c>
      <c r="S25">
        <v>31</v>
      </c>
      <c r="T25">
        <v>5</v>
      </c>
      <c r="U25" s="3">
        <f t="shared" si="0"/>
        <v>0.2805755395683453</v>
      </c>
      <c r="V25">
        <f t="shared" si="10"/>
        <v>107</v>
      </c>
      <c r="W25" s="2">
        <f>(V$22-V25)/V$22</f>
        <v>0.38973384030418257</v>
      </c>
    </row>
    <row r="26" spans="1:23" x14ac:dyDescent="0.2">
      <c r="A26" t="s">
        <v>80</v>
      </c>
      <c r="B26" t="s">
        <v>32</v>
      </c>
      <c r="C26" t="s">
        <v>22</v>
      </c>
      <c r="D26" t="s">
        <v>73</v>
      </c>
      <c r="E26" t="s">
        <v>74</v>
      </c>
      <c r="F26">
        <v>3</v>
      </c>
      <c r="G26" t="s">
        <v>25</v>
      </c>
      <c r="H26">
        <v>63</v>
      </c>
      <c r="I26">
        <v>15</v>
      </c>
      <c r="J26">
        <v>60</v>
      </c>
      <c r="K26">
        <v>0</v>
      </c>
      <c r="L26">
        <v>64</v>
      </c>
      <c r="M26">
        <v>0</v>
      </c>
      <c r="N26">
        <v>263</v>
      </c>
      <c r="O26">
        <v>0</v>
      </c>
      <c r="P26">
        <v>155</v>
      </c>
      <c r="Q26">
        <v>0</v>
      </c>
      <c r="R26">
        <v>0</v>
      </c>
      <c r="S26">
        <v>0</v>
      </c>
      <c r="T26">
        <v>0</v>
      </c>
      <c r="U26" s="3"/>
      <c r="V26" s="74">
        <f>(O26+M26+N26)*2/3</f>
        <v>175.33333333333334</v>
      </c>
    </row>
    <row r="27" spans="1:23" x14ac:dyDescent="0.2">
      <c r="A27" t="s">
        <v>80</v>
      </c>
      <c r="B27" t="s">
        <v>32</v>
      </c>
      <c r="C27" t="s">
        <v>22</v>
      </c>
      <c r="D27" t="s">
        <v>73</v>
      </c>
      <c r="E27" t="s">
        <v>75</v>
      </c>
      <c r="F27">
        <v>3</v>
      </c>
      <c r="G27" t="s">
        <v>67</v>
      </c>
      <c r="H27">
        <v>29</v>
      </c>
      <c r="I27">
        <v>21</v>
      </c>
      <c r="J27">
        <v>2</v>
      </c>
      <c r="K27">
        <v>10</v>
      </c>
      <c r="L27">
        <v>55</v>
      </c>
      <c r="M27">
        <v>15</v>
      </c>
      <c r="N27">
        <v>80</v>
      </c>
      <c r="O27">
        <v>25</v>
      </c>
      <c r="P27">
        <v>106</v>
      </c>
      <c r="Q27">
        <v>0</v>
      </c>
      <c r="R27">
        <v>10</v>
      </c>
      <c r="S27">
        <v>18</v>
      </c>
      <c r="T27">
        <v>4</v>
      </c>
      <c r="U27" s="3">
        <f t="shared" si="0"/>
        <v>0.2318840579710145</v>
      </c>
      <c r="V27">
        <f>(O27+M27+N27)</f>
        <v>120</v>
      </c>
      <c r="W27" s="2">
        <f>(V$26-V27)/V$26</f>
        <v>0.31558935361216733</v>
      </c>
    </row>
    <row r="28" spans="1:23" x14ac:dyDescent="0.2">
      <c r="A28" t="s">
        <v>80</v>
      </c>
      <c r="B28" t="s">
        <v>32</v>
      </c>
      <c r="C28" t="s">
        <v>22</v>
      </c>
      <c r="D28" t="s">
        <v>73</v>
      </c>
      <c r="E28" t="s">
        <v>76</v>
      </c>
      <c r="F28">
        <v>3</v>
      </c>
      <c r="G28" t="s">
        <v>69</v>
      </c>
      <c r="H28">
        <v>27</v>
      </c>
      <c r="I28">
        <v>20</v>
      </c>
      <c r="J28">
        <v>6</v>
      </c>
      <c r="K28">
        <v>13</v>
      </c>
      <c r="L28">
        <v>72</v>
      </c>
      <c r="M28">
        <v>15</v>
      </c>
      <c r="N28">
        <v>69</v>
      </c>
      <c r="O28">
        <v>28</v>
      </c>
      <c r="P28">
        <v>111</v>
      </c>
      <c r="Q28">
        <v>0</v>
      </c>
      <c r="R28">
        <v>0</v>
      </c>
      <c r="S28">
        <v>20</v>
      </c>
      <c r="T28">
        <v>5</v>
      </c>
      <c r="U28" s="3">
        <f t="shared" si="0"/>
        <v>0.18382352941176472</v>
      </c>
      <c r="V28">
        <f t="shared" ref="V28:V29" si="11">(O28+M28+N28)</f>
        <v>112</v>
      </c>
      <c r="W28" s="2">
        <f>(V$26-V28)/V$26</f>
        <v>0.36121673003802285</v>
      </c>
    </row>
    <row r="29" spans="1:23" x14ac:dyDescent="0.2">
      <c r="A29" t="s">
        <v>80</v>
      </c>
      <c r="B29" t="s">
        <v>32</v>
      </c>
      <c r="C29" t="s">
        <v>22</v>
      </c>
      <c r="D29" t="s">
        <v>73</v>
      </c>
      <c r="E29" t="s">
        <v>77</v>
      </c>
      <c r="F29">
        <v>3</v>
      </c>
      <c r="G29" t="s">
        <v>71</v>
      </c>
      <c r="H29">
        <v>24</v>
      </c>
      <c r="I29">
        <v>22</v>
      </c>
      <c r="J29">
        <v>2</v>
      </c>
      <c r="K29">
        <v>16</v>
      </c>
      <c r="L29">
        <v>63</v>
      </c>
      <c r="M29">
        <v>26</v>
      </c>
      <c r="N29">
        <v>57</v>
      </c>
      <c r="O29">
        <v>42</v>
      </c>
      <c r="P29">
        <v>105</v>
      </c>
      <c r="Q29">
        <v>0</v>
      </c>
      <c r="R29">
        <v>3</v>
      </c>
      <c r="S29">
        <v>24</v>
      </c>
      <c r="T29">
        <v>1</v>
      </c>
      <c r="U29" s="3">
        <f t="shared" si="0"/>
        <v>0.21052631578947367</v>
      </c>
      <c r="V29">
        <f t="shared" si="11"/>
        <v>125</v>
      </c>
      <c r="W29" s="2">
        <f>(V$26-V29)/V$26</f>
        <v>0.28707224334600762</v>
      </c>
    </row>
    <row r="30" spans="1:23" x14ac:dyDescent="0.2">
      <c r="A30" t="s">
        <v>37</v>
      </c>
      <c r="B30" t="s">
        <v>21</v>
      </c>
      <c r="C30" t="s">
        <v>22</v>
      </c>
      <c r="D30" t="s">
        <v>23</v>
      </c>
      <c r="E30" t="s">
        <v>81</v>
      </c>
      <c r="F30">
        <v>3</v>
      </c>
      <c r="G30" t="s">
        <v>25</v>
      </c>
      <c r="H30">
        <v>261</v>
      </c>
      <c r="I30">
        <v>234</v>
      </c>
      <c r="J30">
        <v>486</v>
      </c>
      <c r="K30">
        <v>0</v>
      </c>
      <c r="L30">
        <v>98</v>
      </c>
      <c r="M30">
        <v>0</v>
      </c>
      <c r="N30">
        <v>1912</v>
      </c>
      <c r="O30">
        <v>0</v>
      </c>
      <c r="P30">
        <v>997</v>
      </c>
      <c r="Q30">
        <v>0</v>
      </c>
      <c r="R30">
        <v>0</v>
      </c>
      <c r="S30">
        <v>0</v>
      </c>
      <c r="T30">
        <v>0</v>
      </c>
      <c r="U30" s="3"/>
      <c r="V30" s="74">
        <f>(O30+M30+N30)*2/3</f>
        <v>1274.6666666666667</v>
      </c>
    </row>
    <row r="31" spans="1:23" x14ac:dyDescent="0.2">
      <c r="A31" t="s">
        <v>37</v>
      </c>
      <c r="B31" t="s">
        <v>21</v>
      </c>
      <c r="C31" t="s">
        <v>22</v>
      </c>
      <c r="D31" t="s">
        <v>23</v>
      </c>
      <c r="E31" t="s">
        <v>82</v>
      </c>
      <c r="F31">
        <v>3</v>
      </c>
      <c r="G31" t="s">
        <v>67</v>
      </c>
      <c r="H31">
        <v>198</v>
      </c>
      <c r="I31">
        <v>280</v>
      </c>
      <c r="J31">
        <v>28</v>
      </c>
      <c r="K31">
        <v>110</v>
      </c>
      <c r="L31">
        <v>362</v>
      </c>
      <c r="M31">
        <v>134</v>
      </c>
      <c r="N31">
        <v>776</v>
      </c>
      <c r="O31">
        <v>244</v>
      </c>
      <c r="P31">
        <v>944</v>
      </c>
      <c r="Q31">
        <v>0</v>
      </c>
      <c r="R31">
        <v>14</v>
      </c>
      <c r="S31">
        <v>3</v>
      </c>
      <c r="T31">
        <v>30</v>
      </c>
      <c r="U31" s="3">
        <f t="shared" si="0"/>
        <v>4.742684157416751E-2</v>
      </c>
      <c r="V31">
        <f>(O31+M31+N31)</f>
        <v>1154</v>
      </c>
      <c r="W31" s="2">
        <f>(V$30-V31)/V$30</f>
        <v>9.4665271966527256E-2</v>
      </c>
    </row>
    <row r="32" spans="1:23" x14ac:dyDescent="0.2">
      <c r="A32" t="s">
        <v>37</v>
      </c>
      <c r="B32" t="s">
        <v>21</v>
      </c>
      <c r="C32" t="s">
        <v>22</v>
      </c>
      <c r="D32" t="s">
        <v>23</v>
      </c>
      <c r="E32" t="s">
        <v>83</v>
      </c>
      <c r="F32">
        <v>3</v>
      </c>
      <c r="G32" t="s">
        <v>69</v>
      </c>
      <c r="H32">
        <v>185</v>
      </c>
      <c r="I32">
        <v>294</v>
      </c>
      <c r="J32">
        <v>54</v>
      </c>
      <c r="K32">
        <v>93</v>
      </c>
      <c r="L32">
        <v>327</v>
      </c>
      <c r="M32">
        <v>96</v>
      </c>
      <c r="N32">
        <v>865</v>
      </c>
      <c r="O32">
        <v>189</v>
      </c>
      <c r="P32">
        <v>957</v>
      </c>
      <c r="Q32">
        <v>0</v>
      </c>
      <c r="R32">
        <v>9</v>
      </c>
      <c r="S32">
        <v>3</v>
      </c>
      <c r="T32">
        <v>16</v>
      </c>
      <c r="U32" s="3">
        <f t="shared" si="0"/>
        <v>2.8426395939086295E-2</v>
      </c>
      <c r="V32">
        <f t="shared" ref="V32:V33" si="12">(O32+M32+N32)</f>
        <v>1150</v>
      </c>
      <c r="W32" s="2">
        <f>(V$30-V32)/V$30</f>
        <v>9.7803347280334782E-2</v>
      </c>
    </row>
    <row r="33" spans="1:23" x14ac:dyDescent="0.2">
      <c r="A33" t="s">
        <v>37</v>
      </c>
      <c r="B33" t="s">
        <v>21</v>
      </c>
      <c r="C33" t="s">
        <v>22</v>
      </c>
      <c r="D33" t="s">
        <v>23</v>
      </c>
      <c r="E33" t="s">
        <v>84</v>
      </c>
      <c r="F33">
        <v>3</v>
      </c>
      <c r="G33" t="s">
        <v>71</v>
      </c>
      <c r="H33">
        <v>164</v>
      </c>
      <c r="I33">
        <v>339</v>
      </c>
      <c r="J33">
        <v>22</v>
      </c>
      <c r="K33">
        <v>89</v>
      </c>
      <c r="L33">
        <v>485</v>
      </c>
      <c r="M33">
        <v>106</v>
      </c>
      <c r="N33">
        <v>701</v>
      </c>
      <c r="O33">
        <v>195</v>
      </c>
      <c r="P33">
        <v>953</v>
      </c>
      <c r="Q33">
        <v>0</v>
      </c>
      <c r="R33">
        <v>14</v>
      </c>
      <c r="S33">
        <v>3</v>
      </c>
      <c r="T33">
        <v>9</v>
      </c>
      <c r="U33" s="3">
        <f t="shared" si="0"/>
        <v>2.6557711950970377E-2</v>
      </c>
      <c r="V33">
        <f t="shared" si="12"/>
        <v>1002</v>
      </c>
      <c r="W33" s="2">
        <f>(V$30-V33)/V$30</f>
        <v>0.21391213389121344</v>
      </c>
    </row>
    <row r="34" spans="1:23" x14ac:dyDescent="0.2">
      <c r="A34" t="s">
        <v>85</v>
      </c>
      <c r="B34" t="s">
        <v>21</v>
      </c>
      <c r="C34" t="s">
        <v>22</v>
      </c>
      <c r="D34" t="s">
        <v>73</v>
      </c>
      <c r="E34" t="s">
        <v>86</v>
      </c>
      <c r="F34">
        <v>3</v>
      </c>
      <c r="G34" t="s">
        <v>25</v>
      </c>
      <c r="H34">
        <v>222</v>
      </c>
      <c r="I34">
        <v>360</v>
      </c>
      <c r="J34">
        <v>399</v>
      </c>
      <c r="K34">
        <v>0</v>
      </c>
      <c r="L34">
        <v>63</v>
      </c>
      <c r="M34">
        <v>0</v>
      </c>
      <c r="N34">
        <v>1950</v>
      </c>
      <c r="O34">
        <v>0</v>
      </c>
      <c r="P34">
        <v>998</v>
      </c>
      <c r="Q34">
        <v>0</v>
      </c>
      <c r="R34">
        <v>0</v>
      </c>
      <c r="S34">
        <v>0</v>
      </c>
      <c r="T34">
        <v>0</v>
      </c>
      <c r="U34" s="3"/>
      <c r="V34" s="74">
        <f>(O34+M34+N34)*2/3</f>
        <v>1300</v>
      </c>
    </row>
    <row r="35" spans="1:23" x14ac:dyDescent="0.2">
      <c r="A35" t="s">
        <v>85</v>
      </c>
      <c r="B35" t="s">
        <v>21</v>
      </c>
      <c r="C35" t="s">
        <v>22</v>
      </c>
      <c r="D35" t="s">
        <v>73</v>
      </c>
      <c r="E35" t="s">
        <v>87</v>
      </c>
      <c r="F35">
        <v>3</v>
      </c>
      <c r="G35" t="s">
        <v>67</v>
      </c>
      <c r="H35">
        <v>169</v>
      </c>
      <c r="I35">
        <v>302</v>
      </c>
      <c r="J35">
        <v>86</v>
      </c>
      <c r="K35">
        <v>55</v>
      </c>
      <c r="L35">
        <v>103</v>
      </c>
      <c r="M35">
        <v>36</v>
      </c>
      <c r="N35">
        <v>1123</v>
      </c>
      <c r="O35">
        <v>91</v>
      </c>
      <c r="P35">
        <v>937</v>
      </c>
      <c r="Q35">
        <v>0</v>
      </c>
      <c r="R35">
        <v>18</v>
      </c>
      <c r="S35">
        <v>2</v>
      </c>
      <c r="T35">
        <v>31</v>
      </c>
      <c r="U35" s="3">
        <f t="shared" si="0"/>
        <v>5.1619433198380568E-2</v>
      </c>
      <c r="V35">
        <f>(O35+M35+N35)</f>
        <v>1250</v>
      </c>
      <c r="W35" s="73">
        <f>(V$34-V35)/V$34</f>
        <v>3.8461538461538464E-2</v>
      </c>
    </row>
    <row r="36" spans="1:23" x14ac:dyDescent="0.2">
      <c r="A36" t="s">
        <v>85</v>
      </c>
      <c r="B36" t="s">
        <v>21</v>
      </c>
      <c r="C36" t="s">
        <v>22</v>
      </c>
      <c r="D36" t="s">
        <v>73</v>
      </c>
      <c r="E36" t="s">
        <v>88</v>
      </c>
      <c r="F36">
        <v>3</v>
      </c>
      <c r="G36" t="s">
        <v>69</v>
      </c>
      <c r="H36">
        <v>172</v>
      </c>
      <c r="I36">
        <v>281</v>
      </c>
      <c r="J36">
        <v>82</v>
      </c>
      <c r="K36">
        <v>61</v>
      </c>
      <c r="L36">
        <v>113</v>
      </c>
      <c r="M36">
        <v>46</v>
      </c>
      <c r="N36">
        <v>1087</v>
      </c>
      <c r="O36">
        <v>107</v>
      </c>
      <c r="P36">
        <v>921</v>
      </c>
      <c r="Q36">
        <v>0</v>
      </c>
      <c r="R36">
        <v>24</v>
      </c>
      <c r="S36">
        <v>2</v>
      </c>
      <c r="T36">
        <v>32</v>
      </c>
      <c r="U36" s="3">
        <f t="shared" si="0"/>
        <v>5.9244126659856997E-2</v>
      </c>
      <c r="V36">
        <f t="shared" ref="V36:V37" si="13">(O36+M36+N36)</f>
        <v>1240</v>
      </c>
      <c r="W36" s="73">
        <f>(V$34-V36)/V$34</f>
        <v>4.6153846153846156E-2</v>
      </c>
    </row>
    <row r="37" spans="1:23" x14ac:dyDescent="0.2">
      <c r="A37" t="s">
        <v>85</v>
      </c>
      <c r="B37" t="s">
        <v>21</v>
      </c>
      <c r="C37" t="s">
        <v>22</v>
      </c>
      <c r="D37" t="s">
        <v>73</v>
      </c>
      <c r="E37" t="s">
        <v>89</v>
      </c>
      <c r="F37">
        <v>3</v>
      </c>
      <c r="G37" t="s">
        <v>71</v>
      </c>
      <c r="H37">
        <v>160</v>
      </c>
      <c r="I37">
        <v>312</v>
      </c>
      <c r="J37">
        <v>36</v>
      </c>
      <c r="K37">
        <v>58</v>
      </c>
      <c r="L37">
        <v>197</v>
      </c>
      <c r="M37">
        <v>60</v>
      </c>
      <c r="N37">
        <v>1027</v>
      </c>
      <c r="O37">
        <v>118</v>
      </c>
      <c r="P37">
        <v>925</v>
      </c>
      <c r="Q37">
        <v>0</v>
      </c>
      <c r="R37">
        <v>29</v>
      </c>
      <c r="S37">
        <v>1</v>
      </c>
      <c r="T37">
        <v>20</v>
      </c>
      <c r="U37" s="3">
        <f t="shared" si="0"/>
        <v>5.128205128205128E-2</v>
      </c>
      <c r="V37">
        <f t="shared" si="13"/>
        <v>1205</v>
      </c>
      <c r="W37" s="73">
        <f>(V$34-V37)/V$34</f>
        <v>7.3076923076923081E-2</v>
      </c>
    </row>
    <row r="38" spans="1:23" x14ac:dyDescent="0.2">
      <c r="A38" t="s">
        <v>53</v>
      </c>
      <c r="B38" t="s">
        <v>30</v>
      </c>
      <c r="C38" t="s">
        <v>22</v>
      </c>
      <c r="D38" t="s">
        <v>23</v>
      </c>
      <c r="E38" t="s">
        <v>81</v>
      </c>
      <c r="F38">
        <v>3</v>
      </c>
      <c r="G38" t="s">
        <v>25</v>
      </c>
      <c r="H38">
        <v>879</v>
      </c>
      <c r="I38">
        <v>483</v>
      </c>
      <c r="J38">
        <v>180</v>
      </c>
      <c r="K38">
        <v>0</v>
      </c>
      <c r="L38">
        <v>79</v>
      </c>
      <c r="M38">
        <v>0</v>
      </c>
      <c r="N38">
        <v>1364</v>
      </c>
      <c r="O38">
        <v>0</v>
      </c>
      <c r="P38">
        <v>995</v>
      </c>
      <c r="Q38">
        <v>0</v>
      </c>
      <c r="R38">
        <v>0</v>
      </c>
      <c r="S38">
        <v>0</v>
      </c>
      <c r="T38">
        <v>0</v>
      </c>
      <c r="U38" s="3"/>
      <c r="V38" s="74">
        <f>(O38+M38+N38)*2/3</f>
        <v>909.33333333333337</v>
      </c>
    </row>
    <row r="39" spans="1:23" x14ac:dyDescent="0.2">
      <c r="A39" t="s">
        <v>53</v>
      </c>
      <c r="B39" t="s">
        <v>30</v>
      </c>
      <c r="C39" t="s">
        <v>22</v>
      </c>
      <c r="D39" t="s">
        <v>23</v>
      </c>
      <c r="E39" t="s">
        <v>82</v>
      </c>
      <c r="F39">
        <v>3</v>
      </c>
      <c r="G39" t="s">
        <v>67</v>
      </c>
      <c r="H39">
        <v>430</v>
      </c>
      <c r="I39">
        <v>364</v>
      </c>
      <c r="J39">
        <v>22</v>
      </c>
      <c r="K39">
        <v>102</v>
      </c>
      <c r="L39">
        <v>109</v>
      </c>
      <c r="M39">
        <v>58</v>
      </c>
      <c r="N39">
        <v>697</v>
      </c>
      <c r="O39">
        <v>160</v>
      </c>
      <c r="P39">
        <v>891</v>
      </c>
      <c r="Q39">
        <v>0</v>
      </c>
      <c r="R39">
        <v>11</v>
      </c>
      <c r="S39">
        <v>4</v>
      </c>
      <c r="T39">
        <v>54</v>
      </c>
      <c r="U39" s="3">
        <f t="shared" si="0"/>
        <v>7.1874999999999994E-2</v>
      </c>
      <c r="V39">
        <f>(O39+M39+N39)</f>
        <v>915</v>
      </c>
      <c r="W39" s="73">
        <f>(V$38-V39)/V$38</f>
        <v>-6.2316715542521574E-3</v>
      </c>
    </row>
    <row r="40" spans="1:23" x14ac:dyDescent="0.2">
      <c r="A40" t="s">
        <v>53</v>
      </c>
      <c r="B40" t="s">
        <v>30</v>
      </c>
      <c r="C40" t="s">
        <v>22</v>
      </c>
      <c r="D40" t="s">
        <v>23</v>
      </c>
      <c r="E40" t="s">
        <v>83</v>
      </c>
      <c r="F40">
        <v>3</v>
      </c>
      <c r="G40" t="s">
        <v>69</v>
      </c>
      <c r="H40">
        <v>449</v>
      </c>
      <c r="I40">
        <v>357</v>
      </c>
      <c r="J40">
        <v>24</v>
      </c>
      <c r="K40">
        <v>80</v>
      </c>
      <c r="L40">
        <v>95</v>
      </c>
      <c r="M40">
        <v>46</v>
      </c>
      <c r="N40">
        <v>699</v>
      </c>
      <c r="O40">
        <v>126</v>
      </c>
      <c r="P40">
        <v>875</v>
      </c>
      <c r="Q40">
        <v>0</v>
      </c>
      <c r="R40">
        <v>20</v>
      </c>
      <c r="S40">
        <v>3</v>
      </c>
      <c r="T40">
        <v>64</v>
      </c>
      <c r="U40" s="3">
        <f t="shared" si="0"/>
        <v>9.0436590436590442E-2</v>
      </c>
      <c r="V40">
        <f t="shared" ref="V40:V41" si="14">(O40+M40+N40)</f>
        <v>871</v>
      </c>
      <c r="W40" s="73">
        <f>(V$38-V40)/V$38</f>
        <v>4.2155425219941388E-2</v>
      </c>
    </row>
    <row r="41" spans="1:23" x14ac:dyDescent="0.2">
      <c r="A41" t="s">
        <v>53</v>
      </c>
      <c r="B41" t="s">
        <v>30</v>
      </c>
      <c r="C41" t="s">
        <v>22</v>
      </c>
      <c r="D41" t="s">
        <v>23</v>
      </c>
      <c r="E41" t="s">
        <v>84</v>
      </c>
      <c r="F41">
        <v>3</v>
      </c>
      <c r="G41" t="s">
        <v>71</v>
      </c>
      <c r="H41">
        <v>473</v>
      </c>
      <c r="I41">
        <v>379</v>
      </c>
      <c r="J41">
        <v>28</v>
      </c>
      <c r="K41">
        <v>62</v>
      </c>
      <c r="L41">
        <v>86</v>
      </c>
      <c r="M41">
        <v>49</v>
      </c>
      <c r="N41">
        <v>755</v>
      </c>
      <c r="O41">
        <v>111</v>
      </c>
      <c r="P41">
        <v>916</v>
      </c>
      <c r="Q41">
        <v>0</v>
      </c>
      <c r="R41">
        <v>9</v>
      </c>
      <c r="S41">
        <v>3</v>
      </c>
      <c r="T41">
        <v>36</v>
      </c>
      <c r="U41" s="3">
        <f t="shared" si="0"/>
        <v>4.9792531120331947E-2</v>
      </c>
      <c r="V41">
        <f t="shared" si="14"/>
        <v>915</v>
      </c>
      <c r="W41" s="73">
        <f>(V$38-V41)/V$38</f>
        <v>-6.2316715542521574E-3</v>
      </c>
    </row>
    <row r="42" spans="1:23" x14ac:dyDescent="0.2">
      <c r="A42" t="s">
        <v>90</v>
      </c>
      <c r="B42" t="s">
        <v>30</v>
      </c>
      <c r="C42" t="s">
        <v>22</v>
      </c>
      <c r="D42" t="s">
        <v>73</v>
      </c>
      <c r="E42" t="s">
        <v>86</v>
      </c>
      <c r="F42">
        <v>3</v>
      </c>
      <c r="G42" t="s">
        <v>25</v>
      </c>
      <c r="H42">
        <v>806</v>
      </c>
      <c r="I42">
        <v>583</v>
      </c>
      <c r="J42">
        <v>162</v>
      </c>
      <c r="K42">
        <v>0</v>
      </c>
      <c r="L42">
        <v>84</v>
      </c>
      <c r="M42">
        <v>0</v>
      </c>
      <c r="N42">
        <v>1359</v>
      </c>
      <c r="O42">
        <v>0</v>
      </c>
      <c r="P42">
        <v>998</v>
      </c>
      <c r="Q42">
        <v>0</v>
      </c>
      <c r="R42">
        <v>0</v>
      </c>
      <c r="S42">
        <v>0</v>
      </c>
      <c r="T42">
        <v>0</v>
      </c>
      <c r="U42" s="3"/>
      <c r="V42" s="74">
        <f>(O42+M42+N42)*2/3</f>
        <v>906</v>
      </c>
    </row>
    <row r="43" spans="1:23" x14ac:dyDescent="0.2">
      <c r="A43" t="s">
        <v>90</v>
      </c>
      <c r="B43" t="s">
        <v>30</v>
      </c>
      <c r="C43" t="s">
        <v>22</v>
      </c>
      <c r="D43" t="s">
        <v>73</v>
      </c>
      <c r="E43" t="s">
        <v>87</v>
      </c>
      <c r="F43">
        <v>3</v>
      </c>
      <c r="G43" t="s">
        <v>67</v>
      </c>
      <c r="H43">
        <v>416</v>
      </c>
      <c r="I43">
        <v>395</v>
      </c>
      <c r="J43">
        <v>26</v>
      </c>
      <c r="K43">
        <v>67</v>
      </c>
      <c r="L43">
        <v>100</v>
      </c>
      <c r="M43">
        <v>37</v>
      </c>
      <c r="N43">
        <v>655</v>
      </c>
      <c r="O43">
        <v>104</v>
      </c>
      <c r="P43">
        <v>848</v>
      </c>
      <c r="Q43">
        <v>0</v>
      </c>
      <c r="R43">
        <v>21</v>
      </c>
      <c r="S43">
        <v>1</v>
      </c>
      <c r="T43">
        <v>107</v>
      </c>
      <c r="U43" s="3">
        <f t="shared" si="0"/>
        <v>0.13203684749232344</v>
      </c>
      <c r="V43">
        <f>(O43+M43+N43)</f>
        <v>796</v>
      </c>
      <c r="W43" s="73">
        <f>(V$42-V43)/V$42</f>
        <v>0.12141280353200883</v>
      </c>
    </row>
    <row r="44" spans="1:23" x14ac:dyDescent="0.2">
      <c r="A44" t="s">
        <v>90</v>
      </c>
      <c r="B44" t="s">
        <v>30</v>
      </c>
      <c r="C44" t="s">
        <v>22</v>
      </c>
      <c r="D44" t="s">
        <v>73</v>
      </c>
      <c r="E44" t="s">
        <v>88</v>
      </c>
      <c r="F44">
        <v>3</v>
      </c>
      <c r="G44" t="s">
        <v>69</v>
      </c>
      <c r="H44">
        <v>449</v>
      </c>
      <c r="I44">
        <v>410</v>
      </c>
      <c r="J44">
        <v>18</v>
      </c>
      <c r="K44">
        <v>55</v>
      </c>
      <c r="L44">
        <v>94</v>
      </c>
      <c r="M44">
        <v>27</v>
      </c>
      <c r="N44">
        <v>689</v>
      </c>
      <c r="O44">
        <v>82</v>
      </c>
      <c r="P44">
        <v>871</v>
      </c>
      <c r="Q44">
        <v>0</v>
      </c>
      <c r="R44">
        <v>19</v>
      </c>
      <c r="S44">
        <v>1</v>
      </c>
      <c r="T44">
        <v>89</v>
      </c>
      <c r="U44" s="3">
        <f t="shared" si="0"/>
        <v>0.11122448979591837</v>
      </c>
      <c r="V44">
        <f t="shared" ref="V44:V45" si="15">(O44+M44+N44)</f>
        <v>798</v>
      </c>
      <c r="W44" s="2">
        <f>(V$42-V44)/V$42</f>
        <v>0.11920529801324503</v>
      </c>
    </row>
    <row r="45" spans="1:23" x14ac:dyDescent="0.2">
      <c r="A45" t="s">
        <v>90</v>
      </c>
      <c r="B45" t="s">
        <v>30</v>
      </c>
      <c r="C45" t="s">
        <v>22</v>
      </c>
      <c r="D45" t="s">
        <v>73</v>
      </c>
      <c r="E45" t="s">
        <v>89</v>
      </c>
      <c r="F45">
        <v>3</v>
      </c>
      <c r="G45" t="s">
        <v>71</v>
      </c>
      <c r="H45">
        <v>448</v>
      </c>
      <c r="I45">
        <v>380</v>
      </c>
      <c r="J45">
        <v>38</v>
      </c>
      <c r="K45">
        <v>60</v>
      </c>
      <c r="L45">
        <v>89</v>
      </c>
      <c r="M45">
        <v>43</v>
      </c>
      <c r="N45">
        <v>648</v>
      </c>
      <c r="O45">
        <v>103</v>
      </c>
      <c r="P45">
        <v>853</v>
      </c>
      <c r="Q45">
        <v>0</v>
      </c>
      <c r="R45">
        <v>22</v>
      </c>
      <c r="S45">
        <v>0</v>
      </c>
      <c r="T45">
        <v>111</v>
      </c>
      <c r="U45" s="3">
        <f t="shared" si="0"/>
        <v>0.13488843813387424</v>
      </c>
      <c r="V45">
        <f t="shared" si="15"/>
        <v>794</v>
      </c>
      <c r="W45" s="73">
        <f>(V$42-V45)/V$42</f>
        <v>0.12362030905077263</v>
      </c>
    </row>
    <row r="46" spans="1:23" x14ac:dyDescent="0.2">
      <c r="A46" s="8" t="s">
        <v>57</v>
      </c>
      <c r="B46" s="8" t="s">
        <v>58</v>
      </c>
      <c r="C46" s="8" t="s">
        <v>22</v>
      </c>
      <c r="D46" s="8" t="s">
        <v>23</v>
      </c>
      <c r="E46" s="8" t="s">
        <v>81</v>
      </c>
      <c r="F46" s="8">
        <v>3</v>
      </c>
      <c r="G46" s="8" t="s">
        <v>25</v>
      </c>
      <c r="H46" s="8">
        <v>41</v>
      </c>
      <c r="I46" s="8">
        <v>106</v>
      </c>
      <c r="J46" s="8">
        <v>57</v>
      </c>
      <c r="K46" s="8">
        <v>0</v>
      </c>
      <c r="L46" s="8">
        <v>133</v>
      </c>
      <c r="M46" s="8">
        <v>0</v>
      </c>
      <c r="N46" s="8">
        <v>1514</v>
      </c>
      <c r="O46" s="8">
        <v>0</v>
      </c>
      <c r="P46" s="8">
        <v>617</v>
      </c>
      <c r="Q46" s="8">
        <v>0</v>
      </c>
      <c r="R46" s="8">
        <v>0</v>
      </c>
      <c r="S46" s="8">
        <v>0</v>
      </c>
      <c r="T46" s="8">
        <v>0</v>
      </c>
      <c r="U46" s="9"/>
      <c r="V46" s="74">
        <f>(O46+M46+N46)*2/3</f>
        <v>1009.3333333333334</v>
      </c>
    </row>
    <row r="47" spans="1:23" x14ac:dyDescent="0.2">
      <c r="A47" s="8" t="s">
        <v>57</v>
      </c>
      <c r="B47" s="8" t="s">
        <v>58</v>
      </c>
      <c r="C47" s="8" t="s">
        <v>22</v>
      </c>
      <c r="D47" s="8" t="s">
        <v>23</v>
      </c>
      <c r="E47" s="8" t="s">
        <v>82</v>
      </c>
      <c r="F47" s="8">
        <v>3</v>
      </c>
      <c r="G47" s="8" t="s">
        <v>67</v>
      </c>
      <c r="H47" s="8">
        <v>8</v>
      </c>
      <c r="I47" s="8">
        <v>25</v>
      </c>
      <c r="J47" s="8">
        <v>2</v>
      </c>
      <c r="K47" s="8">
        <v>5</v>
      </c>
      <c r="L47" s="8">
        <v>35</v>
      </c>
      <c r="M47" s="8">
        <v>21</v>
      </c>
      <c r="N47" s="8">
        <v>82</v>
      </c>
      <c r="O47" s="8">
        <v>26</v>
      </c>
      <c r="P47" s="8">
        <v>89</v>
      </c>
      <c r="Q47" s="8">
        <v>0</v>
      </c>
      <c r="R47" s="8">
        <v>5</v>
      </c>
      <c r="S47" s="8">
        <v>19</v>
      </c>
      <c r="T47" s="8">
        <v>50</v>
      </c>
      <c r="U47" s="9">
        <f t="shared" si="0"/>
        <v>0.45398773006134968</v>
      </c>
      <c r="V47">
        <f>(O47+M47+N47)</f>
        <v>129</v>
      </c>
      <c r="W47" s="73">
        <f>(V$46-V47)/V$46</f>
        <v>0.87219286657859973</v>
      </c>
    </row>
    <row r="48" spans="1:23" x14ac:dyDescent="0.2">
      <c r="A48" s="8" t="s">
        <v>57</v>
      </c>
      <c r="B48" s="8" t="s">
        <v>58</v>
      </c>
      <c r="C48" s="8" t="s">
        <v>22</v>
      </c>
      <c r="D48" s="8" t="s">
        <v>23</v>
      </c>
      <c r="E48" s="8" t="s">
        <v>83</v>
      </c>
      <c r="F48" s="8">
        <v>3</v>
      </c>
      <c r="G48" s="8" t="s">
        <v>69</v>
      </c>
      <c r="H48" s="8">
        <v>2</v>
      </c>
      <c r="I48" s="8">
        <v>6</v>
      </c>
      <c r="J48" s="8">
        <v>4</v>
      </c>
      <c r="K48" s="8">
        <v>12</v>
      </c>
      <c r="L48" s="8">
        <v>19</v>
      </c>
      <c r="M48" s="8">
        <v>17</v>
      </c>
      <c r="N48" s="8">
        <v>94</v>
      </c>
      <c r="O48" s="8">
        <v>29</v>
      </c>
      <c r="P48" s="8">
        <v>77</v>
      </c>
      <c r="Q48" s="8">
        <v>0</v>
      </c>
      <c r="R48" s="8">
        <v>8</v>
      </c>
      <c r="S48" s="8">
        <v>23</v>
      </c>
      <c r="T48" s="8">
        <v>60</v>
      </c>
      <c r="U48" s="9">
        <f t="shared" si="0"/>
        <v>0.54166666666666663</v>
      </c>
      <c r="V48">
        <f t="shared" ref="V48:V49" si="16">(O48+M48+N48)</f>
        <v>140</v>
      </c>
      <c r="W48" s="2">
        <f>(V$46-V48)/V$46</f>
        <v>0.86129458388375169</v>
      </c>
    </row>
    <row r="49" spans="1:23" x14ac:dyDescent="0.2">
      <c r="A49" s="8" t="s">
        <v>57</v>
      </c>
      <c r="B49" s="8" t="s">
        <v>58</v>
      </c>
      <c r="C49" s="8" t="s">
        <v>22</v>
      </c>
      <c r="D49" s="8" t="s">
        <v>23</v>
      </c>
      <c r="E49" s="8" t="s">
        <v>84</v>
      </c>
      <c r="F49" s="8">
        <v>3</v>
      </c>
      <c r="G49" s="8" t="s">
        <v>71</v>
      </c>
      <c r="H49" s="8">
        <v>6</v>
      </c>
      <c r="I49" s="8">
        <v>18</v>
      </c>
      <c r="J49" s="8">
        <v>4</v>
      </c>
      <c r="K49" s="8">
        <v>6</v>
      </c>
      <c r="L49" s="8">
        <v>22</v>
      </c>
      <c r="M49" s="8">
        <v>17</v>
      </c>
      <c r="N49" s="8">
        <v>113</v>
      </c>
      <c r="O49" s="8">
        <v>23</v>
      </c>
      <c r="P49" s="8">
        <v>93</v>
      </c>
      <c r="Q49" s="8">
        <v>0</v>
      </c>
      <c r="R49" s="8">
        <v>2</v>
      </c>
      <c r="S49" s="8">
        <v>15</v>
      </c>
      <c r="T49" s="8">
        <v>60</v>
      </c>
      <c r="U49" s="9">
        <f t="shared" si="0"/>
        <v>0.45294117647058824</v>
      </c>
      <c r="V49">
        <f t="shared" si="16"/>
        <v>153</v>
      </c>
      <c r="W49" s="2">
        <f>(V$46-V49)/V$46</f>
        <v>0.84841479524438579</v>
      </c>
    </row>
    <row r="50" spans="1:23" x14ac:dyDescent="0.2">
      <c r="A50" t="s">
        <v>62</v>
      </c>
      <c r="B50" t="s">
        <v>32</v>
      </c>
      <c r="C50" t="s">
        <v>22</v>
      </c>
      <c r="D50" t="s">
        <v>23</v>
      </c>
      <c r="E50" t="s">
        <v>81</v>
      </c>
      <c r="F50">
        <v>3</v>
      </c>
      <c r="G50" t="s">
        <v>25</v>
      </c>
      <c r="H50">
        <v>162</v>
      </c>
      <c r="I50">
        <v>312</v>
      </c>
      <c r="J50">
        <v>441</v>
      </c>
      <c r="K50">
        <v>0</v>
      </c>
      <c r="L50">
        <v>209</v>
      </c>
      <c r="M50">
        <v>0</v>
      </c>
      <c r="N50">
        <v>1483</v>
      </c>
      <c r="O50">
        <v>0</v>
      </c>
      <c r="P50">
        <v>869</v>
      </c>
      <c r="Q50">
        <v>0</v>
      </c>
      <c r="R50">
        <v>0</v>
      </c>
      <c r="S50">
        <v>0</v>
      </c>
      <c r="T50">
        <v>0</v>
      </c>
      <c r="U50" s="3"/>
      <c r="V50" s="74">
        <f>(O50+M50+N50)*1/3</f>
        <v>494.33333333333331</v>
      </c>
    </row>
    <row r="51" spans="1:23" x14ac:dyDescent="0.2">
      <c r="A51" t="s">
        <v>62</v>
      </c>
      <c r="B51" t="s">
        <v>32</v>
      </c>
      <c r="C51" t="s">
        <v>22</v>
      </c>
      <c r="D51" t="s">
        <v>23</v>
      </c>
      <c r="E51" t="s">
        <v>82</v>
      </c>
      <c r="F51">
        <v>3</v>
      </c>
      <c r="G51" t="s">
        <v>67</v>
      </c>
      <c r="H51">
        <v>70</v>
      </c>
      <c r="I51">
        <v>320</v>
      </c>
      <c r="J51">
        <v>14</v>
      </c>
      <c r="K51">
        <v>44</v>
      </c>
      <c r="L51">
        <v>265</v>
      </c>
      <c r="M51">
        <v>48</v>
      </c>
      <c r="N51">
        <v>469</v>
      </c>
      <c r="O51">
        <v>92</v>
      </c>
      <c r="P51">
        <v>615</v>
      </c>
      <c r="Q51">
        <v>0</v>
      </c>
      <c r="R51">
        <v>7</v>
      </c>
      <c r="S51">
        <v>70</v>
      </c>
      <c r="T51">
        <v>9</v>
      </c>
      <c r="U51" s="3">
        <f t="shared" si="0"/>
        <v>0.12268188302425106</v>
      </c>
      <c r="V51">
        <f>(O51+M51+N51)</f>
        <v>609</v>
      </c>
      <c r="W51" s="2">
        <f>(V$50-V51)/V$50</f>
        <v>-0.23196223870532709</v>
      </c>
    </row>
    <row r="52" spans="1:23" x14ac:dyDescent="0.2">
      <c r="A52" t="s">
        <v>62</v>
      </c>
      <c r="B52" t="s">
        <v>32</v>
      </c>
      <c r="C52" t="s">
        <v>22</v>
      </c>
      <c r="D52" t="s">
        <v>23</v>
      </c>
      <c r="E52" t="s">
        <v>83</v>
      </c>
      <c r="F52">
        <v>3</v>
      </c>
      <c r="G52" t="s">
        <v>69</v>
      </c>
      <c r="H52">
        <v>52</v>
      </c>
      <c r="I52">
        <v>320</v>
      </c>
      <c r="J52">
        <v>8</v>
      </c>
      <c r="K52">
        <v>42</v>
      </c>
      <c r="L52">
        <v>243</v>
      </c>
      <c r="M52">
        <v>61</v>
      </c>
      <c r="N52">
        <v>442</v>
      </c>
      <c r="O52">
        <v>103</v>
      </c>
      <c r="P52">
        <v>584</v>
      </c>
      <c r="Q52">
        <v>0</v>
      </c>
      <c r="R52">
        <v>4</v>
      </c>
      <c r="S52">
        <v>56</v>
      </c>
      <c r="T52">
        <v>12</v>
      </c>
      <c r="U52" s="3">
        <f t="shared" si="0"/>
        <v>0.10975609756097561</v>
      </c>
      <c r="V52">
        <f t="shared" ref="V52:V53" si="17">(O52+M52+N52)</f>
        <v>606</v>
      </c>
      <c r="W52" s="2">
        <f>(V$50-V52)/V$50</f>
        <v>-0.22589345920431561</v>
      </c>
    </row>
    <row r="53" spans="1:23" x14ac:dyDescent="0.2">
      <c r="A53" t="s">
        <v>62</v>
      </c>
      <c r="B53" t="s">
        <v>32</v>
      </c>
      <c r="C53" t="s">
        <v>22</v>
      </c>
      <c r="D53" t="s">
        <v>23</v>
      </c>
      <c r="E53" t="s">
        <v>84</v>
      </c>
      <c r="F53">
        <v>3</v>
      </c>
      <c r="G53" t="s">
        <v>71</v>
      </c>
      <c r="H53">
        <v>59</v>
      </c>
      <c r="I53">
        <v>287</v>
      </c>
      <c r="J53">
        <v>12</v>
      </c>
      <c r="K53">
        <v>32</v>
      </c>
      <c r="L53">
        <v>233</v>
      </c>
      <c r="M53">
        <v>46</v>
      </c>
      <c r="N53">
        <v>435</v>
      </c>
      <c r="O53">
        <v>78</v>
      </c>
      <c r="P53">
        <v>552</v>
      </c>
      <c r="Q53">
        <v>0</v>
      </c>
      <c r="R53">
        <v>2</v>
      </c>
      <c r="S53">
        <v>53</v>
      </c>
      <c r="T53">
        <v>11</v>
      </c>
      <c r="U53" s="3">
        <f t="shared" si="0"/>
        <v>0.10679611650485436</v>
      </c>
      <c r="V53">
        <f t="shared" si="17"/>
        <v>559</v>
      </c>
      <c r="W53" s="2">
        <f>(V$50-V53)/V$50</f>
        <v>-0.13081591368846937</v>
      </c>
    </row>
    <row r="54" spans="1:23" x14ac:dyDescent="0.2">
      <c r="A54" t="s">
        <v>91</v>
      </c>
      <c r="B54" t="s">
        <v>32</v>
      </c>
      <c r="C54" t="s">
        <v>22</v>
      </c>
      <c r="D54" t="s">
        <v>73</v>
      </c>
      <c r="E54" t="s">
        <v>86</v>
      </c>
      <c r="F54">
        <v>3</v>
      </c>
      <c r="G54" t="s">
        <v>25</v>
      </c>
      <c r="H54">
        <v>110</v>
      </c>
      <c r="I54">
        <v>355</v>
      </c>
      <c r="J54">
        <v>351</v>
      </c>
      <c r="K54">
        <v>0</v>
      </c>
      <c r="L54">
        <v>115</v>
      </c>
      <c r="M54">
        <v>0</v>
      </c>
      <c r="N54">
        <v>1547</v>
      </c>
      <c r="O54">
        <v>0</v>
      </c>
      <c r="P54">
        <v>826</v>
      </c>
      <c r="Q54">
        <v>0</v>
      </c>
      <c r="R54">
        <v>0</v>
      </c>
      <c r="S54">
        <v>0</v>
      </c>
      <c r="T54">
        <v>0</v>
      </c>
      <c r="U54" s="3"/>
      <c r="V54" s="74">
        <f>(O54+M54+N54)*1/3</f>
        <v>515.66666666666663</v>
      </c>
    </row>
    <row r="55" spans="1:23" x14ac:dyDescent="0.2">
      <c r="A55" t="s">
        <v>91</v>
      </c>
      <c r="B55" t="s">
        <v>32</v>
      </c>
      <c r="C55" t="s">
        <v>22</v>
      </c>
      <c r="D55" t="s">
        <v>73</v>
      </c>
      <c r="E55" t="s">
        <v>87</v>
      </c>
      <c r="F55">
        <v>3</v>
      </c>
      <c r="G55" t="s">
        <v>67</v>
      </c>
      <c r="H55">
        <v>72</v>
      </c>
      <c r="I55">
        <v>215</v>
      </c>
      <c r="J55">
        <v>46</v>
      </c>
      <c r="K55">
        <v>23</v>
      </c>
      <c r="L55">
        <v>74</v>
      </c>
      <c r="M55">
        <v>17</v>
      </c>
      <c r="N55">
        <v>643</v>
      </c>
      <c r="O55">
        <v>40</v>
      </c>
      <c r="P55">
        <v>545</v>
      </c>
      <c r="Q55">
        <v>0</v>
      </c>
      <c r="R55">
        <v>15</v>
      </c>
      <c r="S55">
        <v>62</v>
      </c>
      <c r="T55">
        <v>9</v>
      </c>
      <c r="U55" s="3">
        <f t="shared" si="0"/>
        <v>0.13629160063391443</v>
      </c>
      <c r="V55">
        <f>(O55+M55+N55)</f>
        <v>700</v>
      </c>
      <c r="W55" s="2">
        <f>(V$54-V55)/V$54</f>
        <v>-0.35746606334841641</v>
      </c>
    </row>
    <row r="56" spans="1:23" x14ac:dyDescent="0.2">
      <c r="A56" t="s">
        <v>91</v>
      </c>
      <c r="B56" t="s">
        <v>32</v>
      </c>
      <c r="C56" t="s">
        <v>22</v>
      </c>
      <c r="D56" t="s">
        <v>73</v>
      </c>
      <c r="E56" t="s">
        <v>88</v>
      </c>
      <c r="F56">
        <v>3</v>
      </c>
      <c r="G56" t="s">
        <v>69</v>
      </c>
      <c r="H56">
        <v>67</v>
      </c>
      <c r="I56">
        <v>214</v>
      </c>
      <c r="J56">
        <v>38</v>
      </c>
      <c r="K56">
        <v>17</v>
      </c>
      <c r="L56">
        <v>83</v>
      </c>
      <c r="M56">
        <v>8</v>
      </c>
      <c r="N56">
        <v>637</v>
      </c>
      <c r="O56">
        <v>25</v>
      </c>
      <c r="P56">
        <v>532</v>
      </c>
      <c r="Q56">
        <v>0</v>
      </c>
      <c r="R56">
        <v>5</v>
      </c>
      <c r="S56">
        <v>54</v>
      </c>
      <c r="T56">
        <v>10</v>
      </c>
      <c r="U56" s="3">
        <f t="shared" si="0"/>
        <v>0.11480865224625623</v>
      </c>
      <c r="V56">
        <f t="shared" ref="V56:V57" si="18">(O56+M56+N56)</f>
        <v>670</v>
      </c>
      <c r="W56" s="2">
        <f>(V$54-V56)/V$54</f>
        <v>-0.29928894634776998</v>
      </c>
    </row>
    <row r="57" spans="1:23" x14ac:dyDescent="0.2">
      <c r="A57" t="s">
        <v>91</v>
      </c>
      <c r="B57" t="s">
        <v>32</v>
      </c>
      <c r="C57" t="s">
        <v>22</v>
      </c>
      <c r="D57" t="s">
        <v>73</v>
      </c>
      <c r="E57" t="s">
        <v>89</v>
      </c>
      <c r="F57">
        <v>3</v>
      </c>
      <c r="G57" t="s">
        <v>71</v>
      </c>
      <c r="H57">
        <v>62</v>
      </c>
      <c r="I57">
        <v>232</v>
      </c>
      <c r="J57">
        <v>18</v>
      </c>
      <c r="K57">
        <v>18</v>
      </c>
      <c r="L57">
        <v>68</v>
      </c>
      <c r="M57">
        <v>12</v>
      </c>
      <c r="N57">
        <v>632</v>
      </c>
      <c r="O57">
        <v>30</v>
      </c>
      <c r="P57">
        <v>521</v>
      </c>
      <c r="Q57">
        <v>0</v>
      </c>
      <c r="R57">
        <v>6</v>
      </c>
      <c r="S57">
        <v>69</v>
      </c>
      <c r="T57">
        <v>12</v>
      </c>
      <c r="U57" s="3">
        <f t="shared" si="0"/>
        <v>0.14309210526315788</v>
      </c>
      <c r="V57">
        <f t="shared" si="18"/>
        <v>674</v>
      </c>
      <c r="W57" s="2">
        <f>(V$54-V57)/V$54</f>
        <v>-0.30704589528118947</v>
      </c>
    </row>
    <row r="58" spans="1:23" x14ac:dyDescent="0.2">
      <c r="A58" t="s">
        <v>41</v>
      </c>
      <c r="B58" t="s">
        <v>21</v>
      </c>
      <c r="C58" t="s">
        <v>22</v>
      </c>
      <c r="D58" t="s">
        <v>23</v>
      </c>
      <c r="E58" t="s">
        <v>92</v>
      </c>
      <c r="F58">
        <v>3</v>
      </c>
      <c r="G58" t="s">
        <v>25</v>
      </c>
      <c r="H58">
        <v>46</v>
      </c>
      <c r="I58">
        <v>1505</v>
      </c>
      <c r="J58">
        <v>1209</v>
      </c>
      <c r="K58">
        <v>0</v>
      </c>
      <c r="L58">
        <v>18</v>
      </c>
      <c r="M58">
        <v>0</v>
      </c>
      <c r="N58">
        <v>210</v>
      </c>
      <c r="O58">
        <v>0</v>
      </c>
      <c r="P58">
        <v>996</v>
      </c>
      <c r="Q58">
        <v>0</v>
      </c>
      <c r="R58">
        <v>0</v>
      </c>
      <c r="S58">
        <v>0</v>
      </c>
      <c r="T58">
        <v>0</v>
      </c>
      <c r="U58" s="3"/>
      <c r="V58" s="74">
        <f>(O58+M58+N58)*1/3</f>
        <v>70</v>
      </c>
    </row>
    <row r="59" spans="1:23" x14ac:dyDescent="0.2">
      <c r="A59" t="s">
        <v>41</v>
      </c>
      <c r="B59" t="s">
        <v>21</v>
      </c>
      <c r="C59" t="s">
        <v>22</v>
      </c>
      <c r="D59" t="s">
        <v>23</v>
      </c>
      <c r="E59" t="s">
        <v>93</v>
      </c>
      <c r="F59">
        <v>3</v>
      </c>
      <c r="G59" t="s">
        <v>67</v>
      </c>
      <c r="H59">
        <v>46</v>
      </c>
      <c r="I59">
        <v>1441</v>
      </c>
      <c r="J59">
        <v>72</v>
      </c>
      <c r="K59">
        <v>251</v>
      </c>
      <c r="L59">
        <v>44</v>
      </c>
      <c r="M59">
        <v>20</v>
      </c>
      <c r="N59">
        <v>84</v>
      </c>
      <c r="O59">
        <v>271</v>
      </c>
      <c r="P59">
        <v>979</v>
      </c>
      <c r="Q59">
        <v>0</v>
      </c>
      <c r="R59">
        <v>6</v>
      </c>
      <c r="S59">
        <v>2</v>
      </c>
      <c r="T59">
        <v>1</v>
      </c>
      <c r="U59" s="3">
        <f t="shared" si="0"/>
        <v>9.1093117408906875E-3</v>
      </c>
      <c r="V59">
        <f>(O59+M59+N59)</f>
        <v>375</v>
      </c>
      <c r="W59" s="2">
        <f>(V$58-V59)/V$58</f>
        <v>-4.3571428571428568</v>
      </c>
    </row>
    <row r="60" spans="1:23" x14ac:dyDescent="0.2">
      <c r="A60" t="s">
        <v>41</v>
      </c>
      <c r="B60" t="s">
        <v>21</v>
      </c>
      <c r="C60" t="s">
        <v>22</v>
      </c>
      <c r="D60" t="s">
        <v>23</v>
      </c>
      <c r="E60" t="s">
        <v>94</v>
      </c>
      <c r="F60">
        <v>3</v>
      </c>
      <c r="G60" t="s">
        <v>69</v>
      </c>
      <c r="H60">
        <v>29</v>
      </c>
      <c r="I60">
        <v>1388</v>
      </c>
      <c r="J60">
        <v>86</v>
      </c>
      <c r="K60">
        <v>277</v>
      </c>
      <c r="L60">
        <v>27</v>
      </c>
      <c r="M60">
        <v>32</v>
      </c>
      <c r="N60">
        <v>89</v>
      </c>
      <c r="O60">
        <v>309</v>
      </c>
      <c r="P60">
        <v>964</v>
      </c>
      <c r="Q60">
        <v>0</v>
      </c>
      <c r="R60">
        <v>17</v>
      </c>
      <c r="S60">
        <v>2</v>
      </c>
      <c r="T60">
        <v>1</v>
      </c>
      <c r="U60" s="3">
        <f t="shared" si="0"/>
        <v>2.032520325203252E-2</v>
      </c>
      <c r="V60">
        <f t="shared" ref="V60:V61" si="19">(O60+M60+N60)</f>
        <v>430</v>
      </c>
      <c r="W60" s="2">
        <f>(V$58-V60)/V$58</f>
        <v>-5.1428571428571432</v>
      </c>
    </row>
    <row r="61" spans="1:23" x14ac:dyDescent="0.2">
      <c r="A61" t="s">
        <v>41</v>
      </c>
      <c r="B61" t="s">
        <v>21</v>
      </c>
      <c r="C61" t="s">
        <v>22</v>
      </c>
      <c r="D61" t="s">
        <v>23</v>
      </c>
      <c r="E61" t="s">
        <v>95</v>
      </c>
      <c r="F61">
        <v>3</v>
      </c>
      <c r="G61" t="s">
        <v>71</v>
      </c>
      <c r="H61">
        <v>26</v>
      </c>
      <c r="I61">
        <v>1492</v>
      </c>
      <c r="J61">
        <v>58</v>
      </c>
      <c r="K61">
        <v>194</v>
      </c>
      <c r="L61">
        <v>64</v>
      </c>
      <c r="M61">
        <v>10</v>
      </c>
      <c r="N61">
        <v>68</v>
      </c>
      <c r="O61">
        <v>204</v>
      </c>
      <c r="P61">
        <v>956</v>
      </c>
      <c r="Q61">
        <v>0</v>
      </c>
      <c r="R61">
        <v>8</v>
      </c>
      <c r="S61">
        <v>2</v>
      </c>
      <c r="T61">
        <v>3</v>
      </c>
      <c r="U61" s="3">
        <f t="shared" si="0"/>
        <v>1.3415892672858616E-2</v>
      </c>
      <c r="V61">
        <f t="shared" si="19"/>
        <v>282</v>
      </c>
      <c r="W61" s="2">
        <f>(V$58-V61)/V$58</f>
        <v>-3.0285714285714285</v>
      </c>
    </row>
    <row r="62" spans="1:23" x14ac:dyDescent="0.2">
      <c r="A62" t="s">
        <v>96</v>
      </c>
      <c r="B62" t="s">
        <v>21</v>
      </c>
      <c r="C62" t="s">
        <v>22</v>
      </c>
      <c r="D62" t="s">
        <v>73</v>
      </c>
      <c r="E62" t="s">
        <v>97</v>
      </c>
      <c r="F62">
        <v>3</v>
      </c>
      <c r="G62" t="s">
        <v>25</v>
      </c>
      <c r="H62">
        <v>55</v>
      </c>
      <c r="I62">
        <v>1679</v>
      </c>
      <c r="J62">
        <v>1023</v>
      </c>
      <c r="K62">
        <v>0</v>
      </c>
      <c r="L62">
        <v>25</v>
      </c>
      <c r="M62">
        <v>0</v>
      </c>
      <c r="N62">
        <v>200</v>
      </c>
      <c r="O62">
        <v>0</v>
      </c>
      <c r="P62">
        <v>994</v>
      </c>
      <c r="Q62">
        <v>0</v>
      </c>
      <c r="R62">
        <v>0</v>
      </c>
      <c r="S62">
        <v>0</v>
      </c>
      <c r="T62">
        <v>0</v>
      </c>
      <c r="U62" s="3"/>
      <c r="V62" s="74">
        <f>(O62+M62+N62)*1/3</f>
        <v>66.666666666666671</v>
      </c>
    </row>
    <row r="63" spans="1:23" x14ac:dyDescent="0.2">
      <c r="A63" t="s">
        <v>96</v>
      </c>
      <c r="B63" t="s">
        <v>21</v>
      </c>
      <c r="C63" t="s">
        <v>22</v>
      </c>
      <c r="D63" t="s">
        <v>73</v>
      </c>
      <c r="E63" t="s">
        <v>98</v>
      </c>
      <c r="F63">
        <v>3</v>
      </c>
      <c r="G63" t="s">
        <v>67</v>
      </c>
      <c r="H63">
        <v>37</v>
      </c>
      <c r="I63">
        <v>1349</v>
      </c>
      <c r="J63">
        <v>128</v>
      </c>
      <c r="K63">
        <v>274</v>
      </c>
      <c r="L63">
        <v>16</v>
      </c>
      <c r="M63">
        <v>22</v>
      </c>
      <c r="N63">
        <v>104</v>
      </c>
      <c r="O63">
        <v>296</v>
      </c>
      <c r="P63">
        <v>965</v>
      </c>
      <c r="Q63">
        <v>0</v>
      </c>
      <c r="R63">
        <v>5</v>
      </c>
      <c r="S63">
        <v>4</v>
      </c>
      <c r="T63">
        <v>2</v>
      </c>
      <c r="U63" s="3">
        <f t="shared" si="0"/>
        <v>1.1270491803278689E-2</v>
      </c>
      <c r="V63">
        <f>(O63+M63+N63)</f>
        <v>422</v>
      </c>
      <c r="W63" s="2">
        <f>(V$62-V63)/V$62</f>
        <v>-5.3299999999999992</v>
      </c>
    </row>
    <row r="64" spans="1:23" x14ac:dyDescent="0.2">
      <c r="A64" t="s">
        <v>96</v>
      </c>
      <c r="B64" t="s">
        <v>21</v>
      </c>
      <c r="C64" t="s">
        <v>22</v>
      </c>
      <c r="D64" t="s">
        <v>73</v>
      </c>
      <c r="E64" t="s">
        <v>99</v>
      </c>
      <c r="F64">
        <v>3</v>
      </c>
      <c r="G64" t="s">
        <v>69</v>
      </c>
      <c r="H64">
        <v>28</v>
      </c>
      <c r="I64">
        <v>1317</v>
      </c>
      <c r="J64">
        <v>94</v>
      </c>
      <c r="K64">
        <v>299</v>
      </c>
      <c r="L64">
        <v>36</v>
      </c>
      <c r="M64">
        <v>18</v>
      </c>
      <c r="N64">
        <v>90</v>
      </c>
      <c r="O64">
        <v>317</v>
      </c>
      <c r="P64">
        <v>941</v>
      </c>
      <c r="Q64">
        <v>0</v>
      </c>
      <c r="R64">
        <v>29</v>
      </c>
      <c r="S64">
        <v>3</v>
      </c>
      <c r="T64">
        <v>1</v>
      </c>
      <c r="U64" s="3">
        <f t="shared" si="0"/>
        <v>3.3880903490759756E-2</v>
      </c>
      <c r="V64">
        <f t="shared" ref="V64:V65" si="20">(O64+M64+N64)</f>
        <v>425</v>
      </c>
      <c r="W64" s="2">
        <f>(V$62-V64)/V$62</f>
        <v>-5.3749999999999991</v>
      </c>
    </row>
    <row r="65" spans="1:23" x14ac:dyDescent="0.2">
      <c r="A65" t="s">
        <v>96</v>
      </c>
      <c r="B65" t="s">
        <v>21</v>
      </c>
      <c r="C65" t="s">
        <v>22</v>
      </c>
      <c r="D65" t="s">
        <v>73</v>
      </c>
      <c r="E65" t="s">
        <v>100</v>
      </c>
      <c r="F65">
        <v>3</v>
      </c>
      <c r="G65" t="s">
        <v>71</v>
      </c>
      <c r="H65">
        <v>30</v>
      </c>
      <c r="I65">
        <v>1380</v>
      </c>
      <c r="J65">
        <v>86</v>
      </c>
      <c r="K65">
        <v>270</v>
      </c>
      <c r="L65">
        <v>36</v>
      </c>
      <c r="M65">
        <v>10</v>
      </c>
      <c r="N65">
        <v>98</v>
      </c>
      <c r="O65">
        <v>280</v>
      </c>
      <c r="P65">
        <v>955</v>
      </c>
      <c r="Q65">
        <v>0</v>
      </c>
      <c r="R65">
        <v>13</v>
      </c>
      <c r="S65">
        <v>4</v>
      </c>
      <c r="T65">
        <v>2</v>
      </c>
      <c r="U65" s="3">
        <f t="shared" si="0"/>
        <v>1.9507186858316223E-2</v>
      </c>
      <c r="V65">
        <f t="shared" si="20"/>
        <v>388</v>
      </c>
      <c r="W65" s="2">
        <f>(V$62-V65)/V$62</f>
        <v>-4.8199999999999994</v>
      </c>
    </row>
    <row r="66" spans="1:23" x14ac:dyDescent="0.2">
      <c r="A66" t="s">
        <v>54</v>
      </c>
      <c r="B66" t="s">
        <v>30</v>
      </c>
      <c r="C66" t="s">
        <v>22</v>
      </c>
      <c r="D66" t="s">
        <v>23</v>
      </c>
      <c r="E66" t="s">
        <v>92</v>
      </c>
      <c r="F66">
        <v>3</v>
      </c>
      <c r="G66" t="s">
        <v>25</v>
      </c>
      <c r="H66">
        <v>60</v>
      </c>
      <c r="I66">
        <v>1479</v>
      </c>
      <c r="J66">
        <v>1209</v>
      </c>
      <c r="K66">
        <v>0</v>
      </c>
      <c r="L66">
        <v>19</v>
      </c>
      <c r="M66">
        <v>0</v>
      </c>
      <c r="N66">
        <v>215</v>
      </c>
      <c r="O66">
        <v>0</v>
      </c>
      <c r="P66">
        <v>994</v>
      </c>
      <c r="Q66">
        <v>0</v>
      </c>
      <c r="R66">
        <v>0</v>
      </c>
      <c r="S66">
        <v>0</v>
      </c>
      <c r="T66">
        <v>0</v>
      </c>
      <c r="U66" s="3"/>
      <c r="V66" s="74">
        <f>(O66+M66+N66)*1/3</f>
        <v>71.666666666666671</v>
      </c>
    </row>
    <row r="67" spans="1:23" x14ac:dyDescent="0.2">
      <c r="A67" t="s">
        <v>54</v>
      </c>
      <c r="B67" t="s">
        <v>30</v>
      </c>
      <c r="C67" t="s">
        <v>22</v>
      </c>
      <c r="D67" t="s">
        <v>23</v>
      </c>
      <c r="E67" t="s">
        <v>93</v>
      </c>
      <c r="F67">
        <v>3</v>
      </c>
      <c r="G67" t="s">
        <v>67</v>
      </c>
      <c r="H67">
        <v>47</v>
      </c>
      <c r="I67">
        <v>1256</v>
      </c>
      <c r="J67">
        <v>106</v>
      </c>
      <c r="K67">
        <v>341</v>
      </c>
      <c r="L67">
        <v>26</v>
      </c>
      <c r="M67">
        <v>8</v>
      </c>
      <c r="N67">
        <v>98</v>
      </c>
      <c r="O67">
        <v>349</v>
      </c>
      <c r="P67">
        <v>941</v>
      </c>
      <c r="Q67">
        <v>0</v>
      </c>
      <c r="R67">
        <v>10</v>
      </c>
      <c r="S67">
        <v>4</v>
      </c>
      <c r="T67">
        <v>9</v>
      </c>
      <c r="U67" s="3">
        <f t="shared" si="0"/>
        <v>2.3858921161825725E-2</v>
      </c>
      <c r="V67">
        <f>(O67+M67+N67)</f>
        <v>455</v>
      </c>
      <c r="W67" s="73">
        <f>(V$66-V67)/V$66</f>
        <v>-5.3488372093023253</v>
      </c>
    </row>
    <row r="68" spans="1:23" x14ac:dyDescent="0.2">
      <c r="A68" t="s">
        <v>54</v>
      </c>
      <c r="B68" t="s">
        <v>30</v>
      </c>
      <c r="C68" t="s">
        <v>22</v>
      </c>
      <c r="D68" t="s">
        <v>23</v>
      </c>
      <c r="E68" t="s">
        <v>94</v>
      </c>
      <c r="F68">
        <v>3</v>
      </c>
      <c r="G68" t="s">
        <v>69</v>
      </c>
      <c r="H68">
        <v>36</v>
      </c>
      <c r="I68">
        <v>1318</v>
      </c>
      <c r="J68">
        <v>96</v>
      </c>
      <c r="K68">
        <v>230</v>
      </c>
      <c r="L68">
        <v>17</v>
      </c>
      <c r="M68">
        <v>8</v>
      </c>
      <c r="N68">
        <v>97</v>
      </c>
      <c r="O68">
        <v>238</v>
      </c>
      <c r="P68">
        <v>901</v>
      </c>
      <c r="Q68">
        <v>0</v>
      </c>
      <c r="R68">
        <v>43</v>
      </c>
      <c r="S68">
        <v>4</v>
      </c>
      <c r="T68">
        <v>15</v>
      </c>
      <c r="U68" s="3">
        <f t="shared" ref="U68:U131" si="21">SUM(R68:T68)/(P68+(SUM(R68:T68)))</f>
        <v>6.4382139148494291E-2</v>
      </c>
      <c r="V68">
        <f t="shared" ref="V68:V69" si="22">(O68+M68+N68)</f>
        <v>343</v>
      </c>
      <c r="W68" s="2">
        <f>(V$66-V68)/V$66</f>
        <v>-3.7860465116279065</v>
      </c>
    </row>
    <row r="69" spans="1:23" x14ac:dyDescent="0.2">
      <c r="A69" t="s">
        <v>54</v>
      </c>
      <c r="B69" t="s">
        <v>30</v>
      </c>
      <c r="C69" t="s">
        <v>22</v>
      </c>
      <c r="D69" t="s">
        <v>23</v>
      </c>
      <c r="E69" t="s">
        <v>95</v>
      </c>
      <c r="F69">
        <v>3</v>
      </c>
      <c r="G69" t="s">
        <v>71</v>
      </c>
      <c r="H69">
        <v>41</v>
      </c>
      <c r="I69">
        <v>1378</v>
      </c>
      <c r="J69">
        <v>138</v>
      </c>
      <c r="K69">
        <v>181</v>
      </c>
      <c r="L69">
        <v>19</v>
      </c>
      <c r="M69">
        <v>14</v>
      </c>
      <c r="N69">
        <v>103</v>
      </c>
      <c r="O69">
        <v>195</v>
      </c>
      <c r="P69">
        <v>937</v>
      </c>
      <c r="Q69">
        <v>0</v>
      </c>
      <c r="R69">
        <v>21</v>
      </c>
      <c r="S69">
        <v>4</v>
      </c>
      <c r="T69">
        <v>9</v>
      </c>
      <c r="U69" s="3">
        <f t="shared" si="21"/>
        <v>3.5015447991761074E-2</v>
      </c>
      <c r="V69">
        <f t="shared" si="22"/>
        <v>312</v>
      </c>
      <c r="W69" s="2">
        <f>(V$66-V69)/V$66</f>
        <v>-3.3534883720930226</v>
      </c>
    </row>
    <row r="70" spans="1:23" x14ac:dyDescent="0.2">
      <c r="A70" t="s">
        <v>101</v>
      </c>
      <c r="B70" t="s">
        <v>30</v>
      </c>
      <c r="C70" t="s">
        <v>22</v>
      </c>
      <c r="D70" t="s">
        <v>73</v>
      </c>
      <c r="E70" t="s">
        <v>97</v>
      </c>
      <c r="F70">
        <v>3</v>
      </c>
      <c r="G70" t="s">
        <v>25</v>
      </c>
      <c r="H70">
        <v>49</v>
      </c>
      <c r="I70">
        <v>1559</v>
      </c>
      <c r="J70">
        <v>1149</v>
      </c>
      <c r="K70">
        <v>0</v>
      </c>
      <c r="L70">
        <v>18</v>
      </c>
      <c r="M70">
        <v>0</v>
      </c>
      <c r="N70">
        <v>213</v>
      </c>
      <c r="O70">
        <v>0</v>
      </c>
      <c r="P70">
        <v>996</v>
      </c>
      <c r="Q70">
        <v>0</v>
      </c>
      <c r="R70">
        <v>0</v>
      </c>
      <c r="S70">
        <v>0</v>
      </c>
      <c r="T70">
        <v>0</v>
      </c>
      <c r="U70" s="3"/>
      <c r="V70" s="74">
        <f>(O70+M70+N70)*1/3</f>
        <v>71</v>
      </c>
    </row>
    <row r="71" spans="1:23" x14ac:dyDescent="0.2">
      <c r="A71" t="s">
        <v>101</v>
      </c>
      <c r="B71" t="s">
        <v>30</v>
      </c>
      <c r="C71" t="s">
        <v>22</v>
      </c>
      <c r="D71" t="s">
        <v>73</v>
      </c>
      <c r="E71" t="s">
        <v>98</v>
      </c>
      <c r="F71">
        <v>3</v>
      </c>
      <c r="G71" t="s">
        <v>67</v>
      </c>
      <c r="H71">
        <v>27</v>
      </c>
      <c r="I71">
        <v>1334</v>
      </c>
      <c r="J71">
        <v>118</v>
      </c>
      <c r="K71">
        <v>275</v>
      </c>
      <c r="L71">
        <v>8</v>
      </c>
      <c r="M71">
        <v>8</v>
      </c>
      <c r="N71">
        <v>114</v>
      </c>
      <c r="O71">
        <v>283</v>
      </c>
      <c r="P71">
        <v>942</v>
      </c>
      <c r="Q71">
        <v>0</v>
      </c>
      <c r="R71">
        <v>15</v>
      </c>
      <c r="S71">
        <v>3</v>
      </c>
      <c r="T71">
        <v>12</v>
      </c>
      <c r="U71" s="3">
        <f t="shared" si="21"/>
        <v>3.0864197530864196E-2</v>
      </c>
      <c r="V71">
        <f>(O71+M71+N71)</f>
        <v>405</v>
      </c>
      <c r="W71" s="2">
        <f>(V$70-V71)/V$70</f>
        <v>-4.704225352112676</v>
      </c>
    </row>
    <row r="72" spans="1:23" x14ac:dyDescent="0.2">
      <c r="A72" t="s">
        <v>101</v>
      </c>
      <c r="B72" t="s">
        <v>30</v>
      </c>
      <c r="C72" t="s">
        <v>22</v>
      </c>
      <c r="D72" t="s">
        <v>73</v>
      </c>
      <c r="E72" t="s">
        <v>99</v>
      </c>
      <c r="F72">
        <v>3</v>
      </c>
      <c r="G72" t="s">
        <v>69</v>
      </c>
      <c r="H72">
        <v>25</v>
      </c>
      <c r="I72">
        <v>1350</v>
      </c>
      <c r="J72">
        <v>142</v>
      </c>
      <c r="K72">
        <v>179</v>
      </c>
      <c r="L72">
        <v>6</v>
      </c>
      <c r="M72">
        <v>6</v>
      </c>
      <c r="N72">
        <v>112</v>
      </c>
      <c r="O72">
        <v>185</v>
      </c>
      <c r="P72">
        <v>910</v>
      </c>
      <c r="Q72">
        <v>0</v>
      </c>
      <c r="R72">
        <v>42</v>
      </c>
      <c r="S72">
        <v>3</v>
      </c>
      <c r="T72">
        <v>15</v>
      </c>
      <c r="U72" s="3">
        <f t="shared" si="21"/>
        <v>6.1855670103092786E-2</v>
      </c>
      <c r="V72">
        <f t="shared" ref="V72:V73" si="23">(O72+M72+N72)</f>
        <v>303</v>
      </c>
      <c r="W72" s="2">
        <f>(V$70-V72)/V$70</f>
        <v>-3.267605633802817</v>
      </c>
    </row>
    <row r="73" spans="1:23" x14ac:dyDescent="0.2">
      <c r="A73" t="s">
        <v>101</v>
      </c>
      <c r="B73" t="s">
        <v>30</v>
      </c>
      <c r="C73" t="s">
        <v>22</v>
      </c>
      <c r="D73" t="s">
        <v>73</v>
      </c>
      <c r="E73" t="s">
        <v>100</v>
      </c>
      <c r="F73">
        <v>3</v>
      </c>
      <c r="G73" t="s">
        <v>71</v>
      </c>
      <c r="H73">
        <v>38</v>
      </c>
      <c r="I73">
        <v>1349</v>
      </c>
      <c r="J73">
        <v>108</v>
      </c>
      <c r="K73">
        <v>215</v>
      </c>
      <c r="L73">
        <v>10</v>
      </c>
      <c r="M73">
        <v>5</v>
      </c>
      <c r="N73">
        <v>111</v>
      </c>
      <c r="O73">
        <v>220</v>
      </c>
      <c r="P73">
        <v>918</v>
      </c>
      <c r="Q73">
        <v>0</v>
      </c>
      <c r="R73">
        <v>36</v>
      </c>
      <c r="S73">
        <v>3</v>
      </c>
      <c r="T73">
        <v>15</v>
      </c>
      <c r="U73" s="3">
        <f t="shared" si="21"/>
        <v>5.5555555555555552E-2</v>
      </c>
      <c r="V73">
        <f t="shared" si="23"/>
        <v>336</v>
      </c>
      <c r="W73" s="2">
        <f>(V$70-V73)/V$70</f>
        <v>-3.732394366197183</v>
      </c>
    </row>
    <row r="74" spans="1:23" x14ac:dyDescent="0.2">
      <c r="A74" s="8" t="s">
        <v>59</v>
      </c>
      <c r="B74" s="8" t="s">
        <v>58</v>
      </c>
      <c r="C74" s="8" t="s">
        <v>22</v>
      </c>
      <c r="D74" s="8" t="s">
        <v>23</v>
      </c>
      <c r="E74" s="8" t="s">
        <v>92</v>
      </c>
      <c r="F74" s="8">
        <v>3</v>
      </c>
      <c r="G74" s="8" t="s">
        <v>25</v>
      </c>
      <c r="H74" s="8">
        <v>9</v>
      </c>
      <c r="I74" s="8">
        <v>510</v>
      </c>
      <c r="J74" s="8">
        <v>975</v>
      </c>
      <c r="K74" s="8">
        <v>0</v>
      </c>
      <c r="L74" s="8">
        <v>5</v>
      </c>
      <c r="M74" s="8">
        <v>0</v>
      </c>
      <c r="N74" s="8">
        <v>124</v>
      </c>
      <c r="O74" s="8">
        <v>0</v>
      </c>
      <c r="P74" s="8">
        <v>541</v>
      </c>
      <c r="Q74" s="8">
        <v>0</v>
      </c>
      <c r="R74" s="8">
        <v>0</v>
      </c>
      <c r="S74" s="8">
        <v>0</v>
      </c>
      <c r="T74" s="8">
        <v>0</v>
      </c>
      <c r="U74" s="9"/>
      <c r="V74" s="74">
        <f>(O74+M74+N74)*1/3</f>
        <v>41.333333333333336</v>
      </c>
    </row>
    <row r="75" spans="1:23" x14ac:dyDescent="0.2">
      <c r="A75" s="8" t="s">
        <v>59</v>
      </c>
      <c r="B75" s="8" t="s">
        <v>58</v>
      </c>
      <c r="C75" s="8" t="s">
        <v>22</v>
      </c>
      <c r="D75" s="8" t="s">
        <v>23</v>
      </c>
      <c r="E75" s="8" t="s">
        <v>93</v>
      </c>
      <c r="F75" s="8">
        <v>3</v>
      </c>
      <c r="G75" s="8" t="s">
        <v>67</v>
      </c>
      <c r="H75" s="8">
        <v>0</v>
      </c>
      <c r="I75" s="8">
        <v>207</v>
      </c>
      <c r="J75" s="8">
        <v>18</v>
      </c>
      <c r="K75" s="8">
        <v>119</v>
      </c>
      <c r="L75" s="8">
        <v>2</v>
      </c>
      <c r="M75" s="8">
        <v>4</v>
      </c>
      <c r="N75" s="8">
        <v>8</v>
      </c>
      <c r="O75" s="8">
        <v>123</v>
      </c>
      <c r="P75" s="8">
        <v>179</v>
      </c>
      <c r="Q75" s="8">
        <v>0</v>
      </c>
      <c r="R75" s="8">
        <v>19</v>
      </c>
      <c r="S75" s="8">
        <v>89</v>
      </c>
      <c r="T75" s="8">
        <v>7</v>
      </c>
      <c r="U75" s="9">
        <f t="shared" si="21"/>
        <v>0.391156462585034</v>
      </c>
      <c r="V75">
        <f>(O75+M75+N75)</f>
        <v>135</v>
      </c>
      <c r="W75" s="2">
        <f>(V$74-V75)/V$74</f>
        <v>-2.2661290322580641</v>
      </c>
    </row>
    <row r="76" spans="1:23" x14ac:dyDescent="0.2">
      <c r="A76" s="8" t="s">
        <v>59</v>
      </c>
      <c r="B76" s="8" t="s">
        <v>58</v>
      </c>
      <c r="C76" s="8" t="s">
        <v>22</v>
      </c>
      <c r="D76" s="8" t="s">
        <v>23</v>
      </c>
      <c r="E76" s="8" t="s">
        <v>94</v>
      </c>
      <c r="F76" s="8">
        <v>3</v>
      </c>
      <c r="G76" s="8" t="s">
        <v>69</v>
      </c>
      <c r="H76" s="8">
        <v>0</v>
      </c>
      <c r="I76" s="8">
        <v>174</v>
      </c>
      <c r="J76" s="8">
        <v>18</v>
      </c>
      <c r="K76" s="8">
        <v>92</v>
      </c>
      <c r="L76" s="8">
        <v>4</v>
      </c>
      <c r="M76" s="8">
        <v>8</v>
      </c>
      <c r="N76" s="8">
        <v>14</v>
      </c>
      <c r="O76" s="8">
        <v>100</v>
      </c>
      <c r="P76" s="8">
        <v>155</v>
      </c>
      <c r="Q76" s="8">
        <v>0</v>
      </c>
      <c r="R76" s="8">
        <v>82</v>
      </c>
      <c r="S76" s="8">
        <v>76</v>
      </c>
      <c r="T76" s="8">
        <v>8</v>
      </c>
      <c r="U76" s="9">
        <f t="shared" si="21"/>
        <v>0.51713395638629278</v>
      </c>
      <c r="V76">
        <f t="shared" ref="V76:V77" si="24">(O76+M76+N76)</f>
        <v>122</v>
      </c>
      <c r="W76" s="2">
        <f>(V$74-V76)/V$74</f>
        <v>-1.9516129032258061</v>
      </c>
    </row>
    <row r="77" spans="1:23" x14ac:dyDescent="0.2">
      <c r="A77" s="8" t="s">
        <v>59</v>
      </c>
      <c r="B77" s="8" t="s">
        <v>58</v>
      </c>
      <c r="C77" s="8" t="s">
        <v>22</v>
      </c>
      <c r="D77" s="8" t="s">
        <v>23</v>
      </c>
      <c r="E77" s="8" t="s">
        <v>95</v>
      </c>
      <c r="F77" s="8">
        <v>3</v>
      </c>
      <c r="G77" s="8" t="s">
        <v>71</v>
      </c>
      <c r="H77" s="8">
        <v>1</v>
      </c>
      <c r="I77" s="8">
        <v>191</v>
      </c>
      <c r="J77" s="8">
        <v>16</v>
      </c>
      <c r="K77" s="8">
        <v>116</v>
      </c>
      <c r="L77" s="8">
        <v>12</v>
      </c>
      <c r="M77" s="8">
        <v>7</v>
      </c>
      <c r="N77" s="8">
        <v>11</v>
      </c>
      <c r="O77" s="8">
        <v>123</v>
      </c>
      <c r="P77" s="8">
        <v>177</v>
      </c>
      <c r="Q77" s="8">
        <v>0</v>
      </c>
      <c r="R77" s="8">
        <v>78</v>
      </c>
      <c r="S77" s="8">
        <v>65</v>
      </c>
      <c r="T77" s="8">
        <v>8</v>
      </c>
      <c r="U77" s="9">
        <f t="shared" si="21"/>
        <v>0.46036585365853661</v>
      </c>
      <c r="V77">
        <f t="shared" si="24"/>
        <v>141</v>
      </c>
      <c r="W77" s="2">
        <f>(V$74-V77)/V$74</f>
        <v>-2.4112903225806446</v>
      </c>
    </row>
    <row r="78" spans="1:23" x14ac:dyDescent="0.2">
      <c r="A78" t="s">
        <v>63</v>
      </c>
      <c r="B78" t="s">
        <v>32</v>
      </c>
      <c r="C78" t="s">
        <v>22</v>
      </c>
      <c r="D78" t="s">
        <v>23</v>
      </c>
      <c r="E78" t="s">
        <v>92</v>
      </c>
      <c r="F78">
        <v>3</v>
      </c>
      <c r="G78" t="s">
        <v>25</v>
      </c>
      <c r="H78">
        <v>16</v>
      </c>
      <c r="I78">
        <v>734</v>
      </c>
      <c r="J78">
        <v>1275</v>
      </c>
      <c r="K78">
        <v>0</v>
      </c>
      <c r="L78">
        <v>27</v>
      </c>
      <c r="M78">
        <v>0</v>
      </c>
      <c r="N78">
        <v>138</v>
      </c>
      <c r="O78">
        <v>0</v>
      </c>
      <c r="P78">
        <v>730</v>
      </c>
      <c r="Q78">
        <v>0</v>
      </c>
      <c r="R78">
        <v>0</v>
      </c>
      <c r="S78">
        <v>0</v>
      </c>
      <c r="T78">
        <v>0</v>
      </c>
      <c r="U78" s="3"/>
      <c r="V78" s="8">
        <f>(O78+M78+N78)*1/3</f>
        <v>46</v>
      </c>
    </row>
    <row r="79" spans="1:23" x14ac:dyDescent="0.2">
      <c r="A79" t="s">
        <v>63</v>
      </c>
      <c r="B79" t="s">
        <v>32</v>
      </c>
      <c r="C79" t="s">
        <v>22</v>
      </c>
      <c r="D79" t="s">
        <v>23</v>
      </c>
      <c r="E79" t="s">
        <v>93</v>
      </c>
      <c r="F79">
        <v>3</v>
      </c>
      <c r="G79" t="s">
        <v>67</v>
      </c>
      <c r="H79">
        <v>8</v>
      </c>
      <c r="I79">
        <v>711</v>
      </c>
      <c r="J79">
        <v>42</v>
      </c>
      <c r="K79">
        <v>119</v>
      </c>
      <c r="L79">
        <v>4</v>
      </c>
      <c r="M79">
        <v>6</v>
      </c>
      <c r="N79">
        <v>50</v>
      </c>
      <c r="O79">
        <v>125</v>
      </c>
      <c r="P79">
        <v>470</v>
      </c>
      <c r="Q79">
        <v>0</v>
      </c>
      <c r="R79">
        <v>8</v>
      </c>
      <c r="S79">
        <v>122</v>
      </c>
      <c r="T79">
        <v>1</v>
      </c>
      <c r="U79" s="3">
        <f t="shared" si="21"/>
        <v>0.21797004991680533</v>
      </c>
      <c r="V79">
        <f>(O79+M79+N79)</f>
        <v>181</v>
      </c>
      <c r="W79" s="2">
        <f>(V$78-V79)/V$78</f>
        <v>-2.9347826086956523</v>
      </c>
    </row>
    <row r="80" spans="1:23" x14ac:dyDescent="0.2">
      <c r="A80" t="s">
        <v>63</v>
      </c>
      <c r="B80" t="s">
        <v>32</v>
      </c>
      <c r="C80" t="s">
        <v>22</v>
      </c>
      <c r="D80" t="s">
        <v>23</v>
      </c>
      <c r="E80" t="s">
        <v>94</v>
      </c>
      <c r="F80">
        <v>3</v>
      </c>
      <c r="G80" t="s">
        <v>69</v>
      </c>
      <c r="H80">
        <v>8</v>
      </c>
      <c r="I80">
        <v>751</v>
      </c>
      <c r="J80">
        <v>32</v>
      </c>
      <c r="K80">
        <v>85</v>
      </c>
      <c r="L80">
        <v>8</v>
      </c>
      <c r="M80">
        <v>8</v>
      </c>
      <c r="N80">
        <v>50</v>
      </c>
      <c r="O80">
        <v>93</v>
      </c>
      <c r="P80">
        <v>471</v>
      </c>
      <c r="Q80">
        <v>0</v>
      </c>
      <c r="R80">
        <v>15</v>
      </c>
      <c r="S80">
        <v>114</v>
      </c>
      <c r="T80">
        <v>2</v>
      </c>
      <c r="U80" s="3">
        <f t="shared" si="21"/>
        <v>0.21760797342192692</v>
      </c>
      <c r="V80">
        <f t="shared" ref="V80:V81" si="25">(O80+M80+N80)</f>
        <v>151</v>
      </c>
      <c r="W80" s="2">
        <f>(V$78-V80)/V$78</f>
        <v>-2.2826086956521738</v>
      </c>
    </row>
    <row r="81" spans="1:23" x14ac:dyDescent="0.2">
      <c r="A81" t="s">
        <v>63</v>
      </c>
      <c r="B81" t="s">
        <v>32</v>
      </c>
      <c r="C81" t="s">
        <v>22</v>
      </c>
      <c r="D81" t="s">
        <v>23</v>
      </c>
      <c r="E81" t="s">
        <v>95</v>
      </c>
      <c r="F81">
        <v>3</v>
      </c>
      <c r="G81" t="s">
        <v>71</v>
      </c>
      <c r="H81">
        <v>8</v>
      </c>
      <c r="I81">
        <v>741</v>
      </c>
      <c r="J81">
        <v>30</v>
      </c>
      <c r="K81">
        <v>75</v>
      </c>
      <c r="L81">
        <v>10</v>
      </c>
      <c r="M81">
        <v>2</v>
      </c>
      <c r="N81">
        <v>44</v>
      </c>
      <c r="O81">
        <v>77</v>
      </c>
      <c r="P81">
        <v>455</v>
      </c>
      <c r="Q81">
        <v>0</v>
      </c>
      <c r="R81">
        <v>13</v>
      </c>
      <c r="S81">
        <v>109</v>
      </c>
      <c r="T81">
        <v>1</v>
      </c>
      <c r="U81" s="3">
        <f t="shared" si="21"/>
        <v>0.21280276816608998</v>
      </c>
      <c r="V81">
        <f t="shared" si="25"/>
        <v>123</v>
      </c>
      <c r="W81" s="2">
        <f>(V$78-V81)/V$78</f>
        <v>-1.673913043478261</v>
      </c>
    </row>
    <row r="82" spans="1:23" x14ac:dyDescent="0.2">
      <c r="A82" t="s">
        <v>102</v>
      </c>
      <c r="B82" t="s">
        <v>32</v>
      </c>
      <c r="C82" t="s">
        <v>22</v>
      </c>
      <c r="D82" t="s">
        <v>73</v>
      </c>
      <c r="E82" t="s">
        <v>97</v>
      </c>
      <c r="F82">
        <v>3</v>
      </c>
      <c r="G82" t="s">
        <v>25</v>
      </c>
      <c r="H82">
        <v>15</v>
      </c>
      <c r="I82">
        <v>786</v>
      </c>
      <c r="J82">
        <v>1209</v>
      </c>
      <c r="K82">
        <v>0</v>
      </c>
      <c r="L82">
        <v>12</v>
      </c>
      <c r="M82">
        <v>0</v>
      </c>
      <c r="N82">
        <v>144</v>
      </c>
      <c r="O82">
        <v>0</v>
      </c>
      <c r="P82">
        <v>722</v>
      </c>
      <c r="Q82">
        <v>0</v>
      </c>
      <c r="R82">
        <v>0</v>
      </c>
      <c r="S82">
        <v>0</v>
      </c>
      <c r="T82">
        <v>0</v>
      </c>
      <c r="U82" s="3"/>
      <c r="V82" s="8">
        <f>(O82+M82+N82)*1/3</f>
        <v>48</v>
      </c>
    </row>
    <row r="83" spans="1:23" x14ac:dyDescent="0.2">
      <c r="A83" t="s">
        <v>102</v>
      </c>
      <c r="B83" t="s">
        <v>32</v>
      </c>
      <c r="C83" t="s">
        <v>22</v>
      </c>
      <c r="D83" t="s">
        <v>73</v>
      </c>
      <c r="E83" t="s">
        <v>98</v>
      </c>
      <c r="F83">
        <v>3</v>
      </c>
      <c r="G83" t="s">
        <v>67</v>
      </c>
      <c r="H83">
        <v>9</v>
      </c>
      <c r="I83">
        <v>666</v>
      </c>
      <c r="J83">
        <v>84</v>
      </c>
      <c r="K83">
        <v>59</v>
      </c>
      <c r="L83">
        <v>5</v>
      </c>
      <c r="M83">
        <v>0</v>
      </c>
      <c r="N83">
        <v>53</v>
      </c>
      <c r="O83">
        <v>59</v>
      </c>
      <c r="P83">
        <v>438</v>
      </c>
      <c r="Q83">
        <v>0</v>
      </c>
      <c r="R83">
        <v>10</v>
      </c>
      <c r="S83">
        <v>91</v>
      </c>
      <c r="T83">
        <v>1</v>
      </c>
      <c r="U83" s="3">
        <f t="shared" si="21"/>
        <v>0.18888888888888888</v>
      </c>
      <c r="V83">
        <f>(O83+M83+N83)</f>
        <v>112</v>
      </c>
      <c r="W83" s="73">
        <f>(V$82-V83)/V$82</f>
        <v>-1.3333333333333333</v>
      </c>
    </row>
    <row r="84" spans="1:23" x14ac:dyDescent="0.2">
      <c r="A84" t="s">
        <v>102</v>
      </c>
      <c r="B84" t="s">
        <v>32</v>
      </c>
      <c r="C84" t="s">
        <v>22</v>
      </c>
      <c r="D84" t="s">
        <v>73</v>
      </c>
      <c r="E84" t="s">
        <v>99</v>
      </c>
      <c r="F84">
        <v>3</v>
      </c>
      <c r="G84" t="s">
        <v>69</v>
      </c>
      <c r="H84">
        <v>10</v>
      </c>
      <c r="I84">
        <v>677</v>
      </c>
      <c r="J84">
        <v>56</v>
      </c>
      <c r="K84">
        <v>59</v>
      </c>
      <c r="L84">
        <v>10</v>
      </c>
      <c r="M84">
        <v>2</v>
      </c>
      <c r="N84">
        <v>56</v>
      </c>
      <c r="O84">
        <v>61</v>
      </c>
      <c r="P84">
        <v>435</v>
      </c>
      <c r="Q84">
        <v>0</v>
      </c>
      <c r="R84">
        <v>8</v>
      </c>
      <c r="S84">
        <v>103</v>
      </c>
      <c r="T84">
        <v>0</v>
      </c>
      <c r="U84" s="3">
        <f t="shared" si="21"/>
        <v>0.2032967032967033</v>
      </c>
      <c r="V84">
        <f t="shared" ref="V84:V85" si="26">(O84+M84+N84)</f>
        <v>119</v>
      </c>
      <c r="W84" s="73">
        <f>(V$82-V84)/V$82</f>
        <v>-1.4791666666666667</v>
      </c>
    </row>
    <row r="85" spans="1:23" x14ac:dyDescent="0.2">
      <c r="A85" t="s">
        <v>102</v>
      </c>
      <c r="B85" t="s">
        <v>32</v>
      </c>
      <c r="C85" t="s">
        <v>22</v>
      </c>
      <c r="D85" t="s">
        <v>73</v>
      </c>
      <c r="E85" t="s">
        <v>100</v>
      </c>
      <c r="F85">
        <v>3</v>
      </c>
      <c r="G85" t="s">
        <v>71</v>
      </c>
      <c r="H85">
        <v>9</v>
      </c>
      <c r="I85">
        <v>642</v>
      </c>
      <c r="J85">
        <v>64</v>
      </c>
      <c r="K85">
        <v>79</v>
      </c>
      <c r="L85">
        <v>3</v>
      </c>
      <c r="M85">
        <v>1</v>
      </c>
      <c r="N85">
        <v>60</v>
      </c>
      <c r="O85">
        <v>80</v>
      </c>
      <c r="P85">
        <v>429</v>
      </c>
      <c r="Q85">
        <v>0</v>
      </c>
      <c r="R85">
        <v>10</v>
      </c>
      <c r="S85">
        <v>83</v>
      </c>
      <c r="T85">
        <v>0</v>
      </c>
      <c r="U85" s="3">
        <f t="shared" si="21"/>
        <v>0.17816091954022989</v>
      </c>
      <c r="V85">
        <f t="shared" si="26"/>
        <v>141</v>
      </c>
      <c r="W85" s="73">
        <f>(V$82-V85)/V$82</f>
        <v>-1.9375</v>
      </c>
    </row>
    <row r="86" spans="1:23" x14ac:dyDescent="0.2">
      <c r="A86" t="s">
        <v>45</v>
      </c>
      <c r="B86" t="s">
        <v>21</v>
      </c>
      <c r="C86" t="s">
        <v>22</v>
      </c>
      <c r="D86" t="s">
        <v>23</v>
      </c>
      <c r="E86" t="s">
        <v>103</v>
      </c>
      <c r="F86">
        <v>3</v>
      </c>
      <c r="G86" t="s">
        <v>25</v>
      </c>
      <c r="H86">
        <v>253</v>
      </c>
      <c r="I86">
        <v>365</v>
      </c>
      <c r="J86">
        <v>582</v>
      </c>
      <c r="K86">
        <v>0</v>
      </c>
      <c r="L86">
        <v>273</v>
      </c>
      <c r="M86">
        <v>0</v>
      </c>
      <c r="N86">
        <v>582</v>
      </c>
      <c r="O86">
        <v>0</v>
      </c>
      <c r="P86">
        <v>685</v>
      </c>
      <c r="Q86">
        <v>0</v>
      </c>
      <c r="R86">
        <v>0</v>
      </c>
      <c r="S86">
        <v>0</v>
      </c>
      <c r="T86">
        <v>0</v>
      </c>
      <c r="U86" s="3"/>
      <c r="V86" s="8">
        <f>(O86+M86+N86)*1/3</f>
        <v>194</v>
      </c>
    </row>
    <row r="87" spans="1:23" x14ac:dyDescent="0.2">
      <c r="A87" t="s">
        <v>45</v>
      </c>
      <c r="B87" t="s">
        <v>21</v>
      </c>
      <c r="C87" t="s">
        <v>22</v>
      </c>
      <c r="D87" t="s">
        <v>23</v>
      </c>
      <c r="E87" t="s">
        <v>104</v>
      </c>
      <c r="F87">
        <v>3</v>
      </c>
      <c r="G87" t="s">
        <v>67</v>
      </c>
      <c r="H87">
        <v>98</v>
      </c>
      <c r="I87">
        <v>424</v>
      </c>
      <c r="J87">
        <v>44</v>
      </c>
      <c r="K87">
        <v>146</v>
      </c>
      <c r="L87">
        <v>151</v>
      </c>
      <c r="M87">
        <v>110</v>
      </c>
      <c r="N87">
        <v>251</v>
      </c>
      <c r="O87">
        <v>256</v>
      </c>
      <c r="P87">
        <v>612</v>
      </c>
      <c r="Q87">
        <v>0</v>
      </c>
      <c r="R87">
        <v>40</v>
      </c>
      <c r="S87">
        <v>2</v>
      </c>
      <c r="T87">
        <v>7</v>
      </c>
      <c r="U87" s="3">
        <f t="shared" si="21"/>
        <v>7.4130105900151289E-2</v>
      </c>
      <c r="V87">
        <f>(O87+M87+N87)</f>
        <v>617</v>
      </c>
      <c r="W87" s="73">
        <f>(V$86-V87)/V$86</f>
        <v>-2.1804123711340204</v>
      </c>
    </row>
    <row r="88" spans="1:23" x14ac:dyDescent="0.2">
      <c r="A88" t="s">
        <v>45</v>
      </c>
      <c r="B88" t="s">
        <v>21</v>
      </c>
      <c r="C88" t="s">
        <v>22</v>
      </c>
      <c r="D88" t="s">
        <v>23</v>
      </c>
      <c r="E88" t="s">
        <v>105</v>
      </c>
      <c r="F88">
        <v>3</v>
      </c>
      <c r="G88" t="s">
        <v>69</v>
      </c>
      <c r="H88">
        <v>110</v>
      </c>
      <c r="I88">
        <v>364</v>
      </c>
      <c r="J88">
        <v>40</v>
      </c>
      <c r="K88">
        <v>130</v>
      </c>
      <c r="L88">
        <v>58</v>
      </c>
      <c r="M88">
        <v>74</v>
      </c>
      <c r="N88">
        <v>310</v>
      </c>
      <c r="O88">
        <v>204</v>
      </c>
      <c r="P88">
        <v>543</v>
      </c>
      <c r="Q88">
        <v>0</v>
      </c>
      <c r="R88">
        <v>82</v>
      </c>
      <c r="S88">
        <v>2</v>
      </c>
      <c r="T88">
        <v>51</v>
      </c>
      <c r="U88" s="3">
        <f t="shared" si="21"/>
        <v>0.19911504424778761</v>
      </c>
      <c r="V88">
        <f t="shared" ref="V88:V89" si="27">(O88+M88+N88)</f>
        <v>588</v>
      </c>
      <c r="W88" s="73">
        <f>(V$86-V88)/V$86</f>
        <v>-2.0309278350515463</v>
      </c>
    </row>
    <row r="89" spans="1:23" x14ac:dyDescent="0.2">
      <c r="A89" t="s">
        <v>45</v>
      </c>
      <c r="B89" t="s">
        <v>21</v>
      </c>
      <c r="C89" t="s">
        <v>22</v>
      </c>
      <c r="D89" t="s">
        <v>23</v>
      </c>
      <c r="E89" t="s">
        <v>106</v>
      </c>
      <c r="F89">
        <v>3</v>
      </c>
      <c r="G89" t="s">
        <v>71</v>
      </c>
      <c r="H89">
        <v>111</v>
      </c>
      <c r="I89">
        <v>370</v>
      </c>
      <c r="J89">
        <v>28</v>
      </c>
      <c r="K89">
        <v>125</v>
      </c>
      <c r="L89">
        <v>97</v>
      </c>
      <c r="M89">
        <v>104</v>
      </c>
      <c r="N89">
        <v>243</v>
      </c>
      <c r="O89">
        <v>229</v>
      </c>
      <c r="P89">
        <v>539</v>
      </c>
      <c r="Q89">
        <v>0</v>
      </c>
      <c r="R89">
        <v>92</v>
      </c>
      <c r="S89">
        <v>2</v>
      </c>
      <c r="T89">
        <v>31</v>
      </c>
      <c r="U89" s="3">
        <f t="shared" si="21"/>
        <v>0.18825301204819278</v>
      </c>
      <c r="V89">
        <f t="shared" si="27"/>
        <v>576</v>
      </c>
      <c r="W89" s="73">
        <f>(V$86-V89)/V$86</f>
        <v>-1.9690721649484537</v>
      </c>
    </row>
    <row r="90" spans="1:23" x14ac:dyDescent="0.2">
      <c r="A90" t="s">
        <v>107</v>
      </c>
      <c r="B90" t="s">
        <v>21</v>
      </c>
      <c r="C90" t="s">
        <v>22</v>
      </c>
      <c r="D90" t="s">
        <v>73</v>
      </c>
      <c r="E90" t="s">
        <v>108</v>
      </c>
      <c r="F90">
        <v>3</v>
      </c>
      <c r="G90" t="s">
        <v>25</v>
      </c>
      <c r="H90">
        <v>226</v>
      </c>
      <c r="I90">
        <v>434</v>
      </c>
      <c r="J90">
        <v>531</v>
      </c>
      <c r="K90">
        <v>0</v>
      </c>
      <c r="L90">
        <v>265</v>
      </c>
      <c r="M90">
        <v>0</v>
      </c>
      <c r="N90">
        <v>581</v>
      </c>
      <c r="O90">
        <v>0</v>
      </c>
      <c r="P90">
        <v>679</v>
      </c>
      <c r="Q90">
        <v>0</v>
      </c>
      <c r="R90">
        <v>0</v>
      </c>
      <c r="S90">
        <v>0</v>
      </c>
      <c r="T90">
        <v>0</v>
      </c>
      <c r="U90" s="3"/>
      <c r="V90" s="8">
        <f>(O90+M90)*1/3</f>
        <v>0</v>
      </c>
    </row>
    <row r="91" spans="1:23" x14ac:dyDescent="0.2">
      <c r="A91" t="s">
        <v>107</v>
      </c>
      <c r="B91" t="s">
        <v>21</v>
      </c>
      <c r="C91" t="s">
        <v>22</v>
      </c>
      <c r="D91" t="s">
        <v>73</v>
      </c>
      <c r="E91" t="s">
        <v>109</v>
      </c>
      <c r="F91">
        <v>3</v>
      </c>
      <c r="G91" t="s">
        <v>67</v>
      </c>
      <c r="H91">
        <v>107</v>
      </c>
      <c r="I91">
        <v>376</v>
      </c>
      <c r="J91">
        <v>54</v>
      </c>
      <c r="K91">
        <v>165</v>
      </c>
      <c r="L91">
        <v>159</v>
      </c>
      <c r="M91">
        <v>94</v>
      </c>
      <c r="N91">
        <v>259</v>
      </c>
      <c r="O91">
        <v>259</v>
      </c>
      <c r="P91">
        <v>607</v>
      </c>
      <c r="Q91">
        <v>0</v>
      </c>
      <c r="R91">
        <v>41</v>
      </c>
      <c r="S91">
        <v>8</v>
      </c>
      <c r="T91">
        <v>8</v>
      </c>
      <c r="U91" s="3">
        <f t="shared" si="21"/>
        <v>8.5843373493975902E-2</v>
      </c>
      <c r="V91">
        <f>(O91+M91)</f>
        <v>353</v>
      </c>
      <c r="W91" s="2" t="e">
        <f>(V$90-V91)/V$90</f>
        <v>#DIV/0!</v>
      </c>
    </row>
    <row r="92" spans="1:23" x14ac:dyDescent="0.2">
      <c r="A92" t="s">
        <v>107</v>
      </c>
      <c r="B92" t="s">
        <v>21</v>
      </c>
      <c r="C92" t="s">
        <v>22</v>
      </c>
      <c r="D92" t="s">
        <v>73</v>
      </c>
      <c r="E92" t="s">
        <v>110</v>
      </c>
      <c r="F92">
        <v>3</v>
      </c>
      <c r="G92" t="s">
        <v>69</v>
      </c>
      <c r="H92">
        <v>106</v>
      </c>
      <c r="I92">
        <v>371</v>
      </c>
      <c r="J92">
        <v>64</v>
      </c>
      <c r="K92">
        <v>99</v>
      </c>
      <c r="L92">
        <v>95</v>
      </c>
      <c r="M92">
        <v>80</v>
      </c>
      <c r="N92">
        <v>273</v>
      </c>
      <c r="O92">
        <v>179</v>
      </c>
      <c r="P92">
        <v>544</v>
      </c>
      <c r="Q92">
        <v>0</v>
      </c>
      <c r="R92">
        <v>76</v>
      </c>
      <c r="S92">
        <v>7</v>
      </c>
      <c r="T92">
        <v>30</v>
      </c>
      <c r="U92" s="3">
        <f t="shared" si="21"/>
        <v>0.17199391171993911</v>
      </c>
      <c r="V92">
        <f>(O92+M92)</f>
        <v>259</v>
      </c>
      <c r="W92" s="2" t="e">
        <f>(V$90-V92)/V$90</f>
        <v>#DIV/0!</v>
      </c>
    </row>
    <row r="93" spans="1:23" x14ac:dyDescent="0.2">
      <c r="A93" t="s">
        <v>107</v>
      </c>
      <c r="B93" t="s">
        <v>21</v>
      </c>
      <c r="C93" t="s">
        <v>22</v>
      </c>
      <c r="D93" t="s">
        <v>73</v>
      </c>
      <c r="E93" t="s">
        <v>111</v>
      </c>
      <c r="F93">
        <v>3</v>
      </c>
      <c r="G93" t="s">
        <v>71</v>
      </c>
      <c r="H93">
        <v>108</v>
      </c>
      <c r="I93">
        <v>354</v>
      </c>
      <c r="J93">
        <v>60</v>
      </c>
      <c r="K93">
        <v>120</v>
      </c>
      <c r="L93">
        <v>76</v>
      </c>
      <c r="M93">
        <v>96</v>
      </c>
      <c r="N93">
        <v>268</v>
      </c>
      <c r="O93">
        <v>216</v>
      </c>
      <c r="P93">
        <v>541</v>
      </c>
      <c r="Q93">
        <v>0</v>
      </c>
      <c r="R93">
        <v>86</v>
      </c>
      <c r="S93">
        <v>7</v>
      </c>
      <c r="T93">
        <v>30</v>
      </c>
      <c r="U93" s="3">
        <f t="shared" si="21"/>
        <v>0.18524096385542169</v>
      </c>
      <c r="V93">
        <f>(O93+M93)</f>
        <v>312</v>
      </c>
      <c r="W93" s="73" t="e">
        <f>(V$90-V93)/V$90</f>
        <v>#DIV/0!</v>
      </c>
    </row>
    <row r="94" spans="1:23" x14ac:dyDescent="0.2">
      <c r="A94" t="s">
        <v>55</v>
      </c>
      <c r="B94" t="s">
        <v>30</v>
      </c>
      <c r="C94" t="s">
        <v>22</v>
      </c>
      <c r="D94" t="s">
        <v>23</v>
      </c>
      <c r="E94" t="s">
        <v>103</v>
      </c>
      <c r="F94">
        <v>3</v>
      </c>
      <c r="G94" t="s">
        <v>25</v>
      </c>
      <c r="H94">
        <v>89</v>
      </c>
      <c r="I94">
        <v>325</v>
      </c>
      <c r="J94">
        <v>558</v>
      </c>
      <c r="K94">
        <v>0</v>
      </c>
      <c r="L94">
        <v>177</v>
      </c>
      <c r="M94">
        <v>0</v>
      </c>
      <c r="N94">
        <v>894</v>
      </c>
      <c r="O94">
        <v>0</v>
      </c>
      <c r="P94">
        <v>681</v>
      </c>
      <c r="Q94">
        <v>0</v>
      </c>
      <c r="R94">
        <v>0</v>
      </c>
      <c r="S94">
        <v>0</v>
      </c>
      <c r="T94">
        <v>0</v>
      </c>
      <c r="U94" s="3"/>
      <c r="V94" s="8">
        <f>(O94+M94)*1/3</f>
        <v>0</v>
      </c>
    </row>
    <row r="95" spans="1:23" x14ac:dyDescent="0.2">
      <c r="A95" t="s">
        <v>55</v>
      </c>
      <c r="B95" t="s">
        <v>30</v>
      </c>
      <c r="C95" t="s">
        <v>22</v>
      </c>
      <c r="D95" t="s">
        <v>23</v>
      </c>
      <c r="E95" t="s">
        <v>104</v>
      </c>
      <c r="F95">
        <v>3</v>
      </c>
      <c r="G95" t="s">
        <v>67</v>
      </c>
      <c r="H95">
        <v>51</v>
      </c>
      <c r="I95">
        <v>243</v>
      </c>
      <c r="J95">
        <v>38</v>
      </c>
      <c r="K95">
        <v>114</v>
      </c>
      <c r="L95">
        <v>103</v>
      </c>
      <c r="M95">
        <v>91</v>
      </c>
      <c r="N95">
        <v>452</v>
      </c>
      <c r="O95">
        <v>205</v>
      </c>
      <c r="P95">
        <v>546</v>
      </c>
      <c r="Q95">
        <v>0</v>
      </c>
      <c r="R95">
        <v>44</v>
      </c>
      <c r="S95">
        <v>1</v>
      </c>
      <c r="T95">
        <v>67</v>
      </c>
      <c r="U95" s="3">
        <f t="shared" si="21"/>
        <v>0.1702127659574468</v>
      </c>
    </row>
    <row r="96" spans="1:23" x14ac:dyDescent="0.2">
      <c r="A96" t="s">
        <v>55</v>
      </c>
      <c r="B96" t="s">
        <v>30</v>
      </c>
      <c r="C96" t="s">
        <v>22</v>
      </c>
      <c r="D96" t="s">
        <v>23</v>
      </c>
      <c r="E96" t="s">
        <v>105</v>
      </c>
      <c r="F96">
        <v>3</v>
      </c>
      <c r="G96" t="s">
        <v>69</v>
      </c>
      <c r="H96">
        <v>43</v>
      </c>
      <c r="I96">
        <v>213</v>
      </c>
      <c r="J96">
        <v>38</v>
      </c>
      <c r="K96">
        <v>60</v>
      </c>
      <c r="L96">
        <v>109</v>
      </c>
      <c r="M96">
        <v>73</v>
      </c>
      <c r="N96">
        <v>424</v>
      </c>
      <c r="O96">
        <v>133</v>
      </c>
      <c r="P96">
        <v>480</v>
      </c>
      <c r="Q96">
        <v>0</v>
      </c>
      <c r="R96">
        <v>50</v>
      </c>
      <c r="S96">
        <v>1</v>
      </c>
      <c r="T96">
        <v>132</v>
      </c>
      <c r="U96" s="3">
        <f t="shared" si="21"/>
        <v>0.27601809954751133</v>
      </c>
    </row>
    <row r="97" spans="1:21" x14ac:dyDescent="0.2">
      <c r="A97" t="s">
        <v>55</v>
      </c>
      <c r="B97" t="s">
        <v>30</v>
      </c>
      <c r="C97" t="s">
        <v>22</v>
      </c>
      <c r="D97" t="s">
        <v>23</v>
      </c>
      <c r="E97" t="s">
        <v>106</v>
      </c>
      <c r="F97">
        <v>3</v>
      </c>
      <c r="G97" t="s">
        <v>71</v>
      </c>
      <c r="H97">
        <v>38</v>
      </c>
      <c r="I97">
        <v>226</v>
      </c>
      <c r="J97">
        <v>48</v>
      </c>
      <c r="K97">
        <v>68</v>
      </c>
      <c r="L97">
        <v>86</v>
      </c>
      <c r="M97">
        <v>68</v>
      </c>
      <c r="N97">
        <v>494</v>
      </c>
      <c r="O97">
        <v>136</v>
      </c>
      <c r="P97">
        <v>514</v>
      </c>
      <c r="Q97">
        <v>0</v>
      </c>
      <c r="R97">
        <v>29</v>
      </c>
      <c r="S97">
        <v>1</v>
      </c>
      <c r="T97">
        <v>116</v>
      </c>
      <c r="U97" s="3">
        <f t="shared" si="21"/>
        <v>0.22121212121212122</v>
      </c>
    </row>
    <row r="98" spans="1:21" x14ac:dyDescent="0.2">
      <c r="A98" t="s">
        <v>112</v>
      </c>
      <c r="B98" t="s">
        <v>30</v>
      </c>
      <c r="C98" t="s">
        <v>22</v>
      </c>
      <c r="D98" t="s">
        <v>73</v>
      </c>
      <c r="E98" t="s">
        <v>108</v>
      </c>
      <c r="F98">
        <v>3</v>
      </c>
      <c r="G98" t="s">
        <v>25</v>
      </c>
      <c r="H98">
        <v>87</v>
      </c>
      <c r="I98">
        <v>279</v>
      </c>
      <c r="J98">
        <v>606</v>
      </c>
      <c r="K98">
        <v>0</v>
      </c>
      <c r="L98">
        <v>84</v>
      </c>
      <c r="M98">
        <v>0</v>
      </c>
      <c r="N98">
        <v>984</v>
      </c>
      <c r="O98">
        <v>0</v>
      </c>
      <c r="P98">
        <v>680</v>
      </c>
      <c r="Q98">
        <v>0</v>
      </c>
      <c r="R98">
        <v>0</v>
      </c>
      <c r="S98">
        <v>0</v>
      </c>
      <c r="T98">
        <v>0</v>
      </c>
      <c r="U98" s="3"/>
    </row>
    <row r="99" spans="1:21" x14ac:dyDescent="0.2">
      <c r="A99" t="s">
        <v>112</v>
      </c>
      <c r="B99" t="s">
        <v>30</v>
      </c>
      <c r="C99" t="s">
        <v>22</v>
      </c>
      <c r="D99" t="s">
        <v>73</v>
      </c>
      <c r="E99" t="s">
        <v>109</v>
      </c>
      <c r="F99">
        <v>3</v>
      </c>
      <c r="G99" t="s">
        <v>67</v>
      </c>
      <c r="H99">
        <v>48</v>
      </c>
      <c r="I99">
        <v>261</v>
      </c>
      <c r="J99">
        <v>48</v>
      </c>
      <c r="K99">
        <v>97</v>
      </c>
      <c r="L99">
        <v>100</v>
      </c>
      <c r="M99">
        <v>63</v>
      </c>
      <c r="N99">
        <v>479</v>
      </c>
      <c r="O99">
        <v>160</v>
      </c>
      <c r="P99">
        <v>548</v>
      </c>
      <c r="Q99">
        <v>0</v>
      </c>
      <c r="R99">
        <v>45</v>
      </c>
      <c r="S99">
        <v>2</v>
      </c>
      <c r="T99">
        <v>61</v>
      </c>
      <c r="U99" s="3">
        <f t="shared" si="21"/>
        <v>0.16463414634146342</v>
      </c>
    </row>
    <row r="100" spans="1:21" x14ac:dyDescent="0.2">
      <c r="A100" t="s">
        <v>112</v>
      </c>
      <c r="B100" t="s">
        <v>30</v>
      </c>
      <c r="C100" t="s">
        <v>22</v>
      </c>
      <c r="D100" t="s">
        <v>73</v>
      </c>
      <c r="E100" t="s">
        <v>110</v>
      </c>
      <c r="F100">
        <v>3</v>
      </c>
      <c r="G100" t="s">
        <v>69</v>
      </c>
      <c r="H100">
        <v>38</v>
      </c>
      <c r="I100">
        <v>236</v>
      </c>
      <c r="J100">
        <v>50</v>
      </c>
      <c r="K100">
        <v>50</v>
      </c>
      <c r="L100">
        <v>60</v>
      </c>
      <c r="M100">
        <v>48</v>
      </c>
      <c r="N100">
        <v>530</v>
      </c>
      <c r="O100">
        <v>98</v>
      </c>
      <c r="P100">
        <v>506</v>
      </c>
      <c r="Q100">
        <v>0</v>
      </c>
      <c r="R100">
        <v>41</v>
      </c>
      <c r="S100">
        <v>2</v>
      </c>
      <c r="T100">
        <v>116</v>
      </c>
      <c r="U100" s="3">
        <f t="shared" si="21"/>
        <v>0.23909774436090225</v>
      </c>
    </row>
    <row r="101" spans="1:21" x14ac:dyDescent="0.2">
      <c r="A101" t="s">
        <v>112</v>
      </c>
      <c r="B101" t="s">
        <v>30</v>
      </c>
      <c r="C101" t="s">
        <v>22</v>
      </c>
      <c r="D101" t="s">
        <v>73</v>
      </c>
      <c r="E101" t="s">
        <v>111</v>
      </c>
      <c r="F101">
        <v>3</v>
      </c>
      <c r="G101" t="s">
        <v>71</v>
      </c>
      <c r="H101">
        <v>45</v>
      </c>
      <c r="I101">
        <v>225</v>
      </c>
      <c r="J101">
        <v>64</v>
      </c>
      <c r="K101">
        <v>60</v>
      </c>
      <c r="L101">
        <v>69</v>
      </c>
      <c r="M101">
        <v>46</v>
      </c>
      <c r="N101">
        <v>521</v>
      </c>
      <c r="O101">
        <v>106</v>
      </c>
      <c r="P101">
        <v>515</v>
      </c>
      <c r="Q101">
        <v>0</v>
      </c>
      <c r="R101">
        <v>33</v>
      </c>
      <c r="S101">
        <v>2</v>
      </c>
      <c r="T101">
        <v>114</v>
      </c>
      <c r="U101" s="3">
        <f t="shared" si="21"/>
        <v>0.22439759036144577</v>
      </c>
    </row>
    <row r="102" spans="1:21" x14ac:dyDescent="0.2">
      <c r="A102" s="8" t="s">
        <v>60</v>
      </c>
      <c r="B102" s="8" t="s">
        <v>58</v>
      </c>
      <c r="C102" s="8" t="s">
        <v>22</v>
      </c>
      <c r="D102" s="8" t="s">
        <v>23</v>
      </c>
      <c r="E102" s="8" t="s">
        <v>103</v>
      </c>
      <c r="F102" s="8">
        <v>3</v>
      </c>
      <c r="G102" s="8" t="s">
        <v>25</v>
      </c>
      <c r="H102" s="8">
        <v>81</v>
      </c>
      <c r="I102" s="8">
        <v>129</v>
      </c>
      <c r="J102" s="8">
        <v>537</v>
      </c>
      <c r="K102" s="8">
        <v>0</v>
      </c>
      <c r="L102" s="8">
        <v>39</v>
      </c>
      <c r="M102" s="8">
        <v>0</v>
      </c>
      <c r="N102" s="8">
        <v>711</v>
      </c>
      <c r="O102" s="8">
        <v>0</v>
      </c>
      <c r="P102" s="8">
        <v>499</v>
      </c>
      <c r="Q102" s="8">
        <v>0</v>
      </c>
      <c r="R102" s="8">
        <v>0</v>
      </c>
      <c r="S102" s="8">
        <v>0</v>
      </c>
      <c r="T102" s="8">
        <v>0</v>
      </c>
      <c r="U102" s="9"/>
    </row>
    <row r="103" spans="1:21" x14ac:dyDescent="0.2">
      <c r="A103" s="8" t="s">
        <v>60</v>
      </c>
      <c r="B103" s="8" t="s">
        <v>58</v>
      </c>
      <c r="C103" s="8" t="s">
        <v>22</v>
      </c>
      <c r="D103" s="8" t="s">
        <v>23</v>
      </c>
      <c r="E103" s="8" t="s">
        <v>104</v>
      </c>
      <c r="F103" s="8">
        <v>3</v>
      </c>
      <c r="G103" s="8" t="s">
        <v>67</v>
      </c>
      <c r="H103" s="8">
        <v>12</v>
      </c>
      <c r="I103" s="8">
        <v>60</v>
      </c>
      <c r="J103" s="8">
        <v>14</v>
      </c>
      <c r="K103" s="8">
        <v>64</v>
      </c>
      <c r="L103" s="8">
        <v>20</v>
      </c>
      <c r="M103" s="8">
        <v>49</v>
      </c>
      <c r="N103" s="8">
        <v>123</v>
      </c>
      <c r="O103" s="8">
        <v>113</v>
      </c>
      <c r="P103" s="8">
        <v>171</v>
      </c>
      <c r="Q103" s="8">
        <v>0</v>
      </c>
      <c r="R103" s="8">
        <v>44</v>
      </c>
      <c r="S103" s="8">
        <v>47</v>
      </c>
      <c r="T103" s="8">
        <v>56</v>
      </c>
      <c r="U103" s="9">
        <f t="shared" si="21"/>
        <v>0.46226415094339623</v>
      </c>
    </row>
    <row r="104" spans="1:21" x14ac:dyDescent="0.2">
      <c r="A104" s="8" t="s">
        <v>60</v>
      </c>
      <c r="B104" s="8" t="s">
        <v>58</v>
      </c>
      <c r="C104" s="8" t="s">
        <v>22</v>
      </c>
      <c r="D104" s="8" t="s">
        <v>23</v>
      </c>
      <c r="E104" s="8" t="s">
        <v>105</v>
      </c>
      <c r="F104" s="8">
        <v>3</v>
      </c>
      <c r="G104" s="8" t="s">
        <v>69</v>
      </c>
      <c r="H104" s="8">
        <v>12</v>
      </c>
      <c r="I104" s="8">
        <v>46</v>
      </c>
      <c r="J104" s="8">
        <v>14</v>
      </c>
      <c r="K104" s="8">
        <v>48</v>
      </c>
      <c r="L104" s="8">
        <v>15</v>
      </c>
      <c r="M104" s="8">
        <v>54</v>
      </c>
      <c r="N104" s="8">
        <v>87</v>
      </c>
      <c r="O104" s="8">
        <v>102</v>
      </c>
      <c r="P104" s="8">
        <v>138</v>
      </c>
      <c r="Q104" s="8">
        <v>0</v>
      </c>
      <c r="R104" s="8">
        <v>59</v>
      </c>
      <c r="S104" s="8">
        <v>38</v>
      </c>
      <c r="T104" s="8">
        <v>87</v>
      </c>
      <c r="U104" s="9">
        <f t="shared" si="21"/>
        <v>0.5714285714285714</v>
      </c>
    </row>
    <row r="105" spans="1:21" x14ac:dyDescent="0.2">
      <c r="A105" s="8" t="s">
        <v>60</v>
      </c>
      <c r="B105" s="8" t="s">
        <v>58</v>
      </c>
      <c r="C105" s="8" t="s">
        <v>22</v>
      </c>
      <c r="D105" s="8" t="s">
        <v>23</v>
      </c>
      <c r="E105" s="8" t="s">
        <v>106</v>
      </c>
      <c r="F105" s="8">
        <v>3</v>
      </c>
      <c r="G105" s="8" t="s">
        <v>71</v>
      </c>
      <c r="H105" s="8">
        <v>24</v>
      </c>
      <c r="I105" s="8">
        <v>59</v>
      </c>
      <c r="J105" s="8">
        <v>10</v>
      </c>
      <c r="K105" s="8">
        <v>39</v>
      </c>
      <c r="L105" s="8">
        <v>9</v>
      </c>
      <c r="M105" s="8">
        <v>45</v>
      </c>
      <c r="N105" s="8">
        <v>130</v>
      </c>
      <c r="O105" s="8">
        <v>84</v>
      </c>
      <c r="P105" s="8">
        <v>158</v>
      </c>
      <c r="Q105" s="8">
        <v>0</v>
      </c>
      <c r="R105" s="8">
        <v>64</v>
      </c>
      <c r="S105" s="8">
        <v>37</v>
      </c>
      <c r="T105" s="8">
        <v>95</v>
      </c>
      <c r="U105" s="9">
        <f t="shared" si="21"/>
        <v>0.5536723163841808</v>
      </c>
    </row>
    <row r="106" spans="1:21" x14ac:dyDescent="0.2">
      <c r="A106" t="s">
        <v>64</v>
      </c>
      <c r="B106" t="s">
        <v>32</v>
      </c>
      <c r="C106" t="s">
        <v>22</v>
      </c>
      <c r="D106" t="s">
        <v>23</v>
      </c>
      <c r="E106" t="s">
        <v>103</v>
      </c>
      <c r="F106">
        <v>3</v>
      </c>
      <c r="G106" t="s">
        <v>25</v>
      </c>
      <c r="H106">
        <v>85</v>
      </c>
      <c r="I106">
        <v>188</v>
      </c>
      <c r="J106">
        <v>573</v>
      </c>
      <c r="K106">
        <v>0</v>
      </c>
      <c r="L106">
        <v>125</v>
      </c>
      <c r="M106">
        <v>0</v>
      </c>
      <c r="N106">
        <v>523</v>
      </c>
      <c r="O106">
        <v>0</v>
      </c>
      <c r="P106">
        <v>498</v>
      </c>
      <c r="Q106">
        <v>0</v>
      </c>
      <c r="R106">
        <v>0</v>
      </c>
      <c r="S106">
        <v>0</v>
      </c>
      <c r="T106">
        <v>0</v>
      </c>
      <c r="U106" s="3"/>
    </row>
    <row r="107" spans="1:21" x14ac:dyDescent="0.2">
      <c r="A107" t="s">
        <v>64</v>
      </c>
      <c r="B107" t="s">
        <v>32</v>
      </c>
      <c r="C107" t="s">
        <v>22</v>
      </c>
      <c r="D107" t="s">
        <v>23</v>
      </c>
      <c r="E107" t="s">
        <v>104</v>
      </c>
      <c r="F107">
        <v>3</v>
      </c>
      <c r="G107" t="s">
        <v>67</v>
      </c>
      <c r="H107">
        <v>19</v>
      </c>
      <c r="I107">
        <v>213</v>
      </c>
      <c r="J107">
        <v>40</v>
      </c>
      <c r="K107">
        <v>72</v>
      </c>
      <c r="L107">
        <v>85</v>
      </c>
      <c r="M107">
        <v>50</v>
      </c>
      <c r="N107">
        <v>177</v>
      </c>
      <c r="O107">
        <v>122</v>
      </c>
      <c r="P107">
        <v>328</v>
      </c>
      <c r="Q107">
        <v>0</v>
      </c>
      <c r="R107">
        <v>22</v>
      </c>
      <c r="S107">
        <v>104</v>
      </c>
      <c r="T107">
        <v>18</v>
      </c>
      <c r="U107" s="3">
        <f t="shared" si="21"/>
        <v>0.30508474576271188</v>
      </c>
    </row>
    <row r="108" spans="1:21" x14ac:dyDescent="0.2">
      <c r="A108" t="s">
        <v>64</v>
      </c>
      <c r="B108" t="s">
        <v>32</v>
      </c>
      <c r="C108" t="s">
        <v>22</v>
      </c>
      <c r="D108" t="s">
        <v>23</v>
      </c>
      <c r="E108" t="s">
        <v>105</v>
      </c>
      <c r="F108">
        <v>3</v>
      </c>
      <c r="G108" t="s">
        <v>69</v>
      </c>
      <c r="H108">
        <v>28</v>
      </c>
      <c r="I108">
        <v>231</v>
      </c>
      <c r="J108">
        <v>32</v>
      </c>
      <c r="K108">
        <v>53</v>
      </c>
      <c r="L108">
        <v>43</v>
      </c>
      <c r="M108">
        <v>27</v>
      </c>
      <c r="N108">
        <v>222</v>
      </c>
      <c r="O108">
        <v>80</v>
      </c>
      <c r="P108">
        <v>318</v>
      </c>
      <c r="Q108">
        <v>0</v>
      </c>
      <c r="R108">
        <v>14</v>
      </c>
      <c r="S108">
        <v>116</v>
      </c>
      <c r="T108">
        <v>57</v>
      </c>
      <c r="U108" s="3">
        <f t="shared" si="21"/>
        <v>0.37029702970297029</v>
      </c>
    </row>
    <row r="109" spans="1:21" x14ac:dyDescent="0.2">
      <c r="A109" t="s">
        <v>64</v>
      </c>
      <c r="B109" t="s">
        <v>32</v>
      </c>
      <c r="C109" t="s">
        <v>22</v>
      </c>
      <c r="D109" t="s">
        <v>23</v>
      </c>
      <c r="E109" t="s">
        <v>106</v>
      </c>
      <c r="F109">
        <v>3</v>
      </c>
      <c r="G109" t="s">
        <v>71</v>
      </c>
      <c r="H109">
        <v>24</v>
      </c>
      <c r="I109">
        <v>204</v>
      </c>
      <c r="J109">
        <v>20</v>
      </c>
      <c r="K109">
        <v>54</v>
      </c>
      <c r="L109">
        <v>34</v>
      </c>
      <c r="M109">
        <v>40</v>
      </c>
      <c r="N109">
        <v>184</v>
      </c>
      <c r="O109">
        <v>94</v>
      </c>
      <c r="P109">
        <v>280</v>
      </c>
      <c r="Q109">
        <v>0</v>
      </c>
      <c r="R109">
        <v>19</v>
      </c>
      <c r="S109">
        <v>104</v>
      </c>
      <c r="T109">
        <v>62</v>
      </c>
      <c r="U109" s="3">
        <f t="shared" si="21"/>
        <v>0.39784946236559138</v>
      </c>
    </row>
    <row r="110" spans="1:21" x14ac:dyDescent="0.2">
      <c r="A110" t="s">
        <v>113</v>
      </c>
      <c r="B110" t="s">
        <v>32</v>
      </c>
      <c r="C110" t="s">
        <v>22</v>
      </c>
      <c r="D110" t="s">
        <v>73</v>
      </c>
      <c r="E110" t="s">
        <v>108</v>
      </c>
      <c r="F110">
        <v>3</v>
      </c>
      <c r="G110" t="s">
        <v>25</v>
      </c>
      <c r="H110">
        <v>87</v>
      </c>
      <c r="I110">
        <v>222</v>
      </c>
      <c r="J110">
        <v>519</v>
      </c>
      <c r="K110">
        <v>0</v>
      </c>
      <c r="L110">
        <v>76</v>
      </c>
      <c r="M110">
        <v>0</v>
      </c>
      <c r="N110">
        <v>626</v>
      </c>
      <c r="O110">
        <v>0</v>
      </c>
      <c r="P110">
        <v>510</v>
      </c>
      <c r="Q110">
        <v>0</v>
      </c>
      <c r="R110">
        <v>0</v>
      </c>
      <c r="S110">
        <v>0</v>
      </c>
      <c r="T110">
        <v>0</v>
      </c>
      <c r="U110" s="3"/>
    </row>
    <row r="111" spans="1:21" x14ac:dyDescent="0.2">
      <c r="A111" t="s">
        <v>113</v>
      </c>
      <c r="B111" t="s">
        <v>32</v>
      </c>
      <c r="C111" t="s">
        <v>22</v>
      </c>
      <c r="D111" t="s">
        <v>73</v>
      </c>
      <c r="E111" t="s">
        <v>109</v>
      </c>
      <c r="F111">
        <v>3</v>
      </c>
      <c r="G111" t="s">
        <v>67</v>
      </c>
      <c r="H111">
        <v>26</v>
      </c>
      <c r="I111">
        <v>211</v>
      </c>
      <c r="J111">
        <v>60</v>
      </c>
      <c r="K111">
        <v>37</v>
      </c>
      <c r="L111">
        <v>40</v>
      </c>
      <c r="M111">
        <v>31</v>
      </c>
      <c r="N111">
        <v>269</v>
      </c>
      <c r="O111">
        <v>68</v>
      </c>
      <c r="P111">
        <v>337</v>
      </c>
      <c r="Q111">
        <v>0</v>
      </c>
      <c r="R111">
        <v>20</v>
      </c>
      <c r="S111">
        <v>62</v>
      </c>
      <c r="T111">
        <v>15</v>
      </c>
      <c r="U111" s="3">
        <f t="shared" si="21"/>
        <v>0.22350230414746544</v>
      </c>
    </row>
    <row r="112" spans="1:21" x14ac:dyDescent="0.2">
      <c r="A112" t="s">
        <v>113</v>
      </c>
      <c r="B112" t="s">
        <v>32</v>
      </c>
      <c r="C112" t="s">
        <v>22</v>
      </c>
      <c r="D112" t="s">
        <v>73</v>
      </c>
      <c r="E112" t="s">
        <v>110</v>
      </c>
      <c r="F112">
        <v>3</v>
      </c>
      <c r="G112" t="s">
        <v>69</v>
      </c>
      <c r="H112">
        <v>34</v>
      </c>
      <c r="I112">
        <v>246</v>
      </c>
      <c r="J112">
        <v>32</v>
      </c>
      <c r="K112">
        <v>30</v>
      </c>
      <c r="L112">
        <v>51</v>
      </c>
      <c r="M112">
        <v>39</v>
      </c>
      <c r="N112">
        <v>228</v>
      </c>
      <c r="O112">
        <v>69</v>
      </c>
      <c r="P112">
        <v>330</v>
      </c>
      <c r="Q112">
        <v>0</v>
      </c>
      <c r="R112">
        <v>13</v>
      </c>
      <c r="S112">
        <v>76</v>
      </c>
      <c r="T112">
        <v>22</v>
      </c>
      <c r="U112" s="3">
        <f t="shared" si="21"/>
        <v>0.25170068027210885</v>
      </c>
    </row>
    <row r="113" spans="1:21" x14ac:dyDescent="0.2">
      <c r="A113" t="s">
        <v>113</v>
      </c>
      <c r="B113" t="s">
        <v>32</v>
      </c>
      <c r="C113" t="s">
        <v>22</v>
      </c>
      <c r="D113" t="s">
        <v>73</v>
      </c>
      <c r="E113" t="s">
        <v>111</v>
      </c>
      <c r="F113">
        <v>3</v>
      </c>
      <c r="G113" t="s">
        <v>71</v>
      </c>
      <c r="H113">
        <v>30</v>
      </c>
      <c r="I113">
        <v>207</v>
      </c>
      <c r="J113">
        <v>28</v>
      </c>
      <c r="K113">
        <v>39</v>
      </c>
      <c r="L113">
        <v>39</v>
      </c>
      <c r="M113">
        <v>47</v>
      </c>
      <c r="N113">
        <v>218</v>
      </c>
      <c r="O113">
        <v>86</v>
      </c>
      <c r="P113">
        <v>304</v>
      </c>
      <c r="Q113">
        <v>0</v>
      </c>
      <c r="R113">
        <v>21</v>
      </c>
      <c r="S113">
        <v>70</v>
      </c>
      <c r="T113">
        <v>31</v>
      </c>
      <c r="U113" s="3">
        <f t="shared" si="21"/>
        <v>0.28638497652582162</v>
      </c>
    </row>
    <row r="114" spans="1:21" ht="16" thickBot="1" x14ac:dyDescent="0.25">
      <c r="A114" s="15" t="s">
        <v>79</v>
      </c>
      <c r="B114" s="15" t="s">
        <v>32</v>
      </c>
      <c r="C114" s="15" t="s">
        <v>22</v>
      </c>
      <c r="D114" s="15" t="s">
        <v>23</v>
      </c>
      <c r="E114" s="15" t="s">
        <v>50</v>
      </c>
      <c r="F114" s="15">
        <v>3</v>
      </c>
      <c r="G114" s="15" t="s">
        <v>25</v>
      </c>
      <c r="H114" s="15">
        <v>38</v>
      </c>
      <c r="I114" s="15">
        <v>7</v>
      </c>
      <c r="J114" s="15">
        <v>87</v>
      </c>
      <c r="K114" s="15">
        <v>0</v>
      </c>
      <c r="L114" s="15">
        <v>40</v>
      </c>
      <c r="M114" s="15">
        <v>0</v>
      </c>
      <c r="N114" s="15">
        <v>263</v>
      </c>
      <c r="O114" s="15">
        <v>0</v>
      </c>
      <c r="P114" s="15">
        <v>145</v>
      </c>
      <c r="Q114" s="15">
        <v>0</v>
      </c>
      <c r="R114" s="15">
        <v>0</v>
      </c>
      <c r="S114" s="15">
        <v>0</v>
      </c>
      <c r="T114" s="15">
        <v>0</v>
      </c>
      <c r="U114" s="139"/>
    </row>
    <row r="115" spans="1:21" ht="16" thickTop="1" x14ac:dyDescent="0.2">
      <c r="A115" s="135" t="s">
        <v>79</v>
      </c>
      <c r="B115" s="135" t="s">
        <v>32</v>
      </c>
      <c r="C115" s="135" t="s">
        <v>22</v>
      </c>
      <c r="D115" s="135" t="s">
        <v>23</v>
      </c>
      <c r="E115" s="135" t="s">
        <v>52</v>
      </c>
      <c r="F115" s="135">
        <v>3</v>
      </c>
      <c r="G115" s="135" t="s">
        <v>114</v>
      </c>
      <c r="H115" s="135">
        <v>16</v>
      </c>
      <c r="I115" s="135">
        <v>5</v>
      </c>
      <c r="J115" s="135">
        <v>2</v>
      </c>
      <c r="K115" s="135">
        <v>2</v>
      </c>
      <c r="L115" s="135">
        <v>32</v>
      </c>
      <c r="M115" s="135">
        <v>7</v>
      </c>
      <c r="N115" s="135">
        <v>19</v>
      </c>
      <c r="O115" s="135">
        <v>9</v>
      </c>
      <c r="P115" s="135">
        <v>83</v>
      </c>
      <c r="Q115" s="135">
        <v>0</v>
      </c>
      <c r="R115" s="135">
        <v>8</v>
      </c>
      <c r="S115" s="135">
        <v>26</v>
      </c>
      <c r="T115" s="135">
        <v>1</v>
      </c>
      <c r="U115" s="38">
        <f t="shared" si="21"/>
        <v>0.29661016949152541</v>
      </c>
    </row>
    <row r="116" spans="1:21" x14ac:dyDescent="0.2">
      <c r="A116" s="135" t="s">
        <v>79</v>
      </c>
      <c r="B116" s="135" t="s">
        <v>32</v>
      </c>
      <c r="C116" s="135" t="s">
        <v>22</v>
      </c>
      <c r="D116" s="135" t="s">
        <v>23</v>
      </c>
      <c r="E116" s="135" t="s">
        <v>115</v>
      </c>
      <c r="F116" s="135">
        <v>3</v>
      </c>
      <c r="G116" s="135" t="s">
        <v>116</v>
      </c>
      <c r="H116" s="135">
        <v>12</v>
      </c>
      <c r="I116" s="135">
        <v>8</v>
      </c>
      <c r="J116" s="135">
        <v>0</v>
      </c>
      <c r="K116" s="135">
        <v>3</v>
      </c>
      <c r="L116" s="135">
        <v>36</v>
      </c>
      <c r="M116" s="135">
        <v>13</v>
      </c>
      <c r="N116" s="135">
        <v>18</v>
      </c>
      <c r="O116" s="135">
        <v>16</v>
      </c>
      <c r="P116" s="135">
        <v>90</v>
      </c>
      <c r="Q116" s="135">
        <v>0</v>
      </c>
      <c r="R116" s="135">
        <v>5</v>
      </c>
      <c r="S116" s="135">
        <v>34</v>
      </c>
      <c r="T116" s="135">
        <v>2</v>
      </c>
      <c r="U116" s="140">
        <f t="shared" si="21"/>
        <v>0.31297709923664124</v>
      </c>
    </row>
    <row r="117" spans="1:21" x14ac:dyDescent="0.2">
      <c r="A117" t="s">
        <v>79</v>
      </c>
      <c r="B117" t="s">
        <v>32</v>
      </c>
      <c r="C117" t="s">
        <v>22</v>
      </c>
      <c r="D117" t="s">
        <v>23</v>
      </c>
      <c r="E117" t="s">
        <v>117</v>
      </c>
      <c r="F117">
        <v>3</v>
      </c>
      <c r="G117" t="s">
        <v>118</v>
      </c>
      <c r="H117">
        <v>18</v>
      </c>
      <c r="I117">
        <v>13</v>
      </c>
      <c r="J117">
        <v>0</v>
      </c>
      <c r="K117">
        <v>1</v>
      </c>
      <c r="L117">
        <v>33</v>
      </c>
      <c r="M117">
        <v>4</v>
      </c>
      <c r="N117">
        <v>36</v>
      </c>
      <c r="O117">
        <v>5</v>
      </c>
      <c r="P117">
        <v>105</v>
      </c>
      <c r="Q117">
        <v>0</v>
      </c>
      <c r="R117">
        <v>3</v>
      </c>
      <c r="S117">
        <v>35</v>
      </c>
      <c r="T117">
        <v>5</v>
      </c>
      <c r="U117" s="3">
        <f t="shared" si="21"/>
        <v>0.29054054054054052</v>
      </c>
    </row>
    <row r="118" spans="1:21" x14ac:dyDescent="0.2">
      <c r="A118" t="s">
        <v>56</v>
      </c>
      <c r="B118" t="s">
        <v>30</v>
      </c>
      <c r="C118" t="s">
        <v>22</v>
      </c>
      <c r="D118" t="s">
        <v>23</v>
      </c>
      <c r="E118" t="s">
        <v>50</v>
      </c>
      <c r="F118">
        <v>3</v>
      </c>
      <c r="G118" t="s">
        <v>25</v>
      </c>
      <c r="H118">
        <v>109</v>
      </c>
      <c r="I118">
        <v>155</v>
      </c>
      <c r="J118">
        <v>141</v>
      </c>
      <c r="K118">
        <v>0</v>
      </c>
      <c r="L118">
        <v>34</v>
      </c>
      <c r="M118">
        <v>0</v>
      </c>
      <c r="N118">
        <v>149</v>
      </c>
      <c r="O118">
        <v>0</v>
      </c>
      <c r="P118">
        <v>196</v>
      </c>
      <c r="Q118">
        <v>0</v>
      </c>
      <c r="R118">
        <v>0</v>
      </c>
      <c r="S118">
        <v>0</v>
      </c>
      <c r="T118">
        <v>0</v>
      </c>
      <c r="U118" s="3"/>
    </row>
    <row r="119" spans="1:21" x14ac:dyDescent="0.2">
      <c r="A119" t="s">
        <v>56</v>
      </c>
      <c r="B119" t="s">
        <v>30</v>
      </c>
      <c r="C119" t="s">
        <v>22</v>
      </c>
      <c r="D119" t="s">
        <v>23</v>
      </c>
      <c r="E119" t="s">
        <v>52</v>
      </c>
      <c r="F119">
        <v>3</v>
      </c>
      <c r="G119" t="s">
        <v>114</v>
      </c>
      <c r="H119">
        <v>20</v>
      </c>
      <c r="I119">
        <v>27</v>
      </c>
      <c r="J119">
        <v>2</v>
      </c>
      <c r="K119">
        <v>44</v>
      </c>
      <c r="L119">
        <v>13</v>
      </c>
      <c r="M119">
        <v>13</v>
      </c>
      <c r="N119">
        <v>24</v>
      </c>
      <c r="O119">
        <v>57</v>
      </c>
      <c r="P119">
        <v>143</v>
      </c>
      <c r="Q119">
        <v>0</v>
      </c>
      <c r="R119">
        <v>10</v>
      </c>
      <c r="S119">
        <v>1</v>
      </c>
      <c r="T119">
        <v>64</v>
      </c>
      <c r="U119" s="3">
        <f t="shared" si="21"/>
        <v>0.34403669724770641</v>
      </c>
    </row>
    <row r="120" spans="1:21" x14ac:dyDescent="0.2">
      <c r="A120" t="s">
        <v>56</v>
      </c>
      <c r="B120" t="s">
        <v>30</v>
      </c>
      <c r="C120" t="s">
        <v>22</v>
      </c>
      <c r="D120" t="s">
        <v>23</v>
      </c>
      <c r="E120" t="s">
        <v>115</v>
      </c>
      <c r="F120">
        <v>3</v>
      </c>
      <c r="G120" t="s">
        <v>116</v>
      </c>
      <c r="H120">
        <v>9</v>
      </c>
      <c r="I120">
        <v>32</v>
      </c>
      <c r="J120">
        <v>2</v>
      </c>
      <c r="K120">
        <v>36</v>
      </c>
      <c r="L120">
        <v>9</v>
      </c>
      <c r="M120">
        <v>17</v>
      </c>
      <c r="N120">
        <v>22</v>
      </c>
      <c r="O120">
        <v>53</v>
      </c>
      <c r="P120">
        <v>127</v>
      </c>
      <c r="Q120">
        <v>0</v>
      </c>
      <c r="R120">
        <v>13</v>
      </c>
      <c r="S120">
        <v>1</v>
      </c>
      <c r="T120">
        <v>77</v>
      </c>
      <c r="U120" s="3">
        <f t="shared" si="21"/>
        <v>0.41743119266055045</v>
      </c>
    </row>
    <row r="121" spans="1:21" x14ac:dyDescent="0.2">
      <c r="A121" t="s">
        <v>56</v>
      </c>
      <c r="B121" t="s">
        <v>30</v>
      </c>
      <c r="C121" t="s">
        <v>22</v>
      </c>
      <c r="D121" t="s">
        <v>23</v>
      </c>
      <c r="E121" t="s">
        <v>117</v>
      </c>
      <c r="F121">
        <v>3</v>
      </c>
      <c r="G121" t="s">
        <v>118</v>
      </c>
      <c r="H121">
        <v>16</v>
      </c>
      <c r="I121">
        <v>27</v>
      </c>
      <c r="J121">
        <v>1</v>
      </c>
      <c r="K121">
        <v>16</v>
      </c>
      <c r="L121">
        <v>4</v>
      </c>
      <c r="M121">
        <v>12</v>
      </c>
      <c r="N121">
        <v>24</v>
      </c>
      <c r="O121">
        <v>28</v>
      </c>
      <c r="P121">
        <v>100</v>
      </c>
      <c r="Q121">
        <v>0</v>
      </c>
      <c r="R121">
        <v>23</v>
      </c>
      <c r="S121">
        <v>1</v>
      </c>
      <c r="T121">
        <v>135</v>
      </c>
      <c r="U121" s="3">
        <f t="shared" si="21"/>
        <v>0.61389961389961389</v>
      </c>
    </row>
    <row r="122" spans="1:21" x14ac:dyDescent="0.2">
      <c r="A122" s="8" t="s">
        <v>61</v>
      </c>
      <c r="B122" s="8" t="s">
        <v>58</v>
      </c>
      <c r="C122" s="8" t="s">
        <v>22</v>
      </c>
      <c r="D122" s="8" t="s">
        <v>23</v>
      </c>
      <c r="E122" s="8" t="s">
        <v>65</v>
      </c>
      <c r="F122" s="8">
        <v>3</v>
      </c>
      <c r="G122" s="8" t="s">
        <v>25</v>
      </c>
      <c r="H122" s="8">
        <v>46</v>
      </c>
      <c r="I122" s="8">
        <v>20</v>
      </c>
      <c r="J122" s="8">
        <v>156</v>
      </c>
      <c r="K122" s="8">
        <v>0</v>
      </c>
      <c r="L122" s="8">
        <v>41</v>
      </c>
      <c r="M122" s="8">
        <v>0</v>
      </c>
      <c r="N122" s="8">
        <v>235</v>
      </c>
      <c r="O122" s="8">
        <v>0</v>
      </c>
      <c r="P122" s="8">
        <v>166</v>
      </c>
      <c r="Q122" s="8">
        <v>0</v>
      </c>
      <c r="R122" s="8">
        <v>0</v>
      </c>
      <c r="S122" s="8">
        <v>0</v>
      </c>
      <c r="T122" s="8">
        <v>0</v>
      </c>
      <c r="U122" s="9"/>
    </row>
    <row r="123" spans="1:21" x14ac:dyDescent="0.2">
      <c r="A123" s="8" t="s">
        <v>61</v>
      </c>
      <c r="B123" s="8" t="s">
        <v>58</v>
      </c>
      <c r="C123" s="8" t="s">
        <v>22</v>
      </c>
      <c r="D123" s="8" t="s">
        <v>23</v>
      </c>
      <c r="E123" s="8" t="s">
        <v>119</v>
      </c>
      <c r="F123" s="8">
        <v>3</v>
      </c>
      <c r="G123" s="8" t="s">
        <v>114</v>
      </c>
      <c r="H123" s="8">
        <v>1</v>
      </c>
      <c r="I123" s="8">
        <v>4</v>
      </c>
      <c r="J123" s="8">
        <v>0</v>
      </c>
      <c r="K123" s="8">
        <v>12</v>
      </c>
      <c r="L123" s="8">
        <v>4</v>
      </c>
      <c r="M123" s="8">
        <v>11</v>
      </c>
      <c r="N123" s="8">
        <v>9</v>
      </c>
      <c r="O123" s="8">
        <v>23</v>
      </c>
      <c r="P123" s="8">
        <v>41</v>
      </c>
      <c r="Q123" s="8">
        <v>0</v>
      </c>
      <c r="R123" s="8">
        <v>14</v>
      </c>
      <c r="S123" s="8">
        <v>4</v>
      </c>
      <c r="T123" s="8">
        <v>24</v>
      </c>
      <c r="U123" s="9">
        <f t="shared" si="21"/>
        <v>0.50602409638554213</v>
      </c>
    </row>
    <row r="124" spans="1:21" x14ac:dyDescent="0.2">
      <c r="A124" s="8" t="s">
        <v>61</v>
      </c>
      <c r="B124" s="8" t="s">
        <v>58</v>
      </c>
      <c r="C124" s="8" t="s">
        <v>22</v>
      </c>
      <c r="D124" s="8" t="s">
        <v>23</v>
      </c>
      <c r="E124" s="8" t="s">
        <v>120</v>
      </c>
      <c r="F124" s="8">
        <v>3</v>
      </c>
      <c r="G124" s="8" t="s">
        <v>116</v>
      </c>
      <c r="H124" s="8">
        <v>1</v>
      </c>
      <c r="I124" s="8">
        <v>5</v>
      </c>
      <c r="J124" s="8">
        <v>0</v>
      </c>
      <c r="K124" s="8">
        <v>6</v>
      </c>
      <c r="L124" s="8">
        <v>2</v>
      </c>
      <c r="M124" s="8">
        <v>17</v>
      </c>
      <c r="N124" s="8">
        <v>12</v>
      </c>
      <c r="O124" s="8">
        <v>23</v>
      </c>
      <c r="P124" s="8">
        <v>43</v>
      </c>
      <c r="Q124" s="8">
        <v>0</v>
      </c>
      <c r="R124" s="8">
        <v>7</v>
      </c>
      <c r="S124" s="8">
        <v>5</v>
      </c>
      <c r="T124" s="8">
        <v>17</v>
      </c>
      <c r="U124" s="9">
        <f t="shared" si="21"/>
        <v>0.40277777777777779</v>
      </c>
    </row>
    <row r="125" spans="1:21" x14ac:dyDescent="0.2">
      <c r="A125" s="8" t="s">
        <v>61</v>
      </c>
      <c r="B125" s="8" t="s">
        <v>58</v>
      </c>
      <c r="C125" s="8" t="s">
        <v>22</v>
      </c>
      <c r="D125" s="8" t="s">
        <v>23</v>
      </c>
      <c r="E125" s="8" t="s">
        <v>121</v>
      </c>
      <c r="F125" s="8">
        <v>3</v>
      </c>
      <c r="G125" s="8" t="s">
        <v>118</v>
      </c>
      <c r="H125" s="8">
        <v>2</v>
      </c>
      <c r="I125" s="8">
        <v>3</v>
      </c>
      <c r="J125" s="8">
        <v>1</v>
      </c>
      <c r="K125" s="8">
        <v>5</v>
      </c>
      <c r="L125" s="8">
        <v>1</v>
      </c>
      <c r="M125" s="8">
        <v>5</v>
      </c>
      <c r="N125" s="8">
        <v>8</v>
      </c>
      <c r="O125" s="8">
        <v>10</v>
      </c>
      <c r="P125" s="8">
        <v>25</v>
      </c>
      <c r="Q125" s="8">
        <v>0</v>
      </c>
      <c r="R125" s="8">
        <v>11</v>
      </c>
      <c r="S125" s="8">
        <v>4</v>
      </c>
      <c r="T125" s="8">
        <v>38</v>
      </c>
      <c r="U125" s="9">
        <f t="shared" si="21"/>
        <v>0.67948717948717952</v>
      </c>
    </row>
    <row r="126" spans="1:21" x14ac:dyDescent="0.2">
      <c r="A126" t="s">
        <v>49</v>
      </c>
      <c r="B126" t="s">
        <v>21</v>
      </c>
      <c r="C126" t="s">
        <v>22</v>
      </c>
      <c r="D126" t="s">
        <v>23</v>
      </c>
      <c r="E126" t="s">
        <v>50</v>
      </c>
      <c r="F126">
        <v>3</v>
      </c>
      <c r="G126" t="s">
        <v>25</v>
      </c>
      <c r="H126">
        <v>81</v>
      </c>
      <c r="I126">
        <v>6</v>
      </c>
      <c r="J126">
        <v>198</v>
      </c>
      <c r="K126">
        <v>0</v>
      </c>
      <c r="L126">
        <v>49</v>
      </c>
      <c r="M126">
        <v>0</v>
      </c>
      <c r="N126">
        <v>254</v>
      </c>
      <c r="O126">
        <v>0</v>
      </c>
      <c r="P126">
        <v>196</v>
      </c>
      <c r="Q126">
        <v>0</v>
      </c>
      <c r="R126">
        <v>0</v>
      </c>
      <c r="S126">
        <v>0</v>
      </c>
      <c r="T126">
        <v>0</v>
      </c>
      <c r="U126" s="3"/>
    </row>
    <row r="127" spans="1:21" x14ac:dyDescent="0.2">
      <c r="A127" t="s">
        <v>49</v>
      </c>
      <c r="B127" t="s">
        <v>21</v>
      </c>
      <c r="C127" t="s">
        <v>22</v>
      </c>
      <c r="D127" t="s">
        <v>23</v>
      </c>
      <c r="E127" t="s">
        <v>52</v>
      </c>
      <c r="F127">
        <v>3</v>
      </c>
      <c r="G127" t="s">
        <v>114</v>
      </c>
      <c r="H127">
        <v>7</v>
      </c>
      <c r="I127">
        <v>7</v>
      </c>
      <c r="J127">
        <v>0</v>
      </c>
      <c r="K127">
        <v>8</v>
      </c>
      <c r="L127">
        <v>3</v>
      </c>
      <c r="M127">
        <v>11</v>
      </c>
      <c r="N127">
        <v>61</v>
      </c>
      <c r="O127">
        <v>19</v>
      </c>
      <c r="P127">
        <v>97</v>
      </c>
      <c r="Q127">
        <v>0</v>
      </c>
      <c r="R127">
        <v>79</v>
      </c>
      <c r="S127">
        <v>1</v>
      </c>
      <c r="T127">
        <v>68</v>
      </c>
      <c r="U127" s="3">
        <f t="shared" si="21"/>
        <v>0.60408163265306125</v>
      </c>
    </row>
    <row r="128" spans="1:21" x14ac:dyDescent="0.2">
      <c r="A128" t="s">
        <v>49</v>
      </c>
      <c r="B128" t="s">
        <v>21</v>
      </c>
      <c r="C128" t="s">
        <v>22</v>
      </c>
      <c r="D128" t="s">
        <v>23</v>
      </c>
      <c r="E128" t="s">
        <v>115</v>
      </c>
      <c r="F128">
        <v>3</v>
      </c>
      <c r="G128" t="s">
        <v>116</v>
      </c>
      <c r="H128">
        <v>10</v>
      </c>
      <c r="I128">
        <v>2</v>
      </c>
      <c r="J128">
        <v>1</v>
      </c>
      <c r="K128">
        <v>12</v>
      </c>
      <c r="L128">
        <v>2</v>
      </c>
      <c r="M128">
        <v>16</v>
      </c>
      <c r="N128">
        <v>61</v>
      </c>
      <c r="O128">
        <v>28</v>
      </c>
      <c r="P128">
        <v>104</v>
      </c>
      <c r="Q128">
        <v>0</v>
      </c>
      <c r="R128">
        <v>72</v>
      </c>
      <c r="S128">
        <v>1</v>
      </c>
      <c r="T128">
        <v>67</v>
      </c>
      <c r="U128" s="3">
        <f t="shared" si="21"/>
        <v>0.57377049180327866</v>
      </c>
    </row>
    <row r="129" spans="1:21" x14ac:dyDescent="0.2">
      <c r="A129" t="s">
        <v>49</v>
      </c>
      <c r="B129" t="s">
        <v>21</v>
      </c>
      <c r="C129" t="s">
        <v>22</v>
      </c>
      <c r="D129" t="s">
        <v>23</v>
      </c>
      <c r="E129" t="s">
        <v>117</v>
      </c>
      <c r="F129">
        <v>3</v>
      </c>
      <c r="G129" t="s">
        <v>118</v>
      </c>
      <c r="H129">
        <v>7</v>
      </c>
      <c r="I129">
        <v>3</v>
      </c>
      <c r="J129">
        <v>1</v>
      </c>
      <c r="K129">
        <v>7</v>
      </c>
      <c r="L129">
        <v>0</v>
      </c>
      <c r="M129">
        <v>17</v>
      </c>
      <c r="N129">
        <v>57</v>
      </c>
      <c r="O129">
        <v>24</v>
      </c>
      <c r="P129">
        <v>92</v>
      </c>
      <c r="Q129">
        <v>0</v>
      </c>
      <c r="R129">
        <v>82</v>
      </c>
      <c r="S129">
        <v>1</v>
      </c>
      <c r="T129">
        <v>84</v>
      </c>
      <c r="U129" s="3">
        <f t="shared" si="21"/>
        <v>0.64478764478764483</v>
      </c>
    </row>
    <row r="130" spans="1:21" x14ac:dyDescent="0.2">
      <c r="A130" t="s">
        <v>62</v>
      </c>
      <c r="B130" t="s">
        <v>32</v>
      </c>
      <c r="C130" t="s">
        <v>22</v>
      </c>
      <c r="D130" t="s">
        <v>23</v>
      </c>
      <c r="E130" t="s">
        <v>38</v>
      </c>
      <c r="F130">
        <v>3</v>
      </c>
      <c r="G130" t="s">
        <v>25</v>
      </c>
      <c r="H130">
        <v>162</v>
      </c>
      <c r="I130">
        <v>312</v>
      </c>
      <c r="J130">
        <v>441</v>
      </c>
      <c r="K130">
        <v>0</v>
      </c>
      <c r="L130">
        <v>209</v>
      </c>
      <c r="M130">
        <v>0</v>
      </c>
      <c r="N130">
        <v>1483</v>
      </c>
      <c r="O130">
        <v>0</v>
      </c>
      <c r="P130">
        <v>869</v>
      </c>
      <c r="Q130">
        <v>0</v>
      </c>
      <c r="R130">
        <v>0</v>
      </c>
      <c r="S130">
        <v>0</v>
      </c>
      <c r="T130">
        <v>0</v>
      </c>
      <c r="U130" s="3"/>
    </row>
    <row r="131" spans="1:21" x14ac:dyDescent="0.2">
      <c r="A131" t="s">
        <v>62</v>
      </c>
      <c r="B131" t="s">
        <v>32</v>
      </c>
      <c r="C131" t="s">
        <v>22</v>
      </c>
      <c r="D131" t="s">
        <v>23</v>
      </c>
      <c r="E131" t="s">
        <v>40</v>
      </c>
      <c r="F131">
        <v>3</v>
      </c>
      <c r="G131" t="s">
        <v>114</v>
      </c>
      <c r="H131">
        <v>20</v>
      </c>
      <c r="I131">
        <v>115</v>
      </c>
      <c r="J131">
        <v>3</v>
      </c>
      <c r="K131">
        <v>28</v>
      </c>
      <c r="L131">
        <v>128</v>
      </c>
      <c r="M131">
        <v>41</v>
      </c>
      <c r="N131">
        <v>152</v>
      </c>
      <c r="O131">
        <v>69</v>
      </c>
      <c r="P131">
        <v>487</v>
      </c>
      <c r="Q131">
        <v>0</v>
      </c>
      <c r="R131">
        <v>4</v>
      </c>
      <c r="S131">
        <v>63</v>
      </c>
      <c r="T131">
        <v>2</v>
      </c>
      <c r="U131" s="3">
        <f t="shared" si="21"/>
        <v>0.12410071942446044</v>
      </c>
    </row>
    <row r="132" spans="1:21" x14ac:dyDescent="0.2">
      <c r="A132" t="s">
        <v>62</v>
      </c>
      <c r="B132" t="s">
        <v>32</v>
      </c>
      <c r="C132" t="s">
        <v>22</v>
      </c>
      <c r="D132" t="s">
        <v>23</v>
      </c>
      <c r="E132" t="s">
        <v>122</v>
      </c>
      <c r="F132">
        <v>3</v>
      </c>
      <c r="G132" t="s">
        <v>116</v>
      </c>
      <c r="H132">
        <v>20</v>
      </c>
      <c r="I132">
        <v>124</v>
      </c>
      <c r="J132">
        <v>0</v>
      </c>
      <c r="K132">
        <v>32</v>
      </c>
      <c r="L132">
        <v>106</v>
      </c>
      <c r="M132">
        <v>39</v>
      </c>
      <c r="N132">
        <v>171</v>
      </c>
      <c r="O132">
        <v>71</v>
      </c>
      <c r="P132">
        <v>492</v>
      </c>
      <c r="Q132">
        <v>0</v>
      </c>
      <c r="R132">
        <v>4</v>
      </c>
      <c r="S132">
        <v>57</v>
      </c>
      <c r="T132">
        <v>5</v>
      </c>
      <c r="U132" s="3">
        <f t="shared" ref="U132:U177" si="28">SUM(R132:T132)/(P132+(SUM(R132:T132)))</f>
        <v>0.11827956989247312</v>
      </c>
    </row>
    <row r="133" spans="1:21" x14ac:dyDescent="0.2">
      <c r="A133" t="s">
        <v>62</v>
      </c>
      <c r="B133" t="s">
        <v>32</v>
      </c>
      <c r="C133" t="s">
        <v>22</v>
      </c>
      <c r="D133" t="s">
        <v>23</v>
      </c>
      <c r="E133" t="s">
        <v>123</v>
      </c>
      <c r="F133">
        <v>3</v>
      </c>
      <c r="G133" t="s">
        <v>118</v>
      </c>
      <c r="H133">
        <v>12</v>
      </c>
      <c r="I133">
        <v>116</v>
      </c>
      <c r="J133">
        <v>0</v>
      </c>
      <c r="K133">
        <v>25</v>
      </c>
      <c r="L133">
        <v>106</v>
      </c>
      <c r="M133">
        <v>40</v>
      </c>
      <c r="N133">
        <v>156</v>
      </c>
      <c r="O133">
        <v>65</v>
      </c>
      <c r="P133">
        <v>455</v>
      </c>
      <c r="Q133">
        <v>0</v>
      </c>
      <c r="R133">
        <v>1</v>
      </c>
      <c r="S133">
        <v>49</v>
      </c>
      <c r="T133">
        <v>4</v>
      </c>
      <c r="U133" s="3">
        <f t="shared" si="28"/>
        <v>0.10609037328094302</v>
      </c>
    </row>
    <row r="134" spans="1:21" x14ac:dyDescent="0.2">
      <c r="A134" t="s">
        <v>53</v>
      </c>
      <c r="B134" t="s">
        <v>30</v>
      </c>
      <c r="C134" t="s">
        <v>22</v>
      </c>
      <c r="D134" t="s">
        <v>23</v>
      </c>
      <c r="E134" t="s">
        <v>38</v>
      </c>
      <c r="F134">
        <v>3</v>
      </c>
      <c r="G134" t="s">
        <v>25</v>
      </c>
      <c r="H134">
        <v>879</v>
      </c>
      <c r="I134">
        <v>483</v>
      </c>
      <c r="J134">
        <v>180</v>
      </c>
      <c r="K134">
        <v>0</v>
      </c>
      <c r="L134">
        <v>79</v>
      </c>
      <c r="M134">
        <v>0</v>
      </c>
      <c r="N134">
        <v>1364</v>
      </c>
      <c r="O134">
        <v>0</v>
      </c>
      <c r="P134">
        <v>995</v>
      </c>
      <c r="Q134">
        <v>0</v>
      </c>
      <c r="R134">
        <v>0</v>
      </c>
      <c r="S134">
        <v>0</v>
      </c>
      <c r="T134">
        <v>0</v>
      </c>
      <c r="U134" s="3"/>
    </row>
    <row r="135" spans="1:21" x14ac:dyDescent="0.2">
      <c r="A135" t="s">
        <v>53</v>
      </c>
      <c r="B135" t="s">
        <v>30</v>
      </c>
      <c r="C135" t="s">
        <v>22</v>
      </c>
      <c r="D135" t="s">
        <v>23</v>
      </c>
      <c r="E135" t="s">
        <v>40</v>
      </c>
      <c r="F135">
        <v>3</v>
      </c>
      <c r="G135" t="s">
        <v>114</v>
      </c>
      <c r="H135">
        <v>164</v>
      </c>
      <c r="I135">
        <v>186</v>
      </c>
      <c r="J135">
        <v>9</v>
      </c>
      <c r="K135">
        <v>97</v>
      </c>
      <c r="L135">
        <v>71</v>
      </c>
      <c r="M135">
        <v>74</v>
      </c>
      <c r="N135">
        <v>260</v>
      </c>
      <c r="O135">
        <v>171</v>
      </c>
      <c r="P135">
        <v>861</v>
      </c>
      <c r="Q135">
        <v>0</v>
      </c>
      <c r="R135">
        <v>13</v>
      </c>
      <c r="S135">
        <v>4</v>
      </c>
      <c r="T135">
        <v>54</v>
      </c>
      <c r="U135" s="3">
        <f t="shared" si="28"/>
        <v>7.6180257510729613E-2</v>
      </c>
    </row>
    <row r="136" spans="1:21" x14ac:dyDescent="0.2">
      <c r="A136" t="s">
        <v>53</v>
      </c>
      <c r="B136" t="s">
        <v>30</v>
      </c>
      <c r="C136" t="s">
        <v>22</v>
      </c>
      <c r="D136" t="s">
        <v>23</v>
      </c>
      <c r="E136" t="s">
        <v>122</v>
      </c>
      <c r="F136">
        <v>3</v>
      </c>
      <c r="G136" t="s">
        <v>116</v>
      </c>
      <c r="H136">
        <v>179</v>
      </c>
      <c r="I136">
        <v>181</v>
      </c>
      <c r="J136">
        <v>5</v>
      </c>
      <c r="K136">
        <v>88</v>
      </c>
      <c r="L136">
        <v>71</v>
      </c>
      <c r="M136">
        <v>54</v>
      </c>
      <c r="N136">
        <v>284</v>
      </c>
      <c r="O136">
        <v>142</v>
      </c>
      <c r="P136">
        <v>862</v>
      </c>
      <c r="Q136">
        <v>0</v>
      </c>
      <c r="R136">
        <v>12</v>
      </c>
      <c r="S136">
        <v>2</v>
      </c>
      <c r="T136">
        <v>57</v>
      </c>
      <c r="U136" s="3">
        <f t="shared" si="28"/>
        <v>7.6098606645230438E-2</v>
      </c>
    </row>
    <row r="137" spans="1:21" x14ac:dyDescent="0.2">
      <c r="A137" t="s">
        <v>53</v>
      </c>
      <c r="B137" t="s">
        <v>30</v>
      </c>
      <c r="C137" t="s">
        <v>22</v>
      </c>
      <c r="D137" t="s">
        <v>23</v>
      </c>
      <c r="E137" t="s">
        <v>123</v>
      </c>
      <c r="F137">
        <v>3</v>
      </c>
      <c r="G137" t="s">
        <v>118</v>
      </c>
      <c r="H137">
        <v>226</v>
      </c>
      <c r="I137">
        <v>177</v>
      </c>
      <c r="J137">
        <v>5</v>
      </c>
      <c r="K137">
        <v>47</v>
      </c>
      <c r="L137">
        <v>32</v>
      </c>
      <c r="M137">
        <v>40</v>
      </c>
      <c r="N137">
        <v>343</v>
      </c>
      <c r="O137">
        <v>87</v>
      </c>
      <c r="P137">
        <v>870</v>
      </c>
      <c r="Q137">
        <v>0</v>
      </c>
      <c r="R137">
        <v>15</v>
      </c>
      <c r="S137">
        <v>3</v>
      </c>
      <c r="T137">
        <v>43</v>
      </c>
      <c r="U137" s="3">
        <f t="shared" si="28"/>
        <v>6.5520945220193347E-2</v>
      </c>
    </row>
    <row r="138" spans="1:21" x14ac:dyDescent="0.2">
      <c r="A138" s="8" t="s">
        <v>57</v>
      </c>
      <c r="B138" s="8" t="s">
        <v>58</v>
      </c>
      <c r="C138" s="8" t="s">
        <v>22</v>
      </c>
      <c r="D138" s="8" t="s">
        <v>23</v>
      </c>
      <c r="E138" s="8" t="s">
        <v>81</v>
      </c>
      <c r="F138" s="8">
        <v>3</v>
      </c>
      <c r="G138" s="8" t="s">
        <v>25</v>
      </c>
      <c r="H138" s="8">
        <v>41</v>
      </c>
      <c r="I138" s="8">
        <v>106</v>
      </c>
      <c r="J138" s="8">
        <v>57</v>
      </c>
      <c r="K138" s="8">
        <v>0</v>
      </c>
      <c r="L138" s="8">
        <v>133</v>
      </c>
      <c r="M138" s="8">
        <v>0</v>
      </c>
      <c r="N138" s="8">
        <v>1514</v>
      </c>
      <c r="O138" s="8">
        <v>0</v>
      </c>
      <c r="P138" s="8">
        <v>617</v>
      </c>
      <c r="Q138" s="8">
        <v>0</v>
      </c>
      <c r="R138" s="8">
        <v>0</v>
      </c>
      <c r="S138" s="8">
        <v>0</v>
      </c>
      <c r="T138" s="8">
        <v>0</v>
      </c>
      <c r="U138" s="9"/>
    </row>
    <row r="139" spans="1:21" x14ac:dyDescent="0.2">
      <c r="A139" s="8" t="s">
        <v>57</v>
      </c>
      <c r="B139" s="8" t="s">
        <v>58</v>
      </c>
      <c r="C139" s="8" t="s">
        <v>22</v>
      </c>
      <c r="D139" s="8" t="s">
        <v>23</v>
      </c>
      <c r="E139" s="8" t="s">
        <v>124</v>
      </c>
      <c r="F139" s="8">
        <v>3</v>
      </c>
      <c r="G139" s="8" t="s">
        <v>114</v>
      </c>
      <c r="H139" s="8">
        <v>1</v>
      </c>
      <c r="I139" s="8">
        <v>3</v>
      </c>
      <c r="J139" s="8">
        <v>2</v>
      </c>
      <c r="K139" s="8">
        <v>3</v>
      </c>
      <c r="L139" s="8">
        <v>16</v>
      </c>
      <c r="M139" s="8">
        <v>8</v>
      </c>
      <c r="N139" s="8">
        <v>18</v>
      </c>
      <c r="O139" s="8">
        <v>11</v>
      </c>
      <c r="P139" s="8">
        <v>51</v>
      </c>
      <c r="Q139" s="8">
        <v>0</v>
      </c>
      <c r="R139" s="8">
        <v>2</v>
      </c>
      <c r="S139" s="8">
        <v>19</v>
      </c>
      <c r="T139" s="8">
        <v>32</v>
      </c>
      <c r="U139" s="9">
        <f t="shared" si="28"/>
        <v>0.50961538461538458</v>
      </c>
    </row>
    <row r="140" spans="1:21" x14ac:dyDescent="0.2">
      <c r="A140" s="8" t="s">
        <v>57</v>
      </c>
      <c r="B140" s="8" t="s">
        <v>58</v>
      </c>
      <c r="C140" s="8" t="s">
        <v>22</v>
      </c>
      <c r="D140" s="8" t="s">
        <v>23</v>
      </c>
      <c r="E140" s="8" t="s">
        <v>125</v>
      </c>
      <c r="F140" s="8">
        <v>3</v>
      </c>
      <c r="G140" s="8" t="s">
        <v>116</v>
      </c>
      <c r="H140" s="8">
        <v>1</v>
      </c>
      <c r="I140" s="8">
        <v>8</v>
      </c>
      <c r="J140" s="8">
        <v>0</v>
      </c>
      <c r="K140" s="8">
        <v>1</v>
      </c>
      <c r="L140" s="8">
        <v>13</v>
      </c>
      <c r="M140" s="8">
        <v>8</v>
      </c>
      <c r="N140" s="8">
        <v>17</v>
      </c>
      <c r="O140" s="8">
        <v>9</v>
      </c>
      <c r="P140" s="8">
        <v>48</v>
      </c>
      <c r="Q140" s="8">
        <v>0</v>
      </c>
      <c r="R140" s="8">
        <v>6</v>
      </c>
      <c r="S140" s="8">
        <v>10</v>
      </c>
      <c r="T140" s="8">
        <v>38</v>
      </c>
      <c r="U140" s="9">
        <f t="shared" si="28"/>
        <v>0.52941176470588236</v>
      </c>
    </row>
    <row r="141" spans="1:21" x14ac:dyDescent="0.2">
      <c r="A141" s="8" t="s">
        <v>57</v>
      </c>
      <c r="B141" s="8" t="s">
        <v>58</v>
      </c>
      <c r="C141" s="8" t="s">
        <v>22</v>
      </c>
      <c r="D141" s="8" t="s">
        <v>23</v>
      </c>
      <c r="E141" s="8" t="s">
        <v>126</v>
      </c>
      <c r="F141" s="8">
        <v>3</v>
      </c>
      <c r="G141" s="8" t="s">
        <v>118</v>
      </c>
      <c r="H141" s="8">
        <v>2</v>
      </c>
      <c r="I141" s="8">
        <v>5</v>
      </c>
      <c r="J141" s="8">
        <v>0</v>
      </c>
      <c r="K141" s="8">
        <v>4</v>
      </c>
      <c r="L141" s="8">
        <v>5</v>
      </c>
      <c r="M141" s="8">
        <v>8</v>
      </c>
      <c r="N141" s="8">
        <v>21</v>
      </c>
      <c r="O141" s="8">
        <v>12</v>
      </c>
      <c r="P141" s="8">
        <v>45</v>
      </c>
      <c r="Q141" s="8">
        <v>0</v>
      </c>
      <c r="R141" s="8">
        <v>4</v>
      </c>
      <c r="S141" s="8">
        <v>16</v>
      </c>
      <c r="T141" s="8">
        <v>50</v>
      </c>
      <c r="U141" s="9">
        <f t="shared" si="28"/>
        <v>0.60869565217391308</v>
      </c>
    </row>
    <row r="142" spans="1:21" x14ac:dyDescent="0.2">
      <c r="A142" t="s">
        <v>37</v>
      </c>
      <c r="B142" t="s">
        <v>21</v>
      </c>
      <c r="C142" t="s">
        <v>22</v>
      </c>
      <c r="D142" t="s">
        <v>23</v>
      </c>
      <c r="E142" t="s">
        <v>38</v>
      </c>
      <c r="F142">
        <v>3</v>
      </c>
      <c r="G142" t="s">
        <v>25</v>
      </c>
      <c r="H142">
        <v>261</v>
      </c>
      <c r="I142">
        <v>234</v>
      </c>
      <c r="J142">
        <v>486</v>
      </c>
      <c r="K142">
        <v>0</v>
      </c>
      <c r="L142">
        <v>98</v>
      </c>
      <c r="M142">
        <v>0</v>
      </c>
      <c r="N142">
        <v>1912</v>
      </c>
      <c r="O142">
        <v>0</v>
      </c>
      <c r="P142">
        <v>997</v>
      </c>
      <c r="Q142">
        <v>0</v>
      </c>
      <c r="R142">
        <v>0</v>
      </c>
      <c r="S142">
        <v>0</v>
      </c>
      <c r="T142">
        <v>0</v>
      </c>
      <c r="U142" s="3"/>
    </row>
    <row r="143" spans="1:21" x14ac:dyDescent="0.2">
      <c r="A143" t="s">
        <v>37</v>
      </c>
      <c r="B143" t="s">
        <v>21</v>
      </c>
      <c r="C143" t="s">
        <v>22</v>
      </c>
      <c r="D143" t="s">
        <v>23</v>
      </c>
      <c r="E143" t="s">
        <v>40</v>
      </c>
      <c r="F143">
        <v>3</v>
      </c>
      <c r="G143" t="s">
        <v>114</v>
      </c>
      <c r="H143">
        <v>103</v>
      </c>
      <c r="I143">
        <v>95</v>
      </c>
      <c r="J143">
        <v>12</v>
      </c>
      <c r="K143">
        <v>86</v>
      </c>
      <c r="L143">
        <v>91</v>
      </c>
      <c r="M143">
        <v>80</v>
      </c>
      <c r="N143">
        <v>438</v>
      </c>
      <c r="O143">
        <v>166</v>
      </c>
      <c r="P143">
        <v>905</v>
      </c>
      <c r="Q143">
        <v>0</v>
      </c>
      <c r="R143">
        <v>21</v>
      </c>
      <c r="S143">
        <v>3</v>
      </c>
      <c r="T143">
        <v>71</v>
      </c>
      <c r="U143" s="3">
        <f t="shared" si="28"/>
        <v>9.5000000000000001E-2</v>
      </c>
    </row>
    <row r="144" spans="1:21" x14ac:dyDescent="0.2">
      <c r="A144" t="s">
        <v>37</v>
      </c>
      <c r="B144" t="s">
        <v>21</v>
      </c>
      <c r="C144" t="s">
        <v>22</v>
      </c>
      <c r="D144" t="s">
        <v>23</v>
      </c>
      <c r="E144" t="s">
        <v>122</v>
      </c>
      <c r="F144">
        <v>3</v>
      </c>
      <c r="G144" t="s">
        <v>116</v>
      </c>
      <c r="H144">
        <v>99</v>
      </c>
      <c r="I144">
        <v>119</v>
      </c>
      <c r="J144">
        <v>5</v>
      </c>
      <c r="K144">
        <v>72</v>
      </c>
      <c r="L144">
        <v>140</v>
      </c>
      <c r="M144">
        <v>87</v>
      </c>
      <c r="N144">
        <v>365</v>
      </c>
      <c r="O144">
        <v>159</v>
      </c>
      <c r="P144">
        <v>887</v>
      </c>
      <c r="Q144">
        <v>0</v>
      </c>
      <c r="R144">
        <v>23</v>
      </c>
      <c r="S144">
        <v>3</v>
      </c>
      <c r="T144">
        <v>82</v>
      </c>
      <c r="U144" s="3">
        <f t="shared" si="28"/>
        <v>0.10854271356783919</v>
      </c>
    </row>
    <row r="145" spans="1:21" x14ac:dyDescent="0.2">
      <c r="A145" t="s">
        <v>37</v>
      </c>
      <c r="B145" t="s">
        <v>21</v>
      </c>
      <c r="C145" t="s">
        <v>22</v>
      </c>
      <c r="D145" t="s">
        <v>23</v>
      </c>
      <c r="E145" t="s">
        <v>123</v>
      </c>
      <c r="F145">
        <v>3</v>
      </c>
      <c r="G145" t="s">
        <v>118</v>
      </c>
      <c r="H145">
        <v>105</v>
      </c>
      <c r="I145">
        <v>121</v>
      </c>
      <c r="J145">
        <v>13</v>
      </c>
      <c r="K145">
        <v>57</v>
      </c>
      <c r="L145">
        <v>174</v>
      </c>
      <c r="M145">
        <v>66</v>
      </c>
      <c r="N145">
        <v>375</v>
      </c>
      <c r="O145">
        <v>123</v>
      </c>
      <c r="P145">
        <v>911</v>
      </c>
      <c r="Q145">
        <v>0</v>
      </c>
      <c r="R145">
        <v>30</v>
      </c>
      <c r="S145">
        <v>3</v>
      </c>
      <c r="T145">
        <v>47</v>
      </c>
      <c r="U145" s="3">
        <f t="shared" si="28"/>
        <v>8.0726538849646826E-2</v>
      </c>
    </row>
    <row r="146" spans="1:21" x14ac:dyDescent="0.2">
      <c r="A146" t="s">
        <v>63</v>
      </c>
      <c r="B146" t="s">
        <v>32</v>
      </c>
      <c r="C146" t="s">
        <v>22</v>
      </c>
      <c r="D146" t="s">
        <v>23</v>
      </c>
      <c r="E146" t="s">
        <v>42</v>
      </c>
      <c r="F146">
        <v>3</v>
      </c>
      <c r="G146" t="s">
        <v>25</v>
      </c>
      <c r="H146">
        <v>16</v>
      </c>
      <c r="I146">
        <v>734</v>
      </c>
      <c r="J146">
        <v>1275</v>
      </c>
      <c r="K146">
        <v>0</v>
      </c>
      <c r="L146">
        <v>27</v>
      </c>
      <c r="M146">
        <v>0</v>
      </c>
      <c r="N146">
        <v>138</v>
      </c>
      <c r="O146">
        <v>0</v>
      </c>
      <c r="P146">
        <v>730</v>
      </c>
      <c r="Q146">
        <v>0</v>
      </c>
      <c r="R146">
        <v>0</v>
      </c>
      <c r="S146">
        <v>0</v>
      </c>
      <c r="T146">
        <v>0</v>
      </c>
      <c r="U146" s="3"/>
    </row>
    <row r="147" spans="1:21" x14ac:dyDescent="0.2">
      <c r="A147" t="s">
        <v>63</v>
      </c>
      <c r="B147" t="s">
        <v>32</v>
      </c>
      <c r="C147" t="s">
        <v>22</v>
      </c>
      <c r="D147" t="s">
        <v>23</v>
      </c>
      <c r="E147" t="s">
        <v>44</v>
      </c>
      <c r="F147">
        <v>3</v>
      </c>
      <c r="G147" t="s">
        <v>114</v>
      </c>
      <c r="H147">
        <v>5</v>
      </c>
      <c r="I147">
        <v>330</v>
      </c>
      <c r="J147">
        <v>13</v>
      </c>
      <c r="K147">
        <v>75</v>
      </c>
      <c r="L147">
        <v>7</v>
      </c>
      <c r="M147">
        <v>4</v>
      </c>
      <c r="N147">
        <v>20</v>
      </c>
      <c r="O147">
        <v>79</v>
      </c>
      <c r="P147">
        <v>454</v>
      </c>
      <c r="Q147">
        <v>0</v>
      </c>
      <c r="R147">
        <v>4</v>
      </c>
      <c r="S147">
        <v>125</v>
      </c>
      <c r="T147">
        <v>2</v>
      </c>
      <c r="U147" s="3">
        <f t="shared" si="28"/>
        <v>0.22393162393162394</v>
      </c>
    </row>
    <row r="148" spans="1:21" x14ac:dyDescent="0.2">
      <c r="A148" t="s">
        <v>63</v>
      </c>
      <c r="B148" t="s">
        <v>32</v>
      </c>
      <c r="C148" t="s">
        <v>22</v>
      </c>
      <c r="D148" t="s">
        <v>23</v>
      </c>
      <c r="E148" t="s">
        <v>127</v>
      </c>
      <c r="F148">
        <v>3</v>
      </c>
      <c r="G148" t="s">
        <v>116</v>
      </c>
      <c r="H148">
        <v>6</v>
      </c>
      <c r="I148">
        <v>318</v>
      </c>
      <c r="J148">
        <v>18</v>
      </c>
      <c r="K148">
        <v>80</v>
      </c>
      <c r="L148">
        <v>12</v>
      </c>
      <c r="M148">
        <v>3</v>
      </c>
      <c r="N148">
        <v>14</v>
      </c>
      <c r="O148">
        <v>83</v>
      </c>
      <c r="P148">
        <v>451</v>
      </c>
      <c r="Q148">
        <v>0</v>
      </c>
      <c r="R148">
        <v>10</v>
      </c>
      <c r="S148">
        <v>113</v>
      </c>
      <c r="T148">
        <v>4</v>
      </c>
      <c r="U148" s="3">
        <f t="shared" si="28"/>
        <v>0.21972318339100347</v>
      </c>
    </row>
    <row r="149" spans="1:21" x14ac:dyDescent="0.2">
      <c r="A149" t="s">
        <v>63</v>
      </c>
      <c r="B149" t="s">
        <v>32</v>
      </c>
      <c r="C149" t="s">
        <v>22</v>
      </c>
      <c r="D149" t="s">
        <v>23</v>
      </c>
      <c r="E149" t="s">
        <v>128</v>
      </c>
      <c r="F149">
        <v>3</v>
      </c>
      <c r="G149" t="s">
        <v>118</v>
      </c>
      <c r="H149">
        <v>3</v>
      </c>
      <c r="I149">
        <v>326</v>
      </c>
      <c r="J149">
        <v>11</v>
      </c>
      <c r="K149">
        <v>60</v>
      </c>
      <c r="L149">
        <v>4</v>
      </c>
      <c r="M149">
        <v>4</v>
      </c>
      <c r="N149">
        <v>23</v>
      </c>
      <c r="O149">
        <v>64</v>
      </c>
      <c r="P149">
        <v>431</v>
      </c>
      <c r="Q149">
        <v>0</v>
      </c>
      <c r="R149">
        <v>17</v>
      </c>
      <c r="S149">
        <v>110</v>
      </c>
      <c r="T149">
        <v>1</v>
      </c>
      <c r="U149" s="3">
        <f t="shared" si="28"/>
        <v>0.22898032200357782</v>
      </c>
    </row>
    <row r="150" spans="1:21" x14ac:dyDescent="0.2">
      <c r="A150" t="s">
        <v>54</v>
      </c>
      <c r="B150" t="s">
        <v>30</v>
      </c>
      <c r="C150" t="s">
        <v>22</v>
      </c>
      <c r="D150" t="s">
        <v>23</v>
      </c>
      <c r="E150" t="s">
        <v>42</v>
      </c>
      <c r="F150">
        <v>3</v>
      </c>
      <c r="G150" t="s">
        <v>25</v>
      </c>
      <c r="H150">
        <v>60</v>
      </c>
      <c r="I150">
        <v>1479</v>
      </c>
      <c r="J150">
        <v>1209</v>
      </c>
      <c r="K150">
        <v>0</v>
      </c>
      <c r="L150">
        <v>19</v>
      </c>
      <c r="M150">
        <v>0</v>
      </c>
      <c r="N150">
        <v>215</v>
      </c>
      <c r="O150">
        <v>0</v>
      </c>
      <c r="P150">
        <v>994</v>
      </c>
      <c r="Q150">
        <v>0</v>
      </c>
      <c r="R150">
        <v>0</v>
      </c>
      <c r="S150">
        <v>0</v>
      </c>
      <c r="T150">
        <v>0</v>
      </c>
      <c r="U150" s="3"/>
    </row>
    <row r="151" spans="1:21" x14ac:dyDescent="0.2">
      <c r="A151" t="s">
        <v>54</v>
      </c>
      <c r="B151" t="s">
        <v>30</v>
      </c>
      <c r="C151" t="s">
        <v>22</v>
      </c>
      <c r="D151" t="s">
        <v>23</v>
      </c>
      <c r="E151" t="s">
        <v>44</v>
      </c>
      <c r="F151">
        <v>3</v>
      </c>
      <c r="G151" t="s">
        <v>114</v>
      </c>
      <c r="H151">
        <v>19</v>
      </c>
      <c r="I151">
        <v>545</v>
      </c>
      <c r="J151">
        <v>28</v>
      </c>
      <c r="K151">
        <v>262</v>
      </c>
      <c r="L151">
        <v>14</v>
      </c>
      <c r="M151">
        <v>11</v>
      </c>
      <c r="N151">
        <v>41</v>
      </c>
      <c r="O151">
        <v>273</v>
      </c>
      <c r="P151">
        <v>920</v>
      </c>
      <c r="Q151">
        <v>0</v>
      </c>
      <c r="R151">
        <v>23</v>
      </c>
      <c r="S151">
        <v>4</v>
      </c>
      <c r="T151">
        <v>18</v>
      </c>
      <c r="U151" s="3">
        <f t="shared" si="28"/>
        <v>4.6632124352331605E-2</v>
      </c>
    </row>
    <row r="152" spans="1:21" x14ac:dyDescent="0.2">
      <c r="A152" t="s">
        <v>54</v>
      </c>
      <c r="B152" t="s">
        <v>30</v>
      </c>
      <c r="C152" t="s">
        <v>22</v>
      </c>
      <c r="D152" t="s">
        <v>23</v>
      </c>
      <c r="E152" t="s">
        <v>127</v>
      </c>
      <c r="F152">
        <v>3</v>
      </c>
      <c r="G152" t="s">
        <v>116</v>
      </c>
      <c r="H152">
        <v>22</v>
      </c>
      <c r="I152">
        <v>577</v>
      </c>
      <c r="J152">
        <v>29</v>
      </c>
      <c r="K152">
        <v>234</v>
      </c>
      <c r="L152">
        <v>11</v>
      </c>
      <c r="M152">
        <v>7</v>
      </c>
      <c r="N152">
        <v>48</v>
      </c>
      <c r="O152">
        <v>241</v>
      </c>
      <c r="P152">
        <v>928</v>
      </c>
      <c r="Q152">
        <v>0</v>
      </c>
      <c r="R152">
        <v>18</v>
      </c>
      <c r="S152">
        <v>5</v>
      </c>
      <c r="T152">
        <v>18</v>
      </c>
      <c r="U152" s="3">
        <f t="shared" si="28"/>
        <v>4.2311661506707947E-2</v>
      </c>
    </row>
    <row r="153" spans="1:21" x14ac:dyDescent="0.2">
      <c r="A153" t="s">
        <v>54</v>
      </c>
      <c r="B153" t="s">
        <v>30</v>
      </c>
      <c r="C153" t="s">
        <v>22</v>
      </c>
      <c r="D153" t="s">
        <v>23</v>
      </c>
      <c r="E153" t="s">
        <v>128</v>
      </c>
      <c r="F153">
        <v>3</v>
      </c>
      <c r="G153" t="s">
        <v>118</v>
      </c>
      <c r="H153">
        <v>17</v>
      </c>
      <c r="I153">
        <v>674</v>
      </c>
      <c r="J153">
        <v>30</v>
      </c>
      <c r="K153">
        <v>139</v>
      </c>
      <c r="L153">
        <v>5</v>
      </c>
      <c r="M153">
        <v>10</v>
      </c>
      <c r="N153">
        <v>48</v>
      </c>
      <c r="O153">
        <v>149</v>
      </c>
      <c r="P153">
        <v>923</v>
      </c>
      <c r="Q153">
        <v>0</v>
      </c>
      <c r="R153">
        <v>24</v>
      </c>
      <c r="S153">
        <v>3</v>
      </c>
      <c r="T153">
        <v>17</v>
      </c>
      <c r="U153" s="3">
        <f t="shared" si="28"/>
        <v>4.5501551189245086E-2</v>
      </c>
    </row>
    <row r="154" spans="1:21" x14ac:dyDescent="0.2">
      <c r="A154" s="8" t="s">
        <v>59</v>
      </c>
      <c r="B154" s="8" t="s">
        <v>58</v>
      </c>
      <c r="C154" s="8" t="s">
        <v>22</v>
      </c>
      <c r="D154" s="8" t="s">
        <v>23</v>
      </c>
      <c r="E154" s="8" t="s">
        <v>92</v>
      </c>
      <c r="F154" s="8">
        <v>3</v>
      </c>
      <c r="G154" s="8" t="s">
        <v>25</v>
      </c>
      <c r="H154" s="8">
        <v>9</v>
      </c>
      <c r="I154" s="8">
        <v>510</v>
      </c>
      <c r="J154" s="8">
        <v>975</v>
      </c>
      <c r="K154" s="8">
        <v>0</v>
      </c>
      <c r="L154" s="8">
        <v>5</v>
      </c>
      <c r="M154" s="8">
        <v>0</v>
      </c>
      <c r="N154" s="8">
        <v>124</v>
      </c>
      <c r="O154" s="8">
        <v>0</v>
      </c>
      <c r="P154" s="8">
        <v>541</v>
      </c>
      <c r="Q154" s="8">
        <v>0</v>
      </c>
      <c r="R154" s="8">
        <v>0</v>
      </c>
      <c r="S154" s="8">
        <v>0</v>
      </c>
      <c r="T154" s="8">
        <v>0</v>
      </c>
      <c r="U154" s="9"/>
    </row>
    <row r="155" spans="1:21" x14ac:dyDescent="0.2">
      <c r="A155" s="8" t="s">
        <v>59</v>
      </c>
      <c r="B155" s="8" t="s">
        <v>58</v>
      </c>
      <c r="C155" s="8" t="s">
        <v>22</v>
      </c>
      <c r="D155" s="8" t="s">
        <v>23</v>
      </c>
      <c r="E155" s="8" t="s">
        <v>129</v>
      </c>
      <c r="F155" s="8">
        <v>3</v>
      </c>
      <c r="G155" s="8" t="s">
        <v>114</v>
      </c>
      <c r="H155" s="8">
        <v>0</v>
      </c>
      <c r="I155" s="8">
        <v>66</v>
      </c>
      <c r="J155" s="8">
        <v>2</v>
      </c>
      <c r="K155" s="8">
        <v>45</v>
      </c>
      <c r="L155" s="8">
        <v>1</v>
      </c>
      <c r="M155" s="8">
        <v>1</v>
      </c>
      <c r="N155" s="8">
        <v>4</v>
      </c>
      <c r="O155" s="8">
        <v>46</v>
      </c>
      <c r="P155" s="8">
        <v>119</v>
      </c>
      <c r="Q155" s="8">
        <v>0</v>
      </c>
      <c r="R155" s="8">
        <v>14</v>
      </c>
      <c r="S155" s="8">
        <v>62</v>
      </c>
      <c r="T155" s="8">
        <v>3</v>
      </c>
      <c r="U155" s="9">
        <f t="shared" si="28"/>
        <v>0.39898989898989901</v>
      </c>
    </row>
    <row r="156" spans="1:21" x14ac:dyDescent="0.2">
      <c r="A156" s="8" t="s">
        <v>59</v>
      </c>
      <c r="B156" s="8" t="s">
        <v>58</v>
      </c>
      <c r="C156" s="8" t="s">
        <v>22</v>
      </c>
      <c r="D156" s="8" t="s">
        <v>23</v>
      </c>
      <c r="E156" s="8" t="s">
        <v>130</v>
      </c>
      <c r="F156" s="8">
        <v>3</v>
      </c>
      <c r="G156" s="8" t="s">
        <v>116</v>
      </c>
      <c r="H156" s="8">
        <v>0</v>
      </c>
      <c r="I156" s="8">
        <v>61</v>
      </c>
      <c r="J156" s="8">
        <v>1</v>
      </c>
      <c r="K156" s="8">
        <v>61</v>
      </c>
      <c r="L156" s="8">
        <v>0</v>
      </c>
      <c r="M156" s="8">
        <v>2</v>
      </c>
      <c r="N156" s="8">
        <v>1</v>
      </c>
      <c r="O156" s="8">
        <v>63</v>
      </c>
      <c r="P156" s="8">
        <v>126</v>
      </c>
      <c r="Q156" s="8">
        <v>0</v>
      </c>
      <c r="R156" s="8">
        <v>20</v>
      </c>
      <c r="S156" s="8">
        <v>66</v>
      </c>
      <c r="T156" s="8">
        <v>3</v>
      </c>
      <c r="U156" s="9">
        <f t="shared" si="28"/>
        <v>0.413953488372093</v>
      </c>
    </row>
    <row r="157" spans="1:21" x14ac:dyDescent="0.2">
      <c r="A157" s="8" t="s">
        <v>59</v>
      </c>
      <c r="B157" s="8" t="s">
        <v>58</v>
      </c>
      <c r="C157" s="8" t="s">
        <v>22</v>
      </c>
      <c r="D157" s="8" t="s">
        <v>23</v>
      </c>
      <c r="E157" s="8" t="s">
        <v>131</v>
      </c>
      <c r="F157" s="8">
        <v>3</v>
      </c>
      <c r="G157" s="8" t="s">
        <v>118</v>
      </c>
      <c r="H157" s="8">
        <v>1</v>
      </c>
      <c r="I157" s="8">
        <v>60</v>
      </c>
      <c r="J157" s="8">
        <v>2</v>
      </c>
      <c r="K157" s="8">
        <v>48</v>
      </c>
      <c r="L157" s="8">
        <v>1</v>
      </c>
      <c r="M157" s="8">
        <v>2</v>
      </c>
      <c r="N157" s="8">
        <v>3</v>
      </c>
      <c r="O157" s="8">
        <v>50</v>
      </c>
      <c r="P157" s="8">
        <v>117</v>
      </c>
      <c r="Q157" s="8">
        <v>0</v>
      </c>
      <c r="R157" s="8">
        <v>67</v>
      </c>
      <c r="S157" s="8">
        <v>51</v>
      </c>
      <c r="T157" s="8">
        <v>4</v>
      </c>
      <c r="U157" s="9">
        <f t="shared" si="28"/>
        <v>0.5104602510460251</v>
      </c>
    </row>
    <row r="158" spans="1:21" x14ac:dyDescent="0.2">
      <c r="A158" t="s">
        <v>41</v>
      </c>
      <c r="B158" t="s">
        <v>21</v>
      </c>
      <c r="C158" t="s">
        <v>22</v>
      </c>
      <c r="D158" t="s">
        <v>23</v>
      </c>
      <c r="E158" t="s">
        <v>42</v>
      </c>
      <c r="F158">
        <v>3</v>
      </c>
      <c r="G158" t="s">
        <v>25</v>
      </c>
      <c r="H158">
        <v>46</v>
      </c>
      <c r="I158">
        <v>1505</v>
      </c>
      <c r="J158">
        <v>1209</v>
      </c>
      <c r="K158">
        <v>0</v>
      </c>
      <c r="L158">
        <v>18</v>
      </c>
      <c r="M158">
        <v>0</v>
      </c>
      <c r="N158">
        <v>210</v>
      </c>
      <c r="O158">
        <v>0</v>
      </c>
      <c r="P158">
        <v>996</v>
      </c>
      <c r="Q158">
        <v>0</v>
      </c>
      <c r="R158">
        <v>0</v>
      </c>
      <c r="S158">
        <v>0</v>
      </c>
      <c r="T158">
        <v>0</v>
      </c>
      <c r="U158" s="3"/>
    </row>
    <row r="159" spans="1:21" x14ac:dyDescent="0.2">
      <c r="A159" t="s">
        <v>41</v>
      </c>
      <c r="B159" t="s">
        <v>21</v>
      </c>
      <c r="C159" t="s">
        <v>22</v>
      </c>
      <c r="D159" t="s">
        <v>23</v>
      </c>
      <c r="E159" t="s">
        <v>44</v>
      </c>
      <c r="F159">
        <v>3</v>
      </c>
      <c r="G159" t="s">
        <v>114</v>
      </c>
      <c r="H159">
        <v>22</v>
      </c>
      <c r="I159">
        <v>568</v>
      </c>
      <c r="J159">
        <v>26</v>
      </c>
      <c r="K159">
        <v>265</v>
      </c>
      <c r="L159">
        <v>18</v>
      </c>
      <c r="M159">
        <v>16</v>
      </c>
      <c r="N159">
        <v>35</v>
      </c>
      <c r="O159">
        <v>281</v>
      </c>
      <c r="P159">
        <v>950</v>
      </c>
      <c r="Q159">
        <v>0</v>
      </c>
      <c r="R159">
        <v>10</v>
      </c>
      <c r="S159">
        <v>2</v>
      </c>
      <c r="T159">
        <v>5</v>
      </c>
      <c r="U159" s="3">
        <f t="shared" si="28"/>
        <v>1.7580144777662874E-2</v>
      </c>
    </row>
    <row r="160" spans="1:21" x14ac:dyDescent="0.2">
      <c r="A160" t="s">
        <v>41</v>
      </c>
      <c r="B160" t="s">
        <v>21</v>
      </c>
      <c r="C160" t="s">
        <v>22</v>
      </c>
      <c r="D160" t="s">
        <v>23</v>
      </c>
      <c r="E160" t="s">
        <v>127</v>
      </c>
      <c r="F160">
        <v>3</v>
      </c>
      <c r="G160" t="s">
        <v>116</v>
      </c>
      <c r="H160">
        <v>24</v>
      </c>
      <c r="I160">
        <v>609</v>
      </c>
      <c r="J160">
        <v>14</v>
      </c>
      <c r="K160">
        <v>229</v>
      </c>
      <c r="L160">
        <v>25</v>
      </c>
      <c r="M160">
        <v>10</v>
      </c>
      <c r="N160">
        <v>32</v>
      </c>
      <c r="O160">
        <v>239</v>
      </c>
      <c r="P160">
        <v>943</v>
      </c>
      <c r="Q160">
        <v>0</v>
      </c>
      <c r="R160">
        <v>22</v>
      </c>
      <c r="S160">
        <v>2</v>
      </c>
      <c r="T160">
        <v>9</v>
      </c>
      <c r="U160" s="3">
        <f t="shared" si="28"/>
        <v>3.3811475409836068E-2</v>
      </c>
    </row>
    <row r="161" spans="1:21" x14ac:dyDescent="0.2">
      <c r="A161" t="s">
        <v>41</v>
      </c>
      <c r="B161" t="s">
        <v>21</v>
      </c>
      <c r="C161" t="s">
        <v>22</v>
      </c>
      <c r="D161" t="s">
        <v>23</v>
      </c>
      <c r="E161" t="s">
        <v>128</v>
      </c>
      <c r="F161">
        <v>3</v>
      </c>
      <c r="G161" t="s">
        <v>118</v>
      </c>
      <c r="H161">
        <v>14</v>
      </c>
      <c r="I161">
        <v>636</v>
      </c>
      <c r="J161">
        <v>19</v>
      </c>
      <c r="K161">
        <v>195</v>
      </c>
      <c r="L161">
        <v>15</v>
      </c>
      <c r="M161">
        <v>8</v>
      </c>
      <c r="N161">
        <v>46</v>
      </c>
      <c r="O161">
        <v>203</v>
      </c>
      <c r="P161">
        <v>933</v>
      </c>
      <c r="Q161">
        <v>0</v>
      </c>
      <c r="R161">
        <v>32</v>
      </c>
      <c r="S161">
        <v>2</v>
      </c>
      <c r="T161">
        <v>7</v>
      </c>
      <c r="U161" s="3">
        <f t="shared" si="28"/>
        <v>4.2094455852156057E-2</v>
      </c>
    </row>
    <row r="162" spans="1:21" x14ac:dyDescent="0.2">
      <c r="A162" t="s">
        <v>64</v>
      </c>
      <c r="B162" t="s">
        <v>32</v>
      </c>
      <c r="C162" t="s">
        <v>22</v>
      </c>
      <c r="D162" t="s">
        <v>23</v>
      </c>
      <c r="E162" t="s">
        <v>46</v>
      </c>
      <c r="F162">
        <v>3</v>
      </c>
      <c r="G162" t="s">
        <v>25</v>
      </c>
      <c r="H162">
        <v>85</v>
      </c>
      <c r="I162">
        <v>188</v>
      </c>
      <c r="J162">
        <v>573</v>
      </c>
      <c r="K162">
        <v>0</v>
      </c>
      <c r="L162">
        <v>125</v>
      </c>
      <c r="M162">
        <v>0</v>
      </c>
      <c r="N162">
        <v>523</v>
      </c>
      <c r="O162">
        <v>0</v>
      </c>
      <c r="P162">
        <v>498</v>
      </c>
      <c r="Q162">
        <v>0</v>
      </c>
      <c r="R162">
        <v>0</v>
      </c>
      <c r="S162">
        <v>0</v>
      </c>
      <c r="T162">
        <v>0</v>
      </c>
      <c r="U162" s="3"/>
    </row>
    <row r="163" spans="1:21" x14ac:dyDescent="0.2">
      <c r="A163" t="s">
        <v>64</v>
      </c>
      <c r="B163" t="s">
        <v>32</v>
      </c>
      <c r="C163" t="s">
        <v>22</v>
      </c>
      <c r="D163" t="s">
        <v>23</v>
      </c>
      <c r="E163" t="s">
        <v>48</v>
      </c>
      <c r="F163">
        <v>3</v>
      </c>
      <c r="G163" t="s">
        <v>114</v>
      </c>
      <c r="H163">
        <v>5</v>
      </c>
      <c r="I163">
        <v>113</v>
      </c>
      <c r="J163">
        <v>8</v>
      </c>
      <c r="K163">
        <v>29</v>
      </c>
      <c r="L163">
        <v>42</v>
      </c>
      <c r="M163">
        <v>20</v>
      </c>
      <c r="N163">
        <v>79</v>
      </c>
      <c r="O163">
        <v>49</v>
      </c>
      <c r="P163">
        <v>296</v>
      </c>
      <c r="Q163">
        <v>0</v>
      </c>
      <c r="R163">
        <v>25</v>
      </c>
      <c r="S163">
        <v>90</v>
      </c>
      <c r="T163">
        <v>43</v>
      </c>
      <c r="U163" s="3">
        <f t="shared" si="28"/>
        <v>0.34801762114537443</v>
      </c>
    </row>
    <row r="164" spans="1:21" x14ac:dyDescent="0.2">
      <c r="A164" t="s">
        <v>64</v>
      </c>
      <c r="B164" t="s">
        <v>32</v>
      </c>
      <c r="C164" t="s">
        <v>22</v>
      </c>
      <c r="D164" t="s">
        <v>23</v>
      </c>
      <c r="E164" t="s">
        <v>132</v>
      </c>
      <c r="F164">
        <v>3</v>
      </c>
      <c r="G164" t="s">
        <v>116</v>
      </c>
      <c r="H164">
        <v>17</v>
      </c>
      <c r="I164">
        <v>94</v>
      </c>
      <c r="J164">
        <v>14</v>
      </c>
      <c r="K164">
        <v>43</v>
      </c>
      <c r="L164">
        <v>37</v>
      </c>
      <c r="M164">
        <v>27</v>
      </c>
      <c r="N164">
        <v>71</v>
      </c>
      <c r="O164">
        <v>70</v>
      </c>
      <c r="P164">
        <v>303</v>
      </c>
      <c r="Q164">
        <v>0</v>
      </c>
      <c r="R164">
        <v>26</v>
      </c>
      <c r="S164">
        <v>113</v>
      </c>
      <c r="T164">
        <v>41</v>
      </c>
      <c r="U164" s="3">
        <f t="shared" si="28"/>
        <v>0.37267080745341613</v>
      </c>
    </row>
    <row r="165" spans="1:21" x14ac:dyDescent="0.2">
      <c r="A165" t="s">
        <v>64</v>
      </c>
      <c r="B165" t="s">
        <v>32</v>
      </c>
      <c r="C165" t="s">
        <v>22</v>
      </c>
      <c r="D165" t="s">
        <v>23</v>
      </c>
      <c r="E165" t="s">
        <v>133</v>
      </c>
      <c r="F165">
        <v>3</v>
      </c>
      <c r="G165" t="s">
        <v>118</v>
      </c>
      <c r="H165">
        <v>12</v>
      </c>
      <c r="I165">
        <v>98</v>
      </c>
      <c r="J165">
        <v>8</v>
      </c>
      <c r="K165">
        <v>17</v>
      </c>
      <c r="L165">
        <v>28</v>
      </c>
      <c r="M165">
        <v>6</v>
      </c>
      <c r="N165">
        <v>78</v>
      </c>
      <c r="O165">
        <v>23</v>
      </c>
      <c r="P165">
        <v>247</v>
      </c>
      <c r="Q165">
        <v>0</v>
      </c>
      <c r="R165">
        <v>26</v>
      </c>
      <c r="S165">
        <v>110</v>
      </c>
      <c r="T165">
        <v>105</v>
      </c>
      <c r="U165" s="3">
        <f t="shared" si="28"/>
        <v>0.49385245901639346</v>
      </c>
    </row>
    <row r="166" spans="1:21" x14ac:dyDescent="0.2">
      <c r="A166" t="s">
        <v>55</v>
      </c>
      <c r="B166" t="s">
        <v>30</v>
      </c>
      <c r="C166" t="s">
        <v>22</v>
      </c>
      <c r="D166" t="s">
        <v>23</v>
      </c>
      <c r="E166" t="s">
        <v>46</v>
      </c>
      <c r="F166">
        <v>3</v>
      </c>
      <c r="G166" t="s">
        <v>25</v>
      </c>
      <c r="H166">
        <v>89</v>
      </c>
      <c r="I166">
        <v>325</v>
      </c>
      <c r="J166">
        <v>558</v>
      </c>
      <c r="K166">
        <v>0</v>
      </c>
      <c r="L166">
        <v>177</v>
      </c>
      <c r="M166">
        <v>0</v>
      </c>
      <c r="N166">
        <v>894</v>
      </c>
      <c r="O166">
        <v>0</v>
      </c>
      <c r="P166">
        <v>681</v>
      </c>
      <c r="Q166">
        <v>0</v>
      </c>
      <c r="R166">
        <v>0</v>
      </c>
      <c r="S166">
        <v>0</v>
      </c>
      <c r="T166">
        <v>0</v>
      </c>
      <c r="U166" s="3"/>
    </row>
    <row r="167" spans="1:21" x14ac:dyDescent="0.2">
      <c r="A167" t="s">
        <v>55</v>
      </c>
      <c r="B167" t="s">
        <v>30</v>
      </c>
      <c r="C167" t="s">
        <v>22</v>
      </c>
      <c r="D167" t="s">
        <v>23</v>
      </c>
      <c r="E167" t="s">
        <v>48</v>
      </c>
      <c r="F167">
        <v>3</v>
      </c>
      <c r="G167" t="s">
        <v>114</v>
      </c>
      <c r="H167">
        <v>21</v>
      </c>
      <c r="I167">
        <v>100</v>
      </c>
      <c r="J167">
        <v>17</v>
      </c>
      <c r="K167">
        <v>75</v>
      </c>
      <c r="L167">
        <v>63</v>
      </c>
      <c r="M167">
        <v>73</v>
      </c>
      <c r="N167">
        <v>173</v>
      </c>
      <c r="O167">
        <v>148</v>
      </c>
      <c r="P167">
        <v>522</v>
      </c>
      <c r="Q167">
        <v>0</v>
      </c>
      <c r="R167">
        <v>67</v>
      </c>
      <c r="S167">
        <v>1</v>
      </c>
      <c r="T167">
        <v>151</v>
      </c>
      <c r="U167" s="3">
        <f t="shared" si="28"/>
        <v>0.29554655870445345</v>
      </c>
    </row>
    <row r="168" spans="1:21" x14ac:dyDescent="0.2">
      <c r="A168" t="s">
        <v>55</v>
      </c>
      <c r="B168" t="s">
        <v>30</v>
      </c>
      <c r="C168" t="s">
        <v>22</v>
      </c>
      <c r="D168" t="s">
        <v>23</v>
      </c>
      <c r="E168" t="s">
        <v>132</v>
      </c>
      <c r="F168">
        <v>3</v>
      </c>
      <c r="G168" t="s">
        <v>116</v>
      </c>
      <c r="H168">
        <v>14</v>
      </c>
      <c r="I168">
        <v>96</v>
      </c>
      <c r="J168">
        <v>10</v>
      </c>
      <c r="K168">
        <v>82</v>
      </c>
      <c r="L168">
        <v>68</v>
      </c>
      <c r="M168">
        <v>74</v>
      </c>
      <c r="N168">
        <v>166</v>
      </c>
      <c r="O168">
        <v>156</v>
      </c>
      <c r="P168">
        <v>510</v>
      </c>
      <c r="Q168">
        <v>0</v>
      </c>
      <c r="R168">
        <v>78</v>
      </c>
      <c r="S168">
        <v>1</v>
      </c>
      <c r="T168">
        <v>153</v>
      </c>
      <c r="U168" s="3">
        <f t="shared" si="28"/>
        <v>0.31266846361185985</v>
      </c>
    </row>
    <row r="169" spans="1:21" x14ac:dyDescent="0.2">
      <c r="A169" t="s">
        <v>55</v>
      </c>
      <c r="B169" t="s">
        <v>30</v>
      </c>
      <c r="C169" t="s">
        <v>22</v>
      </c>
      <c r="D169" t="s">
        <v>23</v>
      </c>
      <c r="E169" t="s">
        <v>133</v>
      </c>
      <c r="F169">
        <v>3</v>
      </c>
      <c r="G169" t="s">
        <v>118</v>
      </c>
      <c r="H169">
        <v>20</v>
      </c>
      <c r="I169">
        <v>101</v>
      </c>
      <c r="J169">
        <v>16</v>
      </c>
      <c r="K169">
        <v>49</v>
      </c>
      <c r="L169">
        <v>43</v>
      </c>
      <c r="M169">
        <v>57</v>
      </c>
      <c r="N169">
        <v>213</v>
      </c>
      <c r="O169">
        <v>106</v>
      </c>
      <c r="P169">
        <v>499</v>
      </c>
      <c r="Q169">
        <v>0</v>
      </c>
      <c r="R169">
        <v>78</v>
      </c>
      <c r="S169">
        <v>1</v>
      </c>
      <c r="T169">
        <v>195</v>
      </c>
      <c r="U169" s="3">
        <f t="shared" si="28"/>
        <v>0.35446313065976714</v>
      </c>
    </row>
    <row r="170" spans="1:21" x14ac:dyDescent="0.2">
      <c r="A170" s="8" t="s">
        <v>60</v>
      </c>
      <c r="B170" s="8" t="s">
        <v>58</v>
      </c>
      <c r="C170" s="8" t="s">
        <v>22</v>
      </c>
      <c r="D170" s="8" t="s">
        <v>23</v>
      </c>
      <c r="E170" s="8" t="s">
        <v>103</v>
      </c>
      <c r="F170" s="8">
        <v>3</v>
      </c>
      <c r="G170" s="8" t="s">
        <v>25</v>
      </c>
      <c r="H170" s="8">
        <v>81</v>
      </c>
      <c r="I170" s="8">
        <v>129</v>
      </c>
      <c r="J170" s="8">
        <v>537</v>
      </c>
      <c r="K170" s="8">
        <v>0</v>
      </c>
      <c r="L170" s="8">
        <v>39</v>
      </c>
      <c r="M170" s="8">
        <v>0</v>
      </c>
      <c r="N170" s="8">
        <v>711</v>
      </c>
      <c r="O170" s="8">
        <v>0</v>
      </c>
      <c r="P170" s="8">
        <v>499</v>
      </c>
      <c r="Q170" s="8">
        <v>0</v>
      </c>
      <c r="R170" s="8">
        <v>0</v>
      </c>
      <c r="S170" s="8">
        <v>0</v>
      </c>
      <c r="T170" s="8">
        <v>0</v>
      </c>
      <c r="U170" s="9"/>
    </row>
    <row r="171" spans="1:21" x14ac:dyDescent="0.2">
      <c r="A171" s="8" t="s">
        <v>60</v>
      </c>
      <c r="B171" s="8" t="s">
        <v>58</v>
      </c>
      <c r="C171" s="8" t="s">
        <v>22</v>
      </c>
      <c r="D171" s="8" t="s">
        <v>23</v>
      </c>
      <c r="E171" s="8" t="s">
        <v>134</v>
      </c>
      <c r="F171" s="8">
        <v>3</v>
      </c>
      <c r="G171" s="8" t="s">
        <v>114</v>
      </c>
      <c r="H171" s="8">
        <v>4</v>
      </c>
      <c r="I171" s="8">
        <v>21</v>
      </c>
      <c r="J171" s="8">
        <v>3</v>
      </c>
      <c r="K171" s="8">
        <v>21</v>
      </c>
      <c r="L171" s="8">
        <v>7</v>
      </c>
      <c r="M171" s="8">
        <v>24</v>
      </c>
      <c r="N171" s="8">
        <v>27</v>
      </c>
      <c r="O171" s="8">
        <v>45</v>
      </c>
      <c r="P171" s="8">
        <v>107</v>
      </c>
      <c r="Q171" s="8">
        <v>0</v>
      </c>
      <c r="R171" s="8">
        <v>28</v>
      </c>
      <c r="S171" s="8">
        <v>23</v>
      </c>
      <c r="T171" s="8">
        <v>42</v>
      </c>
      <c r="U171" s="9">
        <f t="shared" si="28"/>
        <v>0.46500000000000002</v>
      </c>
    </row>
    <row r="172" spans="1:21" x14ac:dyDescent="0.2">
      <c r="A172" s="8" t="s">
        <v>60</v>
      </c>
      <c r="B172" s="8" t="s">
        <v>58</v>
      </c>
      <c r="C172" s="8" t="s">
        <v>22</v>
      </c>
      <c r="D172" s="8" t="s">
        <v>23</v>
      </c>
      <c r="E172" s="8" t="s">
        <v>135</v>
      </c>
      <c r="F172" s="8">
        <v>3</v>
      </c>
      <c r="G172" s="8" t="s">
        <v>116</v>
      </c>
      <c r="H172" s="8">
        <v>3</v>
      </c>
      <c r="I172" s="8">
        <v>13</v>
      </c>
      <c r="J172" s="8">
        <v>3</v>
      </c>
      <c r="K172" s="8">
        <v>29</v>
      </c>
      <c r="L172" s="8">
        <v>10</v>
      </c>
      <c r="M172" s="8">
        <v>30</v>
      </c>
      <c r="N172" s="8">
        <v>26</v>
      </c>
      <c r="O172" s="8">
        <v>59</v>
      </c>
      <c r="P172" s="8">
        <v>114</v>
      </c>
      <c r="Q172" s="8">
        <v>0</v>
      </c>
      <c r="R172" s="8">
        <v>48</v>
      </c>
      <c r="S172" s="8">
        <v>36</v>
      </c>
      <c r="T172" s="8">
        <v>56</v>
      </c>
      <c r="U172" s="9">
        <f t="shared" si="28"/>
        <v>0.55118110236220474</v>
      </c>
    </row>
    <row r="173" spans="1:21" x14ac:dyDescent="0.2">
      <c r="A173" s="8" t="s">
        <v>60</v>
      </c>
      <c r="B173" s="8" t="s">
        <v>58</v>
      </c>
      <c r="C173" s="8" t="s">
        <v>22</v>
      </c>
      <c r="D173" s="8" t="s">
        <v>23</v>
      </c>
      <c r="E173" s="8" t="s">
        <v>136</v>
      </c>
      <c r="F173" s="8">
        <v>3</v>
      </c>
      <c r="G173" s="8" t="s">
        <v>118</v>
      </c>
      <c r="H173" s="8">
        <v>3</v>
      </c>
      <c r="I173" s="8">
        <v>18</v>
      </c>
      <c r="J173" s="8">
        <v>0</v>
      </c>
      <c r="K173" s="8">
        <v>18</v>
      </c>
      <c r="L173" s="8">
        <v>4</v>
      </c>
      <c r="M173" s="8">
        <v>24</v>
      </c>
      <c r="N173" s="8">
        <v>25</v>
      </c>
      <c r="O173" s="8">
        <v>42</v>
      </c>
      <c r="P173" s="8">
        <v>92</v>
      </c>
      <c r="Q173" s="8">
        <v>0</v>
      </c>
      <c r="R173" s="8">
        <v>52</v>
      </c>
      <c r="S173" s="8">
        <v>31</v>
      </c>
      <c r="T173" s="8">
        <v>82</v>
      </c>
      <c r="U173" s="9">
        <f t="shared" si="28"/>
        <v>0.642023346303502</v>
      </c>
    </row>
    <row r="174" spans="1:21" x14ac:dyDescent="0.2">
      <c r="A174" t="s">
        <v>45</v>
      </c>
      <c r="B174" t="s">
        <v>21</v>
      </c>
      <c r="C174" t="s">
        <v>22</v>
      </c>
      <c r="D174" t="s">
        <v>23</v>
      </c>
      <c r="E174" t="s">
        <v>46</v>
      </c>
      <c r="F174">
        <v>3</v>
      </c>
      <c r="G174" t="s">
        <v>25</v>
      </c>
      <c r="H174">
        <v>253</v>
      </c>
      <c r="I174">
        <v>365</v>
      </c>
      <c r="J174">
        <v>582</v>
      </c>
      <c r="K174">
        <v>0</v>
      </c>
      <c r="L174">
        <v>273</v>
      </c>
      <c r="M174">
        <v>0</v>
      </c>
      <c r="N174">
        <v>582</v>
      </c>
      <c r="O174">
        <v>0</v>
      </c>
      <c r="P174">
        <v>685</v>
      </c>
      <c r="Q174">
        <v>0</v>
      </c>
      <c r="R174">
        <v>0</v>
      </c>
      <c r="S174">
        <v>0</v>
      </c>
      <c r="T174">
        <v>0</v>
      </c>
      <c r="U174" s="3"/>
    </row>
    <row r="175" spans="1:21" x14ac:dyDescent="0.2">
      <c r="A175" t="s">
        <v>45</v>
      </c>
      <c r="B175" t="s">
        <v>21</v>
      </c>
      <c r="C175" t="s">
        <v>22</v>
      </c>
      <c r="D175" t="s">
        <v>23</v>
      </c>
      <c r="E175" t="s">
        <v>48</v>
      </c>
      <c r="F175">
        <v>3</v>
      </c>
      <c r="G175" t="s">
        <v>114</v>
      </c>
      <c r="H175">
        <v>34</v>
      </c>
      <c r="I175">
        <v>166</v>
      </c>
      <c r="J175">
        <v>17</v>
      </c>
      <c r="K175">
        <v>121</v>
      </c>
      <c r="L175">
        <v>78</v>
      </c>
      <c r="M175">
        <v>82</v>
      </c>
      <c r="N175">
        <v>93</v>
      </c>
      <c r="O175">
        <v>203</v>
      </c>
      <c r="P175">
        <v>591</v>
      </c>
      <c r="Q175">
        <v>0</v>
      </c>
      <c r="R175">
        <v>69</v>
      </c>
      <c r="S175">
        <v>2</v>
      </c>
      <c r="T175">
        <v>53</v>
      </c>
      <c r="U175" s="3">
        <f>SUM(R175:T175)/(P175+(SUM(R175:T175)))</f>
        <v>0.17342657342657342</v>
      </c>
    </row>
    <row r="176" spans="1:21" x14ac:dyDescent="0.2">
      <c r="A176" t="s">
        <v>45</v>
      </c>
      <c r="B176" t="s">
        <v>21</v>
      </c>
      <c r="C176" t="s">
        <v>22</v>
      </c>
      <c r="D176" t="s">
        <v>23</v>
      </c>
      <c r="E176" t="s">
        <v>132</v>
      </c>
      <c r="F176">
        <v>3</v>
      </c>
      <c r="G176" t="s">
        <v>116</v>
      </c>
      <c r="H176">
        <v>33</v>
      </c>
      <c r="I176">
        <v>172</v>
      </c>
      <c r="J176">
        <v>18</v>
      </c>
      <c r="K176">
        <v>107</v>
      </c>
      <c r="L176">
        <v>62</v>
      </c>
      <c r="M176">
        <v>73</v>
      </c>
      <c r="N176">
        <v>106</v>
      </c>
      <c r="O176">
        <v>180</v>
      </c>
      <c r="P176">
        <v>571</v>
      </c>
      <c r="Q176">
        <v>0</v>
      </c>
      <c r="R176">
        <v>79</v>
      </c>
      <c r="S176">
        <v>2</v>
      </c>
      <c r="T176">
        <v>51</v>
      </c>
      <c r="U176" s="3">
        <f t="shared" si="28"/>
        <v>0.18776671408250356</v>
      </c>
    </row>
    <row r="177" spans="1:24" x14ac:dyDescent="0.2">
      <c r="A177" t="s">
        <v>45</v>
      </c>
      <c r="B177" t="s">
        <v>21</v>
      </c>
      <c r="C177" t="s">
        <v>22</v>
      </c>
      <c r="D177" t="s">
        <v>23</v>
      </c>
      <c r="E177" t="s">
        <v>133</v>
      </c>
      <c r="F177">
        <v>3</v>
      </c>
      <c r="G177" t="s">
        <v>118</v>
      </c>
      <c r="H177">
        <v>32</v>
      </c>
      <c r="I177">
        <v>171</v>
      </c>
      <c r="J177">
        <v>12</v>
      </c>
      <c r="K177">
        <v>78</v>
      </c>
      <c r="L177">
        <v>35</v>
      </c>
      <c r="M177">
        <v>43</v>
      </c>
      <c r="N177">
        <v>111</v>
      </c>
      <c r="O177">
        <v>121</v>
      </c>
      <c r="P177">
        <v>482</v>
      </c>
      <c r="Q177">
        <v>0</v>
      </c>
      <c r="R177">
        <v>166</v>
      </c>
      <c r="S177">
        <v>2</v>
      </c>
      <c r="T177">
        <v>109</v>
      </c>
      <c r="U177" s="3">
        <f t="shared" si="28"/>
        <v>0.36495388669301715</v>
      </c>
      <c r="W177" s="5" t="s">
        <v>178</v>
      </c>
      <c r="X177" s="5" t="s">
        <v>177</v>
      </c>
    </row>
    <row r="178" spans="1:24" x14ac:dyDescent="0.2">
      <c r="R178" s="7">
        <f>SUM(R3:R5,R7:R9,R11:R13,R15:R17,R19:R21,R23:R25,R27:R29,R31:R33,R35:R37,R39:R41,R43:R45,R47:R49,R51:R53,R55:R57,R59:R61,R63:R65,R67:R69,R71:R73,R75:R77,R79:R81,R83:R85,R87:R89,R91:R93,R95:R97,R99:R101,R103:R105,R107:R109,R111:R113,R115:R117,R119:R121,R123:R125,R127:R129,R131:R133,R135:R137,R139:R141,R143:R145,R147:R149,R151:R153,R155:R157,R159:R161,R163:R165,R167:R169,R171:R173,R175:R177)</f>
        <v>3505</v>
      </c>
      <c r="S178" s="7">
        <f t="shared" ref="S178:T178" si="29">SUM(S3:S5,S7:S9,S11:S13,S15:S17,S19:S21,S23:S25,S27:S29,S31:S33,S35:S37,S39:S41,S43:S45,S47:S49,S51:S53,S55:S57,S59:S61,S63:S65,S67:S69,S71:S73,S75:S77,S79:S81,S83:S85,S87:S89,S91:S93,S95:S97,S99:S101,S103:S105,S107:S109,S111:S113,S115:S117,S119:S121,S123:S125,S127:S129,S131:S133,S135:S137,S139:S141,S143:S145,S147:S149,S151:S153,S155:S157,S159:S161,S163:S165,S167:S169,S171:S173,S175:S177)</f>
        <v>3524</v>
      </c>
      <c r="T178" s="7">
        <f t="shared" si="29"/>
        <v>4971</v>
      </c>
      <c r="U178" s="4">
        <f>AVERAGE(U3:U5,U7:U9,U11:U13,U15:U17,U19:U21,U23:U25,U27:U29,U31:U33,U35:U37,U39:U41,U43:U45,U47:U49,U51:U53,U55:U57,U59:U61,U63:U65,U67:U69,U71:U73,U75:U77,U79:U81,U83:U85,U87:U89,U91:U93,U95:U97,U99:U101,U103:U105,U107:U109,U111:U113,U115:U117,U119:U121,U123:U125,U127:U129,U131:U133,U135:U137,U139:U141,U143:U145,U147:U149,U151:U153,U155:U157,U159:U161,U163:U165,U167:U169,U171:U173,U175:U177)</f>
        <v>0.25413096520311645</v>
      </c>
      <c r="V178" s="5" t="s">
        <v>168</v>
      </c>
      <c r="W178" s="6">
        <f>U178*(R179+S179)</f>
        <v>0.14885721286772546</v>
      </c>
      <c r="X178" s="6">
        <f>U178*T179</f>
        <v>0.10527375233539099</v>
      </c>
    </row>
    <row r="179" spans="1:24" x14ac:dyDescent="0.2">
      <c r="R179" s="4">
        <f>R178/(SUM($R$178:$T$178))</f>
        <v>0.29208333333333331</v>
      </c>
      <c r="S179" s="4">
        <f t="shared" ref="S179:T179" si="30">S178/(SUM($R$178:$T$178))</f>
        <v>0.29366666666666669</v>
      </c>
      <c r="T179" s="4">
        <f t="shared" si="30"/>
        <v>0.41425000000000001</v>
      </c>
      <c r="U179" s="4">
        <f>MAX(U3:U5,U7:U9,U11:U13,U15:U17,U19:U21,U23:U25,U27:U29,U31:U33,U35:U37,U39:U41,U43:U45,U47:U49,U51:U53,U55:U57,U59:U61,U63:U65,U67:U69,U71:U73,U75:U77,U79:U81,U83:U85,U87:U89,U91:U93,U95:U97,U99:U101,U103:U105,U107:U109,U111:U113,U115:U117,U119:U121,U123:U125,U127:U129,U131:U133,U135:U137,U139:U141,U143:U145,U147:U149,U151:U153,U155:U157,U159:U161,U163:U165,U167:U169,U171:U173,U175:U177)</f>
        <v>0.67948717948717952</v>
      </c>
      <c r="V179" s="5" t="s">
        <v>169</v>
      </c>
      <c r="W179" s="6"/>
      <c r="X179" s="6"/>
    </row>
    <row r="180" spans="1:24" x14ac:dyDescent="0.2">
      <c r="B180" t="str">
        <f ca="1">OFFSET($A$1,(ROW(A1)-1)*3,0)</f>
        <v>Comparison</v>
      </c>
      <c r="U180" s="4">
        <f>MIN(U3:U5,U7:U9,U11:U13,U15:U17,U19:U21,U23:U25,U27:U29,U31:U33,U35:U37,U39:U41,U43:U45,U47:U49,U51:U53,U55:U57,U59:U61,U63:U65,U67:U69,U71:U73,U75:U77,U79:U81,U83:U85,U87:U89,U91:U93,U95:U97,U99:U101,U103:U105,U107:U109,U111:U113,U115:U117,U119:U121,U123:U125,U127:U129,U131:U133,U135:U137,U139:U141,U143:U145,U147:U149,U151:U153,U155:U157,U159:U161,U163:U165,U167:U169,U171:U173,U175:U177)</f>
        <v>9.1093117408906875E-3</v>
      </c>
      <c r="V180" s="5" t="s">
        <v>170</v>
      </c>
      <c r="W180" s="6"/>
      <c r="X180" s="6"/>
    </row>
    <row r="181" spans="1:24" x14ac:dyDescent="0.2">
      <c r="W181" s="6"/>
      <c r="X181" s="6"/>
    </row>
    <row r="182" spans="1:24" x14ac:dyDescent="0.2">
      <c r="A182" s="75" t="s">
        <v>179</v>
      </c>
      <c r="B182" s="77" t="s">
        <v>180</v>
      </c>
      <c r="C182" s="77"/>
      <c r="D182" s="77"/>
      <c r="E182" s="77"/>
      <c r="F182" s="78"/>
      <c r="G182" s="77" t="s">
        <v>181</v>
      </c>
      <c r="H182" s="77"/>
      <c r="I182" s="77"/>
      <c r="J182" s="77"/>
      <c r="L182" s="77" t="s">
        <v>182</v>
      </c>
      <c r="M182" s="77"/>
      <c r="N182" s="77"/>
      <c r="O182" s="77"/>
      <c r="R182" s="7">
        <f>SUM(R3:R5,R7:R9,R11:R13,R15:R17,R23:R25,R27:R29,R31:R33,R35:R37,R39:R41,R43:R45,R51:R53,R55:R57,R59:R61,R63:R65,R67:R69,R71:R73,R79:R81,R83:R85,R87:R89,R91:R93,R95:R97,R99:R101,R107:R109,R111:R113,R115:R117,R119:R121,R127:R129,R131:R133,R135:R137,R143:R145,R147:R149,R151:R153,R159:R161,R163:R165,R167:R169,R175:R177)</f>
        <v>2825</v>
      </c>
      <c r="S182" s="7">
        <f t="shared" ref="S182:T182" si="31">SUM(S3:S5,S7:S9,S11:S13,S15:S17,S23:S25,S27:S29,S31:S33,S35:S37,S39:S41,S43:S45,S51:S53,S55:S57,S59:S61,S63:S65,S67:S69,S71:S73,S79:S81,S83:S85,S87:S89,S91:S93,S95:S97,S99:S101,S107:S109,S111:S113,S115:S117,S119:S121,S127:S129,S131:S133,S135:S137,S143:S145,S147:S149,S151:S153,S159:S161,S163:S165,S167:S169,S175:S177)</f>
        <v>2767</v>
      </c>
      <c r="T182" s="7">
        <f t="shared" si="31"/>
        <v>4066</v>
      </c>
      <c r="U182" s="4">
        <f>AVERAGE(U3:U5,U7:U9,U11:U13,U15:U17,U23:U25,U27:U29,U31:U33,U35:U37,U39:U41,U43:U45,U51:U53,U55:U57,U59:U61,U63:U65,U67:U69,U71:U73,U79:U81,U83:U85,U87:U89,U91:U93,U95:U97,U99:U101,U107:U109,U111:U113,U115:U117,U119:U121,U127:U129,U131:U133,U135:U137,U143:U145,U147:U149,U151:U153,U159:U161,U163:U165,U167:U169,U175:U177)</f>
        <v>0.19902947068257912</v>
      </c>
      <c r="V182" s="5" t="s">
        <v>171</v>
      </c>
      <c r="W182" s="6">
        <f>U182*(R183+S183)</f>
        <v>0.11523843446438005</v>
      </c>
      <c r="X182" s="6">
        <f t="shared" ref="X182:X186" si="32">U182*T183</f>
        <v>8.3791036218199069E-2</v>
      </c>
    </row>
    <row r="183" spans="1:24" x14ac:dyDescent="0.2">
      <c r="A183" s="76"/>
      <c r="B183" s="12" t="s">
        <v>183</v>
      </c>
      <c r="C183" s="12" t="s">
        <v>184</v>
      </c>
      <c r="D183" s="12" t="s">
        <v>185</v>
      </c>
      <c r="E183" s="12" t="s">
        <v>186</v>
      </c>
      <c r="F183" s="78"/>
      <c r="G183" s="12" t="s">
        <v>183</v>
      </c>
      <c r="H183" s="12" t="s">
        <v>184</v>
      </c>
      <c r="I183" s="12" t="s">
        <v>185</v>
      </c>
      <c r="J183" s="12" t="s">
        <v>186</v>
      </c>
      <c r="K183" s="14"/>
      <c r="L183" s="12" t="s">
        <v>183</v>
      </c>
      <c r="M183" s="12" t="s">
        <v>184</v>
      </c>
      <c r="N183" s="12" t="s">
        <v>185</v>
      </c>
      <c r="O183" s="12" t="s">
        <v>186</v>
      </c>
      <c r="R183" s="2">
        <f>R182/(SUM($R$182:$T$182))</f>
        <v>0.29250362393870366</v>
      </c>
      <c r="S183" s="2">
        <f t="shared" ref="S183:T183" si="33">S182/(SUM($R$182:$T$182))</f>
        <v>0.28649823980120109</v>
      </c>
      <c r="T183" s="2">
        <f t="shared" si="33"/>
        <v>0.42099813626009525</v>
      </c>
      <c r="U183" s="4">
        <f>MAX(U3:U5,U7:U9,U11:U13,U15:U17,U23:U25,U27:U29,U31:U33,U35:U37,U39:U41,U43:U45,U51:U53,U55:U57,U59:U61,U63:U65,U67:U69,U71:U73,U79:U81,U83:U85,U87:U89,U91:U93,U95:U97,U99:U101,U107:U109,U111:U113,U115:U117,U119:U121,U127:U129,U131:U133,U135:U137,U143:U145,U147:U149,U151:U153,U159:U161,U163:U165,U167:U169,U175:U177)</f>
        <v>0.64478764478764483</v>
      </c>
      <c r="V183" s="5" t="s">
        <v>172</v>
      </c>
      <c r="W183" s="6"/>
      <c r="X183" s="6"/>
    </row>
    <row r="184" spans="1:24" x14ac:dyDescent="0.2">
      <c r="A184" s="15" t="s">
        <v>7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U184" s="4">
        <f>MIN(U3:U5,U7:U9,U11:U13,U15:U17,U23:U25,U27:U29,U31:U33,U35:U37,U39:U41,U43:U45,U51:U53,U55:U57,U59:U61,U63:U65,U67:U69,U71:U73,U79:U81,U83:U85,U87:U89,U91:U93,U95:U97,U99:U101,U107:U109,U111:U113,U115:U117,U119:U121,U127:U129,U131:U133,U135:U137,U143:U145,U147:U149,U151:U153,U159:U161,U163:U165,U167:U169,U175:U177)</f>
        <v>9.1093117408906875E-3</v>
      </c>
      <c r="V184" s="5" t="s">
        <v>173</v>
      </c>
      <c r="W184" s="6"/>
      <c r="X184" s="6"/>
    </row>
    <row r="185" spans="1:24" x14ac:dyDescent="0.2">
      <c r="A185" s="16" t="s">
        <v>187</v>
      </c>
      <c r="B185" s="17">
        <f>$H$31/(($F$31-1)*$P$31)*100</f>
        <v>10.48728813559322</v>
      </c>
      <c r="C185" s="18">
        <f>$H$59/(($F$59-1)*$P$59)*100</f>
        <v>2.3493360572012256</v>
      </c>
      <c r="D185" s="19">
        <f>$H$87/(($F$87-1)*$P$87)*100</f>
        <v>8.0065359477124183</v>
      </c>
      <c r="E185" s="20">
        <f>$H$3/(($F$3-1)*$P$3)*100</f>
        <v>10.59322033898305</v>
      </c>
      <c r="F185" s="12"/>
      <c r="G185" s="18">
        <f>$H$32/(($F$32-1)*$P$32)*100</f>
        <v>9.6656217345872513</v>
      </c>
      <c r="H185" s="18">
        <f>$H$60/(($F$60-1)*$P$60)*100</f>
        <v>1.504149377593361</v>
      </c>
      <c r="I185" s="17">
        <f>$H$88/(($F$88-1)*$P$88)*100</f>
        <v>10.128913443830571</v>
      </c>
      <c r="J185" s="26">
        <f>$H$4/(($F$4-1)*$P$4)*100</f>
        <v>10.887096774193548</v>
      </c>
      <c r="L185" s="19">
        <f>$H$33/(($F$33-1)*$P$33)*100</f>
        <v>8.6044071353620151</v>
      </c>
      <c r="M185" s="19">
        <f>$H$61/(($F$61-1)*$P$61)*100</f>
        <v>1.3598326359832638</v>
      </c>
      <c r="N185" s="17">
        <f>$H$89/(($F$89-1)*$P$89)*100</f>
        <v>10.296846011131725</v>
      </c>
      <c r="O185" s="17">
        <f>$H$5/(($F$5-1)*$P$5)*100</f>
        <v>15.925925925925927</v>
      </c>
      <c r="P185" s="7">
        <f>AVERAGE(B185:E185,G185:J185,L185:O185)</f>
        <v>8.3174311265081311</v>
      </c>
      <c r="W185" s="6"/>
      <c r="X185" s="6"/>
    </row>
    <row r="186" spans="1:24" x14ac:dyDescent="0.2">
      <c r="A186" s="16" t="s">
        <v>188</v>
      </c>
      <c r="B186" s="21">
        <f>$H$39/(($F$39-1)*$P$39)*100</f>
        <v>24.130190796857466</v>
      </c>
      <c r="C186" s="18">
        <f>$H$67/(($F$67-1)*$P$67)*100</f>
        <v>2.4973432518597241</v>
      </c>
      <c r="D186" s="18">
        <f>$H$95/(($F$95-1)*$P$95)*100</f>
        <v>4.6703296703296706</v>
      </c>
      <c r="E186" s="21">
        <f>$H$11/(($F$11-1)*$P$11)*100</f>
        <v>17.549668874172188</v>
      </c>
      <c r="F186" s="12"/>
      <c r="G186" s="17">
        <f>$H$40/(($F$40-1)*$P$40)*100</f>
        <v>25.657142857142855</v>
      </c>
      <c r="H186" s="19">
        <f>$H$68/(($F$68-1)*$P$68)*100</f>
        <v>1.9977802441731412</v>
      </c>
      <c r="I186" s="18">
        <f>$H$96/(($F$96-1)*$P$96)*100</f>
        <v>4.479166666666667</v>
      </c>
      <c r="J186" s="17">
        <f>$H$12/(($F$12-1)*$P$12)*100</f>
        <v>21.363636363636363</v>
      </c>
      <c r="L186" s="17">
        <f>$H$41/(($F$41-1)*$P$41)*100</f>
        <v>25.818777292576417</v>
      </c>
      <c r="M186" s="18">
        <f>$H$69/(($F$69-1)*$P$69)*100</f>
        <v>2.1878335112059766</v>
      </c>
      <c r="N186" s="22">
        <f>$H$97/(($F$97-1)*$P$97)*100</f>
        <v>3.6964980544747084</v>
      </c>
      <c r="O186" s="17">
        <f>$H$13/(($F$13-1)*$P$13)*100</f>
        <v>18.636363636363637</v>
      </c>
      <c r="P186" s="7">
        <f t="shared" ref="P186:P187" si="34">AVERAGE(B186:E186,G186:J186,L186:O186)</f>
        <v>12.723727601621569</v>
      </c>
      <c r="R186" s="7">
        <f>SUM(R19:R21,R47:R49,R75:R77,R103:R105,R123:R125,R139:R141,R155:R157,R171:R173)</f>
        <v>680</v>
      </c>
      <c r="S186" s="7">
        <f t="shared" ref="S186:T186" si="35">SUM(S19:S21,S47:S49,S75:S77,S103:S105,S123:S125,S139:S141,S155:S157,S171:S173)</f>
        <v>757</v>
      </c>
      <c r="T186" s="7">
        <f t="shared" si="35"/>
        <v>905</v>
      </c>
      <c r="U186" s="4">
        <f>AVERAGE(U19:U21,U47:U49,U75:U77,U103:U105,U123:U125,U139:U141,U155:U157,U171:U173)</f>
        <v>0.50208769054553415</v>
      </c>
      <c r="V186" s="5" t="s">
        <v>174</v>
      </c>
      <c r="W186" s="6">
        <f t="shared" ref="W186" si="36">U186*(R187+S187)</f>
        <v>0.30807003045001391</v>
      </c>
      <c r="X186" s="6">
        <f t="shared" si="32"/>
        <v>0.19401766009552024</v>
      </c>
    </row>
    <row r="187" spans="1:24" x14ac:dyDescent="0.2">
      <c r="A187" s="16" t="s">
        <v>189</v>
      </c>
      <c r="B187" s="23">
        <f>$H$51/(($F$51-1)*$P$51)*100</f>
        <v>5.6910569105691051</v>
      </c>
      <c r="C187" s="24">
        <f>$H$79/(($F$79-1)*$P$79)*100</f>
        <v>0.85106382978723405</v>
      </c>
      <c r="D187" s="22">
        <f>$H$107/(($F$107-1)*$P$107)*100</f>
        <v>2.8963414634146343</v>
      </c>
      <c r="E187" s="21">
        <f>$H$23/(($F$23-1)*$P$23)*100</f>
        <v>12.903225806451612</v>
      </c>
      <c r="F187" s="12"/>
      <c r="G187" s="22">
        <f>$H$52/(($F$52-1)*$P$52)*100</f>
        <v>4.4520547945205475</v>
      </c>
      <c r="H187" s="25">
        <f>$H$80/(($F$80-1)*$P$80)*100</f>
        <v>0.84925690021231426</v>
      </c>
      <c r="I187" s="23">
        <f>$H$108/(($F$108-1)*$P$108)*100</f>
        <v>4.4025157232704402</v>
      </c>
      <c r="J187" s="17">
        <f>$H$24/(($F$24-1)*$P$24)*100</f>
        <v>16.129032258064516</v>
      </c>
      <c r="L187" s="23">
        <f>$H$53/(($F$53-1)*$P$53)*100</f>
        <v>5.3442028985507246</v>
      </c>
      <c r="M187" s="24">
        <f>$H$81/(($F$81-1)*$P$81)*100</f>
        <v>0.87912087912087911</v>
      </c>
      <c r="N187" s="18">
        <f>$H$109/(($F$109-1)*$P$109)*100</f>
        <v>4.2857142857142856</v>
      </c>
      <c r="O187" s="26">
        <f>$H$25/(($F$25-1)*$P$25)*100</f>
        <v>15</v>
      </c>
      <c r="P187" s="7">
        <f t="shared" si="34"/>
        <v>6.1402988124730236</v>
      </c>
      <c r="R187" s="2">
        <f>R186/(SUM($R$186:$T$186))</f>
        <v>0.29035012809564475</v>
      </c>
      <c r="S187" s="2">
        <f t="shared" ref="S187:T187" si="37">S186/(SUM($R$186:$T$186))</f>
        <v>0.32322801024765158</v>
      </c>
      <c r="T187" s="2">
        <f t="shared" si="37"/>
        <v>0.38642186165670367</v>
      </c>
      <c r="U187" s="4">
        <f>MAX(U19:U21,U47:U49,U75:U77,U103:U105,U123:U125,U139:U141,U155:U157,U171:U173)</f>
        <v>0.67948717948717952</v>
      </c>
      <c r="V187" s="5" t="s">
        <v>175</v>
      </c>
      <c r="W187" s="6"/>
      <c r="X187" s="6"/>
    </row>
    <row r="188" spans="1:24" x14ac:dyDescent="0.2">
      <c r="A188" s="15" t="s">
        <v>13</v>
      </c>
      <c r="B188" s="27"/>
      <c r="C188" s="27"/>
      <c r="D188" s="27"/>
      <c r="E188" s="27"/>
      <c r="F188" s="27"/>
      <c r="G188" s="27"/>
      <c r="H188" s="27"/>
      <c r="I188" s="27"/>
      <c r="J188" s="27"/>
      <c r="K188" s="15"/>
      <c r="L188" s="27"/>
      <c r="M188" s="27"/>
      <c r="N188" s="27"/>
      <c r="O188" s="27"/>
      <c r="P188" s="56">
        <f>AVERAGE(P185:P187)</f>
        <v>9.0604858468675751</v>
      </c>
      <c r="U188" s="4">
        <f>MIN(U19:U21,U47:U49,U75:U77,U103:U105,U123:U125,U139:U141,U155:U157,U171:U173)</f>
        <v>0.30769230769230771</v>
      </c>
      <c r="V188" s="5" t="s">
        <v>176</v>
      </c>
      <c r="W188" s="6"/>
      <c r="X188" s="6"/>
    </row>
    <row r="189" spans="1:24" x14ac:dyDescent="0.2">
      <c r="A189" s="16" t="s">
        <v>187</v>
      </c>
      <c r="B189" s="17">
        <f>N$31/((F$31-1)*P$31)*100</f>
        <v>41.101694915254242</v>
      </c>
      <c r="C189" s="23">
        <f>N$59/((F$59-1)*P$59)*100</f>
        <v>4.2900919305413687</v>
      </c>
      <c r="D189" s="20">
        <f>N$87/((F$87-1)*P$87)*100</f>
        <v>20.506535947712418</v>
      </c>
      <c r="E189" s="17">
        <f>N$3/((F$3-1)*P$3)*100</f>
        <v>43.644067796610173</v>
      </c>
      <c r="F189" s="12"/>
      <c r="G189" s="17">
        <f>$N$32/(($F$32-1)*$P$32)*100</f>
        <v>45.193312434691748</v>
      </c>
      <c r="H189" s="23">
        <f>$N$60/(($F$60-1)*$P$60)*100</f>
        <v>4.6161825726141084</v>
      </c>
      <c r="I189" s="26">
        <f>$N$88/(($F$88-1)*$P$88)*100</f>
        <v>28.545119705340699</v>
      </c>
      <c r="J189" s="17">
        <f>$N$4/(($F$4-1)*$P$4)*100</f>
        <v>47.983870967741936</v>
      </c>
      <c r="L189" s="20">
        <f>$N$33/(($F$33-1)*$P$33)*100</f>
        <v>36.778593913955923</v>
      </c>
      <c r="M189" s="22">
        <f>$N$61/(($F$61-1)*$P$61)*100</f>
        <v>3.5564853556485359</v>
      </c>
      <c r="N189" s="26">
        <f>$N$89/(($F$89-1)*$P$89)*100</f>
        <v>22.541743970315398</v>
      </c>
      <c r="O189" s="21">
        <f>$N$5/(($F$5-1)*$P$5)*100</f>
        <v>42.222222222222221</v>
      </c>
    </row>
    <row r="190" spans="1:24" x14ac:dyDescent="0.2">
      <c r="A190" s="16" t="s">
        <v>188</v>
      </c>
      <c r="B190" s="21">
        <f>N$39/((F$39-1)*P$39)*100</f>
        <v>39.113355780022445</v>
      </c>
      <c r="C190" s="19">
        <f>N$67/((F$67-1)*P$67)*100</f>
        <v>5.2072263549415512</v>
      </c>
      <c r="D190" s="21">
        <f>N$95/((F$95-1)*P$95)*100</f>
        <v>41.391941391941387</v>
      </c>
      <c r="E190" s="20">
        <f>N$11/((F$11-1)*P$11)*100</f>
        <v>26.158940397350992</v>
      </c>
      <c r="F190" s="12"/>
      <c r="G190" s="17">
        <f>$N$40/(($F$40-1)*$P$40)*100</f>
        <v>39.942857142857143</v>
      </c>
      <c r="H190" s="18">
        <f>$N$68/(($F$68-1)*$P$68)*100</f>
        <v>5.3829078801331853</v>
      </c>
      <c r="I190" s="17">
        <f>$N$96/(($F$96-1)*$P$96)*100</f>
        <v>44.166666666666664</v>
      </c>
      <c r="J190" s="26">
        <f>$N$12/(($F$12-1)*$P$12)*100</f>
        <v>31.363636363636367</v>
      </c>
      <c r="L190" s="17">
        <f>$N$41/(($F$41-1)*$P$41)*100</f>
        <v>41.211790393013096</v>
      </c>
      <c r="M190" s="18">
        <f>$N$69/(($F$69-1)*$P$69)*100</f>
        <v>5.4962646744930632</v>
      </c>
      <c r="N190" s="17">
        <f>$N$97/(($F$97-1)*$P$97)*100</f>
        <v>48.054474708171206</v>
      </c>
      <c r="O190" s="26">
        <f>$N$13/(($F$13-1)*$P$13)*100</f>
        <v>30.909090909090907</v>
      </c>
    </row>
    <row r="191" spans="1:24" x14ac:dyDescent="0.2">
      <c r="A191" s="16" t="s">
        <v>189</v>
      </c>
      <c r="B191" s="26">
        <f>N$51/((F$51-1)*P$51)*100</f>
        <v>38.130081300813004</v>
      </c>
      <c r="C191" s="18">
        <f>N$79/((F$79-1)*P$79)*100</f>
        <v>5.3191489361702127</v>
      </c>
      <c r="D191" s="21">
        <f>N$107/((F$107-1)*P$107)*100</f>
        <v>26.981707317073173</v>
      </c>
      <c r="E191" s="17">
        <f>N$23/((F$23-1)*P$23)*100</f>
        <v>31.72043010752688</v>
      </c>
      <c r="F191" s="12"/>
      <c r="G191" s="20">
        <f>$N$52/(($F$52-1)*$P$52)*100</f>
        <v>37.842465753424662</v>
      </c>
      <c r="H191" s="18">
        <f>$N$80/(($F$80-1)*$P$80)*100</f>
        <v>5.3078556263269645</v>
      </c>
      <c r="I191" s="17">
        <f>$N$108/(($F$108-1)*$P$108)*100</f>
        <v>34.905660377358487</v>
      </c>
      <c r="J191" s="17">
        <f>$N$24/(($F$24-1)*$P$24)*100</f>
        <v>36.021505376344088</v>
      </c>
      <c r="L191" s="17">
        <f>$N$53/(($F$53-1)*$P$53)*100</f>
        <v>39.402173913043477</v>
      </c>
      <c r="M191" s="19">
        <f>$N$81/(($F$81-1)*$P$81)*100</f>
        <v>4.8351648351648358</v>
      </c>
      <c r="N191" s="17">
        <f>$N$109/(($F$109-1)*$P$109)*100</f>
        <v>32.857142857142854</v>
      </c>
      <c r="O191" s="21">
        <f>$N$25/(($F$25-1)*$P$25)*100</f>
        <v>31</v>
      </c>
    </row>
    <row r="192" spans="1:24" x14ac:dyDescent="0.2">
      <c r="A192" s="15" t="s">
        <v>190</v>
      </c>
      <c r="B192" s="27"/>
      <c r="C192" s="27"/>
      <c r="D192" s="27"/>
      <c r="E192" s="27"/>
      <c r="F192" s="27"/>
      <c r="G192" s="27"/>
      <c r="H192" s="27"/>
      <c r="I192" s="27"/>
      <c r="J192" s="27"/>
      <c r="K192" s="15"/>
      <c r="L192" s="27"/>
      <c r="M192" s="27"/>
      <c r="N192" s="27"/>
      <c r="O192" s="27"/>
    </row>
    <row r="193" spans="1:31" x14ac:dyDescent="0.2">
      <c r="A193" s="16" t="s">
        <v>187</v>
      </c>
      <c r="B193" s="84">
        <f>($I$31+$J$31+$K$31)/(($F$31-1)*$P$31)*100</f>
        <v>22.139830508474574</v>
      </c>
      <c r="C193" s="84">
        <f>($I$59+$J$59+$K$59)/(($F$59-1)*$P$59)*100</f>
        <v>90.091930541368754</v>
      </c>
      <c r="D193" s="20">
        <f>($I$87+$J$87+$K$87)/(($F$87-1)*$P$87)*100</f>
        <v>50.16339869281046</v>
      </c>
      <c r="E193" s="84">
        <f>($I$3+$J$3+$K$3)/(($F$3-1)*$P$3)*100</f>
        <v>18.220338983050848</v>
      </c>
      <c r="F193" s="84"/>
      <c r="G193" s="84">
        <f>($I$32+$J$32+$K$32)/(($F$32-1)*$P$32)*100</f>
        <v>23.040752351097179</v>
      </c>
      <c r="H193" s="84">
        <f>($I$60+$J$60+$K$60)/(($F$60-1)*$P$60)*100</f>
        <v>90.819502074688799</v>
      </c>
      <c r="I193" s="84">
        <f>($I$88+$J$88+$K$88)/(($F$88-1)*$P$88)*100</f>
        <v>49.171270718232044</v>
      </c>
      <c r="J193" s="21">
        <f>($I$4+$J$4+$K$4)/(($F$4-1)*$P$4)*100</f>
        <v>19.758064516129032</v>
      </c>
      <c r="K193" s="84"/>
      <c r="L193" s="21">
        <f>($I$33+$J$33+$K$33)/(($F$33-1)*$P$33)*100</f>
        <v>23.609653725078701</v>
      </c>
      <c r="M193" s="21">
        <f>($I$61+$J$61+$K$61)/(($F$61-1)*$P$61)*100</f>
        <v>91.213389121338921</v>
      </c>
      <c r="N193" s="84">
        <f>($I$89+$J$89+$K$89)/(($F$89-1)*$P$89)*100</f>
        <v>48.515769944341372</v>
      </c>
      <c r="O193" s="84">
        <f>($I$5+$J$5+$K$5)/(($F$5-1)*$P$5)*100</f>
        <v>18.148148148148149</v>
      </c>
      <c r="P193" s="17">
        <f>AVERAGE(L193:O193)</f>
        <v>45.371740234726786</v>
      </c>
    </row>
    <row r="194" spans="1:31" x14ac:dyDescent="0.2">
      <c r="A194" s="16" t="s">
        <v>188</v>
      </c>
      <c r="B194" s="21">
        <f>($I$39+$J$39+$K$39)/(($F$39-1)*$P$39)*100</f>
        <v>27.38496071829405</v>
      </c>
      <c r="C194" s="84">
        <f>($I$67+$J$67+$K$67)/(($F$67-1)*$P$67)*100</f>
        <v>90.488841657810838</v>
      </c>
      <c r="D194" s="21">
        <f>($I$95+$J$95+$K$95)/(($F$95-1)*$P$95)*100</f>
        <v>36.172161172161168</v>
      </c>
      <c r="E194" s="20">
        <f>($I$11+$J$11+$K$11)/(($F$11-1)*$P$11)*100</f>
        <v>46.688741721854306</v>
      </c>
      <c r="F194" s="84"/>
      <c r="G194" s="84">
        <f>($I$40+$J$40+$K$40)/(($F$40-1)*$P$40)*100</f>
        <v>26.342857142857142</v>
      </c>
      <c r="H194" s="21">
        <f>($I$68+$J$68+$K$68)/(($F$68-1)*$P$68)*100</f>
        <v>91.231964483906765</v>
      </c>
      <c r="I194" s="84">
        <f>($I$96+$J$96+$K$96)/(($F$96-1)*$P$96)*100</f>
        <v>32.395833333333336</v>
      </c>
      <c r="J194" s="26">
        <f>($I$12+$J$12+$K$12)/(($F$12-1)*$P$12)*100</f>
        <v>38.636363636363633</v>
      </c>
      <c r="K194" s="84"/>
      <c r="L194" s="84">
        <f>($I$41+$J$41+$K$41)/(($F$41-1)*$P$41)*100</f>
        <v>25.600436681222703</v>
      </c>
      <c r="M194" s="84">
        <f>($I$69+$J$69+$K$69)/(($F$69-1)*$P$69)*100</f>
        <v>90.554962646744926</v>
      </c>
      <c r="N194" s="84">
        <f>($I$97+$J$97+$K$97)/(($F$97-1)*$P$97)*100</f>
        <v>33.268482490272369</v>
      </c>
      <c r="O194" s="26">
        <f>($I$13+$J$13+$K$13)/(($F$13-1)*$P$13)*100</f>
        <v>44.090909090909093</v>
      </c>
      <c r="P194" s="17">
        <f t="shared" ref="P194:P195" si="38">AVERAGE(L194:O194)</f>
        <v>48.378697727287275</v>
      </c>
    </row>
    <row r="195" spans="1:31" x14ac:dyDescent="0.2">
      <c r="A195" s="16" t="s">
        <v>189</v>
      </c>
      <c r="B195" s="26">
        <f>($I$51+$J$51+$K$51)/(($F$51-1)*$P$51)*100</f>
        <v>30.73170731707317</v>
      </c>
      <c r="C195" s="26">
        <f>($I$79+$J$79+$K$79)/(($F$79-1)*$P$79)*100</f>
        <v>92.765957446808514</v>
      </c>
      <c r="D195" s="84">
        <f>($I$107+$J$107+$K$107)/(($F$107-1)*$P$107)*100</f>
        <v>49.542682926829265</v>
      </c>
      <c r="E195" s="21">
        <f>($I$23+$J$23+$K$23)/(($F$23-1)*$P$23)*100</f>
        <v>16.129032258064516</v>
      </c>
      <c r="F195" s="84"/>
      <c r="G195" s="20">
        <f>($I$52+$J$52+$K$52)/(($F$52-1)*$P$52)*100</f>
        <v>31.67808219178082</v>
      </c>
      <c r="H195" s="26">
        <f>($I$80+$J$80+$K$80)/(($F$80-1)*$P$80)*100</f>
        <v>92.1443736730361</v>
      </c>
      <c r="I195" s="20">
        <f>($I$108+$J$108+$K$108)/(($F$108-1)*$P$108)*100</f>
        <v>49.685534591194966</v>
      </c>
      <c r="J195" s="21">
        <f>($I$24+$J$24+$K$24)/(($F$24-1)*$P$24)*100</f>
        <v>16.129032258064516</v>
      </c>
      <c r="K195" s="84"/>
      <c r="L195" s="26">
        <f>($I$53+$J$53+$K$53)/(($F$53-1)*$P$53)*100</f>
        <v>29.981884057971016</v>
      </c>
      <c r="M195" s="20">
        <f>($I$81+$J$81+$K$81)/(($F$81-1)*$P$81)*100</f>
        <v>92.967032967032964</v>
      </c>
      <c r="N195" s="26">
        <f>($I$109+$J$109+$K$109)/(($F$109-1)*$P$109)*100</f>
        <v>49.642857142857146</v>
      </c>
      <c r="O195" s="84">
        <f>($I$25+$J$25+$K$25)/(($F$25-1)*$P$25)*100</f>
        <v>14.000000000000002</v>
      </c>
      <c r="P195" s="17">
        <f t="shared" si="38"/>
        <v>46.647943541965283</v>
      </c>
    </row>
    <row r="196" spans="1:31" x14ac:dyDescent="0.2">
      <c r="A196" s="15" t="s">
        <v>11</v>
      </c>
      <c r="B196" s="90"/>
      <c r="C196" s="90"/>
      <c r="D196" s="90"/>
      <c r="E196" s="90"/>
      <c r="F196" s="90"/>
      <c r="G196" s="90"/>
      <c r="H196" s="90"/>
      <c r="I196" s="90"/>
      <c r="J196" s="90"/>
      <c r="K196" s="91"/>
      <c r="L196" s="90"/>
      <c r="M196" s="90"/>
      <c r="N196" s="90"/>
      <c r="O196" s="90"/>
    </row>
    <row r="197" spans="1:31" x14ac:dyDescent="0.2">
      <c r="A197" s="16" t="s">
        <v>187</v>
      </c>
      <c r="B197" s="26">
        <f>(L$31+M$31)/((F$31-1)*P$31)*100</f>
        <v>26.271186440677969</v>
      </c>
      <c r="C197" s="23">
        <f>(L$59+M$59)/((F$59-1)*P$59)*100</f>
        <v>3.268641470888662</v>
      </c>
      <c r="D197" s="20">
        <f>(L$87+M$87)/((F$87-1)*P$87)*100</f>
        <v>21.323529411764707</v>
      </c>
      <c r="E197" s="21">
        <f>(L$3+M$3)/((F$3-1)*P$3)*100</f>
        <v>27.542372881355931</v>
      </c>
      <c r="F197" s="84"/>
      <c r="G197" s="84">
        <f>($L$32+$M$32)/(($F$32-1)*$P$32)*100</f>
        <v>22.100313479623821</v>
      </c>
      <c r="H197" s="23">
        <f>($L$60+$M$60)/(($F$60-1)*$P$60)*100</f>
        <v>3.0601659751037342</v>
      </c>
      <c r="I197" s="84">
        <f>($L$88+$M$88)/(($F$88-1)*$P$88)*100</f>
        <v>12.154696132596685</v>
      </c>
      <c r="J197" s="84">
        <f>($L$4+$M$4)/(($F$4-1)*$P$4)*100</f>
        <v>21.370967741935484</v>
      </c>
      <c r="K197" s="84"/>
      <c r="L197" s="20">
        <f>($L$33+$M$33)/(($F$33-1)*$P$33)*100</f>
        <v>31.007345225603355</v>
      </c>
      <c r="M197" s="22">
        <f>($L$61+$M$61)/(($F$61-1)*$P$61)*100</f>
        <v>3.8702928870292883</v>
      </c>
      <c r="N197" s="26">
        <f>($L$89+$M$89)/(($F$89-1)*$P$89)*100</f>
        <v>18.645640074211503</v>
      </c>
      <c r="O197" s="84">
        <f>($L$5+$M$5)/(($F$5-1)*$P$5)*100</f>
        <v>23.703703703703706</v>
      </c>
      <c r="P197" s="17">
        <f>AVERAGE(L197:O197)</f>
        <v>19.306745472636965</v>
      </c>
    </row>
    <row r="198" spans="1:31" x14ac:dyDescent="0.2">
      <c r="A198" s="16" t="s">
        <v>188</v>
      </c>
      <c r="B198" s="19">
        <f>(L$39+M$39)/((F$39-1)*P$39)*100</f>
        <v>9.3714927048260392</v>
      </c>
      <c r="C198" s="19">
        <f>(L$67+M$67)/((F$67-1)*P$67)*100</f>
        <v>1.8065887353878853</v>
      </c>
      <c r="D198" s="84">
        <f>(L$95+M$95)/((F$95-1)*P$95)*100</f>
        <v>17.765567765567766</v>
      </c>
      <c r="E198" s="19">
        <f>(L$11+M$11)/((F$11-1)*P$11)*100</f>
        <v>9.6026490066225172</v>
      </c>
      <c r="F198" s="84"/>
      <c r="G198" s="83">
        <f>($L$40+$M$40)/(($F$40-1)*$P$40)*100</f>
        <v>8.0571428571428569</v>
      </c>
      <c r="H198" s="83">
        <f>($L$68+$M$68)/(($F$68-1)*$P$68)*100</f>
        <v>1.3873473917869035</v>
      </c>
      <c r="I198" s="20">
        <f>($L$96+$M$96)/(($F$96-1)*$P$96)*100</f>
        <v>18.958333333333332</v>
      </c>
      <c r="J198" s="83">
        <f>($L$12+$M$12)/(($F$12-1)*$P$12)*100</f>
        <v>8.6363636363636367</v>
      </c>
      <c r="K198" s="84"/>
      <c r="L198" s="83">
        <f>($L$41+$M$41)/(($F$41-1)*$P$41)*100</f>
        <v>7.3689956331877733</v>
      </c>
      <c r="M198" s="83">
        <f>($L$69+$M$69)/(($F$69-1)*$P$69)*100</f>
        <v>1.7609391675560297</v>
      </c>
      <c r="N198" s="84">
        <f>($L$97+$M$97)/(($F$97-1)*$P$97)*100</f>
        <v>14.980544747081712</v>
      </c>
      <c r="O198" s="83">
        <f>($L$13+$M$13)/(($F$13-1)*$P$13)*100</f>
        <v>6.3636363636363633</v>
      </c>
      <c r="P198" s="17">
        <f t="shared" ref="P198:P199" si="39">AVERAGE(L198:O198)</f>
        <v>7.618528977865469</v>
      </c>
    </row>
    <row r="199" spans="1:31" x14ac:dyDescent="0.2">
      <c r="A199" s="16" t="s">
        <v>189</v>
      </c>
      <c r="B199" s="84">
        <f>(L$51+M$51)/((F$51-1)*P$51)*100</f>
        <v>25.447154471544714</v>
      </c>
      <c r="C199" s="83">
        <f>(L$79+M$79)/((F$79-1)*P$79)*100</f>
        <v>1.0638297872340425</v>
      </c>
      <c r="D199" s="21">
        <f>(L$107+M$107)/((F$107-1)*P$107)*100</f>
        <v>20.579268292682926</v>
      </c>
      <c r="E199" s="26">
        <f>(L$23+M$23)/((F$23-1)*P$23)*100</f>
        <v>39.247311827956985</v>
      </c>
      <c r="F199" s="84"/>
      <c r="G199" s="20">
        <f>($L$52+$M$52)/(($F$52-1)*$P$52)*100</f>
        <v>26.027397260273972</v>
      </c>
      <c r="H199" s="19">
        <f>($L$80+$M$80)/(($F$80-1)*$P$80)*100</f>
        <v>1.6985138004246285</v>
      </c>
      <c r="I199" s="84">
        <f>($L$108+$M$108)/(($F$108-1)*$P$108)*100</f>
        <v>11.0062893081761</v>
      </c>
      <c r="J199" s="26">
        <f>($L$24+$M$24)/(($F$24-1)*$P$24)*100</f>
        <v>31.72043010752688</v>
      </c>
      <c r="K199" s="84"/>
      <c r="L199" s="84">
        <f>($L$53+$M$53)/(($F$53-1)*$P$53)*100</f>
        <v>25.271739130434785</v>
      </c>
      <c r="M199" s="83">
        <f>($L$81+$M$81)/(($F$81-1)*$P$81)*100</f>
        <v>1.3186813186813187</v>
      </c>
      <c r="N199" s="84">
        <f>($L$109+$M$109)/(($F$109-1)*$P$109)*100</f>
        <v>13.214285714285715</v>
      </c>
      <c r="O199" s="20">
        <f>($L$25+$M$25)/(($F$25-1)*$P$25)*100</f>
        <v>40</v>
      </c>
      <c r="P199" s="17">
        <f t="shared" si="39"/>
        <v>19.951176540850454</v>
      </c>
      <c r="Q199" s="75" t="s">
        <v>203</v>
      </c>
      <c r="R199" s="77" t="s">
        <v>180</v>
      </c>
      <c r="S199" s="77"/>
      <c r="T199" s="77"/>
      <c r="U199" s="77"/>
      <c r="V199" s="78"/>
      <c r="W199" s="77" t="s">
        <v>181</v>
      </c>
      <c r="X199" s="77"/>
      <c r="Y199" s="77"/>
      <c r="Z199" s="77"/>
      <c r="AB199" s="77" t="s">
        <v>182</v>
      </c>
      <c r="AC199" s="77"/>
      <c r="AD199" s="77"/>
      <c r="AE199" s="77"/>
    </row>
    <row r="200" spans="1:31" x14ac:dyDescent="0.2">
      <c r="A200" s="49" t="s">
        <v>193</v>
      </c>
      <c r="B200" s="27"/>
      <c r="C200" s="27"/>
      <c r="D200" s="27"/>
      <c r="E200" s="27"/>
      <c r="F200" s="27"/>
      <c r="G200" s="27"/>
      <c r="H200" s="27"/>
      <c r="I200" s="27"/>
      <c r="J200" s="27"/>
      <c r="K200" s="15"/>
      <c r="L200" s="27"/>
      <c r="M200" s="27"/>
      <c r="N200" s="27"/>
      <c r="O200" s="27"/>
      <c r="P200" s="56"/>
      <c r="Q200" s="76"/>
      <c r="R200" s="12" t="s">
        <v>183</v>
      </c>
      <c r="S200" s="12" t="s">
        <v>184</v>
      </c>
      <c r="T200" s="12" t="s">
        <v>185</v>
      </c>
      <c r="U200" s="12" t="s">
        <v>186</v>
      </c>
      <c r="V200" s="78"/>
      <c r="W200" s="12" t="s">
        <v>183</v>
      </c>
      <c r="X200" s="12" t="s">
        <v>184</v>
      </c>
      <c r="Y200" s="12" t="s">
        <v>185</v>
      </c>
      <c r="Z200" s="12" t="s">
        <v>186</v>
      </c>
      <c r="AB200" s="12" t="s">
        <v>183</v>
      </c>
      <c r="AC200" s="12" t="s">
        <v>184</v>
      </c>
      <c r="AD200" s="12" t="s">
        <v>185</v>
      </c>
      <c r="AE200" s="12" t="s">
        <v>186</v>
      </c>
    </row>
    <row r="201" spans="1:31" x14ac:dyDescent="0.2">
      <c r="A201" s="16" t="s">
        <v>187</v>
      </c>
      <c r="B201" s="20">
        <f>O$31/((F$31-1)*P$31)*100</f>
        <v>12.923728813559322</v>
      </c>
      <c r="C201" s="17">
        <f>O$59/((F$59-1)*P$59)*100</f>
        <v>13.840653728294178</v>
      </c>
      <c r="D201" s="26">
        <f>O$87/((F$87-1)*P$87)*100</f>
        <v>20.915032679738562</v>
      </c>
      <c r="E201" s="20">
        <f>O$3/((F$3-1)*P$3)*100</f>
        <v>37.711864406779661</v>
      </c>
      <c r="F201" s="17"/>
      <c r="G201" s="23">
        <f>$O$32/(($F$32-1)*$P$32)*100</f>
        <v>9.8746081504702197</v>
      </c>
      <c r="H201" s="20">
        <f>$O$60/(($F$60-1)*$P$60)*100</f>
        <v>16.026970954356848</v>
      </c>
      <c r="I201" s="26">
        <f>$O$88/(($F$88-1)*$P$88)*100</f>
        <v>18.784530386740332</v>
      </c>
      <c r="J201" s="26">
        <f>$O$4/(($F$4-1)*$P$4)*100</f>
        <v>32.661290322580641</v>
      </c>
      <c r="K201" s="17"/>
      <c r="L201" s="26">
        <f>$O$33/(($F$33-1)*$P$33)*100</f>
        <v>10.230849947534102</v>
      </c>
      <c r="M201" s="26">
        <f>$O$61/(($F$61-1)*$P$61)*100</f>
        <v>10.669456066945607</v>
      </c>
      <c r="N201" s="20">
        <f>$O$89/(($F$89-1)*$P$89)*100</f>
        <v>21.243042671614102</v>
      </c>
      <c r="O201" s="26">
        <f>$O$5/(($F$5-1)*$P$5)*100</f>
        <v>21.851851851851851</v>
      </c>
      <c r="P201" s="71">
        <v>21.3</v>
      </c>
      <c r="Q201" s="16" t="s">
        <v>187</v>
      </c>
      <c r="R201" s="30">
        <f t="shared" ref="R201:U203" si="40">B185+B189</f>
        <v>51.58898305084746</v>
      </c>
      <c r="S201" s="7">
        <f t="shared" si="40"/>
        <v>6.6394279877425948</v>
      </c>
      <c r="T201" s="30">
        <f t="shared" si="40"/>
        <v>28.513071895424837</v>
      </c>
      <c r="U201" s="30">
        <f t="shared" si="40"/>
        <v>54.237288135593225</v>
      </c>
      <c r="V201" s="30"/>
      <c r="W201" s="30">
        <f t="shared" ref="W201:Z203" si="41">G185+G189</f>
        <v>54.858934169278996</v>
      </c>
      <c r="X201" s="7">
        <f t="shared" si="41"/>
        <v>6.1203319502074693</v>
      </c>
      <c r="Y201" s="30">
        <f t="shared" si="41"/>
        <v>38.674033149171272</v>
      </c>
      <c r="Z201" s="30">
        <f t="shared" si="41"/>
        <v>58.870967741935488</v>
      </c>
      <c r="AA201" s="30"/>
      <c r="AB201" s="30">
        <f t="shared" ref="AB201:AE203" si="42">L185+L189</f>
        <v>45.38300104931794</v>
      </c>
      <c r="AC201" s="7">
        <f t="shared" si="42"/>
        <v>4.9163179916318001</v>
      </c>
      <c r="AD201" s="30">
        <f t="shared" si="42"/>
        <v>32.838589981447122</v>
      </c>
      <c r="AE201" s="30">
        <f t="shared" si="42"/>
        <v>58.148148148148152</v>
      </c>
    </row>
    <row r="202" spans="1:31" x14ac:dyDescent="0.2">
      <c r="A202" s="16" t="s">
        <v>188</v>
      </c>
      <c r="B202" s="19">
        <f>O$39/((F$39-1)*P$39)*100</f>
        <v>8.978675645342312</v>
      </c>
      <c r="C202" s="20">
        <f>O$67/((F$67-1)*P$67)*100</f>
        <v>18.544102019128587</v>
      </c>
      <c r="D202" s="21">
        <f>O$95/((F$95-1)*P$95)*100</f>
        <v>18.772893772893774</v>
      </c>
      <c r="E202" s="17">
        <f>O$11/((F$11-1)*P$11)*100</f>
        <v>15.894039735099339</v>
      </c>
      <c r="F202" s="17"/>
      <c r="G202" s="18">
        <f>$O$40/(($F$40-1)*$P$40)*100</f>
        <v>7.1999999999999993</v>
      </c>
      <c r="H202" s="17">
        <f>$O$68/(($F$68-1)*$P$68)*100</f>
        <v>13.20754716981132</v>
      </c>
      <c r="I202" s="17">
        <f>$O$96/(($F$96-1)*$P$96)*100</f>
        <v>13.854166666666668</v>
      </c>
      <c r="J202" s="21">
        <f>$O$12/(($F$12-1)*$P$12)*100</f>
        <v>20.909090909090907</v>
      </c>
      <c r="K202" s="17"/>
      <c r="L202" s="18">
        <f>$O$41/(($F$41-1)*$P$41)*100</f>
        <v>6.0589519650655026</v>
      </c>
      <c r="M202" s="17">
        <f>$O$69/(($F$69-1)*$P$69)*100</f>
        <v>10.405549626467449</v>
      </c>
      <c r="N202" s="17">
        <f>$O$97/(($F$97-1)*$P$97)*100</f>
        <v>13.229571984435799</v>
      </c>
      <c r="O202" s="17">
        <f>$O$13/(($F$13-1)*$P$13)*100</f>
        <v>14.545454545454545</v>
      </c>
      <c r="P202" s="71">
        <v>15.5</v>
      </c>
      <c r="Q202" s="16" t="s">
        <v>188</v>
      </c>
      <c r="R202" s="30">
        <f t="shared" si="40"/>
        <v>63.243546576879908</v>
      </c>
      <c r="S202" s="7">
        <f t="shared" si="40"/>
        <v>7.7045696068012752</v>
      </c>
      <c r="T202" s="30">
        <f t="shared" si="40"/>
        <v>46.062271062271058</v>
      </c>
      <c r="U202" s="30">
        <f t="shared" si="40"/>
        <v>43.70860927152318</v>
      </c>
      <c r="V202" s="30"/>
      <c r="W202" s="30">
        <f t="shared" si="41"/>
        <v>65.599999999999994</v>
      </c>
      <c r="X202" s="7">
        <f t="shared" si="41"/>
        <v>7.3806881243063263</v>
      </c>
      <c r="Y202" s="30">
        <f t="shared" si="41"/>
        <v>48.645833333333329</v>
      </c>
      <c r="Z202" s="30">
        <f t="shared" si="41"/>
        <v>52.727272727272734</v>
      </c>
      <c r="AA202" s="7"/>
      <c r="AB202" s="30">
        <f t="shared" si="42"/>
        <v>67.030567685589517</v>
      </c>
      <c r="AC202" s="7">
        <f t="shared" si="42"/>
        <v>7.6840981856990398</v>
      </c>
      <c r="AD202" s="30">
        <f t="shared" si="42"/>
        <v>51.750972762645915</v>
      </c>
      <c r="AE202" s="30">
        <f t="shared" si="42"/>
        <v>49.545454545454547</v>
      </c>
    </row>
    <row r="203" spans="1:31" ht="16" thickBot="1" x14ac:dyDescent="0.25">
      <c r="A203" s="32" t="s">
        <v>189</v>
      </c>
      <c r="B203" s="36">
        <f>O$51/((F$51-1)*P$51)*100</f>
        <v>7.4796747967479673</v>
      </c>
      <c r="C203" s="39">
        <f>O$79/((F$79-1)*P$79)*100</f>
        <v>13.297872340425531</v>
      </c>
      <c r="D203" s="39">
        <f>O$107/((F$107-1)*P$107)*100</f>
        <v>18.597560975609756</v>
      </c>
      <c r="E203" s="37">
        <f>O$23/((F$23-1)*P$23)*100</f>
        <v>11.29032258064516</v>
      </c>
      <c r="F203" s="17"/>
      <c r="G203" s="48">
        <f>$O$52/(($F$52-1)*$P$52)*100</f>
        <v>8.8184931506849313</v>
      </c>
      <c r="H203" s="36">
        <f>$O$80/(($F$80-1)*$P$80)*100</f>
        <v>9.8726114649681538</v>
      </c>
      <c r="I203" s="37">
        <f>$O$108/(($F$108-1)*$P$108)*100</f>
        <v>12.578616352201259</v>
      </c>
      <c r="J203" s="36">
        <f>$O$24/(($F$24-1)*$P$24)*100</f>
        <v>5.376344086021505</v>
      </c>
      <c r="K203" s="17"/>
      <c r="L203" s="36">
        <f>$O$53/(($F$53-1)*$P$53)*100</f>
        <v>7.0652173913043477</v>
      </c>
      <c r="M203" s="36">
        <f>$O$81/(($F$81-1)*$P$81)*100</f>
        <v>8.4615384615384617</v>
      </c>
      <c r="N203" s="37">
        <f>$O$109/(($F$109-1)*$P$109)*100</f>
        <v>16.785714285714285</v>
      </c>
      <c r="O203" s="39">
        <f>$O$25/(($F$25-1)*$P$25)*100</f>
        <v>12</v>
      </c>
      <c r="P203" s="71">
        <v>12.7</v>
      </c>
      <c r="Q203" s="40" t="s">
        <v>189</v>
      </c>
      <c r="R203" s="30">
        <f t="shared" si="40"/>
        <v>43.821138211382106</v>
      </c>
      <c r="S203" s="7">
        <f t="shared" si="40"/>
        <v>6.1702127659574471</v>
      </c>
      <c r="T203" s="30">
        <f t="shared" si="40"/>
        <v>29.878048780487809</v>
      </c>
      <c r="U203" s="30">
        <f t="shared" si="40"/>
        <v>44.623655913978496</v>
      </c>
      <c r="V203" s="30"/>
      <c r="W203" s="30">
        <f t="shared" si="41"/>
        <v>42.294520547945211</v>
      </c>
      <c r="X203" s="7">
        <f t="shared" si="41"/>
        <v>6.1571125265392785</v>
      </c>
      <c r="Y203" s="30">
        <f t="shared" si="41"/>
        <v>39.308176100628927</v>
      </c>
      <c r="Z203" s="30">
        <f t="shared" si="41"/>
        <v>52.150537634408607</v>
      </c>
      <c r="AB203" s="30">
        <f t="shared" si="42"/>
        <v>44.746376811594203</v>
      </c>
      <c r="AC203" s="7">
        <f t="shared" si="42"/>
        <v>5.7142857142857153</v>
      </c>
      <c r="AD203" s="30">
        <f t="shared" si="42"/>
        <v>37.142857142857139</v>
      </c>
      <c r="AE203" s="30">
        <f t="shared" si="42"/>
        <v>46</v>
      </c>
    </row>
    <row r="204" spans="1:31" x14ac:dyDescent="0.2">
      <c r="B204" s="30">
        <f>SUM(B185,B189,B193,B197)</f>
        <v>100</v>
      </c>
      <c r="C204" s="30">
        <f>SUM(C185,C189,C193,C197)</f>
        <v>100.00000000000001</v>
      </c>
      <c r="D204" s="30">
        <f>SUM(D185,D189,D193,D197)</f>
        <v>100.00000000000001</v>
      </c>
      <c r="E204" s="30">
        <f>SUM(E185,E189,E193,E197)</f>
        <v>100</v>
      </c>
      <c r="F204" s="30"/>
      <c r="G204" s="30">
        <f>SUM(G185,G189,G193,G197)</f>
        <v>100</v>
      </c>
      <c r="H204" s="30">
        <f>SUM(H185,H189,H193,H197)</f>
        <v>100</v>
      </c>
      <c r="I204" s="30">
        <f>SUM(I185,I189,I193,I197)</f>
        <v>100</v>
      </c>
      <c r="J204" s="30">
        <f>SUM(J185,J189,J193,J197)</f>
        <v>100</v>
      </c>
      <c r="L204" s="30">
        <f>SUM(L185,L189,L193,L197)</f>
        <v>100</v>
      </c>
      <c r="M204" s="30">
        <f>SUM(M185,M189,M193,M197)</f>
        <v>100.00000000000001</v>
      </c>
      <c r="N204" s="30">
        <f>SUM(N185,N189,N193,N197)</f>
        <v>99.999999999999986</v>
      </c>
      <c r="O204" s="30">
        <f>SUM(O185,O189,O193,O197)</f>
        <v>100.00000000000001</v>
      </c>
      <c r="P204" s="56"/>
      <c r="Q204" s="16" t="s">
        <v>168</v>
      </c>
      <c r="R204" s="30">
        <f>AVERAGE(R201:R203)</f>
        <v>52.884555946369822</v>
      </c>
      <c r="S204" s="7">
        <f t="shared" ref="S204:AE204" si="43">AVERAGE(S201:S203)</f>
        <v>6.8380701201671057</v>
      </c>
      <c r="T204" s="30">
        <f t="shared" si="43"/>
        <v>34.817797246061239</v>
      </c>
      <c r="U204" s="30">
        <f t="shared" si="43"/>
        <v>47.523184440364965</v>
      </c>
      <c r="V204" s="30"/>
      <c r="W204" s="30">
        <f t="shared" si="43"/>
        <v>54.25115157240807</v>
      </c>
      <c r="X204" s="7">
        <f t="shared" si="43"/>
        <v>6.5527108670176917</v>
      </c>
      <c r="Y204" s="30">
        <f t="shared" si="43"/>
        <v>42.209347527711181</v>
      </c>
      <c r="Z204" s="30">
        <f t="shared" si="43"/>
        <v>54.582926034538936</v>
      </c>
      <c r="AA204" s="30"/>
      <c r="AB204" s="30">
        <f t="shared" si="43"/>
        <v>52.386648515500553</v>
      </c>
      <c r="AC204" s="7">
        <f t="shared" si="43"/>
        <v>6.1049006305388511</v>
      </c>
      <c r="AD204" s="30">
        <f t="shared" si="43"/>
        <v>40.577473295650059</v>
      </c>
      <c r="AE204" s="30">
        <f t="shared" si="43"/>
        <v>51.231200897867573</v>
      </c>
    </row>
    <row r="205" spans="1:31" x14ac:dyDescent="0.2">
      <c r="B205" s="30">
        <f>SUM(B186,B190,B194,B198)</f>
        <v>100</v>
      </c>
      <c r="C205" s="30">
        <f>SUM(C186,C190,C194,C198)</f>
        <v>100</v>
      </c>
      <c r="D205" s="30">
        <f>SUM(D186,D190,D194,D198)</f>
        <v>100</v>
      </c>
      <c r="E205" s="30">
        <f>SUM(E186,E190,E194,E198)</f>
        <v>100</v>
      </c>
      <c r="G205" s="30">
        <f>SUM(G186,G190,G194,G198)</f>
        <v>100</v>
      </c>
      <c r="H205" s="30">
        <f>SUM(H186,H190,H194,H198)</f>
        <v>100</v>
      </c>
      <c r="I205" s="30">
        <f>SUM(I186,I190,I194,I198)</f>
        <v>99.999999999999986</v>
      </c>
      <c r="J205" s="30">
        <f>SUM(J186,J190,J194,J198)</f>
        <v>100.00000000000001</v>
      </c>
      <c r="L205" s="30">
        <f>SUM(L186,L190,L194,L198)</f>
        <v>100</v>
      </c>
      <c r="M205" s="30">
        <f>SUM(M186,M190,M194,M198)</f>
        <v>100</v>
      </c>
      <c r="N205" s="30">
        <f>SUM(N186,N190,N194,N198)</f>
        <v>99.999999999999986</v>
      </c>
      <c r="O205" s="30">
        <f>SUM(O186,O190,O194,O198)</f>
        <v>100</v>
      </c>
      <c r="S205" s="30">
        <f>AVERAGE(R204:U204)</f>
        <v>35.515901938240781</v>
      </c>
      <c r="X205" s="30">
        <f>AVERAGE(W204:Z204)</f>
        <v>39.399034000418972</v>
      </c>
      <c r="AC205" s="30">
        <f>AVERAGE(AB204:AE204)</f>
        <v>37.575055834889262</v>
      </c>
    </row>
    <row r="206" spans="1:31" x14ac:dyDescent="0.2">
      <c r="B206" s="30">
        <f>SUM(B187,B191,B195,B199)</f>
        <v>100</v>
      </c>
      <c r="C206" s="30">
        <f>SUM(C187,C191,C195,C199)</f>
        <v>100</v>
      </c>
      <c r="D206" s="30">
        <f>SUM(D187,D191,D195,D199)</f>
        <v>100</v>
      </c>
      <c r="E206" s="30">
        <f>SUM(E187,E191,E195,E199)</f>
        <v>100</v>
      </c>
      <c r="G206" s="30">
        <f>SUM(G187,G191,G195,G199)</f>
        <v>100</v>
      </c>
      <c r="H206" s="30">
        <f>SUM(H187,H191,H195,H199)</f>
        <v>100.00000000000001</v>
      </c>
      <c r="I206" s="30">
        <f>SUM(I187,I191,I195,I199)</f>
        <v>100</v>
      </c>
      <c r="J206" s="30">
        <f>SUM(J187,J191,J195,J199)</f>
        <v>100</v>
      </c>
      <c r="L206" s="30">
        <f>SUM(L187,L191,L195,L199)</f>
        <v>100</v>
      </c>
      <c r="M206" s="30">
        <f>SUM(M187,M191,M195,M199)</f>
        <v>100</v>
      </c>
      <c r="N206" s="30">
        <f>SUM(N187,N191,N195,N199)</f>
        <v>100</v>
      </c>
      <c r="O206" s="30">
        <f>SUM(O187,O191,O195,O199)</f>
        <v>100</v>
      </c>
    </row>
    <row r="208" spans="1:31" x14ac:dyDescent="0.2">
      <c r="Q208" s="100"/>
      <c r="R208" s="66"/>
      <c r="S208" s="100"/>
      <c r="T208" s="100"/>
    </row>
    <row r="209" spans="1:31" ht="15" customHeight="1" x14ac:dyDescent="0.2">
      <c r="A209" s="75" t="s">
        <v>195</v>
      </c>
      <c r="B209" s="77" t="s">
        <v>180</v>
      </c>
      <c r="C209" s="77"/>
      <c r="D209" s="77"/>
      <c r="E209" s="77"/>
      <c r="F209" s="78"/>
      <c r="G209" s="77" t="s">
        <v>181</v>
      </c>
      <c r="H209" s="77"/>
      <c r="I209" s="77"/>
      <c r="J209" s="77"/>
      <c r="L209" s="77" t="s">
        <v>182</v>
      </c>
      <c r="M209" s="77"/>
      <c r="N209" s="77"/>
      <c r="O209" s="77"/>
      <c r="Q209" s="100"/>
      <c r="R209" s="70"/>
      <c r="S209" s="70"/>
      <c r="T209" s="70"/>
    </row>
    <row r="210" spans="1:31" x14ac:dyDescent="0.2">
      <c r="A210" s="75"/>
      <c r="B210" s="77"/>
      <c r="C210" s="77"/>
      <c r="D210" s="77"/>
      <c r="E210" s="77"/>
      <c r="F210" s="78"/>
      <c r="G210" s="77"/>
      <c r="H210" s="77"/>
      <c r="I210" s="77"/>
      <c r="J210" s="77"/>
      <c r="K210" s="14"/>
      <c r="L210" s="77"/>
      <c r="M210" s="77"/>
      <c r="N210" s="77"/>
      <c r="O210" s="77"/>
      <c r="Q210" s="134" t="s">
        <v>298</v>
      </c>
      <c r="R210" s="118" t="s">
        <v>138</v>
      </c>
      <c r="S210" s="118"/>
      <c r="T210" s="118"/>
      <c r="U210" s="118"/>
    </row>
    <row r="211" spans="1:31" x14ac:dyDescent="0.2">
      <c r="A211" s="79"/>
      <c r="B211" s="12" t="s">
        <v>183</v>
      </c>
      <c r="C211" s="12" t="s">
        <v>184</v>
      </c>
      <c r="D211" s="12" t="s">
        <v>185</v>
      </c>
      <c r="E211" s="12" t="s">
        <v>186</v>
      </c>
      <c r="G211" s="12" t="s">
        <v>183</v>
      </c>
      <c r="H211" s="12" t="s">
        <v>184</v>
      </c>
      <c r="I211" s="12" t="s">
        <v>185</v>
      </c>
      <c r="J211" s="12" t="s">
        <v>186</v>
      </c>
      <c r="L211" s="12" t="s">
        <v>183</v>
      </c>
      <c r="M211" s="12" t="s">
        <v>184</v>
      </c>
      <c r="N211" s="12" t="s">
        <v>185</v>
      </c>
      <c r="O211" s="12" t="s">
        <v>186</v>
      </c>
      <c r="Q211" s="134"/>
      <c r="R211" s="99" t="s">
        <v>183</v>
      </c>
      <c r="S211" s="99" t="s">
        <v>184</v>
      </c>
      <c r="T211" s="99" t="s">
        <v>185</v>
      </c>
      <c r="U211" s="99" t="s">
        <v>186</v>
      </c>
    </row>
    <row r="212" spans="1:31" x14ac:dyDescent="0.2">
      <c r="A212" s="15" t="s">
        <v>7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Q212" s="125" t="s">
        <v>187</v>
      </c>
      <c r="R212" s="70">
        <v>72.7</v>
      </c>
      <c r="S212" s="66">
        <v>8.57</v>
      </c>
      <c r="T212" s="70">
        <v>40.6</v>
      </c>
      <c r="U212" s="70">
        <v>57</v>
      </c>
    </row>
    <row r="213" spans="1:31" x14ac:dyDescent="0.2">
      <c r="A213" s="16" t="s">
        <v>188</v>
      </c>
      <c r="B213" s="21">
        <f>B186</f>
        <v>24.130190796857466</v>
      </c>
      <c r="C213" s="18">
        <f>C186</f>
        <v>2.4973432518597241</v>
      </c>
      <c r="D213" s="18">
        <f>D186</f>
        <v>4.6703296703296706</v>
      </c>
      <c r="E213" s="21">
        <f>E186</f>
        <v>17.549668874172188</v>
      </c>
      <c r="F213" s="12"/>
      <c r="G213" s="17">
        <f>G186</f>
        <v>25.657142857142855</v>
      </c>
      <c r="H213" s="19">
        <f>H186</f>
        <v>1.9977802441731412</v>
      </c>
      <c r="I213" s="18">
        <f>I186</f>
        <v>4.479166666666667</v>
      </c>
      <c r="J213" s="17">
        <f>J186</f>
        <v>21.363636363636363</v>
      </c>
      <c r="L213" s="17">
        <f>L186</f>
        <v>25.818777292576417</v>
      </c>
      <c r="M213" s="18">
        <f>M186</f>
        <v>2.1878335112059766</v>
      </c>
      <c r="N213" s="22">
        <f>N186</f>
        <v>3.6964980544747084</v>
      </c>
      <c r="O213" s="17">
        <f>O186</f>
        <v>18.636363636363637</v>
      </c>
      <c r="Q213" s="125" t="s">
        <v>188</v>
      </c>
      <c r="R213" s="70">
        <v>75.099999999999994</v>
      </c>
      <c r="S213" s="66">
        <v>9.2200000000000006</v>
      </c>
      <c r="T213" s="70">
        <v>48.1</v>
      </c>
      <c r="U213" s="172">
        <v>43.9</v>
      </c>
      <c r="AD213">
        <f>(X255-X205)/X205*100</f>
        <v>-20.164481670833194</v>
      </c>
      <c r="AE213">
        <f>(X205-X255)/X255*100</f>
        <v>25.257532102057361</v>
      </c>
    </row>
    <row r="214" spans="1:31" ht="16" thickBot="1" x14ac:dyDescent="0.25">
      <c r="A214" s="16" t="s">
        <v>192</v>
      </c>
      <c r="B214" s="23">
        <f>$H$47/(($F$47-1)*$P$47)*100</f>
        <v>4.4943820224719104</v>
      </c>
      <c r="C214" s="25">
        <f>$H$75/(($F$75-1)*$P$75)*100</f>
        <v>0</v>
      </c>
      <c r="D214" s="22">
        <f>$H$103/(($F$103-1)*$P$103)*100</f>
        <v>3.5087719298245612</v>
      </c>
      <c r="E214" s="23">
        <f>$H$19/(($F$19-1)*$P$19)*100</f>
        <v>9.7222222222222232</v>
      </c>
      <c r="F214" s="12"/>
      <c r="G214" s="22">
        <f>$H$48/(($F$48-1)*$P$48)*100</f>
        <v>1.2987012987012987</v>
      </c>
      <c r="H214" s="25">
        <f>$H$76/(($F$76-1)*$P$76)*100</f>
        <v>0</v>
      </c>
      <c r="I214" s="23">
        <f>$H$104/(($F$104-1)*$P$104)*100</f>
        <v>4.3478260869565215</v>
      </c>
      <c r="J214" s="22">
        <f>$H$20/(($F$20-1)*$P$20)*100</f>
        <v>1.1111111111111112</v>
      </c>
      <c r="L214" s="23">
        <f>$H$49/(($F$49-1)*$P$49)*100</f>
        <v>3.225806451612903</v>
      </c>
      <c r="M214" s="24">
        <f>$H$77/(($F$77-1)*$P$77)*100</f>
        <v>0.2824858757062147</v>
      </c>
      <c r="N214" s="18">
        <f>$H$105/(($F$105-1)*$P$105)*100</f>
        <v>7.59493670886076</v>
      </c>
      <c r="O214" s="23">
        <f>$H$21/(($F$21-1)*$P$21)*100</f>
        <v>3.0612244897959182</v>
      </c>
      <c r="Q214" s="159" t="s">
        <v>189</v>
      </c>
      <c r="R214" s="172">
        <v>63.1</v>
      </c>
      <c r="S214" s="66">
        <v>7.03</v>
      </c>
      <c r="T214" s="70">
        <v>40.700000000000003</v>
      </c>
      <c r="U214" s="70">
        <v>69.2</v>
      </c>
      <c r="AD214">
        <f>(AC255-S205)/S205*100</f>
        <v>5.190628306377719</v>
      </c>
    </row>
    <row r="215" spans="1:31" x14ac:dyDescent="0.2">
      <c r="A215" s="15" t="s">
        <v>13</v>
      </c>
      <c r="B215" s="27"/>
      <c r="C215" s="27"/>
      <c r="D215" s="27"/>
      <c r="E215" s="27"/>
      <c r="F215" s="27"/>
      <c r="G215" s="27"/>
      <c r="H215" s="27"/>
      <c r="I215" s="27"/>
      <c r="J215" s="27"/>
      <c r="K215" s="15"/>
      <c r="L215" s="27"/>
      <c r="M215" s="27"/>
      <c r="N215" s="27"/>
      <c r="O215" s="27"/>
      <c r="Q215" s="173" t="s">
        <v>168</v>
      </c>
      <c r="R215" s="174">
        <v>70.3</v>
      </c>
      <c r="S215" s="173">
        <v>8.27</v>
      </c>
      <c r="T215" s="175">
        <v>43.1</v>
      </c>
      <c r="U215" s="175">
        <v>56.7</v>
      </c>
    </row>
    <row r="216" spans="1:31" x14ac:dyDescent="0.2">
      <c r="A216" s="16" t="s">
        <v>188</v>
      </c>
      <c r="B216" s="20">
        <f>B190</f>
        <v>39.113355780022445</v>
      </c>
      <c r="C216" s="19">
        <f>C190</f>
        <v>5.2072263549415512</v>
      </c>
      <c r="D216" s="21">
        <f>D190</f>
        <v>41.391941391941387</v>
      </c>
      <c r="E216" s="20">
        <f>E190</f>
        <v>26.158940397350992</v>
      </c>
      <c r="F216" s="12"/>
      <c r="G216" s="26">
        <f>G190</f>
        <v>39.942857142857143</v>
      </c>
      <c r="H216" s="18">
        <f>H190</f>
        <v>5.3829078801331853</v>
      </c>
      <c r="I216" s="17">
        <f>I190</f>
        <v>44.166666666666664</v>
      </c>
      <c r="J216" s="26">
        <f>J190</f>
        <v>31.363636363636367</v>
      </c>
      <c r="L216" s="26">
        <f>L190</f>
        <v>41.211790393013096</v>
      </c>
      <c r="M216" s="18">
        <f>M190</f>
        <v>5.4962646744930632</v>
      </c>
      <c r="N216" s="17">
        <f>N190</f>
        <v>48.054474708171206</v>
      </c>
      <c r="O216" s="26">
        <f>O190</f>
        <v>30.909090909090907</v>
      </c>
      <c r="S216" s="30">
        <f>AVERAGE(R215:U215)</f>
        <v>44.592500000000001</v>
      </c>
      <c r="X216">
        <f>(S205-S216)/S216*100</f>
        <v>-20.354539578985751</v>
      </c>
      <c r="Z216" s="30">
        <f>(X255-S216)/S216*100</f>
        <v>-29.462526185077877</v>
      </c>
    </row>
    <row r="217" spans="1:31" x14ac:dyDescent="0.2">
      <c r="A217" s="16" t="s">
        <v>192</v>
      </c>
      <c r="B217" s="21">
        <f>$N$47/(($F$47-1)*$P$47)*100</f>
        <v>46.067415730337082</v>
      </c>
      <c r="C217" s="22">
        <f>$N$75/(($F$75-1)*$P$75)*100</f>
        <v>2.2346368715083798</v>
      </c>
      <c r="D217" s="26">
        <f>$N$103/(($F$103-1)*$P$103)*100</f>
        <v>35.964912280701753</v>
      </c>
      <c r="E217" s="21">
        <f>$N$19/(($F$19-1)*$P$19)*100</f>
        <v>26.388888888888889</v>
      </c>
      <c r="F217" s="12"/>
      <c r="G217" s="17">
        <f>$N$48/(($F$48-1)*$P$48)*100</f>
        <v>61.038961038961034</v>
      </c>
      <c r="H217" s="23">
        <f>$N$76/(($F$76-1)*$P$76)*100</f>
        <v>4.5161290322580641</v>
      </c>
      <c r="I217" s="20">
        <f>$N$104/(($F$104-1)*$P$104)*100</f>
        <v>31.521739130434785</v>
      </c>
      <c r="J217" s="17">
        <f>$N$20/(($F$20-1)*$P$20)*100</f>
        <v>48.888888888888886</v>
      </c>
      <c r="L217" s="17">
        <f>$N$49/(($F$49-1)*$P$49)*100</f>
        <v>60.752688172043015</v>
      </c>
      <c r="M217" s="23">
        <f>$N$77/(($F$77-1)*$P$77)*100</f>
        <v>3.1073446327683616</v>
      </c>
      <c r="N217" s="26">
        <f>$N$105/(($F$105-1)*$P$105)*100</f>
        <v>41.139240506329116</v>
      </c>
      <c r="O217" s="17">
        <f>$N$21/(($F$21-1)*$P$21)*100</f>
        <v>48.979591836734691</v>
      </c>
    </row>
    <row r="218" spans="1:31" x14ac:dyDescent="0.2">
      <c r="A218" s="15" t="s">
        <v>190</v>
      </c>
      <c r="B218" s="27"/>
      <c r="C218" s="27"/>
      <c r="D218" s="27"/>
      <c r="E218" s="27"/>
      <c r="F218" s="27"/>
      <c r="G218" s="27"/>
      <c r="H218" s="27"/>
      <c r="I218" s="27"/>
      <c r="J218" s="27"/>
      <c r="K218" s="15"/>
      <c r="L218" s="27"/>
      <c r="M218" s="27"/>
      <c r="N218" s="27"/>
      <c r="O218" s="27"/>
    </row>
    <row r="219" spans="1:31" x14ac:dyDescent="0.2">
      <c r="A219" s="16" t="s">
        <v>188</v>
      </c>
      <c r="B219" s="20">
        <f>B194</f>
        <v>27.38496071829405</v>
      </c>
      <c r="C219" s="84">
        <f>C194</f>
        <v>90.488841657810838</v>
      </c>
      <c r="D219" s="21">
        <f>D194</f>
        <v>36.172161172161168</v>
      </c>
      <c r="E219" s="20">
        <f>E194</f>
        <v>46.688741721854306</v>
      </c>
      <c r="F219" s="94"/>
      <c r="G219" s="26">
        <f>G194</f>
        <v>26.342857142857142</v>
      </c>
      <c r="H219" s="21">
        <f>H194</f>
        <v>91.231964483906765</v>
      </c>
      <c r="I219" s="84">
        <f>I194</f>
        <v>32.395833333333336</v>
      </c>
      <c r="J219" s="26">
        <f>J194</f>
        <v>38.636363636363633</v>
      </c>
      <c r="K219" s="91"/>
      <c r="L219" s="26">
        <f>L194</f>
        <v>25.600436681222703</v>
      </c>
      <c r="M219" s="84">
        <f>M194</f>
        <v>90.554962646744926</v>
      </c>
      <c r="N219" s="84">
        <f>N194</f>
        <v>33.268482490272369</v>
      </c>
      <c r="O219" s="26">
        <f>O194</f>
        <v>44.090909090909093</v>
      </c>
    </row>
    <row r="220" spans="1:31" x14ac:dyDescent="0.2">
      <c r="A220" s="16" t="s">
        <v>192</v>
      </c>
      <c r="B220" s="21">
        <f>($I$47+$J$47+$K$47)/(($F$47-1)*$P$47)*100</f>
        <v>17.977528089887642</v>
      </c>
      <c r="C220" s="20">
        <f>($I$75+$J$75+$K$75)/(($F$75-1)*$P$75)*100</f>
        <v>96.089385474860336</v>
      </c>
      <c r="D220" s="20">
        <f>($I$103+$J$103+$K$103)/(($F$103-1)*$P$103)*100</f>
        <v>40.350877192982452</v>
      </c>
      <c r="E220" s="21">
        <f>($I$19+$J$19+$K$19)/(($F$19-1)*$P$19)*100</f>
        <v>34.722222222222221</v>
      </c>
      <c r="F220" s="94"/>
      <c r="G220" s="84">
        <f>($I$48+$J$48+$K$48)/(($F$48-1)*$P$48)*100</f>
        <v>14.285714285714285</v>
      </c>
      <c r="H220" s="26">
        <f>($I$76+$J$76+$K$76)/(($F$76-1)*$P$76)*100</f>
        <v>91.612903225806448</v>
      </c>
      <c r="I220" s="26">
        <f>($I$104+$J$104+$K$104)/(($F$104-1)*$P$104)*100</f>
        <v>39.130434782608695</v>
      </c>
      <c r="J220" s="84">
        <f>($I$20+$J$20+$K$20)/(($F$20-1)*$P$20)*100</f>
        <v>30</v>
      </c>
      <c r="K220" s="96"/>
      <c r="L220" s="84">
        <f>($I$49+$J$49+$K$49)/(($F$49-1)*$P$49)*100</f>
        <v>15.053763440860216</v>
      </c>
      <c r="M220" s="26">
        <f>($I$77+$J$77+$K$77)/(($F$77-1)*$P$77)*100</f>
        <v>91.242937853107335</v>
      </c>
      <c r="N220" s="26">
        <f>($I$105+$J$105+$K$105)/(($F$105-1)*$P$105)*100</f>
        <v>34.177215189873415</v>
      </c>
      <c r="O220" s="84">
        <f>($I$21+$J$21+$K$21)/(($F$21-1)*$P$21)*100</f>
        <v>27.551020408163261</v>
      </c>
    </row>
    <row r="221" spans="1:31" x14ac:dyDescent="0.2">
      <c r="A221" s="15" t="s">
        <v>11</v>
      </c>
      <c r="B221" s="27"/>
      <c r="C221" s="27"/>
      <c r="D221" s="27"/>
      <c r="E221" s="27"/>
      <c r="F221" s="27"/>
      <c r="G221" s="27"/>
      <c r="H221" s="27"/>
      <c r="I221" s="27"/>
      <c r="J221" s="27"/>
      <c r="L221" s="27"/>
      <c r="M221" s="27"/>
      <c r="N221" s="27"/>
      <c r="O221" s="27"/>
    </row>
    <row r="222" spans="1:31" x14ac:dyDescent="0.2">
      <c r="A222" s="16" t="s">
        <v>188</v>
      </c>
      <c r="B222" s="19">
        <f>B198</f>
        <v>9.3714927048260392</v>
      </c>
      <c r="C222" s="22">
        <f>C198</f>
        <v>1.8065887353878853</v>
      </c>
      <c r="D222" s="84">
        <f>D198</f>
        <v>17.765567765567766</v>
      </c>
      <c r="E222" s="19">
        <f>E198</f>
        <v>9.6026490066225172</v>
      </c>
      <c r="F222" s="94"/>
      <c r="G222" s="83">
        <f>G198</f>
        <v>8.0571428571428569</v>
      </c>
      <c r="H222" s="83">
        <f>H198</f>
        <v>1.3873473917869035</v>
      </c>
      <c r="I222" s="21">
        <f>I198</f>
        <v>18.958333333333332</v>
      </c>
      <c r="J222" s="83">
        <f>J198</f>
        <v>8.6363636363636367</v>
      </c>
      <c r="K222" s="91"/>
      <c r="L222" s="83">
        <f>L198</f>
        <v>7.3689956331877733</v>
      </c>
      <c r="M222" s="83">
        <f>M198</f>
        <v>1.7609391675560297</v>
      </c>
      <c r="N222" s="84">
        <f>N198</f>
        <v>14.980544747081712</v>
      </c>
      <c r="O222" s="83">
        <f>O198</f>
        <v>6.3636363636363633</v>
      </c>
    </row>
    <row r="223" spans="1:31" x14ac:dyDescent="0.2">
      <c r="A223" s="32" t="s">
        <v>192</v>
      </c>
      <c r="B223" s="20">
        <f>($L$47+$M$47)/(($F$47-1)*$P$47)*100</f>
        <v>31.460674157303369</v>
      </c>
      <c r="C223" s="83">
        <f>($L$75+$M$75)/(($F$75-1)*$P$75)*100</f>
        <v>1.6759776536312849</v>
      </c>
      <c r="D223" s="26">
        <f>($L$103+$M$103)/(($F$103-1)*$P$103)*100</f>
        <v>20.175438596491226</v>
      </c>
      <c r="E223" s="20">
        <f>($L$19+$M$19)/(($F$19-1)*$P$19)*100</f>
        <v>29.166666666666668</v>
      </c>
      <c r="F223" s="95"/>
      <c r="G223" s="26">
        <f>($L$48+$M$48)/(($F$48-1)*$P$48)*100</f>
        <v>23.376623376623375</v>
      </c>
      <c r="H223" s="23">
        <f>($L$76+$M$76)/(($F$76-1)*$P$76)*100</f>
        <v>3.870967741935484</v>
      </c>
      <c r="I223" s="20">
        <f>($L$104+$M$104)/(($F$104-1)*$P$104)*100</f>
        <v>25</v>
      </c>
      <c r="J223" s="26">
        <f>($L$20+$M$20)/(($F$20-1)*$P$20)*100</f>
        <v>20</v>
      </c>
      <c r="K223" s="96"/>
      <c r="L223" s="26">
        <f>($L$49+$M$49)/(($F$49-1)*$P$49)*100</f>
        <v>20.967741935483872</v>
      </c>
      <c r="M223" s="22">
        <f>($L$77+$M$77)/(($F$77-1)*$P$77)*100</f>
        <v>5.3672316384180787</v>
      </c>
      <c r="N223" s="26">
        <f>($L$105+$M$105)/(($F$105-1)*$P$105)*100</f>
        <v>17.088607594936708</v>
      </c>
      <c r="O223" s="26">
        <f>($L$21+$M$21)/(($F$21-1)*$P$21)*100</f>
        <v>20.408163265306122</v>
      </c>
    </row>
    <row r="224" spans="1:31" x14ac:dyDescent="0.2">
      <c r="A224" s="29" t="s">
        <v>193</v>
      </c>
      <c r="B224" s="27"/>
      <c r="C224" s="27"/>
      <c r="D224" s="27"/>
      <c r="E224" s="27"/>
      <c r="F224" s="27"/>
      <c r="G224" s="47"/>
      <c r="H224" s="47"/>
      <c r="I224" s="47"/>
      <c r="J224" s="47"/>
      <c r="K224" s="15"/>
      <c r="L224" s="47"/>
      <c r="M224" s="47"/>
      <c r="N224" s="47"/>
      <c r="O224" s="47"/>
      <c r="Q224" s="75" t="s">
        <v>276</v>
      </c>
      <c r="R224" s="77" t="s">
        <v>180</v>
      </c>
      <c r="S224" s="77"/>
      <c r="T224" s="77"/>
      <c r="U224" s="77"/>
      <c r="V224" s="78"/>
      <c r="W224" s="77" t="s">
        <v>181</v>
      </c>
      <c r="X224" s="77"/>
      <c r="Y224" s="77"/>
      <c r="Z224" s="77"/>
      <c r="AB224" s="77" t="s">
        <v>182</v>
      </c>
      <c r="AC224" s="77"/>
      <c r="AD224" s="77"/>
      <c r="AE224" s="77"/>
    </row>
    <row r="225" spans="1:34" x14ac:dyDescent="0.2">
      <c r="A225" s="16" t="s">
        <v>188</v>
      </c>
      <c r="B225" s="19">
        <f>B202</f>
        <v>8.978675645342312</v>
      </c>
      <c r="C225" s="21">
        <f>C202</f>
        <v>18.544102019128587</v>
      </c>
      <c r="D225" s="21">
        <f>D202</f>
        <v>18.772893772893774</v>
      </c>
      <c r="E225" s="17">
        <f>E202</f>
        <v>15.894039735099339</v>
      </c>
      <c r="F225" s="12"/>
      <c r="G225" s="18">
        <f>G202</f>
        <v>7.1999999999999993</v>
      </c>
      <c r="H225" s="17">
        <f>H202</f>
        <v>13.20754716981132</v>
      </c>
      <c r="I225" s="17">
        <f>I202</f>
        <v>13.854166666666668</v>
      </c>
      <c r="J225" s="21">
        <f>J202</f>
        <v>20.909090909090907</v>
      </c>
      <c r="L225" s="18">
        <f>L202</f>
        <v>6.0589519650655026</v>
      </c>
      <c r="M225" s="17">
        <f>M202</f>
        <v>10.405549626467449</v>
      </c>
      <c r="N225" s="17">
        <f>N202</f>
        <v>13.229571984435799</v>
      </c>
      <c r="O225" s="17">
        <f>O202</f>
        <v>14.545454545454545</v>
      </c>
      <c r="Q225" s="77"/>
      <c r="R225" s="12" t="s">
        <v>183</v>
      </c>
      <c r="S225" s="12" t="s">
        <v>184</v>
      </c>
      <c r="T225" s="12" t="s">
        <v>185</v>
      </c>
      <c r="U225" s="12" t="s">
        <v>186</v>
      </c>
      <c r="V225" s="78"/>
      <c r="W225" s="12" t="s">
        <v>183</v>
      </c>
      <c r="X225" s="12" t="s">
        <v>184</v>
      </c>
      <c r="Y225" s="12" t="s">
        <v>185</v>
      </c>
      <c r="Z225" s="12" t="s">
        <v>186</v>
      </c>
      <c r="AB225" s="12" t="s">
        <v>183</v>
      </c>
      <c r="AC225" s="12" t="s">
        <v>184</v>
      </c>
      <c r="AD225" s="12" t="s">
        <v>185</v>
      </c>
      <c r="AE225" s="12" t="s">
        <v>186</v>
      </c>
    </row>
    <row r="226" spans="1:34" x14ac:dyDescent="0.2">
      <c r="A226" s="32" t="s">
        <v>192</v>
      </c>
      <c r="B226" s="33">
        <f>$O$47/(($F$47-1)*$P$47)*100</f>
        <v>14.606741573033707</v>
      </c>
      <c r="C226" s="33">
        <f>$O$75/(($F$75-1)*$P$75)*100</f>
        <v>34.357541899441344</v>
      </c>
      <c r="D226" s="33">
        <f>$O$103/(($F$103-1)*$P$103)*100</f>
        <v>33.040935672514621</v>
      </c>
      <c r="E226" s="34">
        <f>$O$19/(($F$19-1)*$P$19)*100</f>
        <v>31.944444444444443</v>
      </c>
      <c r="F226" s="35"/>
      <c r="G226" s="34">
        <f>$O$48/(($F$48-1)*$P$48)*100</f>
        <v>18.831168831168831</v>
      </c>
      <c r="H226" s="33">
        <f>$O$76/(($F$76-1)*$P$76)*100</f>
        <v>32.258064516129032</v>
      </c>
      <c r="I226" s="34">
        <f>$O$104/(($F$104-1)*$P$104)*100</f>
        <v>36.95652173913043</v>
      </c>
      <c r="J226" s="33">
        <f>$O$20/(($F$20-1)*$P$20)*100</f>
        <v>21.111111111111111</v>
      </c>
      <c r="K226" s="14"/>
      <c r="L226" s="33">
        <f>$O$49/(($F$49-1)*$P$49)*100</f>
        <v>12.365591397849462</v>
      </c>
      <c r="M226" s="34">
        <f>$O$77/(($F$77-1)*$P$77)*100</f>
        <v>34.745762711864408</v>
      </c>
      <c r="N226" s="33">
        <f>$O$105/(($F$105-1)*$P$105)*100</f>
        <v>26.582278481012654</v>
      </c>
      <c r="O226" s="33">
        <f>$O$21/(($F$21-1)*$P$21)*100</f>
        <v>26.530612244897959</v>
      </c>
      <c r="Q226" s="16" t="s">
        <v>188</v>
      </c>
      <c r="R226" s="57">
        <f>SUM(B213,B216)</f>
        <v>63.243546576879908</v>
      </c>
      <c r="S226" s="57">
        <f t="shared" ref="S226:U226" si="44">SUM(C213,C216)</f>
        <v>7.7045696068012752</v>
      </c>
      <c r="T226" s="57">
        <f t="shared" si="44"/>
        <v>46.062271062271058</v>
      </c>
      <c r="U226" s="57">
        <f t="shared" si="44"/>
        <v>43.70860927152318</v>
      </c>
      <c r="V226" s="30"/>
      <c r="W226" s="30">
        <f>SUM(G213,G216)</f>
        <v>65.599999999999994</v>
      </c>
      <c r="X226" s="30">
        <f t="shared" ref="X226:Z226" si="45">SUM(H213,H216)</f>
        <v>7.3806881243063263</v>
      </c>
      <c r="Y226" s="30">
        <f t="shared" si="45"/>
        <v>48.645833333333329</v>
      </c>
      <c r="Z226" s="30">
        <f t="shared" si="45"/>
        <v>52.727272727272734</v>
      </c>
      <c r="AA226" s="30"/>
      <c r="AB226" s="30">
        <f>SUM(L213,L216)</f>
        <v>67.030567685589517</v>
      </c>
      <c r="AC226" s="30">
        <f t="shared" ref="AC226:AE226" si="46">SUM(M213,M216)</f>
        <v>7.6840981856990398</v>
      </c>
      <c r="AD226" s="30">
        <f t="shared" si="46"/>
        <v>51.750972762645915</v>
      </c>
      <c r="AE226" s="30">
        <f t="shared" si="46"/>
        <v>49.545454545454547</v>
      </c>
    </row>
    <row r="227" spans="1:34" x14ac:dyDescent="0.2">
      <c r="B227" s="30">
        <f>B213+B216+B219+B222</f>
        <v>100</v>
      </c>
      <c r="C227" s="30">
        <f>C213+C216+C219+C222</f>
        <v>100</v>
      </c>
      <c r="D227" s="30">
        <f>D213+D216+D219+D222</f>
        <v>100</v>
      </c>
      <c r="E227" s="30">
        <f>E213+E216+E219+E222</f>
        <v>100</v>
      </c>
      <c r="F227" s="30"/>
      <c r="G227" s="30">
        <f>G213+G216+G219+G222</f>
        <v>100</v>
      </c>
      <c r="H227" s="30">
        <f>H213+H216+H219+H222</f>
        <v>100</v>
      </c>
      <c r="I227" s="30">
        <f>I213+I216+I219+I222</f>
        <v>99.999999999999986</v>
      </c>
      <c r="J227" s="30">
        <f>J213+J216+J219+J222</f>
        <v>100.00000000000001</v>
      </c>
      <c r="K227" s="30"/>
      <c r="L227" s="30">
        <f>L213+L216+L219+L222</f>
        <v>100</v>
      </c>
      <c r="M227" s="30">
        <f>M213+M216+M219+M222</f>
        <v>100</v>
      </c>
      <c r="N227" s="30">
        <f>N213+N216+N219+N222</f>
        <v>99.999999999999986</v>
      </c>
      <c r="O227" s="30">
        <f>O213+O216+O219+O222</f>
        <v>100</v>
      </c>
      <c r="Q227" s="16" t="s">
        <v>192</v>
      </c>
      <c r="R227" s="57">
        <f>SUM(B214,B217)</f>
        <v>50.561797752808992</v>
      </c>
      <c r="S227" s="57">
        <f t="shared" ref="S227:U227" si="47">SUM(C214,C217)</f>
        <v>2.2346368715083798</v>
      </c>
      <c r="T227" s="57">
        <f t="shared" si="47"/>
        <v>39.473684210526315</v>
      </c>
      <c r="U227" s="57">
        <f t="shared" si="47"/>
        <v>36.111111111111114</v>
      </c>
      <c r="V227" s="30"/>
      <c r="W227" s="30">
        <f>SUM(G214,G217)</f>
        <v>62.33766233766233</v>
      </c>
      <c r="X227" s="30">
        <f t="shared" ref="X227:Z227" si="48">SUM(H214,H217)</f>
        <v>4.5161290322580641</v>
      </c>
      <c r="Y227" s="30">
        <f t="shared" si="48"/>
        <v>35.869565217391305</v>
      </c>
      <c r="Z227" s="30">
        <f t="shared" si="48"/>
        <v>50</v>
      </c>
      <c r="AB227" s="30">
        <f>SUM(L214,L217)</f>
        <v>63.978494623655919</v>
      </c>
      <c r="AC227" s="30">
        <f t="shared" ref="AC227:AE227" si="49">SUM(M214,M217)</f>
        <v>3.3898305084745761</v>
      </c>
      <c r="AD227" s="30">
        <f t="shared" si="49"/>
        <v>48.734177215189874</v>
      </c>
      <c r="AE227" s="30">
        <f t="shared" si="49"/>
        <v>52.04081632653061</v>
      </c>
    </row>
    <row r="228" spans="1:34" x14ac:dyDescent="0.2">
      <c r="B228" s="30">
        <f>B214+B217+B220+B223</f>
        <v>100</v>
      </c>
      <c r="C228" s="30">
        <f>C214+C217+C220+C223</f>
        <v>100</v>
      </c>
      <c r="D228" s="30">
        <f>D214+D217+D220+D223</f>
        <v>100</v>
      </c>
      <c r="E228" s="30">
        <f>E214+E217+E220+E223</f>
        <v>100.00000000000001</v>
      </c>
      <c r="G228" s="30">
        <f>G214+G217+G220+G223</f>
        <v>99.999999999999986</v>
      </c>
      <c r="H228" s="30">
        <f>H214+H217+H220+H223</f>
        <v>100</v>
      </c>
      <c r="I228" s="30">
        <f>I214+I217+I220+I223</f>
        <v>100</v>
      </c>
      <c r="J228" s="30">
        <f>J214+J217+J220+J223</f>
        <v>100</v>
      </c>
      <c r="K228" s="30"/>
      <c r="L228" s="30">
        <f>L214+L217+L220+L223</f>
        <v>100</v>
      </c>
      <c r="M228" s="30">
        <f>M214+M217+M220+M223</f>
        <v>99.999999999999986</v>
      </c>
      <c r="N228" s="30">
        <f>N214+N217+N220+N223</f>
        <v>99.999999999999986</v>
      </c>
      <c r="O228" s="30">
        <f>O214+O217+O220+O223</f>
        <v>100</v>
      </c>
      <c r="Q228" s="16" t="s">
        <v>168</v>
      </c>
      <c r="R228" s="30">
        <f>AVERAGE(R226:R227)</f>
        <v>56.902672164844446</v>
      </c>
      <c r="S228" s="7">
        <f>AVERAGE(S226:S227)</f>
        <v>4.9696032391548277</v>
      </c>
      <c r="T228" s="30">
        <f>AVERAGE(T226:T227)</f>
        <v>42.767977636398683</v>
      </c>
      <c r="U228" s="30">
        <f>AVERAGE(U226:U227)</f>
        <v>39.909860191317151</v>
      </c>
      <c r="V228" s="30"/>
      <c r="W228" s="30">
        <f>AVERAGE(W226:W227)</f>
        <v>63.968831168831159</v>
      </c>
      <c r="X228" s="7">
        <f>AVERAGE(X226:X227)</f>
        <v>5.9484085782821952</v>
      </c>
      <c r="Y228" s="30">
        <f>AVERAGE(Y226:Y227)</f>
        <v>42.257699275362313</v>
      </c>
      <c r="Z228" s="30">
        <f>AVERAGE(Z226:Z227)</f>
        <v>51.363636363636367</v>
      </c>
      <c r="AA228" s="30"/>
      <c r="AB228" s="30">
        <f>AVERAGE(AB226:AB227)</f>
        <v>65.504531154622725</v>
      </c>
      <c r="AC228" s="7">
        <f>AVERAGE(AC226:AC227)</f>
        <v>5.5369643470868084</v>
      </c>
      <c r="AD228" s="30">
        <f>AVERAGE(AD226:AD227)</f>
        <v>50.242574988917895</v>
      </c>
      <c r="AE228" s="30">
        <f>AVERAGE(AE226:AE227)</f>
        <v>50.793135435992582</v>
      </c>
    </row>
    <row r="229" spans="1:34" x14ac:dyDescent="0.2">
      <c r="F229" s="7"/>
      <c r="S229" s="30">
        <f>AVERAGE(R228:U228)</f>
        <v>36.137528307928775</v>
      </c>
      <c r="X229" s="30">
        <f>AVERAGE(W228:Z228)</f>
        <v>40.884643846528007</v>
      </c>
      <c r="AC229" s="30">
        <f>AVERAGE(AB228:AE228)</f>
        <v>43.019301481655006</v>
      </c>
    </row>
    <row r="230" spans="1:34" x14ac:dyDescent="0.2">
      <c r="F230" s="7"/>
      <c r="G230" s="7"/>
      <c r="H230" s="7"/>
      <c r="I230" s="7"/>
      <c r="J230" s="7"/>
      <c r="L230" s="7"/>
      <c r="M230" s="7"/>
      <c r="N230" s="7"/>
      <c r="O230" s="7"/>
      <c r="R230" t="s">
        <v>251</v>
      </c>
      <c r="S230" s="30">
        <f>AVERAGE(R227:U227)</f>
        <v>32.0953074864887</v>
      </c>
      <c r="W230" t="s">
        <v>251</v>
      </c>
      <c r="X230" s="30">
        <f>AVERAGE(W227:Z227)</f>
        <v>38.180839146827928</v>
      </c>
      <c r="AB230" t="s">
        <v>251</v>
      </c>
      <c r="AC230" s="30">
        <f>AVERAGE(AB227:AE227)</f>
        <v>42.035829668462746</v>
      </c>
    </row>
    <row r="231" spans="1:34" x14ac:dyDescent="0.2">
      <c r="A231" s="75" t="s">
        <v>200</v>
      </c>
      <c r="B231" s="77" t="s">
        <v>196</v>
      </c>
      <c r="C231" s="77"/>
      <c r="D231" s="77"/>
      <c r="E231" s="77"/>
      <c r="F231" s="12"/>
      <c r="G231" s="77" t="s">
        <v>197</v>
      </c>
      <c r="H231" s="77"/>
      <c r="I231" s="77"/>
      <c r="J231" s="77"/>
      <c r="K231" s="12"/>
      <c r="L231" s="77" t="s">
        <v>198</v>
      </c>
      <c r="M231" s="77"/>
      <c r="N231" s="77"/>
      <c r="O231" s="77"/>
      <c r="AG231">
        <f>(S242-AC230)/AC230*100</f>
        <v>-44.108125283198611</v>
      </c>
    </row>
    <row r="232" spans="1:34" x14ac:dyDescent="0.2">
      <c r="A232" s="77"/>
      <c r="B232" s="12" t="s">
        <v>183</v>
      </c>
      <c r="C232" s="12" t="s">
        <v>184</v>
      </c>
      <c r="D232" s="12" t="s">
        <v>185</v>
      </c>
      <c r="E232" s="12" t="s">
        <v>186</v>
      </c>
      <c r="F232" s="12"/>
      <c r="G232" s="12" t="s">
        <v>183</v>
      </c>
      <c r="H232" s="12" t="s">
        <v>184</v>
      </c>
      <c r="I232" s="12" t="s">
        <v>185</v>
      </c>
      <c r="J232" s="12" t="s">
        <v>186</v>
      </c>
      <c r="K232" s="12"/>
      <c r="L232" s="12" t="s">
        <v>183</v>
      </c>
      <c r="M232" s="12" t="s">
        <v>184</v>
      </c>
      <c r="N232" s="12" t="s">
        <v>185</v>
      </c>
      <c r="O232" s="12" t="s">
        <v>186</v>
      </c>
      <c r="AG232">
        <f>(AC242-S230)/S230*100</f>
        <v>-2.6612401273791315</v>
      </c>
    </row>
    <row r="233" spans="1:34" x14ac:dyDescent="0.2">
      <c r="A233" s="15" t="s">
        <v>7</v>
      </c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</row>
    <row r="234" spans="1:34" x14ac:dyDescent="0.2">
      <c r="A234" s="16" t="s">
        <v>187</v>
      </c>
      <c r="B234" s="17">
        <f>$H$143/(($F$143-2)*$P$143)*100</f>
        <v>11.381215469613259</v>
      </c>
      <c r="C234" s="18">
        <f>$H$159/(($F$159-2)*$P$159)*100</f>
        <v>2.3157894736842106</v>
      </c>
      <c r="D234" s="19">
        <f>$H$175/(($F$175-2)*$P$175)*100</f>
        <v>5.7529610829103213</v>
      </c>
      <c r="E234" s="22">
        <f>$H$127/(($F$127-2)*$P$127)*100</f>
        <v>7.216494845360824</v>
      </c>
      <c r="F234" s="18"/>
      <c r="G234" s="21">
        <f>$H$144/(($F$144-2)*$P$144)*100</f>
        <v>11.161217587373168</v>
      </c>
      <c r="H234" s="18">
        <f>$H$160/(($F$160-2)*$P$160)*100</f>
        <v>2.5450689289501591</v>
      </c>
      <c r="I234" s="18">
        <f>$H$176/(($F$176-2)*$P$176)*100</f>
        <v>5.7793345008756569</v>
      </c>
      <c r="J234" s="18">
        <f>$H$128/(($F$128-2)*$P$128)*100</f>
        <v>9.6153846153846168</v>
      </c>
      <c r="K234" s="18"/>
      <c r="L234" s="17">
        <f>$H$145/(($F$145-2)*$P$145)*100</f>
        <v>11.525795828759605</v>
      </c>
      <c r="M234" s="19">
        <f>$H$161/(($F$161-2)*$P$161)*100</f>
        <v>1.5005359056806002</v>
      </c>
      <c r="N234" s="18">
        <f>$H$177/(($F$177-2)*$P$177)*100</f>
        <v>6.6390041493775938</v>
      </c>
      <c r="O234" s="23">
        <f>$H$129/(($F$129-2)*$P$129)*100</f>
        <v>7.608695652173914</v>
      </c>
    </row>
    <row r="235" spans="1:34" x14ac:dyDescent="0.2">
      <c r="A235" s="16" t="s">
        <v>188</v>
      </c>
      <c r="B235" s="21">
        <f>$H$135/(($F$135-2)*$P$135)*100</f>
        <v>19.047619047619047</v>
      </c>
      <c r="C235" s="18">
        <f>$H$151/(($F$151-2)*$P$151)*100</f>
        <v>2.0652173913043477</v>
      </c>
      <c r="D235" s="18">
        <f>$H$167/(($F$167-2)*$P$167)*100</f>
        <v>4.0229885057471266</v>
      </c>
      <c r="E235" s="17">
        <f>$H$119/(($F$119-2)*$P$119)*100</f>
        <v>13.986013986013987</v>
      </c>
      <c r="F235" s="18"/>
      <c r="G235" s="17">
        <f>$H$136/(($F$136-2)*$P$136)*100</f>
        <v>20.765661252900234</v>
      </c>
      <c r="H235" s="18">
        <f>$H$152/(($F$152-2)*$P$152)*100</f>
        <v>2.3706896551724137</v>
      </c>
      <c r="I235" s="22">
        <f>$H$168/(($F$168-2)*$P$168)*100</f>
        <v>2.7450980392156863</v>
      </c>
      <c r="J235" s="22">
        <f>$H$120/(($F$120-2)*$P$120)*100</f>
        <v>7.0866141732283463</v>
      </c>
      <c r="K235" s="18"/>
      <c r="L235" s="17">
        <f>$H$137/(($F$137-2)*$P$137)*100</f>
        <v>25.977011494252871</v>
      </c>
      <c r="M235" s="19">
        <f>$H$153/(($F$153-2)*$P$153)*100</f>
        <v>1.8418201516793065</v>
      </c>
      <c r="N235" s="23">
        <f>$H$169/(($F$169-2)*$P$169)*100</f>
        <v>4.0080160320641278</v>
      </c>
      <c r="O235" s="17">
        <f>$H$121/(($F$121-2)*$P$121)*100</f>
        <v>16</v>
      </c>
    </row>
    <row r="236" spans="1:34" x14ac:dyDescent="0.2">
      <c r="A236" s="16" t="s">
        <v>189</v>
      </c>
      <c r="B236" s="23">
        <f>$H$131/(($F$131-2)*$P$131)*100</f>
        <v>4.1067761806981515</v>
      </c>
      <c r="C236" s="51">
        <f>$H$147/(($F$147-2)*$P$147)*100</f>
        <v>1.1013215859030838</v>
      </c>
      <c r="D236" s="52">
        <f>$H$163/(($F$163-2)*$P$163)*100</f>
        <v>1.6891891891891893</v>
      </c>
      <c r="E236" s="17">
        <f>$H$115/(($F$115-2)*$P$115)*100</f>
        <v>19.277108433734941</v>
      </c>
      <c r="F236" s="18"/>
      <c r="G236" s="23">
        <f>$H$132/(($F$132-2)*$P$132)*100</f>
        <v>4.0650406504065035</v>
      </c>
      <c r="H236" s="51">
        <f>$H$148/(($F$148-2)*$P$148)*100</f>
        <v>1.3303769401330376</v>
      </c>
      <c r="I236" s="64">
        <f>$H$164/(($F$164-2)*$P$164)*100</f>
        <v>5.6105610561056105</v>
      </c>
      <c r="J236" s="21">
        <f>$H$116/(($F$116-2)*$P$116)*100</f>
        <v>13.333333333333334</v>
      </c>
      <c r="K236" s="18"/>
      <c r="L236" s="22">
        <f>$H$133/(($F$133-2)*$P$133)*100</f>
        <v>2.6373626373626373</v>
      </c>
      <c r="M236" s="65">
        <f>$H$149/(($F$149-2)*$P$149)*100</f>
        <v>0.6960556844547563</v>
      </c>
      <c r="N236" s="64">
        <f>$H$165/(($F$165-2)*$P$165)*100</f>
        <v>4.8582995951417001</v>
      </c>
      <c r="O236" s="17">
        <f>$H$117/(($F$117-2)*$P$117)*100</f>
        <v>17.142857142857142</v>
      </c>
      <c r="Q236" s="75" t="s">
        <v>200</v>
      </c>
      <c r="R236" s="77" t="s">
        <v>196</v>
      </c>
      <c r="S236" s="77"/>
      <c r="T236" s="77"/>
      <c r="U236" s="77"/>
      <c r="V236" s="12"/>
      <c r="W236" s="77" t="s">
        <v>197</v>
      </c>
      <c r="X236" s="77"/>
      <c r="Y236" s="77"/>
      <c r="Z236" s="77"/>
      <c r="AA236" s="12"/>
      <c r="AB236" s="77" t="s">
        <v>198</v>
      </c>
      <c r="AC236" s="77"/>
      <c r="AD236" s="77"/>
      <c r="AE236" s="77"/>
      <c r="AH236" t="s">
        <v>252</v>
      </c>
    </row>
    <row r="237" spans="1:34" x14ac:dyDescent="0.2">
      <c r="A237" s="15" t="s">
        <v>13</v>
      </c>
      <c r="B237" s="50"/>
      <c r="C237" s="18"/>
      <c r="D237" s="18"/>
      <c r="E237" s="50"/>
      <c r="F237" s="50"/>
      <c r="G237" s="50"/>
      <c r="H237" s="18"/>
      <c r="I237" s="18"/>
      <c r="J237" s="50"/>
      <c r="K237" s="50"/>
      <c r="L237" s="50"/>
      <c r="M237" s="18"/>
      <c r="N237" s="18"/>
      <c r="O237" s="50"/>
      <c r="Q237" s="77"/>
      <c r="R237" s="12" t="s">
        <v>183</v>
      </c>
      <c r="S237" s="12" t="s">
        <v>184</v>
      </c>
      <c r="T237" s="12" t="s">
        <v>185</v>
      </c>
      <c r="U237" s="12" t="s">
        <v>186</v>
      </c>
      <c r="V237" s="12"/>
      <c r="W237" s="12" t="s">
        <v>183</v>
      </c>
      <c r="X237" s="12" t="s">
        <v>184</v>
      </c>
      <c r="Y237" s="12" t="s">
        <v>185</v>
      </c>
      <c r="Z237" s="12" t="s">
        <v>186</v>
      </c>
      <c r="AA237" s="12"/>
      <c r="AB237" s="12" t="s">
        <v>183</v>
      </c>
      <c r="AC237" s="12" t="s">
        <v>184</v>
      </c>
      <c r="AD237" s="12" t="s">
        <v>185</v>
      </c>
      <c r="AE237" s="12" t="s">
        <v>186</v>
      </c>
    </row>
    <row r="238" spans="1:34" x14ac:dyDescent="0.2">
      <c r="A238" s="16" t="s">
        <v>187</v>
      </c>
      <c r="B238" s="17">
        <f>$N$143/(($F$143-2)*$P$143)*100</f>
        <v>48.39779005524862</v>
      </c>
      <c r="C238" s="23">
        <f>$N$159/(($F$159-2)*$P$159)*100</f>
        <v>3.6842105263157889</v>
      </c>
      <c r="D238" s="20">
        <f>$N$175/(($F$175-2)*$P$175)*100</f>
        <v>15.736040609137056</v>
      </c>
      <c r="E238" s="17">
        <f>$N$127/(($F$127-2)*$P$127)*100</f>
        <v>62.886597938144327</v>
      </c>
      <c r="F238" s="18"/>
      <c r="G238" s="21">
        <f>$N$144/(($F$144-2)*$P$144)*100</f>
        <v>41.149943630214203</v>
      </c>
      <c r="H238" s="19">
        <f>$N$160/(($F$160-2)*$P$160)*100</f>
        <v>3.3934252386002126</v>
      </c>
      <c r="I238" s="26">
        <f>$N$176/(($F$176-2)*$P$176)*100</f>
        <v>18.563922942206652</v>
      </c>
      <c r="J238" s="21">
        <f>$N$128/(($F$128-2)*$P$128)*100</f>
        <v>58.653846153846153</v>
      </c>
      <c r="K238" s="18"/>
      <c r="L238" s="17">
        <f>$N$145/(($F$145-2)*$P$145)*100</f>
        <v>41.1635565312843</v>
      </c>
      <c r="M238" s="23">
        <f>$N$161/(($F$161-2)*$P$161)*100</f>
        <v>4.930332261521972</v>
      </c>
      <c r="N238" s="26">
        <f>$N$177/(($F$177-2)*$P$177)*100</f>
        <v>23.029045643153527</v>
      </c>
      <c r="O238" s="17">
        <f>$N$129/(($F$129-2)*$P$129)*100</f>
        <v>61.95652173913043</v>
      </c>
      <c r="Q238" s="16" t="s">
        <v>188</v>
      </c>
      <c r="R238" s="57">
        <f>SUM(B262,B265)</f>
        <v>49.245063879210221</v>
      </c>
      <c r="S238" s="57">
        <f t="shared" ref="S238:U238" si="50">SUM(C262,C265)</f>
        <v>6.5217391304347823</v>
      </c>
      <c r="T238" s="57">
        <f t="shared" si="50"/>
        <v>37.164750957854409</v>
      </c>
      <c r="U238" s="57">
        <f t="shared" si="50"/>
        <v>30.76923076923077</v>
      </c>
      <c r="V238" s="30"/>
      <c r="W238" s="30">
        <f>SUM(G262,G265)</f>
        <v>53.712296983758705</v>
      </c>
      <c r="X238" s="30">
        <f t="shared" ref="X238:Z238" si="51">SUM(H262,H265)</f>
        <v>7.5431034482758621</v>
      </c>
      <c r="Y238" s="30">
        <f t="shared" si="51"/>
        <v>35.294117647058819</v>
      </c>
      <c r="Z238" s="30">
        <f t="shared" si="51"/>
        <v>24.409448818897637</v>
      </c>
      <c r="AA238" s="30"/>
      <c r="AB238" s="30">
        <f>SUM(L262,L265)</f>
        <v>65.402298850574709</v>
      </c>
      <c r="AC238" s="30">
        <f t="shared" ref="AC238:AE238" si="52">SUM(M262,M265)</f>
        <v>7.042253521126761</v>
      </c>
      <c r="AD238" s="30">
        <f t="shared" si="52"/>
        <v>46.69338677354709</v>
      </c>
      <c r="AE238" s="30">
        <f t="shared" si="52"/>
        <v>40</v>
      </c>
    </row>
    <row r="239" spans="1:34" x14ac:dyDescent="0.2">
      <c r="A239" s="16" t="s">
        <v>188</v>
      </c>
      <c r="B239" s="20">
        <f>$N$135/(($F$135-2)*$P$135)*100</f>
        <v>30.197444831591174</v>
      </c>
      <c r="C239" s="19">
        <f>$N$151/(($F$151-2)*$P$151)*100</f>
        <v>4.4565217391304346</v>
      </c>
      <c r="D239" s="17">
        <f>$N$167/(($F$167-2)*$P$167)*100</f>
        <v>33.14176245210728</v>
      </c>
      <c r="E239" s="20">
        <f>$N$119/(($F$119-2)*$P$119)*100</f>
        <v>16.783216783216783</v>
      </c>
      <c r="F239" s="18"/>
      <c r="G239" s="26">
        <f>$N$136/(($F$136-2)*$P$136)*100</f>
        <v>32.946635730858468</v>
      </c>
      <c r="H239" s="18">
        <f>$N$152/(($F$152-2)*$P$152)*100</f>
        <v>5.1724137931034484</v>
      </c>
      <c r="I239" s="21">
        <f>$N$168/(($F$168-2)*$P$168)*100</f>
        <v>32.549019607843135</v>
      </c>
      <c r="J239" s="26">
        <f>$N$120/(($F$120-2)*$P$120)*100</f>
        <v>17.322834645669293</v>
      </c>
      <c r="K239" s="18"/>
      <c r="L239" s="17">
        <f>$N$137/(($F$137-2)*$P$137)*100</f>
        <v>39.425287356321839</v>
      </c>
      <c r="M239" s="18">
        <f>$N$153/(($F$153-2)*$P$153)*100</f>
        <v>5.2004333694474543</v>
      </c>
      <c r="N239" s="17">
        <f>$N$169/(($F$169-2)*$P$169)*100</f>
        <v>42.685370741482963</v>
      </c>
      <c r="O239" s="26">
        <f>$N$121/(($F$121-2)*$P$121)*100</f>
        <v>24</v>
      </c>
      <c r="Q239" s="16" t="s">
        <v>192</v>
      </c>
      <c r="R239" s="57">
        <f>SUM(B263,B266)</f>
        <v>37.254901960784316</v>
      </c>
      <c r="S239" s="57">
        <f t="shared" ref="S239:U239" si="53">SUM(C263,C266)</f>
        <v>3.3613445378151261</v>
      </c>
      <c r="T239" s="57">
        <f t="shared" si="53"/>
        <v>28.971962616822427</v>
      </c>
      <c r="U239" s="57">
        <f t="shared" si="53"/>
        <v>24.390243902439025</v>
      </c>
      <c r="V239" s="30"/>
      <c r="W239" s="30">
        <f>SUM(G263,G266)</f>
        <v>37.500000000000007</v>
      </c>
      <c r="X239" s="30">
        <f t="shared" ref="X239:Z239" si="54">SUM(H263,H266)</f>
        <v>0.79365079365079361</v>
      </c>
      <c r="Y239" s="30">
        <f t="shared" si="54"/>
        <v>25.438596491228068</v>
      </c>
      <c r="Z239" s="30">
        <f t="shared" si="54"/>
        <v>30.232558139534884</v>
      </c>
      <c r="AB239" s="30">
        <f>SUM(L263,L266)</f>
        <v>51.111111111111107</v>
      </c>
      <c r="AC239" s="30">
        <f t="shared" ref="AC239:AE239" si="55">SUM(M263,M266)</f>
        <v>3.4188034188034186</v>
      </c>
      <c r="AD239" s="30">
        <f t="shared" si="55"/>
        <v>30.434782608695649</v>
      </c>
      <c r="AE239" s="30">
        <f>SUM(O263,O266)</f>
        <v>40</v>
      </c>
    </row>
    <row r="240" spans="1:34" x14ac:dyDescent="0.2">
      <c r="A240" s="32" t="s">
        <v>189</v>
      </c>
      <c r="B240" s="39">
        <f>$N$131/(($F$131-2)*$P$131)*100</f>
        <v>31.211498973305957</v>
      </c>
      <c r="C240" s="64">
        <f>$N$147/(($F$147-2)*$P$147)*100</f>
        <v>4.4052863436123353</v>
      </c>
      <c r="D240" s="63">
        <f>$N$163/(($F$163-2)*$P$163)*100</f>
        <v>26.689189189189189</v>
      </c>
      <c r="E240" s="37">
        <f>$N$115/(($F$115-2)*$P$115)*100</f>
        <v>22.891566265060241</v>
      </c>
      <c r="F240" s="36"/>
      <c r="G240" s="37">
        <f>$N$132/(($F$132-2)*$P$132)*100</f>
        <v>34.756097560975604</v>
      </c>
      <c r="H240" s="52">
        <f>$N$148/(($F$148-2)*$P$148)*100</f>
        <v>3.1042128603104215</v>
      </c>
      <c r="I240" s="54">
        <f>$N$164/(($F$164-2)*$P$164)*100</f>
        <v>23.432343234323433</v>
      </c>
      <c r="J240" s="39">
        <f>$N$116/(($F$116-2)*$P$116)*100</f>
        <v>20</v>
      </c>
      <c r="K240" s="36"/>
      <c r="L240" s="33">
        <f>$N$133/(($F$133-2)*$P$133)*100</f>
        <v>34.285714285714285</v>
      </c>
      <c r="M240" s="64">
        <f>$N$149/(($F$149-2)*$P$149)*100</f>
        <v>5.3364269141531322</v>
      </c>
      <c r="N240" s="63">
        <f>$N$165/(($F$165-2)*$P$165)*100</f>
        <v>31.578947368421051</v>
      </c>
      <c r="O240" s="37">
        <f>$N$117/(($F$117-2)*$P$117)*100</f>
        <v>34.285714285714285</v>
      </c>
      <c r="Q240" s="16" t="s">
        <v>168</v>
      </c>
      <c r="R240" s="30">
        <f>AVERAGE(R238:R239)</f>
        <v>43.249982919997265</v>
      </c>
      <c r="S240" s="7">
        <f>AVERAGE(S238:S239)</f>
        <v>4.941541834124954</v>
      </c>
      <c r="T240" s="30">
        <f>AVERAGE(T238:T239)</f>
        <v>33.068356787338416</v>
      </c>
      <c r="U240" s="30">
        <f>AVERAGE(U238:U239)</f>
        <v>27.579737335834899</v>
      </c>
      <c r="V240" s="30"/>
      <c r="W240" s="30">
        <f>AVERAGE(W238:W239)</f>
        <v>45.606148491879352</v>
      </c>
      <c r="X240" s="7">
        <f>AVERAGE(X238:X239)</f>
        <v>4.1683771209633278</v>
      </c>
      <c r="Y240" s="30">
        <f>AVERAGE(Y238:Y239)</f>
        <v>30.366357069143444</v>
      </c>
      <c r="Z240" s="30">
        <f>AVERAGE(Z238:Z239)</f>
        <v>27.321003479216259</v>
      </c>
      <c r="AA240" s="30"/>
      <c r="AB240" s="30">
        <f>AVERAGE(AB238:AB239)</f>
        <v>58.256704980842912</v>
      </c>
      <c r="AC240" s="7">
        <f>AVERAGE(AC238:AC239)</f>
        <v>5.2305284699650896</v>
      </c>
      <c r="AD240" s="30">
        <f>AVERAGE(AD238:AD239)</f>
        <v>38.564084691121366</v>
      </c>
      <c r="AE240" s="30">
        <f>AVERAGE(AE238:AE239)</f>
        <v>40</v>
      </c>
    </row>
    <row r="241" spans="1:31" x14ac:dyDescent="0.2">
      <c r="A241" t="s">
        <v>190</v>
      </c>
      <c r="B241" s="18"/>
      <c r="C241" s="7"/>
      <c r="D241" s="7"/>
      <c r="E241" s="18"/>
      <c r="F241" s="18"/>
      <c r="G241" s="18"/>
      <c r="H241" s="7"/>
      <c r="I241" s="7"/>
      <c r="J241" s="18"/>
      <c r="K241" s="18"/>
      <c r="L241" s="18"/>
      <c r="M241" s="7"/>
      <c r="N241" s="7"/>
      <c r="O241" s="18"/>
      <c r="S241" s="30">
        <f>AVERAGE(R240:U240)</f>
        <v>27.20990471932388</v>
      </c>
      <c r="X241" s="30">
        <f>AVERAGE(W240:Z240)</f>
        <v>26.865471540300597</v>
      </c>
      <c r="AC241" s="30">
        <f>AVERAGE(AB240:AE240)</f>
        <v>35.512829535482339</v>
      </c>
    </row>
    <row r="242" spans="1:31" x14ac:dyDescent="0.2">
      <c r="A242" s="16" t="s">
        <v>187</v>
      </c>
      <c r="B242" s="84">
        <f>($I$143+$J$143+$K$143)/(($F$143-2)*$P$143)*100</f>
        <v>21.325966850828728</v>
      </c>
      <c r="C242" s="84">
        <f>($I$159+$J$159+$K$159)/(($F$159-2)*$P$159)*100</f>
        <v>90.421052631578945</v>
      </c>
      <c r="D242" s="26">
        <f>($I$175+$J$175+$K$175)/(($F$175-2)*$P$175)*100</f>
        <v>51.438240270727576</v>
      </c>
      <c r="E242" s="21">
        <f>($I$127+$J$127+$K$127)/(($F$127-2)*$P$127)*100</f>
        <v>15.463917525773196</v>
      </c>
      <c r="F242" s="18"/>
      <c r="G242" s="21">
        <f>($I$144+$J$144+$K$144)/(($F$144-2)*$P$144)*100</f>
        <v>22.096956031567082</v>
      </c>
      <c r="H242" s="84">
        <f>($I$160+$J$160+$K$160)/(($F$160-2)*$P$160)*100</f>
        <v>90.349946977730639</v>
      </c>
      <c r="I242" s="26">
        <f>($I$176+$J$176+$K$176)/(($F$176-2)*$P$176)*100</f>
        <v>52.014010507880911</v>
      </c>
      <c r="J242" s="84">
        <f>($I$128+$J$128+$K$128)/(($F$128-2)*$P$128)*100</f>
        <v>14.423076923076922</v>
      </c>
      <c r="K242" s="83"/>
      <c r="L242" s="84">
        <f>($I$145+$J$145+$K$145)/(($F$145-2)*$P$145)*100</f>
        <v>20.965971459934138</v>
      </c>
      <c r="M242" s="21">
        <f>($I$161+$J$161+$K$161)/(($F$161-2)*$P$161)*100</f>
        <v>91.103965702036433</v>
      </c>
      <c r="N242" s="20">
        <f>($I$177+$J$177+$K$177)/(($F$177-2)*$P$177)*100</f>
        <v>54.149377593360995</v>
      </c>
      <c r="O242" s="84">
        <f>($I$129+$J$129+$K$129)/(($F$129-2)*$P$129)*100</f>
        <v>11.956521739130435</v>
      </c>
      <c r="R242" t="s">
        <v>251</v>
      </c>
      <c r="S242" s="30">
        <f>AVERAGE(R239:U239)</f>
        <v>23.494613254465225</v>
      </c>
      <c r="W242" t="s">
        <v>251</v>
      </c>
      <c r="X242" s="30">
        <f>AVERAGE(W239:Z239)</f>
        <v>23.491201356103439</v>
      </c>
      <c r="AB242" t="s">
        <v>251</v>
      </c>
      <c r="AC242" s="30">
        <f>AVERAGE(AB239:AE239)</f>
        <v>31.241174284652544</v>
      </c>
    </row>
    <row r="243" spans="1:31" x14ac:dyDescent="0.2">
      <c r="A243" s="16" t="s">
        <v>188</v>
      </c>
      <c r="B243" s="20">
        <f>($I$135+$J$135+$K$135)/(($F$135-2)*$P$135)*100</f>
        <v>33.91405342624855</v>
      </c>
      <c r="C243" s="84">
        <f>($I$151+$J$151+$K$151)/(($F$151-2)*$P$151)*100</f>
        <v>90.760869565217391</v>
      </c>
      <c r="D243" s="84">
        <f>($I$167+$J$167+$K$167)/(($F$167-2)*$P$167)*100</f>
        <v>36.781609195402297</v>
      </c>
      <c r="E243" s="26">
        <f>($I$119+$J$119+$K$119)/(($F$119-2)*$P$119)*100</f>
        <v>51.048951048951054</v>
      </c>
      <c r="F243" s="18"/>
      <c r="G243" s="26">
        <f>($I$136+$J$136+$K$136)/(($F$136-2)*$P$136)*100</f>
        <v>31.786542923433874</v>
      </c>
      <c r="H243" s="84">
        <f>($I$152+$J$152+$K$152)/(($F$152-2)*$P$152)*100</f>
        <v>90.517241379310349</v>
      </c>
      <c r="I243" s="21">
        <f>($I$168+$J$168+$K$168)/(($F$168-2)*$P$168)*100</f>
        <v>36.86274509803922</v>
      </c>
      <c r="J243" s="20">
        <f>($I$120+$J$120+$K$120)/(($F$120-2)*$P$120)*100</f>
        <v>55.118110236220474</v>
      </c>
      <c r="K243" s="83"/>
      <c r="L243" s="84">
        <f>($I$137+$J$137+$K$137)/(($F$137-2)*$P$137)*100</f>
        <v>26.321839080459768</v>
      </c>
      <c r="M243" s="21">
        <f>($I$153+$J$153+$K$153)/(($F$153-2)*$P$153)*100</f>
        <v>91.332611050920903</v>
      </c>
      <c r="N243" s="84">
        <f>($I$169+$J$169+$K$169)/(($F$169-2)*$P$169)*100</f>
        <v>33.266533066132261</v>
      </c>
      <c r="O243" s="26">
        <f>($I$121+$J$121+$K$121)/(($F$121-2)*$P$121)*100</f>
        <v>44</v>
      </c>
    </row>
    <row r="244" spans="1:31" x14ac:dyDescent="0.2">
      <c r="A244" s="16" t="s">
        <v>189</v>
      </c>
      <c r="B244" s="84">
        <f>($I$131+$J$131+$K$131)/(($F$131-2)*$P$131)*100</f>
        <v>29.979466119096511</v>
      </c>
      <c r="C244" s="53">
        <f>($I$147+$J$147+$K$147)/(($F$147-2)*$P$147)*100</f>
        <v>92.070484581497809</v>
      </c>
      <c r="D244" s="54">
        <f>($I$163+$J$163+$K$163)/(($F$163-2)*$P$163)*100</f>
        <v>50.675675675675677</v>
      </c>
      <c r="E244" s="84">
        <f>($I$115+$J$115+$K$115)/(($F$115-2)*$P$115)*100</f>
        <v>10.843373493975903</v>
      </c>
      <c r="F244" s="18"/>
      <c r="G244" s="21">
        <f>($I$132+$J$132+$K$132)/(($F$132-2)*$P$132)*100</f>
        <v>31.707317073170731</v>
      </c>
      <c r="H244" s="55">
        <f>($I$148+$J$148+$K$148)/(($F$148-2)*$P$148)*100</f>
        <v>92.239467849223942</v>
      </c>
      <c r="I244" s="85">
        <f>($I$164+$J$164+$K$164)/(($F$164-2)*$P$164)*100</f>
        <v>49.834983498349835</v>
      </c>
      <c r="J244" s="84">
        <f>($I$116+$J$116+$K$116)/(($F$116-2)*$P$116)*100</f>
        <v>12.222222222222221</v>
      </c>
      <c r="K244" s="83"/>
      <c r="L244" s="26">
        <f>($I$133+$J$133+$K$133)/(($F$133-2)*$P$133)*100</f>
        <v>30.989010989010989</v>
      </c>
      <c r="M244" s="53">
        <f>($I$149+$J$149+$K$149)/(($F$149-2)*$P$149)*100</f>
        <v>92.111368909512763</v>
      </c>
      <c r="N244" s="85">
        <f>($I$165+$J$165+$K$165)/(($F$165-2)*$P$165)*100</f>
        <v>49.797570850202426</v>
      </c>
      <c r="O244" s="21">
        <f>($I$117+$J$117+$K$117)/(($F$117-2)*$P$117)*100</f>
        <v>13.333333333333334</v>
      </c>
    </row>
    <row r="245" spans="1:31" x14ac:dyDescent="0.2">
      <c r="A245" s="15" t="s">
        <v>11</v>
      </c>
      <c r="B245" s="50"/>
      <c r="C245" s="18"/>
      <c r="D245" s="18"/>
      <c r="E245" s="50"/>
      <c r="F245" s="50"/>
      <c r="G245" s="50"/>
      <c r="H245" s="18"/>
      <c r="I245" s="18"/>
      <c r="J245" s="50"/>
      <c r="K245" s="50"/>
      <c r="L245" s="50"/>
      <c r="M245" s="18"/>
      <c r="N245" s="18"/>
      <c r="O245" s="50"/>
    </row>
    <row r="246" spans="1:31" x14ac:dyDescent="0.2">
      <c r="A246" s="16" t="s">
        <v>187</v>
      </c>
      <c r="B246" s="84">
        <f>($L$143+$M$143)/(($F$143-2)*$P$143)*100</f>
        <v>18.895027624309392</v>
      </c>
      <c r="C246" s="23">
        <f>($L$159+$M$159)/(($F$159-2)*$P$159)*100</f>
        <v>3.5789473684210522</v>
      </c>
      <c r="D246" s="20">
        <f>($L$175+$M$175)/(($F$175-2)*$P$175)*100</f>
        <v>27.072758037225043</v>
      </c>
      <c r="E246" s="84">
        <f>($L$127+$M$127)/(($F$127-2)*$P$127)*100</f>
        <v>14.432989690721648</v>
      </c>
      <c r="F246" s="83"/>
      <c r="G246" s="84">
        <f>($L$144+$M$144)/(($F$144-2)*$P$144)*100</f>
        <v>25.591882750845546</v>
      </c>
      <c r="H246" s="22">
        <f>($L$160+$M$160)/(($F$160-2)*$P$160)*100</f>
        <v>3.7115588547189819</v>
      </c>
      <c r="I246" s="84">
        <f>($L$176+$M$176)/(($F$176-2)*$P$176)*100</f>
        <v>23.642732049036777</v>
      </c>
      <c r="J246" s="84">
        <f>($L$128+$M$128)/(($F$128-2)*$P$128)*100</f>
        <v>17.307692307692307</v>
      </c>
      <c r="K246" s="83"/>
      <c r="L246" s="20">
        <f>($L$145+$M$145)/(($F$145-2)*$P$145)*100</f>
        <v>26.344676180021953</v>
      </c>
      <c r="M246" s="23">
        <f>($L$161+$M$161)/(($F$161-2)*$P$161)*100</f>
        <v>2.465166130760986</v>
      </c>
      <c r="N246" s="84">
        <f>($L$177+$M$177)/(($F$177-2)*$P$177)*100</f>
        <v>16.182572614107883</v>
      </c>
      <c r="O246" s="21">
        <f>($L$129+$M$129)/(($F$129-2)*$P$129)*100</f>
        <v>18.478260869565215</v>
      </c>
    </row>
    <row r="247" spans="1:31" x14ac:dyDescent="0.2">
      <c r="A247" s="16" t="s">
        <v>188</v>
      </c>
      <c r="B247" s="21">
        <f>($L$135+$M$135)/(($F$135-2)*$P$135)*100</f>
        <v>16.840882694541232</v>
      </c>
      <c r="C247" s="19">
        <f>($L$151+$M$151)/(($F$151-2)*$P$151)*100</f>
        <v>2.7173913043478262</v>
      </c>
      <c r="D247" s="84">
        <f>($L$167+$M$167)/(($F$167-2)*$P$167)*100</f>
        <v>26.053639846743295</v>
      </c>
      <c r="E247" s="84">
        <f>($L$119+$M$119)/(($F$119-2)*$P$119)*100</f>
        <v>18.181818181818183</v>
      </c>
      <c r="F247" s="83"/>
      <c r="G247" s="84">
        <f>($L$136+$M$136)/(($F$136-2)*$P$136)*100</f>
        <v>14.501160092807424</v>
      </c>
      <c r="H247" s="83">
        <f>($L$152+$M$152)/(($F$152-2)*$P$152)*100</f>
        <v>1.9396551724137931</v>
      </c>
      <c r="I247" s="20">
        <f>($L$168+$M$168)/(($F$168-2)*$P$168)*100</f>
        <v>27.843137254901961</v>
      </c>
      <c r="J247" s="21">
        <f>($L$120+$M$120)/(($F$120-2)*$P$120)*100</f>
        <v>20.472440944881889</v>
      </c>
      <c r="K247" s="83"/>
      <c r="L247" s="83">
        <f>($L$137+$M$137)/(($F$137-2)*$P$137)*100</f>
        <v>8.2758620689655178</v>
      </c>
      <c r="M247" s="83">
        <f>($L$153+$M$153)/(($F$153-2)*$P$153)*100</f>
        <v>1.6251354279523293</v>
      </c>
      <c r="N247" s="26">
        <f>($L$169+$M$169)/(($F$169-2)*$P$169)*100</f>
        <v>20.040080160320642</v>
      </c>
      <c r="O247" s="84">
        <f>($L$121+$M$121)/(($F$121-2)*$P$121)*100</f>
        <v>16</v>
      </c>
    </row>
    <row r="248" spans="1:31" x14ac:dyDescent="0.2">
      <c r="A248" s="32" t="s">
        <v>189</v>
      </c>
      <c r="B248" s="55">
        <f>($L$131+$M$131)/(($F$131-2)*$P$131)*100</f>
        <v>34.70225872689938</v>
      </c>
      <c r="C248" s="88">
        <f>($L$147+$M$147)/(($F$147-2)*$P$147)*100</f>
        <v>2.4229074889867843</v>
      </c>
      <c r="D248" s="85">
        <f>($L$163+$M$163)/(($F$163-2)*$P$163)*100</f>
        <v>20.945945945945947</v>
      </c>
      <c r="E248" s="33">
        <f>($L$115+$M$115)/(($F$115-2)*$P$115)*100</f>
        <v>46.987951807228917</v>
      </c>
      <c r="F248" s="89"/>
      <c r="G248" s="53">
        <f>($L$132+$M$132)/(($F$132-2)*$P$132)*100</f>
        <v>29.471544715447155</v>
      </c>
      <c r="H248" s="86">
        <f>($L$148+$M$148)/(($F$148-2)*$P$148)*100</f>
        <v>3.325942350332594</v>
      </c>
      <c r="I248" s="54">
        <f>($L$164+$M$164)/(($F$164-2)*$P$164)*100</f>
        <v>21.122112211221122</v>
      </c>
      <c r="J248" s="34">
        <f>($L$116+$M$116)/(($F$116-2)*$P$116)*100</f>
        <v>54.444444444444443</v>
      </c>
      <c r="K248" s="89"/>
      <c r="L248" s="85">
        <f>($L$133+$M$133)/(($F$133-2)*$P$133)*100</f>
        <v>32.087912087912088</v>
      </c>
      <c r="M248" s="88">
        <f>($L$149+$M$149)/(($F$149-2)*$P$149)*100</f>
        <v>1.8561484918793503</v>
      </c>
      <c r="N248" s="85">
        <f>($L$165+$M$165)/(($F$165-2)*$P$165)*100</f>
        <v>13.765182186234817</v>
      </c>
      <c r="O248" s="33">
        <f>($L$117+$M$117)/(($F$117-2)*$P$117)*100</f>
        <v>35.238095238095241</v>
      </c>
    </row>
    <row r="249" spans="1:31" x14ac:dyDescent="0.2">
      <c r="A249" s="29" t="s">
        <v>191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Q249" s="75" t="s">
        <v>200</v>
      </c>
      <c r="R249" s="77" t="s">
        <v>196</v>
      </c>
      <c r="S249" s="77"/>
      <c r="T249" s="77"/>
      <c r="U249" s="77"/>
      <c r="V249" s="12"/>
      <c r="W249" s="77" t="s">
        <v>197</v>
      </c>
      <c r="X249" s="77"/>
      <c r="Y249" s="77"/>
      <c r="Z249" s="77"/>
      <c r="AA249" s="12"/>
      <c r="AB249" s="77" t="s">
        <v>198</v>
      </c>
      <c r="AC249" s="77"/>
      <c r="AD249" s="77"/>
      <c r="AE249" s="77"/>
    </row>
    <row r="250" spans="1:31" x14ac:dyDescent="0.2">
      <c r="A250" s="16" t="s">
        <v>187</v>
      </c>
      <c r="B250" s="21">
        <f>$O$143/(($F$143-2)*$P$143)*100</f>
        <v>18.342541436464089</v>
      </c>
      <c r="C250" s="21">
        <f>$O$159/(($F$159-2)*$P$159)*100</f>
        <v>29.578947368421055</v>
      </c>
      <c r="D250" s="20">
        <f>$O$175/(($F$175-2)*$P$175)*100</f>
        <v>34.348561759729272</v>
      </c>
      <c r="E250" s="17">
        <f>$O$127/(($F$127-2)*$P$127)*100</f>
        <v>19.587628865979383</v>
      </c>
      <c r="F250" s="18"/>
      <c r="G250" s="26">
        <f>$O$144/(($F$144-2)*$P$144)*100</f>
        <v>17.925591882750847</v>
      </c>
      <c r="H250" s="17">
        <f>$O$160/(($F$160-2)*$P$160)*100</f>
        <v>25.344644750795336</v>
      </c>
      <c r="I250" s="26">
        <f>$O$176/(($F$176-2)*$P$176)*100</f>
        <v>31.523642732049034</v>
      </c>
      <c r="J250" s="21">
        <f>$O$128/(($F$128-2)*$P$128)*100</f>
        <v>26.923076923076923</v>
      </c>
      <c r="K250" s="18"/>
      <c r="L250" s="17">
        <f>$O$145/(($F$145-2)*$P$145)*100</f>
        <v>13.50164654226125</v>
      </c>
      <c r="M250" s="26">
        <f>$O$161/(($F$161-2)*$P$161)*100</f>
        <v>21.757770632368704</v>
      </c>
      <c r="N250" s="26">
        <f>$O$177/(($F$177-2)*$P$177)*100</f>
        <v>25.103734439834025</v>
      </c>
      <c r="O250" s="17">
        <f>$O$129/(($F$129-2)*$P$129)*100</f>
        <v>26.086956521739129</v>
      </c>
      <c r="Q250" s="77"/>
      <c r="R250" s="12" t="s">
        <v>183</v>
      </c>
      <c r="S250" s="12" t="s">
        <v>184</v>
      </c>
      <c r="T250" s="12" t="s">
        <v>185</v>
      </c>
      <c r="U250" s="12" t="s">
        <v>186</v>
      </c>
      <c r="V250" s="12"/>
      <c r="W250" s="12" t="s">
        <v>183</v>
      </c>
      <c r="X250" s="12" t="s">
        <v>184</v>
      </c>
      <c r="Y250" s="12" t="s">
        <v>185</v>
      </c>
      <c r="Z250" s="12" t="s">
        <v>186</v>
      </c>
      <c r="AA250" s="12"/>
      <c r="AB250" s="12" t="s">
        <v>183</v>
      </c>
      <c r="AC250" s="12" t="s">
        <v>184</v>
      </c>
      <c r="AD250" s="12" t="s">
        <v>185</v>
      </c>
      <c r="AE250" s="12" t="s">
        <v>186</v>
      </c>
    </row>
    <row r="251" spans="1:31" x14ac:dyDescent="0.2">
      <c r="A251" s="16" t="s">
        <v>188</v>
      </c>
      <c r="B251" s="20">
        <f>$O$135/(($F$135-2)*$P$135)*100</f>
        <v>19.860627177700348</v>
      </c>
      <c r="C251" s="20">
        <f>$O$151/(($F$151-2)*$P$151)*100</f>
        <v>29.673913043478262</v>
      </c>
      <c r="D251" s="17">
        <f>$O$167/(($F$167-2)*$P$167)*100</f>
        <v>28.35249042145594</v>
      </c>
      <c r="E251" s="26">
        <f>$O$119/(($F$119-2)*$P$119)*100</f>
        <v>39.86013986013986</v>
      </c>
      <c r="F251" s="18"/>
      <c r="G251" s="17">
        <f>$O$136/(($F$136-2)*$P$136)*100</f>
        <v>16.473317865429234</v>
      </c>
      <c r="H251" s="26">
        <f>$O$152/(($F$152-2)*$P$152)*100</f>
        <v>25.969827586206897</v>
      </c>
      <c r="I251" s="21">
        <f>$O$168/(($F$168-2)*$P$168)*100</f>
        <v>30.588235294117649</v>
      </c>
      <c r="J251" s="20">
        <f>$O$120/(($F$120-2)*$P$120)*100</f>
        <v>41.732283464566926</v>
      </c>
      <c r="K251" s="18"/>
      <c r="L251" s="17">
        <f>$O$137/(($F$137-2)*$P$137)*100</f>
        <v>10</v>
      </c>
      <c r="M251" s="17">
        <f>$O$153/(($F$153-2)*$P$153)*100</f>
        <v>16.143011917659805</v>
      </c>
      <c r="N251" s="17">
        <f>$O$169/(($F$169-2)*$P$169)*100</f>
        <v>21.242484969939881</v>
      </c>
      <c r="O251" s="26">
        <f>$O$121/(($F$121-2)*$P$121)*100</f>
        <v>28.000000000000004</v>
      </c>
      <c r="Q251" s="16" t="s">
        <v>187</v>
      </c>
      <c r="R251" s="57">
        <f>B234+B238</f>
        <v>59.77900552486188</v>
      </c>
      <c r="S251" s="7">
        <f t="shared" ref="R251:U253" si="56">C234+C238</f>
        <v>6</v>
      </c>
      <c r="T251" s="30">
        <f t="shared" si="56"/>
        <v>21.489001692047378</v>
      </c>
      <c r="U251" s="57">
        <f t="shared" si="56"/>
        <v>70.103092783505147</v>
      </c>
      <c r="V251" s="30"/>
      <c r="W251" s="30">
        <f t="shared" ref="W251:Z253" si="57">G234+G238</f>
        <v>52.311161217587369</v>
      </c>
      <c r="X251" s="7">
        <f t="shared" si="57"/>
        <v>5.9384941675503722</v>
      </c>
      <c r="Y251" s="30">
        <f t="shared" si="57"/>
        <v>24.343257443082308</v>
      </c>
      <c r="Z251" s="57">
        <f t="shared" si="57"/>
        <v>68.269230769230774</v>
      </c>
      <c r="AA251" s="30"/>
      <c r="AB251" s="30">
        <f t="shared" ref="AB251:AE253" si="58">L234+L238</f>
        <v>52.689352360043905</v>
      </c>
      <c r="AC251" s="7">
        <f t="shared" si="58"/>
        <v>6.430868167202572</v>
      </c>
      <c r="AD251" s="30">
        <f t="shared" si="58"/>
        <v>29.668049792531122</v>
      </c>
      <c r="AE251" s="57">
        <f t="shared" si="58"/>
        <v>69.565217391304344</v>
      </c>
    </row>
    <row r="252" spans="1:31" x14ac:dyDescent="0.2">
      <c r="A252" s="16" t="s">
        <v>189</v>
      </c>
      <c r="B252" s="17">
        <f>$O$131/(($F$131-2)*$P$131)*100</f>
        <v>14.168377823408623</v>
      </c>
      <c r="C252" s="17">
        <f>$O$147/(($F$147-2)*$P$147)*100</f>
        <v>17.400881057268723</v>
      </c>
      <c r="D252" s="17">
        <f>$O$163/(($F$163-2)*$P$163)*100</f>
        <v>16.554054054054053</v>
      </c>
      <c r="E252" s="17">
        <f>$O$115/(($F$115-2)*$P$115)*100</f>
        <v>10.843373493975903</v>
      </c>
      <c r="F252" s="18"/>
      <c r="G252" s="21">
        <f>$O$132/(($F$132-2)*$P$132)*100</f>
        <v>14.43089430894309</v>
      </c>
      <c r="H252" s="21">
        <f>$O$148/(($F$148-2)*$P$148)*100</f>
        <v>18.403547671840354</v>
      </c>
      <c r="I252" s="21">
        <f>$O$164/(($F$164-2)*$P$164)*100</f>
        <v>23.1023102310231</v>
      </c>
      <c r="J252" s="21">
        <f>$O$116/(($F$116-2)*$P$116)*100</f>
        <v>17.777777777777779</v>
      </c>
      <c r="K252" s="18"/>
      <c r="L252" s="26">
        <f>$O$133/(($F$133-2)*$P$133)*100</f>
        <v>14.285714285714285</v>
      </c>
      <c r="M252" s="17">
        <f>$O$149/(($F$149-2)*$P$149)*100</f>
        <v>14.849187935034802</v>
      </c>
      <c r="N252" s="18">
        <f>$O$165/(($F$165-2)*$P$165)*100</f>
        <v>9.3117408906882595</v>
      </c>
      <c r="O252" s="18">
        <f>$O$117/(($F$117-2)*$P$117)*100</f>
        <v>4.7619047619047619</v>
      </c>
      <c r="Q252" s="16" t="s">
        <v>188</v>
      </c>
      <c r="R252" s="30">
        <f t="shared" si="56"/>
        <v>49.245063879210221</v>
      </c>
      <c r="S252" s="7">
        <f t="shared" si="56"/>
        <v>6.5217391304347823</v>
      </c>
      <c r="T252" s="30">
        <f t="shared" si="56"/>
        <v>37.164750957854409</v>
      </c>
      <c r="U252" s="30">
        <f t="shared" si="56"/>
        <v>30.76923076923077</v>
      </c>
      <c r="V252" s="30"/>
      <c r="W252" s="30">
        <f t="shared" si="57"/>
        <v>53.712296983758705</v>
      </c>
      <c r="X252" s="7">
        <f t="shared" si="57"/>
        <v>7.5431034482758621</v>
      </c>
      <c r="Y252" s="30">
        <f t="shared" si="57"/>
        <v>35.294117647058819</v>
      </c>
      <c r="Z252" s="30">
        <f t="shared" si="57"/>
        <v>24.409448818897637</v>
      </c>
      <c r="AA252" s="7"/>
      <c r="AB252" s="30">
        <f t="shared" si="58"/>
        <v>65.402298850574709</v>
      </c>
      <c r="AC252" s="7">
        <f t="shared" si="58"/>
        <v>7.042253521126761</v>
      </c>
      <c r="AD252" s="30">
        <f t="shared" si="58"/>
        <v>46.69338677354709</v>
      </c>
      <c r="AE252" s="30">
        <f t="shared" si="58"/>
        <v>40</v>
      </c>
    </row>
    <row r="253" spans="1:31" ht="16" thickBot="1" x14ac:dyDescent="0.25">
      <c r="B253" s="30">
        <f>SUM(B234,B238,B242,B246)</f>
        <v>100</v>
      </c>
      <c r="C253" s="30">
        <f>SUM(C234,C238,C242,C246)</f>
        <v>100</v>
      </c>
      <c r="D253" s="30">
        <f>SUM(D234,D238,D242,D246)</f>
        <v>100</v>
      </c>
      <c r="E253" s="30">
        <f>SUM(E234,E238,E242,E246)</f>
        <v>100</v>
      </c>
      <c r="G253" s="30">
        <f>SUM(G234,G238,G242,G246)</f>
        <v>100</v>
      </c>
      <c r="H253" s="30">
        <f>SUM(H234,H238,H242,H246)</f>
        <v>100</v>
      </c>
      <c r="I253" s="30">
        <f>SUM(I234,I238,I242,I246)</f>
        <v>100</v>
      </c>
      <c r="J253" s="30">
        <f>SUM(J234,J238,J242,J246)</f>
        <v>100</v>
      </c>
      <c r="K253" s="7"/>
      <c r="L253" s="30">
        <f>SUM(L234,L238,L242,L246)</f>
        <v>99.999999999999986</v>
      </c>
      <c r="M253" s="30">
        <f>SUM(M234,M238,M242,M246)</f>
        <v>100</v>
      </c>
      <c r="N253" s="30">
        <f>SUM(N234,N238,N242,N246)</f>
        <v>100</v>
      </c>
      <c r="O253" s="30">
        <f>SUM(O234,O238,O242,O246)</f>
        <v>100</v>
      </c>
      <c r="Q253" s="40" t="s">
        <v>189</v>
      </c>
      <c r="R253" s="30">
        <f t="shared" si="56"/>
        <v>35.318275154004112</v>
      </c>
      <c r="S253" s="7">
        <f t="shared" si="56"/>
        <v>5.5066079295154191</v>
      </c>
      <c r="T253" s="30">
        <f t="shared" si="56"/>
        <v>28.378378378378379</v>
      </c>
      <c r="U253" s="30">
        <f t="shared" si="56"/>
        <v>42.168674698795186</v>
      </c>
      <c r="V253" s="30"/>
      <c r="W253" s="30">
        <f t="shared" si="57"/>
        <v>38.821138211382106</v>
      </c>
      <c r="X253" s="7">
        <f t="shared" si="57"/>
        <v>4.434589800443459</v>
      </c>
      <c r="Y253" s="30">
        <f t="shared" si="57"/>
        <v>29.042904290429043</v>
      </c>
      <c r="Z253" s="30">
        <f t="shared" si="57"/>
        <v>33.333333333333336</v>
      </c>
      <c r="AB253" s="30">
        <f t="shared" si="58"/>
        <v>36.92307692307692</v>
      </c>
      <c r="AC253" s="7">
        <f t="shared" si="58"/>
        <v>6.0324825986078885</v>
      </c>
      <c r="AD253" s="30">
        <f t="shared" si="58"/>
        <v>36.43724696356275</v>
      </c>
      <c r="AE253" s="30">
        <f t="shared" si="58"/>
        <v>51.428571428571431</v>
      </c>
    </row>
    <row r="254" spans="1:31" x14ac:dyDescent="0.2">
      <c r="B254" s="30">
        <f>SUM(B235,B239,B243,B247)</f>
        <v>100.00000000000001</v>
      </c>
      <c r="C254" s="30">
        <f>SUM(C235,C239,C243,C247)</f>
        <v>100</v>
      </c>
      <c r="D254" s="30">
        <f>SUM(D235,D239,D243,D247)</f>
        <v>100</v>
      </c>
      <c r="E254" s="30">
        <f>SUM(E235,E239,E243,E247)</f>
        <v>100.00000000000001</v>
      </c>
      <c r="G254" s="30">
        <f>SUM(G235,G239,G243,G247)</f>
        <v>100</v>
      </c>
      <c r="H254" s="30">
        <f>SUM(H235,H239,H243,H247)</f>
        <v>100</v>
      </c>
      <c r="I254" s="30">
        <f>SUM(I235,I239,I243,I247)</f>
        <v>100</v>
      </c>
      <c r="J254" s="30">
        <f>SUM(J235,J239,J243,J247)</f>
        <v>100</v>
      </c>
      <c r="L254" s="30">
        <f>SUM(L235,L239,L243,L247)</f>
        <v>100</v>
      </c>
      <c r="M254" s="30">
        <f>SUM(M235,M239,M243,M247)</f>
        <v>100</v>
      </c>
      <c r="N254" s="30">
        <f>SUM(N235,N239,N243,N247)</f>
        <v>99.999999999999986</v>
      </c>
      <c r="O254" s="30">
        <f>SUM(O235,O239,O243,O247)</f>
        <v>100</v>
      </c>
      <c r="Q254" s="16" t="s">
        <v>168</v>
      </c>
      <c r="R254" s="30">
        <f>AVERAGE(R251:R253)</f>
        <v>48.114114852692069</v>
      </c>
      <c r="S254" s="7">
        <f t="shared" ref="S254:AE254" si="59">AVERAGE(S251:S253)</f>
        <v>6.0094490199833999</v>
      </c>
      <c r="T254" s="30">
        <f t="shared" si="59"/>
        <v>29.010710342760053</v>
      </c>
      <c r="U254" s="30">
        <f t="shared" si="59"/>
        <v>47.680332750510367</v>
      </c>
      <c r="V254" s="30"/>
      <c r="W254" s="30">
        <f t="shared" si="59"/>
        <v>48.281532137576058</v>
      </c>
      <c r="X254" s="7">
        <f t="shared" si="59"/>
        <v>5.972062472089898</v>
      </c>
      <c r="Y254" s="30">
        <f t="shared" si="59"/>
        <v>29.560093126856724</v>
      </c>
      <c r="Z254" s="30">
        <f t="shared" si="59"/>
        <v>42.004004307153913</v>
      </c>
      <c r="AA254" s="30"/>
      <c r="AB254" s="30">
        <f t="shared" si="59"/>
        <v>51.671576044565178</v>
      </c>
      <c r="AC254" s="7">
        <f t="shared" si="59"/>
        <v>6.5018680956457402</v>
      </c>
      <c r="AD254" s="30">
        <f t="shared" si="59"/>
        <v>37.599561176546985</v>
      </c>
      <c r="AE254" s="30">
        <f t="shared" si="59"/>
        <v>53.66459627329192</v>
      </c>
    </row>
    <row r="255" spans="1:31" x14ac:dyDescent="0.2">
      <c r="B255" s="30">
        <f>SUM(B236,B240,B244,B248)</f>
        <v>100</v>
      </c>
      <c r="C255" s="30">
        <f>SUM(C236,C240,C244,C248)</f>
        <v>100.00000000000001</v>
      </c>
      <c r="D255" s="30">
        <f>SUM(D236,D240,D244,D248)</f>
        <v>100.00000000000001</v>
      </c>
      <c r="E255" s="30">
        <f>SUM(E236,E240,E244,E248)</f>
        <v>100</v>
      </c>
      <c r="G255" s="30">
        <f>SUM(G236,G240,G244,G248)</f>
        <v>99.999999999999986</v>
      </c>
      <c r="H255" s="30">
        <f>SUM(H236,H240,H244,H248)</f>
        <v>100</v>
      </c>
      <c r="I255" s="30">
        <f>SUM(I236,I240,I244,I248)</f>
        <v>100</v>
      </c>
      <c r="J255" s="30">
        <f>SUM(J236,J240,J244,J248)</f>
        <v>100</v>
      </c>
      <c r="L255" s="30">
        <f>SUM(L236,L240,L244,L248)</f>
        <v>100</v>
      </c>
      <c r="M255" s="30">
        <f>SUM(M236,M240,M244,M248)</f>
        <v>100</v>
      </c>
      <c r="N255" s="30">
        <f>SUM(N236,N240,N244,N248)</f>
        <v>100</v>
      </c>
      <c r="O255" s="30">
        <f>SUM(O236,O240,O244,O248)</f>
        <v>100</v>
      </c>
      <c r="S255" s="30">
        <f>AVERAGE(R254:U254)</f>
        <v>32.703651741486475</v>
      </c>
      <c r="X255" s="30">
        <f>AVERAGE(W254:Z254)</f>
        <v>31.45442301091915</v>
      </c>
      <c r="AC255" s="30">
        <f>AVERAGE(AB254:AE254)</f>
        <v>37.359400397512459</v>
      </c>
    </row>
    <row r="258" spans="1:15" x14ac:dyDescent="0.2">
      <c r="A258" s="75" t="s">
        <v>199</v>
      </c>
      <c r="B258" s="77" t="s">
        <v>196</v>
      </c>
      <c r="C258" s="77"/>
      <c r="D258" s="77"/>
      <c r="E258" s="77"/>
      <c r="F258" s="78"/>
      <c r="G258" s="77" t="s">
        <v>197</v>
      </c>
      <c r="H258" s="77"/>
      <c r="I258" s="77"/>
      <c r="J258" s="77"/>
      <c r="L258" s="77" t="s">
        <v>198</v>
      </c>
      <c r="M258" s="77"/>
      <c r="N258" s="77"/>
      <c r="O258" s="77"/>
    </row>
    <row r="259" spans="1:15" x14ac:dyDescent="0.2">
      <c r="A259" s="75"/>
      <c r="B259" s="77"/>
      <c r="C259" s="77"/>
      <c r="D259" s="77"/>
      <c r="E259" s="77"/>
      <c r="F259" s="78"/>
      <c r="G259" s="77"/>
      <c r="H259" s="77"/>
      <c r="I259" s="77"/>
      <c r="J259" s="77"/>
      <c r="K259" s="14"/>
      <c r="L259" s="77"/>
      <c r="M259" s="77"/>
      <c r="N259" s="77"/>
      <c r="O259" s="77"/>
    </row>
    <row r="260" spans="1:15" x14ac:dyDescent="0.2">
      <c r="A260" s="79"/>
      <c r="B260" s="12" t="s">
        <v>183</v>
      </c>
      <c r="C260" s="12" t="s">
        <v>184</v>
      </c>
      <c r="D260" s="12" t="s">
        <v>185</v>
      </c>
      <c r="E260" s="12" t="s">
        <v>186</v>
      </c>
      <c r="G260" s="12" t="s">
        <v>183</v>
      </c>
      <c r="H260" s="12" t="s">
        <v>184</v>
      </c>
      <c r="I260" s="12" t="s">
        <v>185</v>
      </c>
      <c r="J260" s="12" t="s">
        <v>186</v>
      </c>
      <c r="L260" s="12" t="s">
        <v>183</v>
      </c>
      <c r="M260" s="12" t="s">
        <v>184</v>
      </c>
      <c r="N260" s="12" t="s">
        <v>185</v>
      </c>
      <c r="O260" s="12" t="s">
        <v>186</v>
      </c>
    </row>
    <row r="261" spans="1:15" x14ac:dyDescent="0.2">
      <c r="A261" s="15" t="s">
        <v>7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spans="1:15" x14ac:dyDescent="0.2">
      <c r="A262" s="16" t="s">
        <v>188</v>
      </c>
      <c r="B262" s="21">
        <f>B235</f>
        <v>19.047619047619047</v>
      </c>
      <c r="C262" s="18">
        <f>C235</f>
        <v>2.0652173913043477</v>
      </c>
      <c r="D262" s="18">
        <f>D235</f>
        <v>4.0229885057471266</v>
      </c>
      <c r="E262" s="17">
        <f>E235</f>
        <v>13.986013986013987</v>
      </c>
      <c r="F262" s="12"/>
      <c r="G262" s="17">
        <f>G235</f>
        <v>20.765661252900234</v>
      </c>
      <c r="H262" s="18">
        <f>H235</f>
        <v>2.3706896551724137</v>
      </c>
      <c r="I262" s="19">
        <f>I235</f>
        <v>2.7450980392156863</v>
      </c>
      <c r="J262" s="19">
        <f>J235</f>
        <v>7.0866141732283463</v>
      </c>
      <c r="L262" s="17">
        <f>L235</f>
        <v>25.977011494252871</v>
      </c>
      <c r="M262" s="19">
        <f>M235</f>
        <v>1.8418201516793065</v>
      </c>
      <c r="N262" s="18">
        <f>N235</f>
        <v>4.0080160320641278</v>
      </c>
      <c r="O262" s="17">
        <f>O235</f>
        <v>16</v>
      </c>
    </row>
    <row r="263" spans="1:15" x14ac:dyDescent="0.2">
      <c r="A263" s="16" t="s">
        <v>192</v>
      </c>
      <c r="B263" s="22">
        <f>$H$139/(($F$139-2)*$P$139)*100</f>
        <v>1.9607843137254901</v>
      </c>
      <c r="C263" s="25">
        <f>$H$155/(($F$155-2)*$P$155)*100</f>
        <v>0</v>
      </c>
      <c r="D263" s="23">
        <f>$H$171/(($F$171-2)*$P$171)*100</f>
        <v>3.7383177570093453</v>
      </c>
      <c r="E263" s="23">
        <f>$H$123/(($F$123-2)*$P$123)*100</f>
        <v>2.4390243902439024</v>
      </c>
      <c r="F263" s="12"/>
      <c r="G263" s="23">
        <f>$H$140/(($F$140-2)*$P$140)*100</f>
        <v>2.083333333333333</v>
      </c>
      <c r="H263" s="25">
        <f>$H$156/(($F$156-2)*$P$156)*100</f>
        <v>0</v>
      </c>
      <c r="I263" s="22">
        <f>$H$172/(($F$172-2)*$P$172)*100</f>
        <v>2.6315789473684208</v>
      </c>
      <c r="J263" s="22">
        <f>$H$124/(($F$124-2)*$P$124)*100</f>
        <v>2.3255813953488373</v>
      </c>
      <c r="L263" s="23">
        <f>$H$141/(($F$141-2)*$P$141)*100</f>
        <v>4.4444444444444446</v>
      </c>
      <c r="M263" s="24">
        <f>$H$157/(($F$157-2)*$P$157)*100</f>
        <v>0.85470085470085477</v>
      </c>
      <c r="N263" s="23">
        <f>$H$173/(($F$173-2)*$P$173)*100</f>
        <v>3.2608695652173911</v>
      </c>
      <c r="O263" s="23">
        <f>$H$125/(($F$125-2)*$P$125)*100</f>
        <v>8</v>
      </c>
    </row>
    <row r="264" spans="1:15" x14ac:dyDescent="0.2">
      <c r="A264" s="15" t="s">
        <v>13</v>
      </c>
      <c r="B264" s="27"/>
      <c r="C264" s="27"/>
      <c r="D264" s="27"/>
      <c r="E264" s="27"/>
      <c r="F264" s="27"/>
      <c r="G264" s="27"/>
      <c r="H264" s="27"/>
      <c r="I264" s="27"/>
      <c r="J264" s="27"/>
      <c r="K264" s="15"/>
      <c r="L264" s="27"/>
      <c r="M264" s="27"/>
      <c r="N264" s="27"/>
      <c r="O264" s="27"/>
    </row>
    <row r="265" spans="1:15" x14ac:dyDescent="0.2">
      <c r="A265" s="16" t="s">
        <v>188</v>
      </c>
      <c r="B265" s="20">
        <f>B239</f>
        <v>30.197444831591174</v>
      </c>
      <c r="C265" s="19">
        <f>C239</f>
        <v>4.4565217391304346</v>
      </c>
      <c r="D265" s="17">
        <f>D239</f>
        <v>33.14176245210728</v>
      </c>
      <c r="E265" s="20">
        <f>E239</f>
        <v>16.783216783216783</v>
      </c>
      <c r="F265" s="12"/>
      <c r="G265" s="26">
        <f>G239</f>
        <v>32.946635730858468</v>
      </c>
      <c r="H265" s="18">
        <f>H239</f>
        <v>5.1724137931034484</v>
      </c>
      <c r="I265" s="21">
        <f>I239</f>
        <v>32.549019607843135</v>
      </c>
      <c r="J265" s="26">
        <f>J239</f>
        <v>17.322834645669293</v>
      </c>
      <c r="L265" s="26">
        <f>L239</f>
        <v>39.425287356321839</v>
      </c>
      <c r="M265" s="18">
        <f>M239</f>
        <v>5.2004333694474543</v>
      </c>
      <c r="N265" s="17">
        <f>N239</f>
        <v>42.685370741482963</v>
      </c>
      <c r="O265" s="26">
        <f>O239</f>
        <v>24</v>
      </c>
    </row>
    <row r="266" spans="1:15" x14ac:dyDescent="0.2">
      <c r="A266" s="16" t="s">
        <v>192</v>
      </c>
      <c r="B266" s="21">
        <f>$N$139/(($F$139-2)*$P$139)*100</f>
        <v>35.294117647058826</v>
      </c>
      <c r="C266" s="23">
        <f>$N$155/(($F$155-2)*$P$155)*100</f>
        <v>3.3613445378151261</v>
      </c>
      <c r="D266" s="26">
        <f>$N$171/(($F$171-2)*$P$171)*100</f>
        <v>25.233644859813083</v>
      </c>
      <c r="E266" s="21">
        <f>$N$123/(($F$123-2)*$P$123)*100</f>
        <v>21.951219512195124</v>
      </c>
      <c r="F266" s="12"/>
      <c r="G266" s="17">
        <f>$N$140/(($F$140-2)*$P$140)*100</f>
        <v>35.416666666666671</v>
      </c>
      <c r="H266" s="25">
        <f>$N$156/(($F$156-2)*$P$156)*100</f>
        <v>0.79365079365079361</v>
      </c>
      <c r="I266" s="20">
        <f>$N$172/(($F$172-2)*$P$172)*100</f>
        <v>22.807017543859647</v>
      </c>
      <c r="J266" s="17">
        <f>$N$124/(($F$124-2)*$P$124)*100</f>
        <v>27.906976744186046</v>
      </c>
      <c r="L266" s="17">
        <f>$N$141/(($F$141-2)*$P$141)*100</f>
        <v>46.666666666666664</v>
      </c>
      <c r="M266" s="23">
        <f>$N$157/(($F$157-2)*$P$157)*100</f>
        <v>2.5641025641025639</v>
      </c>
      <c r="N266" s="26">
        <f>$N$173/(($F$173-2)*$P$173)*100</f>
        <v>27.173913043478258</v>
      </c>
      <c r="O266" s="17">
        <f>$N$125/(($F$125-2)*$P$125)*100</f>
        <v>32</v>
      </c>
    </row>
    <row r="267" spans="1:15" x14ac:dyDescent="0.2">
      <c r="A267" s="15" t="s">
        <v>190</v>
      </c>
      <c r="B267" s="27"/>
      <c r="C267" s="27"/>
      <c r="D267" s="27"/>
      <c r="E267" s="27"/>
      <c r="F267" s="27"/>
      <c r="G267" s="27"/>
      <c r="H267" s="27"/>
      <c r="I267" s="27"/>
      <c r="J267" s="27"/>
      <c r="K267" s="15"/>
      <c r="L267" s="27"/>
      <c r="M267" s="27"/>
      <c r="N267" s="27"/>
      <c r="O267" s="27"/>
    </row>
    <row r="268" spans="1:15" x14ac:dyDescent="0.2">
      <c r="A268" s="16" t="s">
        <v>188</v>
      </c>
      <c r="B268" s="20">
        <f>B243</f>
        <v>33.91405342624855</v>
      </c>
      <c r="C268" s="84">
        <f>C243</f>
        <v>90.760869565217391</v>
      </c>
      <c r="D268" s="84">
        <f>D243</f>
        <v>36.781609195402297</v>
      </c>
      <c r="E268" s="26">
        <f>E243</f>
        <v>51.048951048951054</v>
      </c>
      <c r="F268" s="94"/>
      <c r="G268" s="26">
        <f>G243</f>
        <v>31.786542923433874</v>
      </c>
      <c r="H268" s="84">
        <f>H243</f>
        <v>90.517241379310349</v>
      </c>
      <c r="I268" s="21">
        <f>I243</f>
        <v>36.86274509803922</v>
      </c>
      <c r="J268" s="20">
        <f>J243</f>
        <v>55.118110236220474</v>
      </c>
      <c r="K268" s="91"/>
      <c r="L268" s="26">
        <f>L243</f>
        <v>26.321839080459768</v>
      </c>
      <c r="M268" s="21">
        <f>M243</f>
        <v>91.332611050920903</v>
      </c>
      <c r="N268" s="84">
        <f>N243</f>
        <v>33.266533066132261</v>
      </c>
      <c r="O268" s="26">
        <f>O243</f>
        <v>44</v>
      </c>
    </row>
    <row r="269" spans="1:15" x14ac:dyDescent="0.2">
      <c r="A269" s="16" t="s">
        <v>192</v>
      </c>
      <c r="B269" s="84">
        <f>($I$139+$J$139+$K$139)/(($F$139-2)*$P$139)*100</f>
        <v>15.686274509803921</v>
      </c>
      <c r="C269" s="26">
        <f>($I$155+$J$155+$K$155)/(($F$155-2)*$P$155)*100</f>
        <v>94.9579831932773</v>
      </c>
      <c r="D269" s="20">
        <f>($I$171+$J$171+$K$171)/(($F$171-2)*$P$171)*100</f>
        <v>42.056074766355138</v>
      </c>
      <c r="E269" s="21">
        <f>($I$123+$J$123+$K$123)/(($F$123-2)*$P$123)*100</f>
        <v>39.024390243902438</v>
      </c>
      <c r="F269" s="94"/>
      <c r="G269" s="84">
        <f>($I$140+$J$140+$K$140)/(($F$140-2)*$P$140)*100</f>
        <v>18.75</v>
      </c>
      <c r="H269" s="20">
        <f>($I$156+$J$156+$K$156)/(($F$156-2)*$P$156)*100</f>
        <v>97.61904761904762</v>
      </c>
      <c r="I269" s="26">
        <f>($I$172+$J$172+$K$172)/(($F$172-2)*$P$172)*100</f>
        <v>39.473684210526315</v>
      </c>
      <c r="J269" s="84">
        <f>($I$124+$J$124+$K$124)/(($F$124-2)*$P$124)*100</f>
        <v>25.581395348837212</v>
      </c>
      <c r="K269" s="96"/>
      <c r="L269" s="21">
        <f>($I$141+$J$141+$K$141)/(($F$141-2)*$P$141)*100</f>
        <v>20</v>
      </c>
      <c r="M269" s="26">
        <f>($I$157+$J$157+$K$157)/(($F$157-2)*$P$157)*100</f>
        <v>94.01709401709401</v>
      </c>
      <c r="N269" s="26">
        <f>($I$173+$J$173+$K$173)/(($F$173-2)*$P$173)*100</f>
        <v>39.130434782608695</v>
      </c>
      <c r="O269" s="84">
        <f>($I$125+$J$125+$K$125)/(($F$125-2)*$P$125)*100</f>
        <v>36</v>
      </c>
    </row>
    <row r="270" spans="1:15" x14ac:dyDescent="0.2">
      <c r="A270" s="15" t="s">
        <v>11</v>
      </c>
      <c r="B270" s="90"/>
      <c r="C270" s="90"/>
      <c r="D270" s="90"/>
      <c r="E270" s="90"/>
      <c r="F270" s="90"/>
      <c r="G270" s="90"/>
      <c r="H270" s="90"/>
      <c r="I270" s="90"/>
      <c r="J270" s="90"/>
      <c r="K270" s="91"/>
      <c r="L270" s="90"/>
      <c r="M270" s="90"/>
      <c r="N270" s="90"/>
      <c r="O270" s="90"/>
    </row>
    <row r="271" spans="1:15" x14ac:dyDescent="0.2">
      <c r="A271" s="16" t="s">
        <v>188</v>
      </c>
      <c r="B271" s="21">
        <f>B247</f>
        <v>16.840882694541232</v>
      </c>
      <c r="C271" s="22">
        <f>C247</f>
        <v>2.7173913043478262</v>
      </c>
      <c r="D271" s="84">
        <f>D247</f>
        <v>26.053639846743295</v>
      </c>
      <c r="E271" s="84">
        <f>E247</f>
        <v>18.181818181818183</v>
      </c>
      <c r="F271" s="94"/>
      <c r="G271" s="84">
        <f>G247</f>
        <v>14.501160092807424</v>
      </c>
      <c r="H271" s="23">
        <f>H247</f>
        <v>1.9396551724137931</v>
      </c>
      <c r="I271" s="21">
        <f>I247</f>
        <v>27.843137254901961</v>
      </c>
      <c r="J271" s="21">
        <f>J247</f>
        <v>20.472440944881889</v>
      </c>
      <c r="K271" s="91"/>
      <c r="L271" s="83">
        <f>L247</f>
        <v>8.2758620689655178</v>
      </c>
      <c r="M271" s="83">
        <f>M247</f>
        <v>1.6251354279523293</v>
      </c>
      <c r="N271" s="84">
        <f>N247</f>
        <v>20.040080160320642</v>
      </c>
      <c r="O271" s="84">
        <f>O247</f>
        <v>16</v>
      </c>
    </row>
    <row r="272" spans="1:15" x14ac:dyDescent="0.2">
      <c r="A272" s="32" t="s">
        <v>192</v>
      </c>
      <c r="B272" s="20">
        <f>($L$139+$M$139)/(($F$139-2)*$P$139)*100</f>
        <v>47.058823529411761</v>
      </c>
      <c r="C272" s="83">
        <f>($L$155+$M$155)/(($F$155-2)*$P$155)*100</f>
        <v>1.680672268907563</v>
      </c>
      <c r="D272" s="26">
        <f>($L$171+$M$171)/(($F$171-2)*$P$171)*100</f>
        <v>28.971962616822427</v>
      </c>
      <c r="E272" s="26">
        <f>($L$123+$M$123)/(($F$123-2)*$P$123)*100</f>
        <v>36.585365853658537</v>
      </c>
      <c r="F272" s="95"/>
      <c r="G272" s="26">
        <f>($L$140+$M$140)/(($F$140-2)*$P$140)*100</f>
        <v>43.75</v>
      </c>
      <c r="H272" s="83">
        <f>($L$156+$M$156)/(($F$156-2)*$P$156)*100</f>
        <v>1.5873015873015872</v>
      </c>
      <c r="I272" s="20">
        <f>($L$172+$M$172)/(($F$172-2)*$P$172)*100</f>
        <v>35.087719298245609</v>
      </c>
      <c r="J272" s="20">
        <f>($L$124+$M$124)/(($F$124-2)*$P$124)*100</f>
        <v>44.186046511627907</v>
      </c>
      <c r="K272" s="96"/>
      <c r="L272" s="26">
        <f>($L$141+$M$141)/(($F$141-2)*$P$141)*100</f>
        <v>28.888888888888886</v>
      </c>
      <c r="M272" s="22">
        <f>($L$157+$M$157)/(($F$157-2)*$P$157)*100</f>
        <v>2.5641025641025639</v>
      </c>
      <c r="N272" s="26">
        <f>($L$173+$M$173)/(($F$173-2)*$P$173)*100</f>
        <v>30.434782608695656</v>
      </c>
      <c r="O272" s="26">
        <f>($L$125+$M$125)/(($F$125-2)*$P$125)*100</f>
        <v>24</v>
      </c>
    </row>
    <row r="273" spans="1:23" x14ac:dyDescent="0.2">
      <c r="A273" s="29" t="s">
        <v>193</v>
      </c>
      <c r="B273" s="27"/>
      <c r="C273" s="27"/>
      <c r="D273" s="27"/>
      <c r="E273" s="27"/>
      <c r="F273" s="27"/>
      <c r="G273" s="27"/>
      <c r="H273" s="27"/>
      <c r="I273" s="27"/>
      <c r="J273" s="27"/>
      <c r="K273" s="15"/>
      <c r="L273" s="27"/>
      <c r="M273" s="27"/>
      <c r="N273" s="27"/>
      <c r="O273" s="27"/>
    </row>
    <row r="274" spans="1:23" x14ac:dyDescent="0.2">
      <c r="A274" s="16" t="s">
        <v>188</v>
      </c>
      <c r="B274" s="21">
        <f>B251</f>
        <v>19.860627177700348</v>
      </c>
      <c r="C274" s="21">
        <f>C251</f>
        <v>29.673913043478262</v>
      </c>
      <c r="D274" s="17">
        <f>D251</f>
        <v>28.35249042145594</v>
      </c>
      <c r="E274" s="17">
        <f>E251</f>
        <v>39.86013986013986</v>
      </c>
      <c r="F274" s="12"/>
      <c r="G274" s="17">
        <f>G251</f>
        <v>16.473317865429234</v>
      </c>
      <c r="H274" s="17">
        <f>H251</f>
        <v>25.969827586206897</v>
      </c>
      <c r="I274" s="21">
        <f>I251</f>
        <v>30.588235294117649</v>
      </c>
      <c r="J274" s="21">
        <f>J251</f>
        <v>41.732283464566926</v>
      </c>
      <c r="L274" s="17">
        <f>L251</f>
        <v>10</v>
      </c>
      <c r="M274" s="17">
        <f>M251</f>
        <v>16.143011917659805</v>
      </c>
      <c r="N274" s="17">
        <f>N251</f>
        <v>21.242484969939881</v>
      </c>
      <c r="O274" s="17">
        <f>O251</f>
        <v>28.000000000000004</v>
      </c>
    </row>
    <row r="275" spans="1:23" x14ac:dyDescent="0.2">
      <c r="A275" s="32" t="s">
        <v>192</v>
      </c>
      <c r="B275" s="33">
        <f>$O$139/(($F$139-2)*$P$139)*100</f>
        <v>21.568627450980394</v>
      </c>
      <c r="C275" s="33">
        <f>$O$155/(($F$155-2)*$P$155)*100</f>
        <v>38.655462184873954</v>
      </c>
      <c r="D275" s="33">
        <f>$O$171/(($F$171-2)*$P$171)*100</f>
        <v>42.056074766355138</v>
      </c>
      <c r="E275" s="34">
        <f>$O$123/(($F$123-2)*$P$123)*100</f>
        <v>56.09756097560976</v>
      </c>
      <c r="F275" s="35"/>
      <c r="G275" s="33">
        <f>$O$140/(($F$140-2)*$P$140)*100</f>
        <v>18.75</v>
      </c>
      <c r="H275" s="34">
        <f>$O$156/(($F$156-2)*$P$156)*100</f>
        <v>50</v>
      </c>
      <c r="I275" s="34">
        <f>$O$172/(($F$172-2)*$P$172)*100</f>
        <v>51.754385964912288</v>
      </c>
      <c r="J275" s="33">
        <f>$O$124/(($F$124-2)*$P$124)*100</f>
        <v>53.488372093023251</v>
      </c>
      <c r="K275" s="14"/>
      <c r="L275" s="34">
        <f>$O$141/(($F$141-2)*$P$141)*100</f>
        <v>26.666666666666668</v>
      </c>
      <c r="M275" s="33">
        <f>$O$157/(($F$157-2)*$P$157)*100</f>
        <v>42.735042735042732</v>
      </c>
      <c r="N275" s="33">
        <f>$O$173/(($F$173-2)*$P$173)*100</f>
        <v>45.652173913043477</v>
      </c>
      <c r="O275" s="33">
        <f>$O$125/(($F$125-2)*$P$125)*100</f>
        <v>40</v>
      </c>
    </row>
    <row r="276" spans="1:23" x14ac:dyDescent="0.2">
      <c r="B276" s="30">
        <f>B262+B265+B268+B271</f>
        <v>100.00000000000001</v>
      </c>
      <c r="C276" s="30">
        <f>C262+C265+C268+C271</f>
        <v>100</v>
      </c>
      <c r="D276" s="30">
        <f>D262+D265+D268+D271</f>
        <v>100</v>
      </c>
      <c r="E276" s="30">
        <f>E262+E265+E268+E271</f>
        <v>100.00000000000001</v>
      </c>
      <c r="F276" s="30"/>
      <c r="G276" s="30">
        <f>G262+G265+G268+G271</f>
        <v>100</v>
      </c>
      <c r="H276" s="30">
        <f>H262+H265+H268+H271</f>
        <v>100</v>
      </c>
      <c r="I276" s="30">
        <f>I262+I265+I268+I271</f>
        <v>100</v>
      </c>
      <c r="J276" s="30">
        <f>J262+J265+J268+J271</f>
        <v>100</v>
      </c>
      <c r="K276" s="30"/>
      <c r="L276" s="30">
        <f>L262+L265+L268+L271</f>
        <v>100</v>
      </c>
      <c r="M276" s="30">
        <f>M262+M265+M268+M271</f>
        <v>100</v>
      </c>
      <c r="N276" s="30">
        <f>N262+N265+N268+N271</f>
        <v>99.999999999999986</v>
      </c>
      <c r="O276" s="30">
        <f>O262+O265+O268+O271</f>
        <v>100</v>
      </c>
    </row>
    <row r="277" spans="1:23" x14ac:dyDescent="0.2">
      <c r="B277" s="30">
        <f>B263+B266+B269+B272</f>
        <v>100</v>
      </c>
      <c r="C277" s="30">
        <f>C263+C266+C269+C272</f>
        <v>99.999999999999986</v>
      </c>
      <c r="D277" s="30">
        <f>D263+D266+D269+D272</f>
        <v>99.999999999999986</v>
      </c>
      <c r="E277" s="30">
        <f>E263+E266+E269+E272</f>
        <v>100</v>
      </c>
      <c r="G277" s="30">
        <f>G263+G266+G269+G272</f>
        <v>100</v>
      </c>
      <c r="H277" s="30">
        <f>H263+H266+H269+H272</f>
        <v>100</v>
      </c>
      <c r="I277" s="30">
        <f>I263+I266+I269+I272</f>
        <v>100</v>
      </c>
      <c r="J277" s="30">
        <f>J263+J266+J269+J272</f>
        <v>100</v>
      </c>
      <c r="K277" s="30"/>
      <c r="L277" s="30">
        <f>L263+L266+L269+L272</f>
        <v>100</v>
      </c>
      <c r="M277" s="30">
        <f>M263+M266+M269+M272</f>
        <v>100</v>
      </c>
      <c r="N277" s="30">
        <f>N263+N266+N269+N272</f>
        <v>100</v>
      </c>
      <c r="O277" s="30">
        <f>O263+O266+O269+O272</f>
        <v>100</v>
      </c>
    </row>
    <row r="281" spans="1:23" x14ac:dyDescent="0.2">
      <c r="A281" s="75" t="s">
        <v>204</v>
      </c>
      <c r="B281" s="77" t="s">
        <v>180</v>
      </c>
      <c r="C281" s="77"/>
      <c r="D281" s="77"/>
      <c r="E281" s="77"/>
      <c r="F281" s="78"/>
      <c r="G281" s="77" t="s">
        <v>181</v>
      </c>
      <c r="H281" s="77"/>
      <c r="I281" s="77"/>
      <c r="J281" s="77"/>
      <c r="L281" s="77" t="s">
        <v>182</v>
      </c>
      <c r="M281" s="77"/>
      <c r="N281" s="77"/>
      <c r="O281" s="77"/>
    </row>
    <row r="282" spans="1:23" x14ac:dyDescent="0.2">
      <c r="A282" s="76"/>
      <c r="B282" s="12" t="s">
        <v>183</v>
      </c>
      <c r="C282" s="12" t="s">
        <v>184</v>
      </c>
      <c r="D282" s="12" t="s">
        <v>185</v>
      </c>
      <c r="E282" s="12" t="s">
        <v>186</v>
      </c>
      <c r="F282" s="78"/>
      <c r="G282" s="12" t="s">
        <v>183</v>
      </c>
      <c r="H282" s="12" t="s">
        <v>184</v>
      </c>
      <c r="I282" s="12" t="s">
        <v>185</v>
      </c>
      <c r="J282" s="12" t="s">
        <v>186</v>
      </c>
      <c r="K282" s="14"/>
      <c r="L282" s="12" t="s">
        <v>183</v>
      </c>
      <c r="M282" s="12" t="s">
        <v>184</v>
      </c>
      <c r="N282" s="12" t="s">
        <v>185</v>
      </c>
      <c r="O282" s="12" t="s">
        <v>186</v>
      </c>
      <c r="S282" t="s">
        <v>205</v>
      </c>
      <c r="T282" t="s">
        <v>73</v>
      </c>
      <c r="U282" t="s">
        <v>23</v>
      </c>
    </row>
    <row r="283" spans="1:23" x14ac:dyDescent="0.2">
      <c r="A283" s="15" t="s">
        <v>7</v>
      </c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S283" s="15" t="s">
        <v>7</v>
      </c>
      <c r="T283" s="7">
        <f>P287</f>
        <v>8.3608866407668341</v>
      </c>
      <c r="U283" s="7">
        <f>P188</f>
        <v>9.0604858468675751</v>
      </c>
      <c r="V283" s="7">
        <f>U283-T283</f>
        <v>0.699599206100741</v>
      </c>
      <c r="W283" s="68">
        <f>(T283-U283)/T283</f>
        <v>-8.3675241174729756E-2</v>
      </c>
    </row>
    <row r="284" spans="1:23" x14ac:dyDescent="0.2">
      <c r="A284" s="16" t="s">
        <v>187</v>
      </c>
      <c r="B284" s="18">
        <f>$H$35/(($F$35-1)*$P$35)*100</f>
        <v>9.0181430096051223</v>
      </c>
      <c r="C284" s="18">
        <f>$H$63/(($F$63-1)*$P$63)*100</f>
        <v>1.9170984455958551</v>
      </c>
      <c r="D284" s="19">
        <f>$H$91/(($F$91-1)*$P$91)*100</f>
        <v>8.8138385502471177</v>
      </c>
      <c r="E284" s="26">
        <f>$H$7/(($F$7-1)*$P$7)*100</f>
        <v>10.655737704918032</v>
      </c>
      <c r="F284" s="12"/>
      <c r="G284" s="18">
        <f>$H$36/(($F$36-1)*$P$36)*100</f>
        <v>9.3376764386536379</v>
      </c>
      <c r="H284" s="19">
        <f>$H$64/(($F$64-1)*$P$64)*100</f>
        <v>1.487778958554729</v>
      </c>
      <c r="I284" s="18">
        <f>$H$92/(($F$92-1)*$P$92)*100</f>
        <v>9.742647058823529</v>
      </c>
      <c r="J284" s="23">
        <f>$H$8/(($F$8-1)*$P$8)*100</f>
        <v>7.0175438596491224</v>
      </c>
      <c r="L284" s="19">
        <f>$H$37/(($F$37-1)*$P$37)*100</f>
        <v>8.6486486486486491</v>
      </c>
      <c r="M284" s="18">
        <f>$H$65/(($F$65-1)*$P$65)*100</f>
        <v>1.5706806282722512</v>
      </c>
      <c r="N284" s="18">
        <f>$H$93/(($F$93-1)*$P$93)*100</f>
        <v>9.9815157116451019</v>
      </c>
      <c r="O284" s="22">
        <f>$H$9/(($F$9-1)*$P$9)*100</f>
        <v>6.3559322033898304</v>
      </c>
      <c r="P284" s="7">
        <f>AVERAGE(B284:E284,G284:J284,L284:O284)</f>
        <v>7.0456034348335814</v>
      </c>
      <c r="S284" s="15" t="s">
        <v>11</v>
      </c>
      <c r="T284" s="7">
        <f>P299</f>
        <v>11.320278678059472</v>
      </c>
      <c r="U284" s="7">
        <f>P200</f>
        <v>0</v>
      </c>
      <c r="V284" s="7">
        <f t="shared" ref="V284:V285" si="60">U284-T284</f>
        <v>-11.320278678059472</v>
      </c>
      <c r="W284" s="68">
        <f t="shared" ref="W284:W285" si="61">(T284-U284)/T284</f>
        <v>1</v>
      </c>
    </row>
    <row r="285" spans="1:23" x14ac:dyDescent="0.2">
      <c r="A285" s="16" t="s">
        <v>188</v>
      </c>
      <c r="B285" s="21">
        <f>$H$43/(($F$43-1)*$P$43)*100</f>
        <v>24.528301886792452</v>
      </c>
      <c r="C285" s="18">
        <f>$H$71/(($F$71-1)*$P$71)*100</f>
        <v>1.4331210191082804</v>
      </c>
      <c r="D285" s="18">
        <f>$H$99/(($F$99-1)*$P$99)*100</f>
        <v>4.3795620437956204</v>
      </c>
      <c r="E285" s="21">
        <f>$H$15/(($F$15-1)*$P$15)*100</f>
        <v>13.725490196078432</v>
      </c>
      <c r="F285" s="12"/>
      <c r="G285" s="17">
        <f>$H$44/(($F$44-1)*$P$44)*100</f>
        <v>25.774971297359357</v>
      </c>
      <c r="H285" s="19">
        <f>$H$72/(($F$72-1)*$P$72)*100</f>
        <v>1.3736263736263736</v>
      </c>
      <c r="I285" s="22">
        <f>$H$100/(($F$100-1)*$P$100)*100</f>
        <v>3.7549407114624502</v>
      </c>
      <c r="J285" s="17">
        <f>$H$16/(($F$16-1)*$P$16)*100</f>
        <v>17.730496453900709</v>
      </c>
      <c r="L285" s="17">
        <f>$H$45/(($F$45-1)*$P$45)*100</f>
        <v>26.260257913247365</v>
      </c>
      <c r="M285" s="18">
        <f>$H$73/(($F$73-1)*$P$73)*100</f>
        <v>2.0697167755991286</v>
      </c>
      <c r="N285" s="23">
        <f>$H$101/(($F$101-1)*$P$101)*100</f>
        <v>4.3689320388349513</v>
      </c>
      <c r="O285" s="17">
        <f>$H$17/(($F$17-1)*$P$17)*100</f>
        <v>17.753623188405797</v>
      </c>
      <c r="P285" s="7">
        <f t="shared" ref="P285:P286" si="62">AVERAGE(B285:E285,G285:J285,L285:O285)</f>
        <v>11.929419991517577</v>
      </c>
      <c r="S285" s="49" t="s">
        <v>193</v>
      </c>
      <c r="T285" s="7">
        <f>P303</f>
        <v>11.701054415999508</v>
      </c>
      <c r="U285" s="7">
        <f>P204</f>
        <v>0</v>
      </c>
      <c r="V285" s="7">
        <f t="shared" si="60"/>
        <v>-11.701054415999508</v>
      </c>
      <c r="W285" s="68">
        <f t="shared" si="61"/>
        <v>1</v>
      </c>
    </row>
    <row r="286" spans="1:23" x14ac:dyDescent="0.2">
      <c r="A286" s="16" t="s">
        <v>189</v>
      </c>
      <c r="B286" s="23">
        <f>$H$55/(($F$55-1)*$P$55)*100</f>
        <v>6.6055045871559637</v>
      </c>
      <c r="C286" s="22">
        <f>$H$83/(($F$83-1)*$P$83)*100</f>
        <v>1.0273972602739725</v>
      </c>
      <c r="D286" s="22">
        <f>$H$111/(($F$111-1)*$P$111)*100</f>
        <v>3.857566765578635</v>
      </c>
      <c r="E286" s="17">
        <f>$H$27/(($F$27-1)*$P$27)*100</f>
        <v>13.679245283018867</v>
      </c>
      <c r="F286" s="12"/>
      <c r="G286" s="23">
        <f>$H$56/(($F$56-1)*$P$56)*100</f>
        <v>6.2969924812030076</v>
      </c>
      <c r="H286" s="23">
        <f>$H$84/(($F$84-1)*$P$84)*100</f>
        <v>1.1494252873563218</v>
      </c>
      <c r="I286" s="18">
        <f>$H$112/(($F$112-1)*$P$112)*100</f>
        <v>5.1515151515151514</v>
      </c>
      <c r="J286" s="17">
        <f>$H$28/(($F$28-1)*$P$28)*100</f>
        <v>12.162162162162163</v>
      </c>
      <c r="L286" s="22">
        <f>$H$57/(($F$57-1)*$P$57)*100</f>
        <v>5.9500959692898272</v>
      </c>
      <c r="M286" s="23">
        <f>$H$85/(($F$85-1)*$P$85)*100</f>
        <v>1.048951048951049</v>
      </c>
      <c r="N286" s="18">
        <f>$H$113/(($F$113-1)*$P$113)*100</f>
        <v>4.9342105263157894</v>
      </c>
      <c r="O286" s="21">
        <f>$H$29/(($F$29-1)*$P$29)*100</f>
        <v>11.428571428571429</v>
      </c>
      <c r="P286" s="7">
        <f t="shared" si="62"/>
        <v>6.1076364959493468</v>
      </c>
    </row>
    <row r="287" spans="1:23" x14ac:dyDescent="0.2">
      <c r="A287" s="15" t="s">
        <v>13</v>
      </c>
      <c r="B287" s="27"/>
      <c r="C287" s="27"/>
      <c r="D287" s="27"/>
      <c r="E287" s="27"/>
      <c r="F287" s="27"/>
      <c r="G287" s="27"/>
      <c r="H287" s="27"/>
      <c r="I287" s="27"/>
      <c r="J287" s="27"/>
      <c r="K287" s="15"/>
      <c r="L287" s="27"/>
      <c r="M287" s="27"/>
      <c r="N287" s="27"/>
      <c r="O287" s="27"/>
      <c r="P287" s="56">
        <f>AVERAGE(P284:P286)</f>
        <v>8.3608866407668341</v>
      </c>
    </row>
    <row r="288" spans="1:23" x14ac:dyDescent="0.2">
      <c r="A288" s="16" t="s">
        <v>187</v>
      </c>
      <c r="B288" s="17">
        <f>N$35/((F$35-1)*P$35)*100</f>
        <v>59.925293489861261</v>
      </c>
      <c r="C288" s="23">
        <f>N$63/((F$63-1)*P$63)*100</f>
        <v>5.3886010362694305</v>
      </c>
      <c r="D288" s="20">
        <f>N$91/((F$91-1)*P$91)*100</f>
        <v>21.334431630971991</v>
      </c>
      <c r="E288" s="17">
        <f>N$7/((F$7-1)*P$7)*100</f>
        <v>66.803278688524586</v>
      </c>
      <c r="F288" s="12"/>
      <c r="G288" s="17">
        <f>$N$36/(($F$36-1)*$P$36)*100</f>
        <v>59.011943539630842</v>
      </c>
      <c r="H288" s="22">
        <f>$N$64/(($F$64-1)*$P$64)*100</f>
        <v>4.7821466524973433</v>
      </c>
      <c r="I288" s="26">
        <f>$N$92/(($F$92-1)*$P$92)*100</f>
        <v>25.09191176470588</v>
      </c>
      <c r="J288" s="21">
        <f>$N$8/(($F$8-1)*$P$8)*100</f>
        <v>56.140350877192979</v>
      </c>
      <c r="L288" s="21">
        <f>$N$37/(($F$37-1)*$P$37)*100</f>
        <v>55.513513513513516</v>
      </c>
      <c r="M288" s="23">
        <f>$N$65/(($F$65-1)*$P$65)*100</f>
        <v>5.1308900523560208</v>
      </c>
      <c r="N288" s="26">
        <f>$N$93/(($F$93-1)*$P$93)*100</f>
        <v>24.76894639556377</v>
      </c>
      <c r="O288" s="17">
        <f>$N$9/(($F$9-1)*$P$9)*100</f>
        <v>59.745762711864401</v>
      </c>
    </row>
    <row r="289" spans="1:31" x14ac:dyDescent="0.2">
      <c r="A289" s="16" t="s">
        <v>188</v>
      </c>
      <c r="B289" s="26">
        <f>N$43/((F$43-1)*P$43)*100</f>
        <v>38.620283018867923</v>
      </c>
      <c r="C289" s="19">
        <f>N$71/((F$71-1)*P$71)*100</f>
        <v>6.0509554140127388</v>
      </c>
      <c r="D289" s="21">
        <f>N$99/((F$99-1)*P$99)*100</f>
        <v>43.70437956204379</v>
      </c>
      <c r="E289" s="26">
        <f>N$15/((F$15-1)*P$15)*100</f>
        <v>23.856209150326798</v>
      </c>
      <c r="F289" s="12"/>
      <c r="G289" s="26">
        <f>$N$44/(($F$44-1)*$P$44)*100</f>
        <v>39.552238805970148</v>
      </c>
      <c r="H289" s="18">
        <f>$N$72/(($F$72-1)*$P$72)*100</f>
        <v>6.1538461538461542</v>
      </c>
      <c r="I289" s="17">
        <f>$N$100/(($F$100-1)*$P$100)*100</f>
        <v>52.371541501976282</v>
      </c>
      <c r="J289" s="26">
        <f>$N$16/(($F$16-1)*$P$16)*100</f>
        <v>25.531914893617021</v>
      </c>
      <c r="L289" s="20">
        <f>$N$45/(($F$45-1)*$P$45)*100</f>
        <v>37.98358733880422</v>
      </c>
      <c r="M289" s="19">
        <f>$N$73/(($F$73-1)*$P$73)*100</f>
        <v>6.0457516339869279</v>
      </c>
      <c r="N289" s="17">
        <f>$N$101/(($F$101-1)*$P$101)*100</f>
        <v>50.582524271844662</v>
      </c>
      <c r="O289" s="20">
        <f>$N$17/(($F$17-1)*$P$17)*100</f>
        <v>22.10144927536232</v>
      </c>
    </row>
    <row r="290" spans="1:31" x14ac:dyDescent="0.2">
      <c r="A290" s="16" t="s">
        <v>189</v>
      </c>
      <c r="B290" s="21">
        <f>N$55/((F$55-1)*P$55)*100</f>
        <v>58.990825688073386</v>
      </c>
      <c r="C290" s="19">
        <f>N$83/((F$83-1)*P$83)*100</f>
        <v>6.0502283105022832</v>
      </c>
      <c r="D290" s="17">
        <f>N$111/((F$111-1)*P$111)*100</f>
        <v>39.910979228486646</v>
      </c>
      <c r="E290" s="17">
        <f>N$27/((F$27-1)*P$27)*100</f>
        <v>37.735849056603776</v>
      </c>
      <c r="F290" s="12"/>
      <c r="G290" s="17">
        <f>$N$56/(($F$56-1)*$P$56)*100</f>
        <v>59.868421052631582</v>
      </c>
      <c r="H290" s="18">
        <f>$N$84/(($F$84-1)*$P$84)*100</f>
        <v>6.4367816091954024</v>
      </c>
      <c r="I290" s="21">
        <f>$N$112/(($F$112-1)*$P$112)*100</f>
        <v>34.545454545454547</v>
      </c>
      <c r="J290" s="17">
        <f>$N$28/(($F$28-1)*$P$28)*100</f>
        <v>31.081081081081081</v>
      </c>
      <c r="L290" s="17">
        <f>$N$57/(($F$57-1)*$P$57)*100</f>
        <v>60.652591170825332</v>
      </c>
      <c r="M290" s="18">
        <f>$N$85/(($F$85-1)*$P$85)*100</f>
        <v>6.9930069930069934</v>
      </c>
      <c r="N290" s="17">
        <f>$N$113/(($F$113-1)*$P$113)*100</f>
        <v>35.855263157894733</v>
      </c>
      <c r="O290" s="21">
        <f>$N$29/(($F$29-1)*$P$29)*100</f>
        <v>27.142857142857142</v>
      </c>
    </row>
    <row r="291" spans="1:31" x14ac:dyDescent="0.2">
      <c r="A291" s="15" t="s">
        <v>190</v>
      </c>
      <c r="B291" s="27"/>
      <c r="C291" s="27"/>
      <c r="D291" s="27"/>
      <c r="E291" s="27"/>
      <c r="F291" s="27"/>
      <c r="G291" s="27"/>
      <c r="H291" s="27"/>
      <c r="I291" s="27"/>
      <c r="J291" s="27"/>
      <c r="K291" s="15"/>
      <c r="L291" s="27"/>
      <c r="M291" s="27"/>
      <c r="N291" s="27"/>
      <c r="O291" s="27"/>
    </row>
    <row r="292" spans="1:31" x14ac:dyDescent="0.2">
      <c r="A292" s="16" t="s">
        <v>187</v>
      </c>
      <c r="B292" s="21">
        <f>($I$35+$J$35+$K$35)/(($F$35-1)*$P$35)*100</f>
        <v>23.639274279615798</v>
      </c>
      <c r="C292" s="84">
        <f>($I$63+$J$63+$K$63)/(($F$63-1)*$P$63)*100</f>
        <v>90.725388601036272</v>
      </c>
      <c r="D292" s="26">
        <f>($I$91+$J$91+$K$91)/(($F$91-1)*$P$91)*100</f>
        <v>49.011532125205932</v>
      </c>
      <c r="E292" s="84">
        <f>($I$7+$J$7+$K$7)/(($F$7-1)*$P$7)*100</f>
        <v>14.754098360655737</v>
      </c>
      <c r="F292" s="94"/>
      <c r="G292" s="84">
        <f>($I$36+$J$36+$K$36)/(($F$36-1)*$P$36)*100</f>
        <v>23.018458197611292</v>
      </c>
      <c r="H292" s="21">
        <f>($I$64+$J$64+$K$64)/(($F$64-1)*$P$64)*100</f>
        <v>90.860786397449516</v>
      </c>
      <c r="I292" s="26">
        <f>($I$92+$J$92+$K$92)/(($F$92-1)*$P$92)*100</f>
        <v>49.080882352941174</v>
      </c>
      <c r="J292" s="84">
        <f>($I$8+$J$8+$K$8)/(($F$8-1)*$P$8)*100</f>
        <v>16.666666666666664</v>
      </c>
      <c r="K292" s="91"/>
      <c r="L292" s="84">
        <f>($I$37+$J$37+$K$37)/(($F$37-1)*$P$37)*100</f>
        <v>21.945945945945947</v>
      </c>
      <c r="M292" s="21">
        <f>($I$65+$J$65+$K$65)/(($F$65-1)*$P$65)*100</f>
        <v>90.890052356020945</v>
      </c>
      <c r="N292" s="20">
        <f>($I$93+$J$93+$K$93)/(($F$93-1)*$P$93)*100</f>
        <v>49.353049907578558</v>
      </c>
      <c r="O292" s="21">
        <f>($I$9+$J$9+$K$9)/(($F$9-1)*$P$9)*100</f>
        <v>17.372881355932204</v>
      </c>
    </row>
    <row r="293" spans="1:31" x14ac:dyDescent="0.2">
      <c r="A293" s="16" t="s">
        <v>188</v>
      </c>
      <c r="B293" s="20">
        <f>($I$43+$J$43+$K$43)/(($F$43-1)*$P$43)*100</f>
        <v>28.773584905660378</v>
      </c>
      <c r="C293" s="84">
        <f>($I$71+$J$71+$K$71)/(($F$71-1)*$P$71)*100</f>
        <v>91.666666666666657</v>
      </c>
      <c r="D293" s="21">
        <f>($I$99+$J$99+$K$99)/(($F$99-1)*$P$99)*100</f>
        <v>37.043795620437962</v>
      </c>
      <c r="E293" s="20">
        <f>($I$15+$J$15+$K$15)/(($F$15-1)*$P$15)*100</f>
        <v>52.287581699346411</v>
      </c>
      <c r="F293" s="94"/>
      <c r="G293" s="26">
        <f>($I$44+$J$44+$K$44)/(($F$44-1)*$P$44)*100</f>
        <v>27.726750861079218</v>
      </c>
      <c r="H293" s="20">
        <f>($I$72+$J$72+$K$72)/(($F$72-1)*$P$72)*100</f>
        <v>91.813186813186803</v>
      </c>
      <c r="I293" s="84">
        <f>($I$100+$J$100+$K$100)/(($F$100-1)*$P$100)*100</f>
        <v>33.201581027667984</v>
      </c>
      <c r="J293" s="26">
        <f>($I$16+$J$16+$K$16)/(($F$16-1)*$P$16)*100</f>
        <v>48.936170212765958</v>
      </c>
      <c r="K293" s="91"/>
      <c r="L293" s="26">
        <f>($I$45+$J$45+$K$45)/(($F$45-1)*$P$45)*100</f>
        <v>28.018757327080891</v>
      </c>
      <c r="M293" s="84">
        <f>($I$73+$J$73+$K$73)/(($F$73-1)*$P$73)*100</f>
        <v>91.067538126361654</v>
      </c>
      <c r="N293" s="84">
        <f>($I$101+$J$101+$K$101)/(($F$101-1)*$P$101)*100</f>
        <v>33.883495145631073</v>
      </c>
      <c r="O293" s="26">
        <f>($I$17+$J$17+$K$17)/(($F$17-1)*$P$17)*100</f>
        <v>46.739130434782609</v>
      </c>
    </row>
    <row r="294" spans="1:31" x14ac:dyDescent="0.2">
      <c r="A294" s="16" t="s">
        <v>189</v>
      </c>
      <c r="B294" s="21">
        <f>($I$55+$J$55+$K$55)/(($F$55-1)*$P$55)*100</f>
        <v>26.055045871559635</v>
      </c>
      <c r="C294" s="20">
        <f>($I$83+$J$83+$K$83)/(($F$83-1)*$P$83)*100</f>
        <v>92.351598173515981</v>
      </c>
      <c r="D294" s="84">
        <f>($I$111+$J$111+$K$111)/(($F$111-1)*$P$111)*100</f>
        <v>45.697329376854597</v>
      </c>
      <c r="E294" s="84">
        <f>($I$27+$J$27+$K$27)/(($F$27-1)*$P$27)*100</f>
        <v>15.566037735849056</v>
      </c>
      <c r="F294" s="94"/>
      <c r="G294" s="84">
        <f>($I$56+$J$56+$K$56)/(($F$56-1)*$P$56)*100</f>
        <v>25.281954887218046</v>
      </c>
      <c r="H294" s="84">
        <f>($I$84+$J$84+$K$84)/(($F$84-1)*$P$84)*100</f>
        <v>91.034482758620697</v>
      </c>
      <c r="I294" s="21">
        <f>($I$112+$J$112+$K$112)/(($F$112-1)*$P$112)*100</f>
        <v>46.666666666666664</v>
      </c>
      <c r="J294" s="84">
        <f>($I$28+$J$28+$K$28)/(($F$28-1)*$P$28)*100</f>
        <v>17.567567567567568</v>
      </c>
      <c r="K294" s="96"/>
      <c r="L294" s="84">
        <f>($I$57+$J$57+$K$57)/(($F$57-1)*$P$57)*100</f>
        <v>25.719769673704413</v>
      </c>
      <c r="M294" s="26">
        <f>($I$85+$J$85+$K$85)/(($F$85-1)*$P$85)*100</f>
        <v>91.491841491841498</v>
      </c>
      <c r="N294" s="84">
        <f>($I$113+$J$113+$K$113)/(($F$113-1)*$P$113)*100</f>
        <v>45.065789473684212</v>
      </c>
      <c r="O294" s="21">
        <f>($I$29+$J$29+$K$29)/(($F$29-1)*$P$29)*100</f>
        <v>19.047619047619047</v>
      </c>
    </row>
    <row r="295" spans="1:31" x14ac:dyDescent="0.2">
      <c r="A295" s="15" t="s">
        <v>11</v>
      </c>
      <c r="B295" s="27"/>
      <c r="C295" s="27"/>
      <c r="D295" s="27"/>
      <c r="E295" s="27"/>
      <c r="F295" s="27"/>
      <c r="G295" s="27"/>
      <c r="H295" s="27"/>
      <c r="I295" s="27"/>
      <c r="J295" s="27"/>
      <c r="L295" s="27"/>
      <c r="M295" s="27"/>
      <c r="N295" s="27"/>
      <c r="O295" s="27"/>
    </row>
    <row r="296" spans="1:31" x14ac:dyDescent="0.2">
      <c r="A296" s="16" t="s">
        <v>187</v>
      </c>
      <c r="B296" s="83">
        <f>(L$35+M$35)/((F$35-1)*P$35)*100</f>
        <v>7.4172892209178238</v>
      </c>
      <c r="C296" s="23">
        <f>(L$63+M$63)/((F$63-1)*P$63)*100</f>
        <v>1.9689119170984457</v>
      </c>
      <c r="D296" s="20">
        <f>(L$91+M$91)/((F$91-1)*P$91)*100</f>
        <v>20.840197693574957</v>
      </c>
      <c r="E296" s="83">
        <f>(L$7+M$7)/((F$7-1)*P$7)*100</f>
        <v>7.7868852459016393</v>
      </c>
      <c r="F296" s="94"/>
      <c r="G296" s="23">
        <f>($L$36+M$36)/(($F$36-1)*$P$36)*100</f>
        <v>8.6319218241042339</v>
      </c>
      <c r="H296" s="22">
        <f>($L$64+M$64)/(($F$64-1)*$P$64)*100</f>
        <v>2.869287991498406</v>
      </c>
      <c r="I296" s="26">
        <f>($L$92+M$92)/(($F$92-1)*$P$92)*100</f>
        <v>16.084558823529413</v>
      </c>
      <c r="J296" s="21">
        <f>($L$8+M$8)/(($F$8-1)*$P$8)*100</f>
        <v>20.175438596491226</v>
      </c>
      <c r="K296" s="91"/>
      <c r="L296" s="20">
        <f>($L$37+M$37)/(($F$37-1)*$P$37)*100</f>
        <v>13.891891891891891</v>
      </c>
      <c r="M296" s="23">
        <f>($L$65+M$65)/(($F$65-1)*$P$65)*100</f>
        <v>2.408376963350785</v>
      </c>
      <c r="N296" s="26">
        <f>($L$93+M$93)/(($F$93-1)*$P$93)*100</f>
        <v>15.89648798521257</v>
      </c>
      <c r="O296" s="84">
        <f>($L$9+M$9)/(($F$9-1)*$P$9)*100</f>
        <v>16.525423728813561</v>
      </c>
      <c r="P296" s="7">
        <f>AVERAGE(B296:E296,G296:J296,L296:O296)</f>
        <v>11.208055990198744</v>
      </c>
    </row>
    <row r="297" spans="1:31" x14ac:dyDescent="0.2">
      <c r="A297" s="16" t="s">
        <v>188</v>
      </c>
      <c r="B297" s="19">
        <f>(L$43+M$43)/((F$43-1)*P$43)*100</f>
        <v>8.0778301886792452</v>
      </c>
      <c r="C297" s="31">
        <f>(L$71+M$71)/((F$71-1)*P$71)*100</f>
        <v>0.84925690021231426</v>
      </c>
      <c r="D297" s="21">
        <f>(L$99+M$99)/((F$99-1)*P$99)*100</f>
        <v>14.872262773722628</v>
      </c>
      <c r="E297" s="84">
        <f>(L$15+M$15)/((F$15-1)*P$15)*100</f>
        <v>10.130718954248366</v>
      </c>
      <c r="F297" s="94"/>
      <c r="G297" s="83">
        <f>($L$44+M$44)/(($F$44-1)*$P$44)*100</f>
        <v>6.9460390355912738</v>
      </c>
      <c r="H297" s="87">
        <f>($L$72+M$72)/(($F$72-1)*$P$72)*100</f>
        <v>0.65934065934065933</v>
      </c>
      <c r="I297" s="84">
        <f>($L$100+M$100)/(($F$100-1)*$P$100)*100</f>
        <v>10.671936758893279</v>
      </c>
      <c r="J297" s="83">
        <f>($L$16+M$16)/(($F$16-1)*$P$16)*100</f>
        <v>7.8014184397163122</v>
      </c>
      <c r="K297" s="91"/>
      <c r="L297" s="83">
        <f>($L$45+M$45)/(($F$45-1)*$P$45)*100</f>
        <v>7.7373974208675271</v>
      </c>
      <c r="M297" s="87">
        <f>($L$73+M$73)/(($F$73-1)*$P$73)*100</f>
        <v>0.81699346405228768</v>
      </c>
      <c r="N297" s="84">
        <f>($L$101+M$101)/(($F$101-1)*$P$101)*100</f>
        <v>11.165048543689322</v>
      </c>
      <c r="O297" s="21">
        <f>($L$17+M$17)/(($F$17-1)*$P$17)*100</f>
        <v>13.405797101449277</v>
      </c>
      <c r="P297" s="7">
        <f t="shared" ref="P297:P298" si="63">AVERAGE(B297:E297,G297:J297,L297:O297)</f>
        <v>7.7611700200385414</v>
      </c>
    </row>
    <row r="298" spans="1:31" x14ac:dyDescent="0.2">
      <c r="A298" s="16" t="s">
        <v>189</v>
      </c>
      <c r="B298" s="23">
        <f>(L$55+M$55)/((F$55-1)*P$55)*100</f>
        <v>8.3486238532110093</v>
      </c>
      <c r="C298" s="87">
        <f>(L$83+M$83)/((F$83-1)*P$83)*100</f>
        <v>0.57077625570776247</v>
      </c>
      <c r="D298" s="84">
        <f>(L$111+M$111)/((F$111-1)*P$111)*100</f>
        <v>10.534124629080118</v>
      </c>
      <c r="E298" s="26">
        <f>(L$27+M$27)/((F$27-1)*P$27)*100</f>
        <v>33.018867924528301</v>
      </c>
      <c r="F298" s="94"/>
      <c r="G298" s="19">
        <f>($L$56+M$56)/(($F$56-1)*$P$56)*100</f>
        <v>8.5526315789473681</v>
      </c>
      <c r="H298" s="19">
        <f>($L$84+M$84)/(($F$84-1)*$P$84)*100</f>
        <v>1.3793103448275863</v>
      </c>
      <c r="I298" s="84">
        <f>($L$112+M$112)/(($F$112-1)*$P$112)*100</f>
        <v>13.636363636363635</v>
      </c>
      <c r="J298" s="26">
        <f>($L$28+M$28)/(($F$28-1)*$P$28)*100</f>
        <v>39.189189189189186</v>
      </c>
      <c r="K298" s="91"/>
      <c r="L298" s="83">
        <f>($L$57+M$57)/(($F$57-1)*$P$57)*100</f>
        <v>7.6775431861804213</v>
      </c>
      <c r="M298" s="87">
        <f>($L$85+M$85)/(($F$85-1)*$P$85)*100</f>
        <v>0.46620046620046618</v>
      </c>
      <c r="N298" s="21">
        <f>($L$113+M$113)/(($F$113-1)*$P$113)*100</f>
        <v>14.144736842105262</v>
      </c>
      <c r="O298" s="20">
        <f>($L$29+M$29)/(($F$29-1)*$P$29)*100</f>
        <v>42.38095238095238</v>
      </c>
      <c r="P298" s="7">
        <f t="shared" si="63"/>
        <v>14.991610023941126</v>
      </c>
      <c r="Q298" s="75" t="s">
        <v>203</v>
      </c>
      <c r="R298" s="77" t="s">
        <v>180</v>
      </c>
      <c r="S298" s="77"/>
      <c r="T298" s="77"/>
      <c r="U298" s="77"/>
      <c r="V298" s="78"/>
      <c r="W298" s="77" t="s">
        <v>181</v>
      </c>
      <c r="X298" s="77"/>
      <c r="Y298" s="77"/>
      <c r="Z298" s="77"/>
      <c r="AB298" s="77" t="s">
        <v>182</v>
      </c>
      <c r="AC298" s="77"/>
      <c r="AD298" s="77"/>
      <c r="AE298" s="77"/>
    </row>
    <row r="299" spans="1:31" x14ac:dyDescent="0.2">
      <c r="A299" s="49" t="s">
        <v>193</v>
      </c>
      <c r="B299" s="27"/>
      <c r="C299" s="27"/>
      <c r="D299" s="27"/>
      <c r="E299" s="27"/>
      <c r="F299" s="27"/>
      <c r="G299" s="27"/>
      <c r="H299" s="27"/>
      <c r="I299" s="27"/>
      <c r="J299" s="27"/>
      <c r="K299" s="15"/>
      <c r="L299" s="27"/>
      <c r="M299" s="27"/>
      <c r="N299" s="27"/>
      <c r="O299" s="27"/>
      <c r="P299" s="56">
        <f>AVERAGE(P296:P298)</f>
        <v>11.320278678059472</v>
      </c>
      <c r="Q299" s="76"/>
      <c r="R299" s="12" t="s">
        <v>183</v>
      </c>
      <c r="S299" s="12" t="s">
        <v>184</v>
      </c>
      <c r="T299" s="12" t="s">
        <v>185</v>
      </c>
      <c r="U299" s="12" t="s">
        <v>186</v>
      </c>
      <c r="V299" s="78"/>
      <c r="W299" s="12" t="s">
        <v>183</v>
      </c>
      <c r="X299" s="12" t="s">
        <v>184</v>
      </c>
      <c r="Y299" s="12" t="s">
        <v>185</v>
      </c>
      <c r="Z299" s="12" t="s">
        <v>186</v>
      </c>
      <c r="AB299" s="12" t="s">
        <v>183</v>
      </c>
      <c r="AC299" s="12" t="s">
        <v>184</v>
      </c>
      <c r="AD299" s="12" t="s">
        <v>185</v>
      </c>
      <c r="AE299" s="12" t="s">
        <v>186</v>
      </c>
    </row>
    <row r="300" spans="1:31" x14ac:dyDescent="0.2">
      <c r="A300" s="16" t="s">
        <v>187</v>
      </c>
      <c r="B300" s="18">
        <f>O$35/((F$35-1)*P$35)*100</f>
        <v>4.8559231590181433</v>
      </c>
      <c r="C300" s="26">
        <f>O$63/((F$63-1)*P$63)*100</f>
        <v>15.336787564766841</v>
      </c>
      <c r="D300" s="20">
        <f>O$91/((F$91-1)*P$91)*100</f>
        <v>21.334431630971991</v>
      </c>
      <c r="E300" s="18">
        <f>O$7/((F$7-1)*P$7)*100</f>
        <v>9.4262295081967213</v>
      </c>
      <c r="F300" s="12"/>
      <c r="G300" s="23">
        <f>$O$36/(($F$36-1)*$P$36)*100</f>
        <v>5.8089033659066232</v>
      </c>
      <c r="H300" s="20">
        <f>$O$64/(($F$64-1)*$P$64)*100</f>
        <v>16.843783209351752</v>
      </c>
      <c r="I300" s="26">
        <f>$O$92/(($F$92-1)*$P$92)*100</f>
        <v>16.452205882352942</v>
      </c>
      <c r="J300" s="26">
        <f>$O$8/(($F$8-1)*$P$8)*100</f>
        <v>18.421052631578945</v>
      </c>
      <c r="L300" s="22">
        <f>$O$37/(($F$37-1)*$P$37)*100</f>
        <v>6.3783783783783781</v>
      </c>
      <c r="M300" s="26">
        <f>$O$65/(($F$65-1)*$P$65)*100</f>
        <v>14.659685863874344</v>
      </c>
      <c r="N300" s="26">
        <f>$O$93/(($F$93-1)*$P$93)*100</f>
        <v>19.963031423290204</v>
      </c>
      <c r="O300" s="20">
        <f>$O$9/(($F$9-1)*$P$9)*100</f>
        <v>21.610169491525426</v>
      </c>
      <c r="P300" s="7">
        <f>AVERAGE(B300:E300,G300:J300,L300:O300)</f>
        <v>14.257548509101026</v>
      </c>
      <c r="Q300" s="16" t="s">
        <v>187</v>
      </c>
      <c r="R300" s="30">
        <f>B284+B288</f>
        <v>68.943436499466387</v>
      </c>
      <c r="S300" s="7">
        <f t="shared" ref="R300:U303" si="64">C284+C288</f>
        <v>7.3056994818652861</v>
      </c>
      <c r="T300" s="30">
        <f t="shared" si="64"/>
        <v>30.148270181219111</v>
      </c>
      <c r="U300" s="30">
        <f t="shared" si="64"/>
        <v>77.459016393442624</v>
      </c>
      <c r="V300" s="30"/>
      <c r="W300" s="30">
        <f t="shared" ref="W300:Z302" si="65">G284+G288</f>
        <v>68.34961997828448</v>
      </c>
      <c r="X300" s="7">
        <f t="shared" si="65"/>
        <v>6.2699256110520718</v>
      </c>
      <c r="Y300" s="30">
        <f t="shared" si="65"/>
        <v>34.834558823529406</v>
      </c>
      <c r="Z300" s="30">
        <f t="shared" si="65"/>
        <v>63.157894736842103</v>
      </c>
      <c r="AA300" s="30"/>
      <c r="AB300" s="30">
        <f t="shared" ref="AB300:AE302" si="66">L284+L288</f>
        <v>64.162162162162161</v>
      </c>
      <c r="AC300" s="7">
        <f t="shared" si="66"/>
        <v>6.7015706806282722</v>
      </c>
      <c r="AD300" s="30">
        <f t="shared" si="66"/>
        <v>34.750462107208875</v>
      </c>
      <c r="AE300" s="30">
        <f t="shared" si="66"/>
        <v>66.101694915254228</v>
      </c>
    </row>
    <row r="301" spans="1:31" x14ac:dyDescent="0.2">
      <c r="A301" s="16" t="s">
        <v>188</v>
      </c>
      <c r="B301" s="22">
        <f>O$43/((F$43-1)*P$43)*100</f>
        <v>6.132075471698113</v>
      </c>
      <c r="C301" s="21">
        <f>O$71/((F$71-1)*P$71)*100</f>
        <v>15.021231422505307</v>
      </c>
      <c r="D301" s="21">
        <f>O$99/((F$99-1)*P$99)*100</f>
        <v>14.5985401459854</v>
      </c>
      <c r="E301" s="26">
        <f>O$15/((F$15-1)*P$15)*100</f>
        <v>15.359477124183007</v>
      </c>
      <c r="F301" s="12"/>
      <c r="G301" s="18">
        <f>$O$44/(($F$44-1)*$P$44)*100</f>
        <v>4.7072330654420211</v>
      </c>
      <c r="H301" s="17">
        <f>$O$72/(($F$72-1)*$P$72)*100</f>
        <v>10.164835164835164</v>
      </c>
      <c r="I301" s="18">
        <f>$O$100/(($F$100-1)*$P$100)*100</f>
        <v>9.6837944664031621</v>
      </c>
      <c r="J301" s="20">
        <f>$O$16/(($F$16-1)*$P$16)*100</f>
        <v>18.439716312056735</v>
      </c>
      <c r="L301" s="18">
        <f>$O$45/(($F$45-1)*$P$45)*100</f>
        <v>6.0375146541617815</v>
      </c>
      <c r="M301" s="17">
        <f>$O$73/(($F$73-1)*$P$73)*100</f>
        <v>11.982570806100219</v>
      </c>
      <c r="N301" s="17">
        <f>$O$101/(($F$101-1)*$P$101)*100</f>
        <v>10.291262135922331</v>
      </c>
      <c r="O301" s="17">
        <f>$O$17/(($F$17-1)*$P$17)*100</f>
        <v>16.666666666666664</v>
      </c>
      <c r="P301" s="7">
        <f t="shared" ref="P301:P302" si="67">AVERAGE(B301:E301,G301:J301,L301:O301)</f>
        <v>11.590409786329991</v>
      </c>
      <c r="Q301" s="16" t="s">
        <v>188</v>
      </c>
      <c r="R301" s="30">
        <f t="shared" si="64"/>
        <v>63.148584905660371</v>
      </c>
      <c r="S301" s="7">
        <f t="shared" si="64"/>
        <v>7.484076433121019</v>
      </c>
      <c r="T301" s="30">
        <f t="shared" si="64"/>
        <v>48.083941605839414</v>
      </c>
      <c r="U301" s="30">
        <f t="shared" si="64"/>
        <v>37.58169934640523</v>
      </c>
      <c r="V301" s="30"/>
      <c r="W301" s="30">
        <f t="shared" si="65"/>
        <v>65.327210103329506</v>
      </c>
      <c r="X301" s="7">
        <f t="shared" si="65"/>
        <v>7.5274725274725274</v>
      </c>
      <c r="Y301" s="30">
        <f t="shared" si="65"/>
        <v>56.126482213438734</v>
      </c>
      <c r="Z301" s="30">
        <f t="shared" si="65"/>
        <v>43.262411347517727</v>
      </c>
      <c r="AA301" s="7"/>
      <c r="AB301" s="30">
        <f t="shared" si="66"/>
        <v>64.243845252051585</v>
      </c>
      <c r="AC301" s="7">
        <f t="shared" si="66"/>
        <v>8.1154684095860574</v>
      </c>
      <c r="AD301" s="30">
        <f t="shared" si="66"/>
        <v>54.95145631067961</v>
      </c>
      <c r="AE301" s="30">
        <f t="shared" si="66"/>
        <v>39.855072463768117</v>
      </c>
    </row>
    <row r="302" spans="1:31" ht="16" thickBot="1" x14ac:dyDescent="0.25">
      <c r="A302" s="32" t="s">
        <v>189</v>
      </c>
      <c r="B302" s="48">
        <f>O$55/((F$55-1)*P$55)*100</f>
        <v>3.669724770642202</v>
      </c>
      <c r="C302" s="36">
        <f>O$83/((F$83-1)*P$83)*100</f>
        <v>6.7351598173515974</v>
      </c>
      <c r="D302" s="37">
        <f>O$111/((F$111-1)*P$111)*100</f>
        <v>10.089020771513352</v>
      </c>
      <c r="E302" s="37">
        <f>O$27/((F$27-1)*P$27)*100</f>
        <v>11.79245283018868</v>
      </c>
      <c r="F302" s="14"/>
      <c r="G302" s="36">
        <f>$O$56/(($F$56-1)*$P$56)*100</f>
        <v>2.3496240601503757</v>
      </c>
      <c r="H302" s="36">
        <f>$O$84/(($F$84-1)*$P$84)*100</f>
        <v>7.0114942528735638</v>
      </c>
      <c r="I302" s="37">
        <f>$O$112/(($F$112-1)*$P$112)*100</f>
        <v>10.454545454545453</v>
      </c>
      <c r="J302" s="37">
        <f>$O$28/(($F$28-1)*$P$28)*100</f>
        <v>12.612612612612612</v>
      </c>
      <c r="K302" s="14"/>
      <c r="L302" s="36">
        <f>$O$57/(($F$57-1)*$P$57)*100</f>
        <v>2.8790786948176583</v>
      </c>
      <c r="M302" s="48">
        <f>$O$85/(($F$85-1)*$P$85)*100</f>
        <v>9.3240093240093245</v>
      </c>
      <c r="N302" s="39">
        <f>$O$113/(($F$113-1)*$P$113)*100</f>
        <v>14.144736842105262</v>
      </c>
      <c r="O302" s="39">
        <f>$O$29/(($F$29-1)*$P$29)*100</f>
        <v>20</v>
      </c>
      <c r="P302" s="7">
        <f t="shared" si="67"/>
        <v>9.2552049525675066</v>
      </c>
      <c r="Q302" s="40" t="s">
        <v>189</v>
      </c>
      <c r="R302" s="30">
        <f t="shared" si="64"/>
        <v>65.596330275229349</v>
      </c>
      <c r="S302" s="7">
        <f t="shared" si="64"/>
        <v>7.0776255707762559</v>
      </c>
      <c r="T302" s="30">
        <f t="shared" si="64"/>
        <v>43.768545994065278</v>
      </c>
      <c r="U302" s="30">
        <f t="shared" si="64"/>
        <v>51.415094339622641</v>
      </c>
      <c r="V302" s="30"/>
      <c r="W302" s="30">
        <f t="shared" si="65"/>
        <v>66.165413533834595</v>
      </c>
      <c r="X302" s="7">
        <f t="shared" si="65"/>
        <v>7.5862068965517242</v>
      </c>
      <c r="Y302" s="30">
        <f t="shared" si="65"/>
        <v>39.696969696969695</v>
      </c>
      <c r="Z302" s="30">
        <f t="shared" si="65"/>
        <v>43.243243243243242</v>
      </c>
      <c r="AB302" s="30">
        <f t="shared" si="66"/>
        <v>66.602687140115165</v>
      </c>
      <c r="AC302" s="7">
        <f t="shared" si="66"/>
        <v>8.0419580419580416</v>
      </c>
      <c r="AD302" s="30">
        <f t="shared" si="66"/>
        <v>40.78947368421052</v>
      </c>
      <c r="AE302" s="30">
        <f t="shared" si="66"/>
        <v>38.571428571428569</v>
      </c>
    </row>
    <row r="303" spans="1:31" x14ac:dyDescent="0.2">
      <c r="B303" s="30">
        <f>SUM(B284,B288,B292,B296)</f>
        <v>100.00000000000001</v>
      </c>
      <c r="C303" s="30">
        <f>SUM(C284,C288,C292,C296)</f>
        <v>100.00000000000001</v>
      </c>
      <c r="D303" s="30">
        <f>SUM(D284,D288,D292,D296)</f>
        <v>100</v>
      </c>
      <c r="E303" s="30">
        <f>SUM(E284,E288,E292,E296)</f>
        <v>100</v>
      </c>
      <c r="G303" s="30">
        <f>SUM(G284,G288,G292,G296)</f>
        <v>100.00000000000001</v>
      </c>
      <c r="H303" s="30">
        <f>SUM(H284,H288,H292,H296)</f>
        <v>100</v>
      </c>
      <c r="I303" s="30">
        <f>SUM(I284,I288,I292,I296)</f>
        <v>100</v>
      </c>
      <c r="J303" s="30">
        <f>SUM(J284,J288,J292,J296)</f>
        <v>100</v>
      </c>
      <c r="L303" s="30">
        <f>SUM(L284,L288,L292,L296)</f>
        <v>100</v>
      </c>
      <c r="M303" s="30">
        <f>SUM(M284,M288,M292,M296)</f>
        <v>100.00000000000001</v>
      </c>
      <c r="N303" s="30">
        <f>SUM(N284,N288,N292,N296)</f>
        <v>100.00000000000001</v>
      </c>
      <c r="O303" s="30">
        <f>SUM(O284,O288,O292,O296)</f>
        <v>100</v>
      </c>
      <c r="P303" s="56">
        <f>AVERAGE(P300:P302)</f>
        <v>11.701054415999508</v>
      </c>
      <c r="Q303" s="16" t="s">
        <v>168</v>
      </c>
      <c r="R303" s="30">
        <f>AVERAGE(R300:R302)</f>
        <v>65.896117226785364</v>
      </c>
      <c r="S303" s="7">
        <f>AVERAGE(S300:S302)</f>
        <v>7.28913382858752</v>
      </c>
      <c r="T303" s="30">
        <f t="shared" ref="T303" si="68">AVERAGE(T300:T302)</f>
        <v>40.666919260374605</v>
      </c>
      <c r="U303" s="30">
        <f t="shared" ref="U303" si="69">AVERAGE(U300:U302)</f>
        <v>55.485270026490163</v>
      </c>
      <c r="V303" s="30"/>
      <c r="W303" s="30">
        <f t="shared" ref="W303" si="70">AVERAGE(W300:W302)</f>
        <v>66.614081205149532</v>
      </c>
      <c r="X303" s="7">
        <f t="shared" ref="X303" si="71">AVERAGE(X300:X302)</f>
        <v>7.1278683450254405</v>
      </c>
      <c r="Y303" s="30">
        <f t="shared" ref="Y303" si="72">AVERAGE(Y300:Y302)</f>
        <v>43.552670244645945</v>
      </c>
      <c r="Z303" s="30">
        <f t="shared" ref="Z303" si="73">AVERAGE(Z300:Z302)</f>
        <v>49.887849775867686</v>
      </c>
      <c r="AA303" s="30"/>
      <c r="AB303" s="30">
        <f t="shared" ref="AB303" si="74">AVERAGE(AB300:AB302)</f>
        <v>65.002898184776299</v>
      </c>
      <c r="AC303" s="7">
        <f t="shared" ref="AC303" si="75">AVERAGE(AC300:AC302)</f>
        <v>7.6196657107241235</v>
      </c>
      <c r="AD303" s="30">
        <f t="shared" ref="AD303" si="76">AVERAGE(AD300:AD302)</f>
        <v>43.497130700699671</v>
      </c>
      <c r="AE303" s="30">
        <f t="shared" ref="AE303" si="77">AVERAGE(AE300:AE302)</f>
        <v>48.176065316816981</v>
      </c>
    </row>
    <row r="304" spans="1:31" x14ac:dyDescent="0.2">
      <c r="B304" s="30">
        <f>SUM(B285,B289,B293,B297)</f>
        <v>99.999999999999986</v>
      </c>
      <c r="C304" s="30">
        <f>SUM(C285,C289,C293,C297)</f>
        <v>99.999999999999986</v>
      </c>
      <c r="D304" s="30">
        <f>SUM(D285,D289,D293,D297)</f>
        <v>100</v>
      </c>
      <c r="E304" s="30">
        <f>SUM(E285,E289,E293,E297)</f>
        <v>100.00000000000001</v>
      </c>
      <c r="G304" s="30">
        <f>SUM(G285,G289,G293,G297)</f>
        <v>100</v>
      </c>
      <c r="H304" s="30">
        <f>SUM(H285,H289,H293,H297)</f>
        <v>99.999999999999986</v>
      </c>
      <c r="I304" s="30">
        <f>SUM(I285,I289,I293,I297)</f>
        <v>100</v>
      </c>
      <c r="J304" s="30">
        <f>SUM(J285,J289,J293,J297)</f>
        <v>100</v>
      </c>
      <c r="L304" s="30">
        <f>SUM(L285,L289,L293,L297)</f>
        <v>100</v>
      </c>
      <c r="M304" s="30">
        <f>SUM(M285,M289,M293,M297)</f>
        <v>100</v>
      </c>
      <c r="N304" s="30">
        <f>SUM(N285,N289,N293,N297)</f>
        <v>100</v>
      </c>
      <c r="O304" s="30">
        <f>SUM(O285,O289,O293,O297)</f>
        <v>100</v>
      </c>
      <c r="S304" s="30">
        <f>AVERAGE(R303:U303)</f>
        <v>42.33436008555941</v>
      </c>
      <c r="X304" s="30">
        <f>AVERAGE(W303:Z303)</f>
        <v>41.795617392672156</v>
      </c>
      <c r="AC304" s="30">
        <f>AVERAGE(AB303:AE303)</f>
        <v>41.073939978254266</v>
      </c>
    </row>
    <row r="305" spans="1:29" x14ac:dyDescent="0.2">
      <c r="B305" s="30">
        <f>SUM(B286,B290,B294,B298)</f>
        <v>99.999999999999986</v>
      </c>
      <c r="C305" s="30">
        <f>SUM(C286,C290,C294,C298)</f>
        <v>100</v>
      </c>
      <c r="D305" s="30">
        <f>SUM(D286,D290,D294,D298)</f>
        <v>100</v>
      </c>
      <c r="E305" s="30">
        <f>SUM(E286,E290,E294,E298)</f>
        <v>100</v>
      </c>
      <c r="G305" s="30">
        <f>SUM(G286,G290,G294,G298)</f>
        <v>100.00000000000001</v>
      </c>
      <c r="H305" s="30">
        <f>SUM(H286,H290,H294,H298)</f>
        <v>100.00000000000001</v>
      </c>
      <c r="I305" s="30">
        <f>SUM(I286,I290,I294,I298)</f>
        <v>100</v>
      </c>
      <c r="J305" s="30">
        <f>SUM(J286,J290,J294,J298)</f>
        <v>100</v>
      </c>
      <c r="L305" s="30">
        <f>SUM(L286,L290,L294,L298)</f>
        <v>99.999999999999986</v>
      </c>
      <c r="M305" s="30">
        <f>SUM(M286,M290,M294,M298)</f>
        <v>100</v>
      </c>
      <c r="N305" s="30">
        <f>SUM(N286,N290,N294,N298)</f>
        <v>100</v>
      </c>
      <c r="O305" s="30">
        <f>SUM(O286,O290,O294,O298)</f>
        <v>100</v>
      </c>
      <c r="S305">
        <f>(S304-S205)/S205*100</f>
        <v>19.198324624207391</v>
      </c>
      <c r="X305">
        <f>(X205-X304)/X205*100</f>
        <v>-6.0828481028943466</v>
      </c>
      <c r="AC305">
        <f>(AC205-AC304)/AC205*100</f>
        <v>-9.3117204103159654</v>
      </c>
    </row>
    <row r="310" spans="1:29" x14ac:dyDescent="0.2">
      <c r="A310" s="75" t="s">
        <v>294</v>
      </c>
      <c r="B310" s="118" t="s">
        <v>138</v>
      </c>
      <c r="C310" s="118"/>
      <c r="D310" s="118"/>
      <c r="E310" s="118"/>
      <c r="G310" s="75" t="s">
        <v>253</v>
      </c>
      <c r="H310" s="77" t="s">
        <v>254</v>
      </c>
      <c r="I310" s="77"/>
      <c r="J310" s="77"/>
      <c r="K310" s="77"/>
    </row>
    <row r="311" spans="1:29" ht="15" customHeight="1" x14ac:dyDescent="0.2">
      <c r="A311" s="76"/>
      <c r="B311" s="99" t="s">
        <v>183</v>
      </c>
      <c r="C311" s="99" t="s">
        <v>184</v>
      </c>
      <c r="D311" s="99" t="s">
        <v>185</v>
      </c>
      <c r="E311" s="99" t="s">
        <v>186</v>
      </c>
      <c r="G311" s="76"/>
      <c r="H311" s="12" t="s">
        <v>183</v>
      </c>
      <c r="I311" s="12" t="s">
        <v>184</v>
      </c>
      <c r="J311" s="12" t="s">
        <v>185</v>
      </c>
      <c r="K311" s="12" t="s">
        <v>186</v>
      </c>
    </row>
    <row r="312" spans="1:29" x14ac:dyDescent="0.2">
      <c r="A312" s="15" t="s">
        <v>7</v>
      </c>
      <c r="B312" s="101"/>
      <c r="C312" s="101"/>
      <c r="D312" s="101"/>
      <c r="E312" s="101"/>
      <c r="G312" s="16" t="s">
        <v>188</v>
      </c>
      <c r="H312" s="30">
        <f>SUM(B313,B316)</f>
        <v>75.099999999999994</v>
      </c>
      <c r="I312" s="30">
        <f>SUM(C313,C316)</f>
        <v>9.2199999999999989</v>
      </c>
      <c r="J312" s="30">
        <f t="shared" ref="I312:K312" si="78">SUM(D313,D316)</f>
        <v>48.16</v>
      </c>
      <c r="K312" s="30">
        <f t="shared" si="78"/>
        <v>43.8</v>
      </c>
    </row>
    <row r="313" spans="1:29" x14ac:dyDescent="0.2">
      <c r="A313" s="16" t="s">
        <v>188</v>
      </c>
      <c r="B313" s="103">
        <v>29.4</v>
      </c>
      <c r="C313" s="117">
        <v>2.0099999999999998</v>
      </c>
      <c r="D313" s="102">
        <v>4.3600000000000003</v>
      </c>
      <c r="E313" s="104">
        <v>18.5</v>
      </c>
      <c r="G313" s="16" t="s">
        <v>192</v>
      </c>
      <c r="H313" s="30">
        <f>SUM(B314,B317)</f>
        <v>84.008643976229067</v>
      </c>
      <c r="I313" s="30">
        <f>SUM(C314,C317)</f>
        <v>8.1947011706715962</v>
      </c>
      <c r="J313" s="30">
        <f t="shared" ref="I313:K313" si="79">SUM(D314,D317)</f>
        <v>52.905811623246493</v>
      </c>
      <c r="K313" s="30">
        <f t="shared" si="79"/>
        <v>56.425702811244982</v>
      </c>
    </row>
    <row r="314" spans="1:29" x14ac:dyDescent="0.2">
      <c r="A314" s="16" t="s">
        <v>192</v>
      </c>
      <c r="B314" s="83">
        <f>$H$46/(($F$46)*$P$46)*100</f>
        <v>2.215018908698001</v>
      </c>
      <c r="C314" s="87">
        <f>$H$74/(($F$74)*$P$74)*100</f>
        <v>0.55452865064695012</v>
      </c>
      <c r="D314" s="23">
        <f>$H$102/(($F$102)*$P$102)*100</f>
        <v>5.4108216432865728</v>
      </c>
      <c r="E314" s="19">
        <f>$H$18/(($F$18)*$P$18)*100</f>
        <v>9.236947791164658</v>
      </c>
      <c r="F314" s="102">
        <f>AVERAGE(B314:E314)</f>
        <v>4.3543292484490461</v>
      </c>
      <c r="G314" s="158" t="s">
        <v>168</v>
      </c>
      <c r="H314" s="59">
        <f>AVERAGE(H312:H313)</f>
        <v>79.554321988114538</v>
      </c>
      <c r="I314" s="60">
        <f>AVERAGE(I312:I313)</f>
        <v>8.7073505853357975</v>
      </c>
      <c r="J314" s="59">
        <f>AVERAGE(J312:J313)</f>
        <v>50.532905811623245</v>
      </c>
      <c r="K314" s="59">
        <f>AVERAGE(K312:K313)</f>
        <v>50.112851405622493</v>
      </c>
    </row>
    <row r="315" spans="1:29" x14ac:dyDescent="0.2">
      <c r="A315" s="15" t="s">
        <v>13</v>
      </c>
      <c r="B315" s="101"/>
      <c r="C315" s="101"/>
      <c r="D315" s="101"/>
      <c r="E315" s="101"/>
      <c r="I315" s="30">
        <f>AVERAGE(H314:K314)</f>
        <v>47.226857447674021</v>
      </c>
    </row>
    <row r="316" spans="1:29" x14ac:dyDescent="0.2">
      <c r="A316" s="16" t="s">
        <v>188</v>
      </c>
      <c r="B316" s="108">
        <v>45.7</v>
      </c>
      <c r="C316" s="102">
        <v>7.21</v>
      </c>
      <c r="D316" s="71">
        <v>43.8</v>
      </c>
      <c r="E316" s="71">
        <v>25.3</v>
      </c>
      <c r="H316" t="s">
        <v>255</v>
      </c>
      <c r="I316" s="30">
        <f>AVERAGE(H313:K313)</f>
        <v>50.383714895348028</v>
      </c>
    </row>
    <row r="317" spans="1:29" x14ac:dyDescent="0.2">
      <c r="A317" s="16" t="s">
        <v>192</v>
      </c>
      <c r="B317" s="20">
        <f>$N$46/(($F$46)*$P$46)*100</f>
        <v>81.793625067531067</v>
      </c>
      <c r="C317" s="23">
        <f>$N$74/(($F$74)*$P$74)*100</f>
        <v>7.6401725200246462</v>
      </c>
      <c r="D317" s="26">
        <f>$N$102/(($F$102)*$P$102)*100</f>
        <v>47.494989979959918</v>
      </c>
      <c r="E317" s="26">
        <f>$N$18/(($F$18)*$P$18)*100</f>
        <v>47.188755020080322</v>
      </c>
      <c r="F317" s="102">
        <f>AVERAGE(B317:E317)</f>
        <v>46.029385646898987</v>
      </c>
    </row>
    <row r="318" spans="1:29" x14ac:dyDescent="0.2">
      <c r="A318" s="15" t="s">
        <v>190</v>
      </c>
      <c r="B318" s="112"/>
      <c r="C318" s="112"/>
      <c r="D318" s="112"/>
      <c r="E318" s="112"/>
    </row>
    <row r="319" spans="1:29" x14ac:dyDescent="0.2">
      <c r="A319" s="16" t="s">
        <v>188</v>
      </c>
      <c r="B319" s="108">
        <v>22.2</v>
      </c>
      <c r="C319" s="104">
        <v>90.1</v>
      </c>
      <c r="D319" s="104">
        <v>43.2</v>
      </c>
      <c r="E319" s="71">
        <v>50.3</v>
      </c>
    </row>
    <row r="320" spans="1:29" x14ac:dyDescent="0.2">
      <c r="A320" s="16" t="s">
        <v>192</v>
      </c>
      <c r="B320" s="22">
        <f>($I$46+$J$46)/(($F$46)*$P$46)*100</f>
        <v>8.8060507833603463</v>
      </c>
      <c r="C320" s="84">
        <f>($I$74+$J$74)/(($F$74)*$P$74)*100</f>
        <v>91.497227356746762</v>
      </c>
      <c r="D320" s="84">
        <f>($I$102+$J$102)/(($F$102)*$P$102)*100</f>
        <v>44.488977955911821</v>
      </c>
      <c r="E320" s="26">
        <f>($I$18+$J$18)/(($F$18)*$P$18)*100</f>
        <v>35.341365461847388</v>
      </c>
      <c r="F320" s="102">
        <f>AVERAGE(B320:E320)</f>
        <v>45.03340538946658</v>
      </c>
    </row>
    <row r="321" spans="1:16" x14ac:dyDescent="0.2">
      <c r="A321" s="15" t="s">
        <v>11</v>
      </c>
      <c r="B321" s="112"/>
      <c r="C321" s="112"/>
      <c r="D321" s="112"/>
      <c r="E321" s="112"/>
    </row>
    <row r="322" spans="1:16" x14ac:dyDescent="0.2">
      <c r="A322" s="16" t="s">
        <v>188</v>
      </c>
      <c r="B322" s="117">
        <v>2.65</v>
      </c>
      <c r="C322" s="123">
        <v>0.63700000000000001</v>
      </c>
      <c r="D322" s="102">
        <v>8.66</v>
      </c>
      <c r="E322" s="117">
        <v>5.78</v>
      </c>
    </row>
    <row r="323" spans="1:16" x14ac:dyDescent="0.2">
      <c r="A323" s="16" t="s">
        <v>192</v>
      </c>
      <c r="B323" s="83">
        <f>$L$46/(($F$46)*$P$46)*100</f>
        <v>7.1853052404105888</v>
      </c>
      <c r="C323" s="25">
        <f>$L$74/(($F$74)*$P$74)*100</f>
        <v>0.30807147258163892</v>
      </c>
      <c r="D323" s="23">
        <f>$L$102/(($F$102)*$P$102)*100</f>
        <v>2.6052104208416833</v>
      </c>
      <c r="E323" s="83">
        <f>$L$18/(($F$18)*$P$18)*100</f>
        <v>8.2329317269076299</v>
      </c>
      <c r="F323" s="102">
        <f>AVERAGE(B323:E323)</f>
        <v>4.5828797151853848</v>
      </c>
    </row>
    <row r="324" spans="1:16" x14ac:dyDescent="0.2">
      <c r="B324" s="30">
        <f>SUM(B313,B316,B319,B322)</f>
        <v>99.95</v>
      </c>
      <c r="C324" s="30">
        <f t="shared" ref="C324:E325" si="80">SUM(C313,C316,C319,C322)</f>
        <v>99.956999999999994</v>
      </c>
      <c r="D324" s="30">
        <f t="shared" si="80"/>
        <v>100.02</v>
      </c>
      <c r="E324" s="30">
        <f t="shared" si="80"/>
        <v>99.88</v>
      </c>
    </row>
    <row r="325" spans="1:16" x14ac:dyDescent="0.2">
      <c r="B325" s="30">
        <f>SUM(B314,B317,B320,B323)</f>
        <v>100</v>
      </c>
      <c r="C325" s="30">
        <f t="shared" si="80"/>
        <v>100</v>
      </c>
      <c r="D325" s="30">
        <f t="shared" si="80"/>
        <v>100</v>
      </c>
      <c r="E325" s="30">
        <f t="shared" si="80"/>
        <v>100</v>
      </c>
    </row>
    <row r="329" spans="1:16" ht="15" customHeight="1" x14ac:dyDescent="0.2">
      <c r="A329" s="131" t="s">
        <v>195</v>
      </c>
      <c r="B329" s="133" t="s">
        <v>180</v>
      </c>
      <c r="C329" s="133"/>
      <c r="D329" s="133"/>
      <c r="E329" s="133"/>
      <c r="F329" s="134"/>
      <c r="G329" s="133" t="s">
        <v>181</v>
      </c>
      <c r="H329" s="133"/>
      <c r="I329" s="133"/>
      <c r="J329" s="133"/>
      <c r="K329" s="100"/>
      <c r="L329" s="133" t="s">
        <v>182</v>
      </c>
      <c r="M329" s="133"/>
      <c r="N329" s="133"/>
      <c r="O329" s="133"/>
    </row>
    <row r="330" spans="1:16" x14ac:dyDescent="0.2">
      <c r="A330" s="131"/>
      <c r="B330" s="118"/>
      <c r="C330" s="118"/>
      <c r="D330" s="118"/>
      <c r="E330" s="118"/>
      <c r="F330" s="134"/>
      <c r="G330" s="118"/>
      <c r="H330" s="118"/>
      <c r="I330" s="118"/>
      <c r="J330" s="118"/>
      <c r="K330" s="124"/>
      <c r="L330" s="118"/>
      <c r="M330" s="118"/>
      <c r="N330" s="118"/>
      <c r="O330" s="118"/>
    </row>
    <row r="331" spans="1:16" x14ac:dyDescent="0.2">
      <c r="A331" s="132"/>
      <c r="B331" s="99" t="s">
        <v>183</v>
      </c>
      <c r="C331" s="99" t="s">
        <v>184</v>
      </c>
      <c r="D331" s="99" t="s">
        <v>185</v>
      </c>
      <c r="E331" s="99" t="s">
        <v>186</v>
      </c>
      <c r="F331" s="100"/>
      <c r="G331" s="99" t="s">
        <v>183</v>
      </c>
      <c r="H331" s="99" t="s">
        <v>184</v>
      </c>
      <c r="I331" s="99" t="s">
        <v>185</v>
      </c>
      <c r="J331" s="99" t="s">
        <v>186</v>
      </c>
      <c r="K331" s="100"/>
      <c r="L331" s="99" t="s">
        <v>183</v>
      </c>
      <c r="M331" s="99" t="s">
        <v>184</v>
      </c>
      <c r="N331" s="99" t="s">
        <v>185</v>
      </c>
      <c r="O331" s="99" t="s">
        <v>186</v>
      </c>
    </row>
    <row r="332" spans="1:16" x14ac:dyDescent="0.2">
      <c r="A332" s="100" t="s">
        <v>7</v>
      </c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0"/>
      <c r="O332" s="100"/>
    </row>
    <row r="333" spans="1:16" x14ac:dyDescent="0.2">
      <c r="A333" s="125" t="s">
        <v>188</v>
      </c>
      <c r="B333" s="108">
        <v>24.1</v>
      </c>
      <c r="C333" s="102">
        <v>2.5</v>
      </c>
      <c r="D333" s="102">
        <v>4.67</v>
      </c>
      <c r="E333" s="108">
        <v>17.5</v>
      </c>
      <c r="F333" s="99"/>
      <c r="G333" s="71">
        <v>25.7</v>
      </c>
      <c r="H333" s="106">
        <v>2</v>
      </c>
      <c r="I333" s="102">
        <v>4.4800000000000004</v>
      </c>
      <c r="J333" s="71">
        <v>21.4</v>
      </c>
      <c r="K333" s="100"/>
      <c r="L333" s="71">
        <v>25.8</v>
      </c>
      <c r="M333" s="102">
        <v>2.19</v>
      </c>
      <c r="N333" s="105">
        <v>3.7</v>
      </c>
      <c r="O333" s="71">
        <v>18.600000000000001</v>
      </c>
    </row>
    <row r="334" spans="1:16" x14ac:dyDescent="0.2">
      <c r="A334" s="125" t="s">
        <v>192</v>
      </c>
      <c r="B334" s="117">
        <v>4.49</v>
      </c>
      <c r="C334" s="116">
        <v>0</v>
      </c>
      <c r="D334" s="105">
        <v>3.51</v>
      </c>
      <c r="E334" s="117">
        <v>9.7200000000000006</v>
      </c>
      <c r="F334" s="102">
        <f>AVERAGE(B334:E334)</f>
        <v>4.43</v>
      </c>
      <c r="G334" s="105">
        <v>1.3</v>
      </c>
      <c r="H334" s="116">
        <v>0</v>
      </c>
      <c r="I334" s="117">
        <v>4.3499999999999996</v>
      </c>
      <c r="J334" s="105">
        <v>1.1100000000000001</v>
      </c>
      <c r="K334" s="102">
        <f>AVERAGE(G334:J334)</f>
        <v>1.69</v>
      </c>
      <c r="L334" s="117">
        <v>3.23</v>
      </c>
      <c r="M334" s="126">
        <v>0.28199999999999997</v>
      </c>
      <c r="N334" s="102">
        <v>7.59</v>
      </c>
      <c r="O334" s="117">
        <v>3.06</v>
      </c>
      <c r="P334" s="102">
        <f>AVERAGE(L334:O334)</f>
        <v>3.5405000000000002</v>
      </c>
    </row>
    <row r="335" spans="1:16" x14ac:dyDescent="0.2">
      <c r="A335" s="101" t="s">
        <v>13</v>
      </c>
      <c r="B335" s="112"/>
      <c r="C335" s="112"/>
      <c r="D335" s="112"/>
      <c r="E335" s="112"/>
      <c r="F335" s="112"/>
      <c r="G335" s="112"/>
      <c r="H335" s="112"/>
      <c r="I335" s="112"/>
      <c r="J335" s="112"/>
      <c r="K335" s="101"/>
      <c r="L335" s="112"/>
      <c r="M335" s="112"/>
      <c r="N335" s="112"/>
      <c r="O335" s="112"/>
    </row>
    <row r="336" spans="1:16" x14ac:dyDescent="0.2">
      <c r="A336" s="125" t="s">
        <v>188</v>
      </c>
      <c r="B336" s="103">
        <v>39.1</v>
      </c>
      <c r="C336" s="106">
        <v>5.21</v>
      </c>
      <c r="D336" s="108">
        <v>41.4</v>
      </c>
      <c r="E336" s="103">
        <v>26.2</v>
      </c>
      <c r="F336" s="99"/>
      <c r="G336" s="104">
        <v>39.9</v>
      </c>
      <c r="H336" s="102">
        <v>5.38</v>
      </c>
      <c r="I336" s="71">
        <v>44.2</v>
      </c>
      <c r="J336" s="104">
        <v>31.4</v>
      </c>
      <c r="K336" s="100"/>
      <c r="L336" s="104">
        <v>41.2</v>
      </c>
      <c r="M336" s="102">
        <v>5.5</v>
      </c>
      <c r="N336" s="71">
        <v>48.1</v>
      </c>
      <c r="O336" s="104">
        <v>30.9</v>
      </c>
    </row>
    <row r="337" spans="1:24" x14ac:dyDescent="0.2">
      <c r="A337" s="125" t="s">
        <v>192</v>
      </c>
      <c r="B337" s="108">
        <v>46.1</v>
      </c>
      <c r="C337" s="105">
        <v>2.23</v>
      </c>
      <c r="D337" s="104">
        <v>36</v>
      </c>
      <c r="E337" s="108">
        <v>26.4</v>
      </c>
      <c r="F337" s="102">
        <f>AVERAGE(B337:E337)</f>
        <v>27.682499999999997</v>
      </c>
      <c r="G337" s="71">
        <v>61</v>
      </c>
      <c r="H337" s="117">
        <v>4.5199999999999996</v>
      </c>
      <c r="I337" s="103">
        <v>31.5</v>
      </c>
      <c r="J337" s="71">
        <v>48.9</v>
      </c>
      <c r="K337" s="102">
        <f>AVERAGE(G337:J337)</f>
        <v>36.479999999999997</v>
      </c>
      <c r="L337" s="71">
        <v>60.8</v>
      </c>
      <c r="M337" s="117">
        <v>3.11</v>
      </c>
      <c r="N337" s="104">
        <v>41.1</v>
      </c>
      <c r="O337" s="71">
        <v>49</v>
      </c>
      <c r="P337" s="102">
        <f>AVERAGE(L337:O337)</f>
        <v>38.502499999999998</v>
      </c>
    </row>
    <row r="338" spans="1:24" x14ac:dyDescent="0.2">
      <c r="A338" s="101" t="s">
        <v>190</v>
      </c>
      <c r="B338" s="112"/>
      <c r="C338" s="112"/>
      <c r="D338" s="112"/>
      <c r="E338" s="112"/>
      <c r="F338" s="112"/>
      <c r="G338" s="112"/>
      <c r="H338" s="112"/>
      <c r="I338" s="112"/>
      <c r="J338" s="112"/>
      <c r="K338" s="101"/>
      <c r="L338" s="112"/>
      <c r="M338" s="112"/>
      <c r="N338" s="112"/>
      <c r="O338" s="112"/>
      <c r="R338" s="135"/>
      <c r="S338" s="161"/>
      <c r="T338" s="162"/>
      <c r="U338" s="162"/>
      <c r="V338" s="162"/>
      <c r="W338" s="162"/>
      <c r="X338" s="135"/>
    </row>
    <row r="339" spans="1:24" x14ac:dyDescent="0.2">
      <c r="A339" s="125" t="s">
        <v>188</v>
      </c>
      <c r="B339" s="103">
        <v>27.4</v>
      </c>
      <c r="C339" s="71">
        <v>90.5</v>
      </c>
      <c r="D339" s="108">
        <v>36.200000000000003</v>
      </c>
      <c r="E339" s="103">
        <v>46.7</v>
      </c>
      <c r="F339" s="99"/>
      <c r="G339" s="104">
        <v>26.3</v>
      </c>
      <c r="H339" s="108">
        <v>91.2</v>
      </c>
      <c r="I339" s="71">
        <v>32.4</v>
      </c>
      <c r="J339" s="104">
        <v>38.6</v>
      </c>
      <c r="K339" s="100"/>
      <c r="L339" s="104">
        <v>25.6</v>
      </c>
      <c r="M339" s="71">
        <v>90.6</v>
      </c>
      <c r="N339" s="71">
        <v>33.299999999999997</v>
      </c>
      <c r="O339" s="104">
        <v>44.1</v>
      </c>
      <c r="R339" s="135"/>
      <c r="S339" s="161"/>
      <c r="T339" s="122"/>
      <c r="U339" s="122"/>
      <c r="V339" s="122"/>
      <c r="W339" s="122"/>
      <c r="X339" s="135"/>
    </row>
    <row r="340" spans="1:24" x14ac:dyDescent="0.2">
      <c r="A340" s="125" t="s">
        <v>192</v>
      </c>
      <c r="B340" s="108">
        <v>18</v>
      </c>
      <c r="C340" s="103">
        <v>96.1</v>
      </c>
      <c r="D340" s="103">
        <v>40.4</v>
      </c>
      <c r="E340" s="108">
        <v>34.700000000000003</v>
      </c>
      <c r="F340" s="102">
        <f>AVERAGE(B340:E340)</f>
        <v>47.3</v>
      </c>
      <c r="G340" s="71">
        <v>14.3</v>
      </c>
      <c r="H340" s="104">
        <v>91.6</v>
      </c>
      <c r="I340" s="104">
        <v>39.1</v>
      </c>
      <c r="J340" s="71">
        <v>30</v>
      </c>
      <c r="K340" s="102">
        <f>AVERAGE(G340:J340)</f>
        <v>43.75</v>
      </c>
      <c r="L340" s="71">
        <v>15.1</v>
      </c>
      <c r="M340" s="104">
        <v>91.2</v>
      </c>
      <c r="N340" s="104">
        <v>34.200000000000003</v>
      </c>
      <c r="O340" s="71">
        <v>27.6</v>
      </c>
      <c r="P340" s="102">
        <f>AVERAGE(L340:O340)</f>
        <v>42.024999999999999</v>
      </c>
      <c r="R340" s="135"/>
      <c r="S340" s="163"/>
      <c r="T340" s="163"/>
      <c r="U340" s="163"/>
      <c r="V340" s="163"/>
      <c r="W340" s="163"/>
      <c r="X340" s="135"/>
    </row>
    <row r="341" spans="1:24" x14ac:dyDescent="0.2">
      <c r="A341" s="101" t="s">
        <v>11</v>
      </c>
      <c r="B341" s="112"/>
      <c r="C341" s="112"/>
      <c r="D341" s="112"/>
      <c r="E341" s="112"/>
      <c r="F341" s="112"/>
      <c r="G341" s="112"/>
      <c r="H341" s="112"/>
      <c r="I341" s="112"/>
      <c r="J341" s="112"/>
      <c r="K341" s="100"/>
      <c r="L341" s="112"/>
      <c r="M341" s="112"/>
      <c r="N341" s="112"/>
      <c r="O341" s="112"/>
      <c r="R341" s="135"/>
      <c r="S341" s="164"/>
      <c r="T341" s="165"/>
      <c r="U341" s="165"/>
      <c r="V341" s="166"/>
      <c r="W341" s="119"/>
      <c r="X341" s="135"/>
    </row>
    <row r="342" spans="1:24" x14ac:dyDescent="0.2">
      <c r="A342" s="125" t="s">
        <v>188</v>
      </c>
      <c r="B342" s="106">
        <v>9.3699999999999992</v>
      </c>
      <c r="C342" s="105">
        <v>1.81</v>
      </c>
      <c r="D342" s="71">
        <v>17.8</v>
      </c>
      <c r="E342" s="106">
        <v>9.6</v>
      </c>
      <c r="F342" s="99"/>
      <c r="G342" s="102">
        <v>8.06</v>
      </c>
      <c r="H342" s="102">
        <v>1.39</v>
      </c>
      <c r="I342" s="108">
        <v>19</v>
      </c>
      <c r="J342" s="102">
        <v>8.64</v>
      </c>
      <c r="K342" s="100"/>
      <c r="L342" s="102">
        <v>7.37</v>
      </c>
      <c r="M342" s="102">
        <v>1.76</v>
      </c>
      <c r="N342" s="71">
        <v>15</v>
      </c>
      <c r="O342" s="102">
        <v>6.36</v>
      </c>
      <c r="R342" s="135"/>
      <c r="S342" s="164"/>
      <c r="T342" s="121"/>
      <c r="U342" s="167"/>
      <c r="V342" s="168"/>
      <c r="W342" s="121"/>
      <c r="X342" s="135"/>
    </row>
    <row r="343" spans="1:24" x14ac:dyDescent="0.2">
      <c r="A343" s="127" t="s">
        <v>192</v>
      </c>
      <c r="B343" s="103">
        <v>31.5</v>
      </c>
      <c r="C343" s="102">
        <v>1.68</v>
      </c>
      <c r="D343" s="104">
        <v>20.2</v>
      </c>
      <c r="E343" s="103">
        <v>29.2</v>
      </c>
      <c r="F343" s="102">
        <f>AVERAGE(B343:E343)</f>
        <v>20.645</v>
      </c>
      <c r="G343" s="104">
        <v>23.4</v>
      </c>
      <c r="H343" s="117">
        <v>3.87</v>
      </c>
      <c r="I343" s="103">
        <v>25</v>
      </c>
      <c r="J343" s="104">
        <v>20</v>
      </c>
      <c r="K343" s="102">
        <f>AVERAGE(G343:J343)</f>
        <v>18.067499999999999</v>
      </c>
      <c r="L343" s="104">
        <v>21</v>
      </c>
      <c r="M343" s="105">
        <v>5.37</v>
      </c>
      <c r="N343" s="104">
        <v>17.100000000000001</v>
      </c>
      <c r="O343" s="104">
        <v>20.399999999999999</v>
      </c>
      <c r="P343" s="102">
        <f>AVERAGE(L343:O343)</f>
        <v>15.967499999999999</v>
      </c>
      <c r="R343" s="135"/>
      <c r="S343" s="164"/>
      <c r="T343" s="165"/>
      <c r="U343" s="169"/>
      <c r="V343" s="165"/>
      <c r="W343" s="165"/>
      <c r="X343" s="135"/>
    </row>
    <row r="344" spans="1:24" x14ac:dyDescent="0.2">
      <c r="A344" s="128" t="s">
        <v>193</v>
      </c>
      <c r="B344" s="112"/>
      <c r="C344" s="112"/>
      <c r="D344" s="112"/>
      <c r="E344" s="112"/>
      <c r="F344" s="99"/>
      <c r="G344" s="129"/>
      <c r="H344" s="129"/>
      <c r="I344" s="129"/>
      <c r="J344" s="129"/>
      <c r="K344" s="100"/>
      <c r="L344" s="129"/>
      <c r="M344" s="129"/>
      <c r="N344" s="129"/>
      <c r="O344" s="129"/>
      <c r="R344" s="135"/>
      <c r="S344" s="163"/>
      <c r="T344" s="163"/>
      <c r="U344" s="163"/>
      <c r="V344" s="163"/>
      <c r="W344" s="163"/>
      <c r="X344" s="135"/>
    </row>
    <row r="345" spans="1:24" x14ac:dyDescent="0.2">
      <c r="A345" s="125" t="s">
        <v>188</v>
      </c>
      <c r="B345" s="106">
        <v>8.98</v>
      </c>
      <c r="C345" s="108">
        <v>18.5</v>
      </c>
      <c r="D345" s="108">
        <v>18.8</v>
      </c>
      <c r="E345" s="71">
        <v>15.9</v>
      </c>
      <c r="F345" s="99"/>
      <c r="G345" s="102">
        <v>7.2</v>
      </c>
      <c r="H345" s="71">
        <v>13.2</v>
      </c>
      <c r="I345" s="71">
        <v>13.9</v>
      </c>
      <c r="J345" s="108">
        <v>20.9</v>
      </c>
      <c r="K345" s="100"/>
      <c r="L345" s="102">
        <v>6.06</v>
      </c>
      <c r="M345" s="71">
        <v>10.4</v>
      </c>
      <c r="N345" s="71">
        <v>13.2</v>
      </c>
      <c r="O345" s="71">
        <v>14.5</v>
      </c>
      <c r="R345" s="135"/>
      <c r="S345" s="164"/>
      <c r="T345" s="121"/>
      <c r="U345" s="168"/>
      <c r="V345" s="119"/>
      <c r="W345" s="119"/>
      <c r="X345" s="135"/>
    </row>
    <row r="346" spans="1:24" x14ac:dyDescent="0.2">
      <c r="A346" s="127" t="s">
        <v>192</v>
      </c>
      <c r="B346" s="115">
        <v>14.6</v>
      </c>
      <c r="C346" s="115">
        <v>34.4</v>
      </c>
      <c r="D346" s="115">
        <v>33</v>
      </c>
      <c r="E346" s="130">
        <v>31.9</v>
      </c>
      <c r="F346" s="102">
        <f>AVERAGE(B346:E346)</f>
        <v>28.475000000000001</v>
      </c>
      <c r="G346" s="130">
        <v>18.8</v>
      </c>
      <c r="H346" s="115">
        <v>32.299999999999997</v>
      </c>
      <c r="I346" s="130">
        <v>37</v>
      </c>
      <c r="J346" s="115">
        <v>21.1</v>
      </c>
      <c r="K346" s="102">
        <f>AVERAGE(G346:J346)</f>
        <v>27.299999999999997</v>
      </c>
      <c r="L346" s="115">
        <v>12.4</v>
      </c>
      <c r="M346" s="130">
        <v>34.700000000000003</v>
      </c>
      <c r="N346" s="115">
        <v>26.6</v>
      </c>
      <c r="O346" s="115">
        <v>26.5</v>
      </c>
      <c r="P346" s="102">
        <f>AVERAGE(L346:O346)</f>
        <v>25.05</v>
      </c>
      <c r="R346" s="135"/>
      <c r="S346" s="164"/>
      <c r="T346" s="120"/>
      <c r="U346" s="167"/>
      <c r="V346" s="121"/>
      <c r="W346" s="119"/>
      <c r="X346" s="135"/>
    </row>
    <row r="347" spans="1:24" x14ac:dyDescent="0.2">
      <c r="R347" s="135"/>
      <c r="S347" s="164"/>
      <c r="T347" s="119"/>
      <c r="U347" s="165"/>
      <c r="V347" s="119"/>
      <c r="W347" s="166"/>
      <c r="X347" s="135"/>
    </row>
    <row r="348" spans="1:24" x14ac:dyDescent="0.2">
      <c r="G348" t="s">
        <v>257</v>
      </c>
      <c r="H348" t="s">
        <v>256</v>
      </c>
      <c r="R348" s="135"/>
      <c r="S348" s="163"/>
      <c r="T348" s="122"/>
      <c r="U348" s="122"/>
      <c r="V348" s="122"/>
      <c r="W348" s="122"/>
      <c r="X348" s="135"/>
    </row>
    <row r="349" spans="1:24" x14ac:dyDescent="0.2">
      <c r="G349">
        <f>($F$314-F334)/$F$314*100</f>
        <v>-1.7378279692080363</v>
      </c>
      <c r="H349">
        <f>($F$323-P343)/$F$323*100</f>
        <v>-248.41630137251133</v>
      </c>
      <c r="R349" s="135"/>
      <c r="S349" s="164"/>
      <c r="T349" s="119"/>
      <c r="U349" s="119"/>
      <c r="V349" s="120"/>
      <c r="W349" s="120"/>
      <c r="X349" s="135"/>
    </row>
    <row r="350" spans="1:24" x14ac:dyDescent="0.2">
      <c r="G350">
        <f>($F$314-K334)/$F$314*100</f>
        <v>61.188052083981582</v>
      </c>
      <c r="R350" s="135"/>
      <c r="S350" s="164"/>
      <c r="T350" s="121"/>
      <c r="U350" s="166"/>
      <c r="V350" s="166"/>
      <c r="W350" s="119"/>
      <c r="X350" s="135"/>
    </row>
    <row r="351" spans="1:24" x14ac:dyDescent="0.2">
      <c r="G351">
        <f>($F$314-P334)/$F$314*100</f>
        <v>18.690117398424132</v>
      </c>
      <c r="R351" s="135"/>
      <c r="S351" s="164"/>
      <c r="T351" s="119"/>
      <c r="U351" s="120"/>
      <c r="V351" s="119"/>
      <c r="W351" s="121"/>
      <c r="X351" s="135"/>
    </row>
    <row r="352" spans="1:24" x14ac:dyDescent="0.2">
      <c r="R352" s="135"/>
      <c r="S352" s="163"/>
      <c r="T352" s="122"/>
      <c r="U352" s="122"/>
      <c r="V352" s="122"/>
      <c r="W352" s="122"/>
      <c r="X352" s="135"/>
    </row>
    <row r="353" spans="1:24" x14ac:dyDescent="0.2">
      <c r="A353" s="75" t="s">
        <v>199</v>
      </c>
      <c r="B353" s="77" t="s">
        <v>196</v>
      </c>
      <c r="C353" s="77"/>
      <c r="D353" s="77"/>
      <c r="E353" s="77"/>
      <c r="F353" s="78"/>
      <c r="G353" s="77" t="s">
        <v>197</v>
      </c>
      <c r="H353" s="77"/>
      <c r="I353" s="77"/>
      <c r="J353" s="77"/>
      <c r="L353" s="77" t="s">
        <v>198</v>
      </c>
      <c r="M353" s="77"/>
      <c r="N353" s="77"/>
      <c r="O353" s="77"/>
      <c r="R353" s="135"/>
      <c r="S353" s="164"/>
      <c r="T353" s="165"/>
      <c r="U353" s="170"/>
      <c r="V353" s="119"/>
      <c r="W353" s="165"/>
      <c r="X353" s="135"/>
    </row>
    <row r="354" spans="1:24" x14ac:dyDescent="0.2">
      <c r="A354" s="75"/>
      <c r="B354" s="77"/>
      <c r="C354" s="77"/>
      <c r="D354" s="77"/>
      <c r="E354" s="77"/>
      <c r="F354" s="78"/>
      <c r="G354" s="77"/>
      <c r="H354" s="77"/>
      <c r="I354" s="77"/>
      <c r="J354" s="77"/>
      <c r="K354" s="14"/>
      <c r="L354" s="77"/>
      <c r="M354" s="77"/>
      <c r="N354" s="77"/>
      <c r="O354" s="77"/>
      <c r="R354" s="135"/>
      <c r="S354" s="164"/>
      <c r="T354" s="171"/>
      <c r="U354" s="169"/>
      <c r="V354" s="165"/>
      <c r="W354" s="171"/>
      <c r="X354" s="135"/>
    </row>
    <row r="355" spans="1:24" x14ac:dyDescent="0.2">
      <c r="A355" s="79"/>
      <c r="B355" s="12" t="s">
        <v>183</v>
      </c>
      <c r="C355" s="12" t="s">
        <v>184</v>
      </c>
      <c r="D355" s="12" t="s">
        <v>185</v>
      </c>
      <c r="E355" s="12" t="s">
        <v>186</v>
      </c>
      <c r="G355" s="12" t="s">
        <v>183</v>
      </c>
      <c r="H355" s="12" t="s">
        <v>184</v>
      </c>
      <c r="I355" s="12" t="s">
        <v>185</v>
      </c>
      <c r="J355" s="12" t="s">
        <v>186</v>
      </c>
      <c r="L355" s="12" t="s">
        <v>183</v>
      </c>
      <c r="M355" s="12" t="s">
        <v>184</v>
      </c>
      <c r="N355" s="12" t="s">
        <v>185</v>
      </c>
      <c r="O355" s="12" t="s">
        <v>186</v>
      </c>
      <c r="R355" s="135"/>
      <c r="S355" s="164"/>
      <c r="T355" s="165"/>
      <c r="U355" s="165"/>
      <c r="V355" s="171"/>
      <c r="W355" s="168"/>
      <c r="X355" s="135"/>
    </row>
    <row r="356" spans="1:24" x14ac:dyDescent="0.2">
      <c r="A356" s="15" t="s">
        <v>7</v>
      </c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R356" s="135"/>
      <c r="S356" s="135"/>
      <c r="T356" s="135"/>
      <c r="U356" s="135"/>
      <c r="V356" s="135"/>
      <c r="W356" s="135"/>
      <c r="X356" s="135"/>
    </row>
    <row r="357" spans="1:24" x14ac:dyDescent="0.2">
      <c r="A357" s="16" t="s">
        <v>188</v>
      </c>
      <c r="B357" s="21">
        <f>B326</f>
        <v>0</v>
      </c>
      <c r="C357" s="18">
        <f>C326</f>
        <v>0</v>
      </c>
      <c r="D357" s="18">
        <f>D326</f>
        <v>0</v>
      </c>
      <c r="E357" s="17">
        <f>E326</f>
        <v>0</v>
      </c>
      <c r="F357" s="12"/>
      <c r="G357" s="17">
        <f>G326</f>
        <v>0</v>
      </c>
      <c r="H357" s="18">
        <f>H326</f>
        <v>0</v>
      </c>
      <c r="I357" s="19">
        <f>I326</f>
        <v>0</v>
      </c>
      <c r="J357" s="19">
        <f>J326</f>
        <v>0</v>
      </c>
      <c r="L357" s="17">
        <f>L326</f>
        <v>0</v>
      </c>
      <c r="M357" s="19">
        <f>M326</f>
        <v>0</v>
      </c>
      <c r="N357" s="18">
        <f>N326</f>
        <v>0</v>
      </c>
      <c r="O357" s="17">
        <f>O326</f>
        <v>0</v>
      </c>
      <c r="R357" s="135"/>
      <c r="S357" s="135"/>
      <c r="T357" s="135"/>
      <c r="U357" s="135"/>
      <c r="V357" s="135"/>
      <c r="W357" s="135"/>
      <c r="X357" s="135"/>
    </row>
    <row r="358" spans="1:24" x14ac:dyDescent="0.2">
      <c r="A358" s="16" t="s">
        <v>192</v>
      </c>
      <c r="B358" s="22">
        <f>$H$139/(($F$139-2)*$P$139)*100</f>
        <v>1.9607843137254901</v>
      </c>
      <c r="C358" s="25">
        <f>$H$155/(($F$155-2)*$P$155)*100</f>
        <v>0</v>
      </c>
      <c r="D358" s="23">
        <f>$H$171/(($F$171-2)*$P$171)*100</f>
        <v>3.7383177570093453</v>
      </c>
      <c r="E358" s="23">
        <f>$H$123/(($F$123-2)*$P$123)*100</f>
        <v>2.4390243902439024</v>
      </c>
      <c r="F358" s="102">
        <f>AVERAGE(B358:E358)</f>
        <v>2.0345316152446844</v>
      </c>
      <c r="G358" s="23">
        <f>$H$140/(($F$140-2)*$P$140)*100</f>
        <v>2.083333333333333</v>
      </c>
      <c r="H358" s="25">
        <f>$H$156/(($F$156-2)*$P$156)*100</f>
        <v>0</v>
      </c>
      <c r="I358" s="22">
        <f>$H$172/(($F$172-2)*$P$172)*100</f>
        <v>2.6315789473684208</v>
      </c>
      <c r="J358" s="22">
        <f>$H$124/(($F$124-2)*$P$124)*100</f>
        <v>2.3255813953488373</v>
      </c>
      <c r="K358" s="102">
        <f>AVERAGE(G358:J358)</f>
        <v>1.7601234190126478</v>
      </c>
      <c r="L358" s="23">
        <f>$H$141/(($F$141-2)*$P$141)*100</f>
        <v>4.4444444444444446</v>
      </c>
      <c r="M358" s="24">
        <f>$H$157/(($F$157-2)*$P$157)*100</f>
        <v>0.85470085470085477</v>
      </c>
      <c r="N358" s="23">
        <f>$H$173/(($F$173-2)*$P$173)*100</f>
        <v>3.2608695652173911</v>
      </c>
      <c r="O358" s="23">
        <f>$H$125/(($F$125-2)*$P$125)*100</f>
        <v>8</v>
      </c>
      <c r="P358" s="102">
        <f>AVERAGE(L358:O358)</f>
        <v>4.1400037160906731</v>
      </c>
    </row>
    <row r="359" spans="1:24" x14ac:dyDescent="0.2">
      <c r="A359" s="15" t="s">
        <v>13</v>
      </c>
      <c r="B359" s="27"/>
      <c r="C359" s="27"/>
      <c r="D359" s="27"/>
      <c r="E359" s="27"/>
      <c r="F359" s="112"/>
      <c r="G359" s="27"/>
      <c r="H359" s="27"/>
      <c r="I359" s="27"/>
      <c r="J359" s="27"/>
      <c r="K359" s="112"/>
      <c r="L359" s="27"/>
      <c r="M359" s="27"/>
      <c r="N359" s="27"/>
      <c r="O359" s="27"/>
      <c r="P359" s="112"/>
    </row>
    <row r="360" spans="1:24" x14ac:dyDescent="0.2">
      <c r="A360" s="16" t="s">
        <v>188</v>
      </c>
      <c r="B360" s="20">
        <f>B330</f>
        <v>0</v>
      </c>
      <c r="C360" s="19">
        <f>C330</f>
        <v>0</v>
      </c>
      <c r="D360" s="17">
        <f>D330</f>
        <v>0</v>
      </c>
      <c r="E360" s="20">
        <f>E330</f>
        <v>0</v>
      </c>
      <c r="F360" s="99"/>
      <c r="G360" s="26">
        <f>G330</f>
        <v>0</v>
      </c>
      <c r="H360" s="18">
        <f>H330</f>
        <v>0</v>
      </c>
      <c r="I360" s="21">
        <f>I330</f>
        <v>0</v>
      </c>
      <c r="J360" s="26">
        <f>J330</f>
        <v>0</v>
      </c>
      <c r="K360" s="99"/>
      <c r="L360" s="26">
        <f>L330</f>
        <v>0</v>
      </c>
      <c r="M360" s="18">
        <f>M330</f>
        <v>0</v>
      </c>
      <c r="N360" s="17">
        <f>N330</f>
        <v>0</v>
      </c>
      <c r="O360" s="26">
        <f>O330</f>
        <v>0</v>
      </c>
      <c r="P360" s="99"/>
    </row>
    <row r="361" spans="1:24" x14ac:dyDescent="0.2">
      <c r="A361" s="16" t="s">
        <v>192</v>
      </c>
      <c r="B361" s="21">
        <f>$N$139/(($F$139-2)*$P$139)*100</f>
        <v>35.294117647058826</v>
      </c>
      <c r="C361" s="23">
        <f>$N$155/(($F$155-2)*$P$155)*100</f>
        <v>3.3613445378151261</v>
      </c>
      <c r="D361" s="26">
        <f>$N$171/(($F$171-2)*$P$171)*100</f>
        <v>25.233644859813083</v>
      </c>
      <c r="E361" s="21">
        <f>$N$123/(($F$123-2)*$P$123)*100</f>
        <v>21.951219512195124</v>
      </c>
      <c r="F361" s="102">
        <f>AVERAGE(B361:E361)</f>
        <v>21.46008163922054</v>
      </c>
      <c r="G361" s="17">
        <f>$N$140/(($F$140-2)*$P$140)*100</f>
        <v>35.416666666666671</v>
      </c>
      <c r="H361" s="25">
        <f>$N$156/(($F$156-2)*$P$156)*100</f>
        <v>0.79365079365079361</v>
      </c>
      <c r="I361" s="20">
        <f>$N$172/(($F$172-2)*$P$172)*100</f>
        <v>22.807017543859647</v>
      </c>
      <c r="J361" s="17">
        <f>$N$124/(($F$124-2)*$P$124)*100</f>
        <v>27.906976744186046</v>
      </c>
      <c r="K361" s="102">
        <f>AVERAGE(G361:J361)</f>
        <v>21.731077937090788</v>
      </c>
      <c r="L361" s="17">
        <f>$N$141/(($F$141-2)*$P$141)*100</f>
        <v>46.666666666666664</v>
      </c>
      <c r="M361" s="23">
        <f>$N$157/(($F$157-2)*$P$157)*100</f>
        <v>2.5641025641025639</v>
      </c>
      <c r="N361" s="26">
        <f>$N$173/(($F$173-2)*$P$173)*100</f>
        <v>27.173913043478258</v>
      </c>
      <c r="O361" s="17">
        <f>$N$125/(($F$125-2)*$P$125)*100</f>
        <v>32</v>
      </c>
      <c r="P361" s="102">
        <f>AVERAGE(L361:O361)</f>
        <v>27.101170568561869</v>
      </c>
    </row>
    <row r="362" spans="1:24" x14ac:dyDescent="0.2">
      <c r="A362" s="15" t="s">
        <v>190</v>
      </c>
      <c r="B362" s="27"/>
      <c r="C362" s="27"/>
      <c r="D362" s="27"/>
      <c r="E362" s="27"/>
      <c r="F362" s="112"/>
      <c r="G362" s="27"/>
      <c r="H362" s="27"/>
      <c r="I362" s="27"/>
      <c r="J362" s="27"/>
      <c r="K362" s="112"/>
      <c r="L362" s="27"/>
      <c r="M362" s="27"/>
      <c r="N362" s="27"/>
      <c r="O362" s="27"/>
      <c r="P362" s="112"/>
    </row>
    <row r="363" spans="1:24" x14ac:dyDescent="0.2">
      <c r="A363" s="16" t="s">
        <v>188</v>
      </c>
      <c r="B363" s="20">
        <f>B334</f>
        <v>4.49</v>
      </c>
      <c r="C363" s="84">
        <f>C334</f>
        <v>0</v>
      </c>
      <c r="D363" s="84">
        <f>D334</f>
        <v>3.51</v>
      </c>
      <c r="E363" s="26">
        <f>E334</f>
        <v>9.7200000000000006</v>
      </c>
      <c r="F363" s="99"/>
      <c r="G363" s="26">
        <f>G334</f>
        <v>1.3</v>
      </c>
      <c r="H363" s="84">
        <f>H334</f>
        <v>0</v>
      </c>
      <c r="I363" s="21">
        <f>I334</f>
        <v>4.3499999999999996</v>
      </c>
      <c r="J363" s="20">
        <f>J334</f>
        <v>1.1100000000000001</v>
      </c>
      <c r="K363" s="99"/>
      <c r="L363" s="26">
        <f>L334</f>
        <v>3.23</v>
      </c>
      <c r="M363" s="21">
        <f>M334</f>
        <v>0.28199999999999997</v>
      </c>
      <c r="N363" s="84">
        <f>N334</f>
        <v>7.59</v>
      </c>
      <c r="O363" s="26">
        <f>O334</f>
        <v>3.06</v>
      </c>
      <c r="P363" s="99"/>
    </row>
    <row r="364" spans="1:24" x14ac:dyDescent="0.2">
      <c r="A364" s="16" t="s">
        <v>192</v>
      </c>
      <c r="B364" s="84">
        <f>($I$139+$J$139+$K$139)/(($F$139-2)*$P$139)*100</f>
        <v>15.686274509803921</v>
      </c>
      <c r="C364" s="26">
        <f>($I$155+$J$155+$K$155)/(($F$155-2)*$P$155)*100</f>
        <v>94.9579831932773</v>
      </c>
      <c r="D364" s="20">
        <f>($I$171+$J$171+$K$171)/(($F$171-2)*$P$171)*100</f>
        <v>42.056074766355138</v>
      </c>
      <c r="E364" s="21">
        <f>($I$123+$J$123+$K$123)/(($F$123-2)*$P$123)*100</f>
        <v>39.024390243902438</v>
      </c>
      <c r="F364" s="102">
        <f>AVERAGE(B364:E364)</f>
        <v>47.931180678334705</v>
      </c>
      <c r="G364" s="84">
        <f>($I$140+$J$140+$K$140)/(($F$140-2)*$P$140)*100</f>
        <v>18.75</v>
      </c>
      <c r="H364" s="20">
        <f>($I$156+$J$156+$K$156)/(($F$156-2)*$P$156)*100</f>
        <v>97.61904761904762</v>
      </c>
      <c r="I364" s="26">
        <f>($I$172+$J$172+$K$172)/(($F$172-2)*$P$172)*100</f>
        <v>39.473684210526315</v>
      </c>
      <c r="J364" s="84">
        <f>($I$124+$J$124+$K$124)/(($F$124-2)*$P$124)*100</f>
        <v>25.581395348837212</v>
      </c>
      <c r="K364" s="102">
        <f>AVERAGE(G364:J364)</f>
        <v>45.356031794602792</v>
      </c>
      <c r="L364" s="21">
        <f>($I$141+$J$141+$K$141)/(($F$141-2)*$P$141)*100</f>
        <v>20</v>
      </c>
      <c r="M364" s="26">
        <f>($I$157+$J$157+$K$157)/(($F$157-2)*$P$157)*100</f>
        <v>94.01709401709401</v>
      </c>
      <c r="N364" s="26">
        <f>($I$173+$J$173+$K$173)/(($F$173-2)*$P$173)*100</f>
        <v>39.130434782608695</v>
      </c>
      <c r="O364" s="84">
        <f>($I$125+$J$125+$K$125)/(($F$125-2)*$P$125)*100</f>
        <v>36</v>
      </c>
      <c r="P364" s="102">
        <f>AVERAGE(L364:O364)</f>
        <v>47.286882199925678</v>
      </c>
    </row>
    <row r="365" spans="1:24" x14ac:dyDescent="0.2">
      <c r="A365" s="15" t="s">
        <v>11</v>
      </c>
      <c r="B365" s="90"/>
      <c r="C365" s="90"/>
      <c r="D365" s="90"/>
      <c r="E365" s="90"/>
      <c r="F365" s="112"/>
      <c r="G365" s="90"/>
      <c r="H365" s="90"/>
      <c r="I365" s="90"/>
      <c r="J365" s="90"/>
      <c r="K365" s="112"/>
      <c r="L365" s="90"/>
      <c r="M365" s="90"/>
      <c r="N365" s="90"/>
      <c r="O365" s="90"/>
      <c r="P365" s="112"/>
    </row>
    <row r="366" spans="1:24" x14ac:dyDescent="0.2">
      <c r="A366" s="16" t="s">
        <v>188</v>
      </c>
      <c r="B366" s="21">
        <f>B338</f>
        <v>0</v>
      </c>
      <c r="C366" s="22">
        <f>C338</f>
        <v>0</v>
      </c>
      <c r="D366" s="84">
        <f>D338</f>
        <v>0</v>
      </c>
      <c r="E366" s="84">
        <f>E338</f>
        <v>0</v>
      </c>
      <c r="F366" s="99"/>
      <c r="G366" s="84">
        <f>G338</f>
        <v>0</v>
      </c>
      <c r="H366" s="23">
        <f>H338</f>
        <v>0</v>
      </c>
      <c r="I366" s="21">
        <f>I338</f>
        <v>0</v>
      </c>
      <c r="J366" s="21">
        <f>J338</f>
        <v>0</v>
      </c>
      <c r="K366" s="99"/>
      <c r="L366" s="83">
        <f>L338</f>
        <v>0</v>
      </c>
      <c r="M366" s="83">
        <f>M338</f>
        <v>0</v>
      </c>
      <c r="N366" s="84">
        <f>N338</f>
        <v>0</v>
      </c>
      <c r="O366" s="84">
        <f>O338</f>
        <v>0</v>
      </c>
      <c r="P366" s="99"/>
    </row>
    <row r="367" spans="1:24" x14ac:dyDescent="0.2">
      <c r="A367" s="32" t="s">
        <v>192</v>
      </c>
      <c r="B367" s="20">
        <f>($L$139+$M$139)/(($F$139-2)*$P$139)*100</f>
        <v>47.058823529411761</v>
      </c>
      <c r="C367" s="83">
        <f>($L$155+$M$155)/(($F$155-2)*$P$155)*100</f>
        <v>1.680672268907563</v>
      </c>
      <c r="D367" s="26">
        <f>($L$171+$M$171)/(($F$171-2)*$P$171)*100</f>
        <v>28.971962616822427</v>
      </c>
      <c r="E367" s="26">
        <f>($L$123+$M$123)/(($F$123-2)*$P$123)*100</f>
        <v>36.585365853658537</v>
      </c>
      <c r="F367" s="102">
        <f>AVERAGE(B367:E367)</f>
        <v>28.574206067200073</v>
      </c>
      <c r="G367" s="26">
        <f>($L$140+$M$140)/(($F$140-2)*$P$140)*100</f>
        <v>43.75</v>
      </c>
      <c r="H367" s="83">
        <f>($L$156+$M$156)/(($F$156-2)*$P$156)*100</f>
        <v>1.5873015873015872</v>
      </c>
      <c r="I367" s="20">
        <f>($L$172+$M$172)/(($F$172-2)*$P$172)*100</f>
        <v>35.087719298245609</v>
      </c>
      <c r="J367" s="20">
        <f>($L$124+$M$124)/(($F$124-2)*$P$124)*100</f>
        <v>44.186046511627907</v>
      </c>
      <c r="K367" s="102">
        <f>AVERAGE(G367:J367)</f>
        <v>31.152766849293776</v>
      </c>
      <c r="L367" s="26">
        <f>($L$141+$M$141)/(($F$141-2)*$P$141)*100</f>
        <v>28.888888888888886</v>
      </c>
      <c r="M367" s="22">
        <f>($L$157+$M$157)/(($F$157-2)*$P$157)*100</f>
        <v>2.5641025641025639</v>
      </c>
      <c r="N367" s="26">
        <f>($L$173+$M$173)/(($F$173-2)*$P$173)*100</f>
        <v>30.434782608695656</v>
      </c>
      <c r="O367" s="26">
        <f>($L$125+$M$125)/(($F$125-2)*$P$125)*100</f>
        <v>24</v>
      </c>
      <c r="P367" s="102">
        <f>AVERAGE(L367:O367)</f>
        <v>21.471943515421778</v>
      </c>
    </row>
    <row r="368" spans="1:24" x14ac:dyDescent="0.2">
      <c r="A368" s="29" t="s">
        <v>193</v>
      </c>
      <c r="B368" s="27"/>
      <c r="C368" s="27"/>
      <c r="D368" s="27"/>
      <c r="E368" s="27"/>
      <c r="F368" s="99"/>
      <c r="G368" s="27"/>
      <c r="H368" s="27"/>
      <c r="I368" s="27"/>
      <c r="J368" s="27"/>
      <c r="K368" s="99"/>
      <c r="L368" s="27"/>
      <c r="M368" s="27"/>
      <c r="N368" s="27"/>
      <c r="O368" s="27"/>
      <c r="P368" s="99"/>
    </row>
    <row r="369" spans="1:33" x14ac:dyDescent="0.2">
      <c r="A369" s="16" t="s">
        <v>188</v>
      </c>
      <c r="B369" s="21">
        <f>B342</f>
        <v>9.3699999999999992</v>
      </c>
      <c r="C369" s="21">
        <f>C342</f>
        <v>1.81</v>
      </c>
      <c r="D369" s="17">
        <f>D342</f>
        <v>17.8</v>
      </c>
      <c r="E369" s="17">
        <f>E342</f>
        <v>9.6</v>
      </c>
      <c r="F369" s="99"/>
      <c r="G369" s="17">
        <f>G342</f>
        <v>8.06</v>
      </c>
      <c r="H369" s="17">
        <f>H342</f>
        <v>1.39</v>
      </c>
      <c r="I369" s="21">
        <f>I342</f>
        <v>19</v>
      </c>
      <c r="J369" s="21">
        <f>J342</f>
        <v>8.64</v>
      </c>
      <c r="K369" s="99"/>
      <c r="L369" s="17">
        <f>L342</f>
        <v>7.37</v>
      </c>
      <c r="M369" s="17">
        <f>M342</f>
        <v>1.76</v>
      </c>
      <c r="N369" s="17">
        <f>N342</f>
        <v>15</v>
      </c>
      <c r="O369" s="17">
        <f>O342</f>
        <v>6.36</v>
      </c>
      <c r="P369" s="99"/>
    </row>
    <row r="370" spans="1:33" x14ac:dyDescent="0.2">
      <c r="A370" s="32" t="s">
        <v>192</v>
      </c>
      <c r="B370" s="33">
        <f>$O$139/(($F$139-2)*$P$139)*100</f>
        <v>21.568627450980394</v>
      </c>
      <c r="C370" s="33">
        <f>$O$155/(($F$155-2)*$P$155)*100</f>
        <v>38.655462184873954</v>
      </c>
      <c r="D370" s="33">
        <f>$O$171/(($F$171-2)*$P$171)*100</f>
        <v>42.056074766355138</v>
      </c>
      <c r="E370" s="34">
        <f>$O$123/(($F$123-2)*$P$123)*100</f>
        <v>56.09756097560976</v>
      </c>
      <c r="F370" s="102">
        <f>AVERAGE(B370:E370)</f>
        <v>39.594431344454811</v>
      </c>
      <c r="G370" s="33">
        <f>$O$140/(($F$140-2)*$P$140)*100</f>
        <v>18.75</v>
      </c>
      <c r="H370" s="34">
        <f>$O$156/(($F$156-2)*$P$156)*100</f>
        <v>50</v>
      </c>
      <c r="I370" s="34">
        <f>$O$172/(($F$172-2)*$P$172)*100</f>
        <v>51.754385964912288</v>
      </c>
      <c r="J370" s="33">
        <f>$O$124/(($F$124-2)*$P$124)*100</f>
        <v>53.488372093023251</v>
      </c>
      <c r="K370" s="102">
        <f>AVERAGE(G370:J370)</f>
        <v>43.498189514483883</v>
      </c>
      <c r="L370" s="34">
        <f>$O$141/(($F$141-2)*$P$141)*100</f>
        <v>26.666666666666668</v>
      </c>
      <c r="M370" s="33">
        <f>$O$157/(($F$157-2)*$P$157)*100</f>
        <v>42.735042735042732</v>
      </c>
      <c r="N370" s="33">
        <f>$O$173/(($F$173-2)*$P$173)*100</f>
        <v>45.652173913043477</v>
      </c>
      <c r="O370" s="33">
        <f>$O$125/(($F$125-2)*$P$125)*100</f>
        <v>40</v>
      </c>
      <c r="P370" s="102">
        <f>AVERAGE(L370:O370)</f>
        <v>38.76347082868822</v>
      </c>
    </row>
    <row r="372" spans="1:33" x14ac:dyDescent="0.2">
      <c r="G372" t="s">
        <v>257</v>
      </c>
      <c r="H372" t="s">
        <v>256</v>
      </c>
    </row>
    <row r="373" spans="1:33" x14ac:dyDescent="0.2">
      <c r="G373">
        <f>($F$314-P358)/$F$314*100</f>
        <v>4.9221250881456182</v>
      </c>
      <c r="H373">
        <f>($F$323-P367)/$F$323*100</f>
        <v>-368.52513811947614</v>
      </c>
    </row>
    <row r="374" spans="1:33" x14ac:dyDescent="0.2">
      <c r="G374">
        <f>($F$314-K358)/$F$314*100</f>
        <v>59.577622210365</v>
      </c>
    </row>
    <row r="379" spans="1:33" x14ac:dyDescent="0.2">
      <c r="A379" s="75" t="s">
        <v>271</v>
      </c>
      <c r="B379" s="77" t="s">
        <v>196</v>
      </c>
      <c r="C379" s="77"/>
      <c r="D379" s="77"/>
      <c r="E379" s="77"/>
      <c r="F379" s="12"/>
      <c r="G379" s="77" t="s">
        <v>197</v>
      </c>
      <c r="H379" s="77"/>
      <c r="I379" s="77"/>
      <c r="J379" s="77"/>
      <c r="K379" s="12"/>
      <c r="L379" s="77" t="s">
        <v>198</v>
      </c>
      <c r="M379" s="77"/>
      <c r="N379" s="77"/>
      <c r="O379" s="77"/>
      <c r="S379" s="75" t="s">
        <v>281</v>
      </c>
      <c r="T379" s="77" t="s">
        <v>196</v>
      </c>
      <c r="U379" s="77"/>
      <c r="V379" s="77"/>
      <c r="W379" s="77"/>
      <c r="X379" s="12"/>
      <c r="Y379" s="77" t="s">
        <v>197</v>
      </c>
      <c r="Z379" s="77"/>
      <c r="AA379" s="77"/>
      <c r="AB379" s="77"/>
      <c r="AC379" s="12"/>
      <c r="AD379" s="77" t="s">
        <v>198</v>
      </c>
      <c r="AE379" s="77"/>
      <c r="AF379" s="77"/>
      <c r="AG379" s="77"/>
    </row>
    <row r="380" spans="1:33" x14ac:dyDescent="0.2">
      <c r="A380" s="77"/>
      <c r="B380" s="12" t="s">
        <v>183</v>
      </c>
      <c r="C380" s="12" t="s">
        <v>184</v>
      </c>
      <c r="D380" s="12" t="s">
        <v>185</v>
      </c>
      <c r="E380" s="12" t="s">
        <v>186</v>
      </c>
      <c r="F380" s="12"/>
      <c r="G380" s="12" t="s">
        <v>183</v>
      </c>
      <c r="H380" s="12" t="s">
        <v>184</v>
      </c>
      <c r="I380" s="12" t="s">
        <v>185</v>
      </c>
      <c r="J380" s="12" t="s">
        <v>186</v>
      </c>
      <c r="K380" s="12"/>
      <c r="L380" s="12" t="s">
        <v>183</v>
      </c>
      <c r="M380" s="12" t="s">
        <v>184</v>
      </c>
      <c r="N380" s="12" t="s">
        <v>185</v>
      </c>
      <c r="O380" s="12" t="s">
        <v>186</v>
      </c>
      <c r="S380" s="77"/>
      <c r="T380" s="12" t="s">
        <v>183</v>
      </c>
      <c r="U380" s="12" t="s">
        <v>184</v>
      </c>
      <c r="V380" s="12" t="s">
        <v>185</v>
      </c>
      <c r="W380" s="12" t="s">
        <v>186</v>
      </c>
      <c r="X380" s="12"/>
      <c r="Y380" s="12" t="s">
        <v>183</v>
      </c>
      <c r="Z380" s="12" t="s">
        <v>184</v>
      </c>
      <c r="AA380" s="12" t="s">
        <v>185</v>
      </c>
      <c r="AB380" s="12" t="s">
        <v>186</v>
      </c>
      <c r="AC380" s="12"/>
      <c r="AD380" s="12" t="s">
        <v>183</v>
      </c>
      <c r="AE380" s="12" t="s">
        <v>184</v>
      </c>
      <c r="AF380" s="12" t="s">
        <v>185</v>
      </c>
      <c r="AG380" s="12" t="s">
        <v>186</v>
      </c>
    </row>
    <row r="381" spans="1:33" x14ac:dyDescent="0.2">
      <c r="A381" s="15" t="s">
        <v>265</v>
      </c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S381" s="15" t="s">
        <v>265</v>
      </c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</row>
    <row r="382" spans="1:33" x14ac:dyDescent="0.2">
      <c r="A382" s="16" t="s">
        <v>187</v>
      </c>
      <c r="B382" s="93">
        <v>580</v>
      </c>
      <c r="C382" s="93">
        <v>709</v>
      </c>
      <c r="D382" s="93">
        <v>417</v>
      </c>
      <c r="E382" s="93">
        <v>21</v>
      </c>
      <c r="F382" s="93"/>
      <c r="G382" s="93">
        <v>582</v>
      </c>
      <c r="H382" s="93">
        <v>724</v>
      </c>
      <c r="I382" s="93">
        <v>414</v>
      </c>
      <c r="J382" s="93">
        <v>30</v>
      </c>
      <c r="K382" s="93"/>
      <c r="L382" s="93">
        <v>599</v>
      </c>
      <c r="M382" s="93">
        <v>672</v>
      </c>
      <c r="N382" s="93">
        <v>238</v>
      </c>
      <c r="O382" s="93">
        <v>5</v>
      </c>
      <c r="S382" s="16" t="s">
        <v>187</v>
      </c>
      <c r="T382" s="93">
        <v>325</v>
      </c>
      <c r="U382" s="93">
        <v>241</v>
      </c>
      <c r="V382" s="93">
        <v>174</v>
      </c>
      <c r="W382" s="93">
        <v>76</v>
      </c>
      <c r="X382" s="93"/>
      <c r="Y382" s="93">
        <v>305</v>
      </c>
      <c r="Z382" s="93">
        <v>219</v>
      </c>
      <c r="AA382" s="93">
        <v>157</v>
      </c>
      <c r="AB382" s="93">
        <v>74</v>
      </c>
      <c r="AC382" s="93"/>
      <c r="AD382" s="93">
        <v>312</v>
      </c>
      <c r="AE382" s="93">
        <v>261</v>
      </c>
      <c r="AF382" s="93">
        <v>244</v>
      </c>
      <c r="AG382" s="93">
        <v>87</v>
      </c>
    </row>
    <row r="383" spans="1:33" x14ac:dyDescent="0.2">
      <c r="A383" s="16" t="s">
        <v>188</v>
      </c>
      <c r="B383" s="93">
        <v>555</v>
      </c>
      <c r="C383" s="93">
        <v>623</v>
      </c>
      <c r="D383" s="93">
        <v>237</v>
      </c>
      <c r="E383" s="93">
        <v>53</v>
      </c>
      <c r="F383" s="93"/>
      <c r="G383" s="93">
        <v>591</v>
      </c>
      <c r="H383" s="93">
        <v>684</v>
      </c>
      <c r="I383" s="93">
        <v>226</v>
      </c>
      <c r="J383" s="93">
        <v>52</v>
      </c>
      <c r="K383" s="93"/>
      <c r="L383" s="93">
        <v>586</v>
      </c>
      <c r="M383" s="93">
        <v>685</v>
      </c>
      <c r="N383" s="93">
        <v>175</v>
      </c>
      <c r="O383" s="93">
        <v>22</v>
      </c>
      <c r="S383" s="16" t="s">
        <v>188</v>
      </c>
      <c r="T383" s="93">
        <v>306</v>
      </c>
      <c r="U383" s="93">
        <v>297</v>
      </c>
      <c r="V383" s="93">
        <v>285</v>
      </c>
      <c r="W383" s="93">
        <v>90</v>
      </c>
      <c r="X383" s="93"/>
      <c r="Y383" s="93">
        <v>271</v>
      </c>
      <c r="Z383" s="93">
        <v>244</v>
      </c>
      <c r="AA383" s="93">
        <v>284</v>
      </c>
      <c r="AB383" s="93">
        <v>75</v>
      </c>
      <c r="AC383" s="93"/>
      <c r="AD383" s="93">
        <v>284</v>
      </c>
      <c r="AE383" s="93">
        <v>238</v>
      </c>
      <c r="AF383" s="93">
        <v>324</v>
      </c>
      <c r="AG383" s="93">
        <v>78</v>
      </c>
    </row>
    <row r="384" spans="1:33" x14ac:dyDescent="0.2">
      <c r="A384" s="16" t="s">
        <v>189</v>
      </c>
      <c r="B384" s="93">
        <v>416</v>
      </c>
      <c r="C384" s="138">
        <v>338</v>
      </c>
      <c r="D384" s="138">
        <v>197</v>
      </c>
      <c r="E384" s="93">
        <v>53</v>
      </c>
      <c r="F384" s="93"/>
      <c r="G384" s="93">
        <v>434</v>
      </c>
      <c r="H384" s="138">
        <v>337</v>
      </c>
      <c r="I384" s="138">
        <v>183</v>
      </c>
      <c r="J384" s="93">
        <v>50</v>
      </c>
      <c r="K384" s="93"/>
      <c r="L384" s="93">
        <v>387</v>
      </c>
      <c r="M384" s="138">
        <v>316</v>
      </c>
      <c r="N384" s="138">
        <v>112</v>
      </c>
      <c r="O384" s="93">
        <v>42</v>
      </c>
      <c r="S384" s="16" t="s">
        <v>189</v>
      </c>
      <c r="T384" s="93">
        <v>71</v>
      </c>
      <c r="U384" s="138">
        <v>116</v>
      </c>
      <c r="V384" s="138">
        <v>99</v>
      </c>
      <c r="W384" s="93">
        <v>30</v>
      </c>
      <c r="X384" s="93"/>
      <c r="Y384" s="93">
        <v>58</v>
      </c>
      <c r="Z384" s="138">
        <v>114</v>
      </c>
      <c r="AA384" s="138">
        <v>120</v>
      </c>
      <c r="AB384" s="93">
        <v>40</v>
      </c>
      <c r="AC384" s="93"/>
      <c r="AD384" s="93">
        <v>68</v>
      </c>
      <c r="AE384" s="138">
        <v>115</v>
      </c>
      <c r="AF384" s="138">
        <v>135</v>
      </c>
      <c r="AG384" s="93">
        <v>63</v>
      </c>
    </row>
    <row r="385" spans="1:33" x14ac:dyDescent="0.2">
      <c r="A385" s="15" t="s">
        <v>278</v>
      </c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S385" s="15" t="s">
        <v>278</v>
      </c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</row>
    <row r="386" spans="1:33" x14ac:dyDescent="0.2">
      <c r="A386" s="136" t="s">
        <v>187</v>
      </c>
      <c r="B386" s="147">
        <v>61</v>
      </c>
      <c r="C386" s="147">
        <v>16</v>
      </c>
      <c r="D386" s="147">
        <v>12</v>
      </c>
      <c r="E386" s="147">
        <v>2</v>
      </c>
      <c r="F386" s="147"/>
      <c r="G386" s="147">
        <v>53</v>
      </c>
      <c r="H386" s="147">
        <v>16</v>
      </c>
      <c r="I386" s="147">
        <v>16</v>
      </c>
      <c r="J386" s="147">
        <v>4</v>
      </c>
      <c r="K386" s="147"/>
      <c r="L386" s="147">
        <v>55</v>
      </c>
      <c r="M386" s="147">
        <v>10</v>
      </c>
      <c r="N386" s="147">
        <v>13</v>
      </c>
      <c r="O386" s="147">
        <v>1</v>
      </c>
      <c r="S386" s="136" t="s">
        <v>187</v>
      </c>
      <c r="T386" s="147">
        <v>42</v>
      </c>
      <c r="U386" s="147">
        <v>6</v>
      </c>
      <c r="V386" s="147">
        <v>22</v>
      </c>
      <c r="W386" s="147">
        <v>5</v>
      </c>
      <c r="X386" s="147"/>
      <c r="Y386" s="147">
        <v>46</v>
      </c>
      <c r="Z386" s="147">
        <v>8</v>
      </c>
      <c r="AA386" s="147">
        <v>17</v>
      </c>
      <c r="AB386" s="147">
        <v>6</v>
      </c>
      <c r="AC386" s="147"/>
      <c r="AD386" s="147">
        <v>50</v>
      </c>
      <c r="AE386" s="147">
        <v>4</v>
      </c>
      <c r="AF386" s="147">
        <v>19</v>
      </c>
      <c r="AG386" s="147">
        <v>6</v>
      </c>
    </row>
    <row r="387" spans="1:33" x14ac:dyDescent="0.2">
      <c r="A387" s="136" t="s">
        <v>188</v>
      </c>
      <c r="B387" s="147">
        <v>114</v>
      </c>
      <c r="C387" s="147">
        <v>8</v>
      </c>
      <c r="D387" s="147">
        <v>11</v>
      </c>
      <c r="E387" s="147">
        <v>11</v>
      </c>
      <c r="F387" s="147"/>
      <c r="G387" s="147">
        <v>129</v>
      </c>
      <c r="H387" s="147">
        <v>16</v>
      </c>
      <c r="I387" s="147">
        <v>10</v>
      </c>
      <c r="J387" s="147">
        <v>5</v>
      </c>
      <c r="K387" s="147"/>
      <c r="L387" s="147">
        <v>170</v>
      </c>
      <c r="M387" s="147">
        <v>10</v>
      </c>
      <c r="N387" s="147">
        <v>12</v>
      </c>
      <c r="O387" s="147">
        <v>3</v>
      </c>
      <c r="S387" s="136" t="s">
        <v>188</v>
      </c>
      <c r="T387" s="147">
        <v>50</v>
      </c>
      <c r="U387" s="147">
        <v>11</v>
      </c>
      <c r="V387" s="147">
        <v>10</v>
      </c>
      <c r="W387" s="147">
        <v>9</v>
      </c>
      <c r="X387" s="147"/>
      <c r="Y387" s="147">
        <v>50</v>
      </c>
      <c r="Z387" s="147">
        <v>6</v>
      </c>
      <c r="AA387" s="147">
        <v>4</v>
      </c>
      <c r="AB387" s="147">
        <v>4</v>
      </c>
      <c r="AC387" s="147"/>
      <c r="AD387" s="147">
        <v>56</v>
      </c>
      <c r="AE387" s="147">
        <v>7</v>
      </c>
      <c r="AF387" s="147">
        <v>8</v>
      </c>
      <c r="AG387" s="147">
        <v>13</v>
      </c>
    </row>
    <row r="388" spans="1:33" x14ac:dyDescent="0.2">
      <c r="A388" s="136" t="s">
        <v>189</v>
      </c>
      <c r="B388" s="147">
        <v>16</v>
      </c>
      <c r="C388" s="147">
        <v>4</v>
      </c>
      <c r="D388" s="147">
        <v>2</v>
      </c>
      <c r="E388" s="147">
        <v>10</v>
      </c>
      <c r="F388" s="147"/>
      <c r="G388" s="147">
        <v>18</v>
      </c>
      <c r="H388" s="147">
        <v>6</v>
      </c>
      <c r="I388" s="147">
        <v>6</v>
      </c>
      <c r="J388" s="147">
        <v>4</v>
      </c>
      <c r="K388" s="147"/>
      <c r="L388" s="147">
        <v>10</v>
      </c>
      <c r="M388" s="147">
        <v>1</v>
      </c>
      <c r="N388" s="147">
        <v>2</v>
      </c>
      <c r="O388" s="147">
        <v>7</v>
      </c>
      <c r="S388" s="136" t="s">
        <v>189</v>
      </c>
      <c r="T388" s="147">
        <v>4</v>
      </c>
      <c r="U388" s="147">
        <v>1</v>
      </c>
      <c r="V388" s="147">
        <v>3</v>
      </c>
      <c r="W388" s="147">
        <v>6</v>
      </c>
      <c r="X388" s="147"/>
      <c r="Y388" s="147">
        <v>2</v>
      </c>
      <c r="Z388" s="147">
        <v>0</v>
      </c>
      <c r="AA388" s="147">
        <v>11</v>
      </c>
      <c r="AB388" s="147">
        <v>8</v>
      </c>
      <c r="AC388" s="147"/>
      <c r="AD388" s="147">
        <v>2</v>
      </c>
      <c r="AE388" s="147">
        <v>2</v>
      </c>
      <c r="AF388" s="147">
        <v>10</v>
      </c>
      <c r="AG388" s="147">
        <v>11</v>
      </c>
    </row>
    <row r="389" spans="1:33" x14ac:dyDescent="0.2">
      <c r="A389" s="15" t="s">
        <v>280</v>
      </c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S389" s="15" t="s">
        <v>280</v>
      </c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</row>
    <row r="390" spans="1:33" x14ac:dyDescent="0.2">
      <c r="A390" s="136" t="s">
        <v>187</v>
      </c>
      <c r="B390" s="147">
        <v>126</v>
      </c>
      <c r="C390" s="147">
        <v>27</v>
      </c>
      <c r="D390" s="147">
        <v>129</v>
      </c>
      <c r="E390" s="147">
        <v>4</v>
      </c>
      <c r="F390" s="147"/>
      <c r="G390" s="147">
        <v>163</v>
      </c>
      <c r="H390" s="147">
        <v>26</v>
      </c>
      <c r="I390" s="147">
        <v>101</v>
      </c>
      <c r="J390" s="147">
        <v>7</v>
      </c>
      <c r="K390" s="147"/>
      <c r="L390" s="147">
        <v>170</v>
      </c>
      <c r="M390" s="147">
        <v>19</v>
      </c>
      <c r="N390" s="147">
        <v>35</v>
      </c>
      <c r="O390" s="147">
        <v>1</v>
      </c>
      <c r="S390" s="136" t="s">
        <v>187</v>
      </c>
      <c r="T390" s="147">
        <v>45</v>
      </c>
      <c r="U390" s="147">
        <v>7</v>
      </c>
      <c r="V390" s="147">
        <v>31</v>
      </c>
      <c r="W390" s="147">
        <v>10</v>
      </c>
      <c r="X390" s="147"/>
      <c r="Y390" s="147">
        <v>64</v>
      </c>
      <c r="Z390" s="147">
        <v>9</v>
      </c>
      <c r="AA390" s="147">
        <v>34</v>
      </c>
      <c r="AB390" s="147">
        <v>11</v>
      </c>
      <c r="AC390" s="147"/>
      <c r="AD390" s="147">
        <v>70</v>
      </c>
      <c r="AE390" s="147">
        <v>4</v>
      </c>
      <c r="AF390" s="147">
        <v>43</v>
      </c>
      <c r="AG390" s="147">
        <v>16</v>
      </c>
    </row>
    <row r="391" spans="1:33" x14ac:dyDescent="0.2">
      <c r="A391" s="136" t="s">
        <v>188</v>
      </c>
      <c r="B391" s="147">
        <v>85</v>
      </c>
      <c r="C391" s="147">
        <v>12</v>
      </c>
      <c r="D391" s="147">
        <v>65</v>
      </c>
      <c r="E391" s="147">
        <v>11</v>
      </c>
      <c r="F391" s="147"/>
      <c r="G391" s="147">
        <v>77</v>
      </c>
      <c r="H391" s="147">
        <v>10</v>
      </c>
      <c r="I391" s="147">
        <v>58</v>
      </c>
      <c r="J391" s="147">
        <v>9</v>
      </c>
      <c r="K391" s="147"/>
      <c r="L391" s="147">
        <v>37</v>
      </c>
      <c r="M391" s="147">
        <v>5</v>
      </c>
      <c r="N391" s="147">
        <v>32</v>
      </c>
      <c r="O391" s="147">
        <v>6</v>
      </c>
      <c r="S391" s="136" t="s">
        <v>188</v>
      </c>
      <c r="T391" s="147">
        <v>60</v>
      </c>
      <c r="U391" s="147">
        <v>13</v>
      </c>
      <c r="V391" s="147">
        <v>71</v>
      </c>
      <c r="W391" s="147">
        <v>15</v>
      </c>
      <c r="X391" s="147"/>
      <c r="Y391" s="147">
        <v>48</v>
      </c>
      <c r="Z391" s="147">
        <v>8</v>
      </c>
      <c r="AA391" s="147">
        <v>84</v>
      </c>
      <c r="AB391" s="147">
        <v>17</v>
      </c>
      <c r="AC391" s="147"/>
      <c r="AD391" s="147">
        <v>35</v>
      </c>
      <c r="AE391" s="147">
        <v>10</v>
      </c>
      <c r="AF391" s="147">
        <v>68</v>
      </c>
      <c r="AG391" s="147">
        <v>10</v>
      </c>
    </row>
    <row r="392" spans="1:33" x14ac:dyDescent="0.2">
      <c r="A392" s="32" t="s">
        <v>189</v>
      </c>
      <c r="B392" s="35">
        <v>141</v>
      </c>
      <c r="C392" s="35">
        <v>9</v>
      </c>
      <c r="D392" s="35">
        <v>50</v>
      </c>
      <c r="E392" s="35">
        <v>26</v>
      </c>
      <c r="F392" s="35"/>
      <c r="G392" s="35">
        <v>129</v>
      </c>
      <c r="H392" s="35">
        <v>12</v>
      </c>
      <c r="I392" s="35">
        <v>44</v>
      </c>
      <c r="J392" s="35">
        <v>29</v>
      </c>
      <c r="K392" s="35"/>
      <c r="L392" s="35">
        <v>124</v>
      </c>
      <c r="M392" s="35">
        <v>5</v>
      </c>
      <c r="N392" s="35">
        <v>23</v>
      </c>
      <c r="O392" s="35">
        <v>14</v>
      </c>
      <c r="S392" s="32" t="s">
        <v>189</v>
      </c>
      <c r="T392" s="35">
        <v>28</v>
      </c>
      <c r="U392" s="35">
        <v>2</v>
      </c>
      <c r="V392" s="35">
        <v>12</v>
      </c>
      <c r="W392" s="35">
        <v>13</v>
      </c>
      <c r="X392" s="35"/>
      <c r="Y392" s="35">
        <v>16</v>
      </c>
      <c r="Z392" s="35">
        <v>3</v>
      </c>
      <c r="AA392" s="35">
        <v>20</v>
      </c>
      <c r="AB392" s="35">
        <v>20</v>
      </c>
      <c r="AC392" s="35"/>
      <c r="AD392" s="35">
        <v>22</v>
      </c>
      <c r="AE392" s="35">
        <v>3</v>
      </c>
      <c r="AF392" s="35">
        <v>11</v>
      </c>
      <c r="AG392" s="35">
        <v>23</v>
      </c>
    </row>
    <row r="393" spans="1:33" x14ac:dyDescent="0.2">
      <c r="A393" s="15" t="s">
        <v>267</v>
      </c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S393" s="15" t="s">
        <v>267</v>
      </c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</row>
    <row r="394" spans="1:33" x14ac:dyDescent="0.2">
      <c r="A394" s="136" t="s">
        <v>187</v>
      </c>
      <c r="B394" s="147">
        <v>55</v>
      </c>
      <c r="C394" s="147">
        <v>13</v>
      </c>
      <c r="D394" s="147">
        <v>68</v>
      </c>
      <c r="E394" s="147">
        <v>2</v>
      </c>
      <c r="F394" s="147"/>
      <c r="G394" s="147">
        <v>58</v>
      </c>
      <c r="H394" s="147">
        <v>9</v>
      </c>
      <c r="I394" s="147">
        <v>51</v>
      </c>
      <c r="J394" s="147">
        <v>7</v>
      </c>
      <c r="K394" s="147"/>
      <c r="L394" s="147">
        <v>41</v>
      </c>
      <c r="M394" s="147">
        <v>7</v>
      </c>
      <c r="N394" s="147">
        <v>18</v>
      </c>
      <c r="O394" s="147">
        <v>1</v>
      </c>
      <c r="S394" s="136" t="s">
        <v>187</v>
      </c>
      <c r="T394" s="147">
        <v>25</v>
      </c>
      <c r="U394" s="147">
        <v>3</v>
      </c>
      <c r="V394" s="147">
        <v>14</v>
      </c>
      <c r="W394" s="147">
        <v>9</v>
      </c>
      <c r="X394" s="147"/>
      <c r="Y394" s="147">
        <v>29</v>
      </c>
      <c r="Z394" s="147">
        <v>1</v>
      </c>
      <c r="AA394" s="147">
        <v>22</v>
      </c>
      <c r="AB394" s="147">
        <v>9</v>
      </c>
      <c r="AC394" s="147"/>
      <c r="AD394" s="147">
        <v>25</v>
      </c>
      <c r="AE394" s="147">
        <v>1</v>
      </c>
      <c r="AF394" s="147">
        <v>25</v>
      </c>
      <c r="AG394" s="147">
        <v>16</v>
      </c>
    </row>
    <row r="395" spans="1:33" x14ac:dyDescent="0.2">
      <c r="A395" s="136" t="s">
        <v>188</v>
      </c>
      <c r="B395" s="147">
        <v>41</v>
      </c>
      <c r="C395" s="147">
        <v>6</v>
      </c>
      <c r="D395" s="147">
        <v>25</v>
      </c>
      <c r="E395" s="147">
        <v>1</v>
      </c>
      <c r="F395" s="147"/>
      <c r="G395" s="147">
        <v>30</v>
      </c>
      <c r="H395" s="147">
        <v>2</v>
      </c>
      <c r="I395" s="147">
        <v>21</v>
      </c>
      <c r="J395" s="147">
        <v>4</v>
      </c>
      <c r="K395" s="147"/>
      <c r="L395" s="147">
        <v>16</v>
      </c>
      <c r="M395" s="147">
        <v>3</v>
      </c>
      <c r="N395" s="147">
        <v>10</v>
      </c>
      <c r="O395" s="147">
        <v>4</v>
      </c>
      <c r="S395" s="136" t="s">
        <v>188</v>
      </c>
      <c r="T395" s="147">
        <v>33</v>
      </c>
      <c r="U395" s="147">
        <v>5</v>
      </c>
      <c r="V395" s="147">
        <v>48</v>
      </c>
      <c r="W395" s="147">
        <v>12</v>
      </c>
      <c r="X395" s="147"/>
      <c r="Y395" s="147">
        <v>24</v>
      </c>
      <c r="Z395" s="147">
        <v>5</v>
      </c>
      <c r="AA395" s="147">
        <v>53</v>
      </c>
      <c r="AB395" s="147">
        <v>13</v>
      </c>
      <c r="AC395" s="147"/>
      <c r="AD395" s="147">
        <v>24</v>
      </c>
      <c r="AE395" s="147">
        <v>7</v>
      </c>
      <c r="AF395" s="147">
        <v>47</v>
      </c>
      <c r="AG395" s="147">
        <v>8</v>
      </c>
    </row>
    <row r="396" spans="1:33" x14ac:dyDescent="0.2">
      <c r="A396" s="32" t="s">
        <v>189</v>
      </c>
      <c r="B396" s="35">
        <v>37</v>
      </c>
      <c r="C396" s="35">
        <v>3</v>
      </c>
      <c r="D396" s="35">
        <v>17</v>
      </c>
      <c r="E396" s="35">
        <v>5</v>
      </c>
      <c r="F396" s="35"/>
      <c r="G396" s="35">
        <v>34</v>
      </c>
      <c r="H396" s="35">
        <v>2</v>
      </c>
      <c r="I396" s="35">
        <v>15</v>
      </c>
      <c r="J396" s="35">
        <v>11</v>
      </c>
      <c r="K396" s="35"/>
      <c r="L396" s="35">
        <v>32</v>
      </c>
      <c r="M396" s="35">
        <v>1</v>
      </c>
      <c r="N396" s="35">
        <v>3</v>
      </c>
      <c r="O396" s="35">
        <v>1</v>
      </c>
      <c r="S396" s="32" t="s">
        <v>189</v>
      </c>
      <c r="T396" s="35">
        <v>4</v>
      </c>
      <c r="U396" s="35">
        <v>1</v>
      </c>
      <c r="V396" s="35">
        <v>3</v>
      </c>
      <c r="W396" s="35">
        <v>2</v>
      </c>
      <c r="X396" s="35"/>
      <c r="Y396" s="35">
        <v>5</v>
      </c>
      <c r="Z396" s="35">
        <v>1</v>
      </c>
      <c r="AA396" s="35">
        <v>12</v>
      </c>
      <c r="AB396" s="35">
        <v>2</v>
      </c>
      <c r="AC396" s="35"/>
      <c r="AD396" s="35">
        <v>8</v>
      </c>
      <c r="AE396" s="35">
        <v>3</v>
      </c>
      <c r="AF396" s="35">
        <v>3</v>
      </c>
      <c r="AG396" s="35">
        <v>3</v>
      </c>
    </row>
    <row r="397" spans="1:33" x14ac:dyDescent="0.2">
      <c r="A397" s="135" t="s">
        <v>268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S397" s="135" t="s">
        <v>268</v>
      </c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1:33" x14ac:dyDescent="0.2">
      <c r="A398" s="16" t="s">
        <v>187</v>
      </c>
      <c r="B398" s="12">
        <v>257</v>
      </c>
      <c r="C398" s="12">
        <v>22</v>
      </c>
      <c r="D398" s="12">
        <v>38</v>
      </c>
      <c r="E398" s="12">
        <v>7</v>
      </c>
      <c r="F398" s="12"/>
      <c r="G398" s="12">
        <v>217</v>
      </c>
      <c r="H398" s="12">
        <v>24</v>
      </c>
      <c r="I398" s="12">
        <v>58</v>
      </c>
      <c r="J398" s="12">
        <v>9</v>
      </c>
      <c r="K398" s="12"/>
      <c r="L398" s="12">
        <v>236</v>
      </c>
      <c r="M398" s="12">
        <v>35</v>
      </c>
      <c r="N398" s="12">
        <v>34</v>
      </c>
      <c r="O398" s="12">
        <v>1</v>
      </c>
      <c r="S398" s="16" t="s">
        <v>187</v>
      </c>
      <c r="T398" s="12">
        <v>181</v>
      </c>
      <c r="U398" s="12">
        <v>13</v>
      </c>
      <c r="V398" s="12">
        <v>55</v>
      </c>
      <c r="W398" s="12">
        <v>54</v>
      </c>
      <c r="X398" s="12"/>
      <c r="Y398" s="12">
        <v>148</v>
      </c>
      <c r="Z398" s="12">
        <v>8</v>
      </c>
      <c r="AA398" s="12">
        <v>48</v>
      </c>
      <c r="AB398" s="12">
        <v>52</v>
      </c>
      <c r="AC398" s="12"/>
      <c r="AD398" s="12">
        <v>139</v>
      </c>
      <c r="AE398" s="12">
        <v>11</v>
      </c>
      <c r="AF398" s="12">
        <v>77</v>
      </c>
      <c r="AG398" s="12">
        <v>56</v>
      </c>
    </row>
    <row r="399" spans="1:33" x14ac:dyDescent="0.2">
      <c r="A399" s="16" t="s">
        <v>188</v>
      </c>
      <c r="B399" s="12">
        <v>164</v>
      </c>
      <c r="C399" s="12">
        <v>25</v>
      </c>
      <c r="D399" s="12">
        <v>47</v>
      </c>
      <c r="E399" s="12">
        <v>8</v>
      </c>
      <c r="F399" s="12"/>
      <c r="G399" s="12">
        <v>191</v>
      </c>
      <c r="H399" s="12">
        <v>28</v>
      </c>
      <c r="I399" s="12">
        <v>40</v>
      </c>
      <c r="J399" s="12">
        <v>8</v>
      </c>
      <c r="K399" s="12"/>
      <c r="L399" s="12">
        <v>228</v>
      </c>
      <c r="M399" s="12">
        <v>29</v>
      </c>
      <c r="N399" s="12">
        <v>26</v>
      </c>
      <c r="O399" s="12">
        <v>0</v>
      </c>
      <c r="S399" s="16" t="s">
        <v>188</v>
      </c>
      <c r="T399" s="12">
        <v>96</v>
      </c>
      <c r="U399" s="12">
        <v>16</v>
      </c>
      <c r="V399" s="12">
        <v>126</v>
      </c>
      <c r="W399" s="12">
        <v>16</v>
      </c>
      <c r="X399" s="12"/>
      <c r="Y399" s="12">
        <v>93</v>
      </c>
      <c r="Z399" s="12">
        <v>20</v>
      </c>
      <c r="AA399" s="12">
        <v>126</v>
      </c>
      <c r="AB399" s="12">
        <v>14</v>
      </c>
      <c r="AC399" s="12"/>
      <c r="AD399" s="12">
        <v>115</v>
      </c>
      <c r="AE399" s="12">
        <v>19</v>
      </c>
      <c r="AF399" s="12">
        <v>187</v>
      </c>
      <c r="AG399" s="12">
        <v>24</v>
      </c>
    </row>
    <row r="400" spans="1:33" x14ac:dyDescent="0.2">
      <c r="A400" s="16" t="s">
        <v>189</v>
      </c>
      <c r="B400" s="12">
        <v>134</v>
      </c>
      <c r="C400" s="12">
        <v>16</v>
      </c>
      <c r="D400" s="12">
        <v>37</v>
      </c>
      <c r="E400" s="12">
        <v>12</v>
      </c>
      <c r="F400" s="12"/>
      <c r="G400" s="12">
        <v>152</v>
      </c>
      <c r="H400" s="12">
        <v>11</v>
      </c>
      <c r="I400" s="12">
        <v>25</v>
      </c>
      <c r="J400" s="12">
        <v>8</v>
      </c>
      <c r="K400" s="12"/>
      <c r="L400" s="12">
        <v>138</v>
      </c>
      <c r="M400" s="12">
        <v>21</v>
      </c>
      <c r="N400" s="12">
        <v>15</v>
      </c>
      <c r="O400" s="12">
        <v>15</v>
      </c>
      <c r="S400" s="16" t="s">
        <v>189</v>
      </c>
      <c r="T400" s="12">
        <v>18</v>
      </c>
      <c r="U400" s="12">
        <v>4</v>
      </c>
      <c r="V400" s="12">
        <v>42</v>
      </c>
      <c r="W400" s="12">
        <v>7</v>
      </c>
      <c r="X400" s="12"/>
      <c r="Y400" s="12">
        <v>19</v>
      </c>
      <c r="Z400" s="12">
        <v>3</v>
      </c>
      <c r="AA400" s="12">
        <v>46</v>
      </c>
      <c r="AB400" s="12">
        <v>10</v>
      </c>
      <c r="AC400" s="12"/>
      <c r="AD400" s="12">
        <v>18</v>
      </c>
      <c r="AE400" s="12">
        <v>2</v>
      </c>
      <c r="AF400" s="12">
        <v>63</v>
      </c>
      <c r="AG400" s="12">
        <v>21</v>
      </c>
    </row>
    <row r="401" spans="1:34" x14ac:dyDescent="0.2">
      <c r="A401" s="15" t="s">
        <v>263</v>
      </c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S401" s="15" t="s">
        <v>263</v>
      </c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</row>
    <row r="402" spans="1:34" x14ac:dyDescent="0.2">
      <c r="A402" s="136" t="s">
        <v>187</v>
      </c>
      <c r="B402" s="92">
        <f>B382/$P$143*100</f>
        <v>64.088397790055254</v>
      </c>
      <c r="C402" s="92">
        <f>C382/$P$159*100</f>
        <v>74.631578947368425</v>
      </c>
      <c r="D402" s="92">
        <f>D382/$P$175*100</f>
        <v>70.558375634517773</v>
      </c>
      <c r="E402" s="92">
        <f>E382/$P$127*100</f>
        <v>21.649484536082475</v>
      </c>
      <c r="F402" s="135"/>
      <c r="G402" s="92">
        <f>G382/$P$144*100</f>
        <v>65.614430665163468</v>
      </c>
      <c r="H402" s="92">
        <f>H382/$P$160*100</f>
        <v>76.776246023329804</v>
      </c>
      <c r="I402" s="92">
        <f>I382/$P$176*100</f>
        <v>72.504378283712782</v>
      </c>
      <c r="J402" s="92">
        <f>J382/$P$128*100</f>
        <v>28.846153846153843</v>
      </c>
      <c r="K402" s="135"/>
      <c r="L402" s="92">
        <f>L382/$P$145*100</f>
        <v>65.751920965971451</v>
      </c>
      <c r="M402" s="92">
        <f>M382/$P$161*100</f>
        <v>72.025723472668815</v>
      </c>
      <c r="N402" s="92">
        <f>N382/$P$177*100</f>
        <v>49.377593360995853</v>
      </c>
      <c r="O402" s="92">
        <f>O382/$P$129*100</f>
        <v>5.4347826086956523</v>
      </c>
      <c r="S402" s="136" t="s">
        <v>187</v>
      </c>
      <c r="T402" s="92">
        <f>T382/$P$143*100</f>
        <v>35.911602209944753</v>
      </c>
      <c r="U402" s="92">
        <f>U382/$P$159*100</f>
        <v>25.368421052631579</v>
      </c>
      <c r="V402" s="92">
        <f>V382/$P$175*100</f>
        <v>29.441624365482234</v>
      </c>
      <c r="W402" s="92">
        <f>W382/$P$127*100</f>
        <v>78.350515463917532</v>
      </c>
      <c r="X402" s="135"/>
      <c r="Y402" s="92">
        <f>Y382/$P$144*100</f>
        <v>34.385569334836532</v>
      </c>
      <c r="Z402" s="92">
        <f>Z382/$P$160*100</f>
        <v>23.223753976670203</v>
      </c>
      <c r="AA402" s="92">
        <f>AA382/$P$176*100</f>
        <v>27.495621716287218</v>
      </c>
      <c r="AB402" s="92">
        <f>AB382/$P$128*100</f>
        <v>71.15384615384616</v>
      </c>
      <c r="AC402" s="135"/>
      <c r="AD402" s="92">
        <f>AD382/$P$145*100</f>
        <v>34.248079034028542</v>
      </c>
      <c r="AE402" s="92">
        <f>AE382/$P$161*100</f>
        <v>27.974276527331188</v>
      </c>
      <c r="AF402" s="92">
        <f>AF382/$P$177*100</f>
        <v>50.622406639004147</v>
      </c>
      <c r="AG402" s="92">
        <f>AG382/$P$129*100</f>
        <v>94.565217391304344</v>
      </c>
    </row>
    <row r="403" spans="1:34" x14ac:dyDescent="0.2">
      <c r="A403" s="136" t="s">
        <v>188</v>
      </c>
      <c r="B403" s="92">
        <f>B383/$P$135*100</f>
        <v>64.459930313588856</v>
      </c>
      <c r="C403" s="92">
        <f>C383/$P$151*100</f>
        <v>67.717391304347828</v>
      </c>
      <c r="D403" s="92">
        <f>D383/$P$167*100</f>
        <v>45.402298850574709</v>
      </c>
      <c r="E403" s="92">
        <f>E383/$P$119*100</f>
        <v>37.06293706293706</v>
      </c>
      <c r="F403" s="135"/>
      <c r="G403" s="92">
        <f>G383/$P$136*100</f>
        <v>68.561484918793496</v>
      </c>
      <c r="H403" s="92">
        <f>H383/$P$152*100</f>
        <v>73.706896551724128</v>
      </c>
      <c r="I403" s="92">
        <f>I383/$P$168*100</f>
        <v>44.313725490196077</v>
      </c>
      <c r="J403" s="92">
        <f>J383/$P$120*100</f>
        <v>40.944881889763778</v>
      </c>
      <c r="K403" s="135"/>
      <c r="L403" s="92">
        <f>L383/$P$137*100</f>
        <v>67.356321839080451</v>
      </c>
      <c r="M403" s="92">
        <f>M383/$P$153*100</f>
        <v>74.214517876489708</v>
      </c>
      <c r="N403" s="92">
        <f>N383/$P$169*100</f>
        <v>35.070140280561127</v>
      </c>
      <c r="O403" s="92">
        <f>O383/$P$121*100</f>
        <v>22</v>
      </c>
      <c r="S403" s="136" t="s">
        <v>188</v>
      </c>
      <c r="T403" s="92">
        <f>T383/$P$135*100</f>
        <v>35.540069686411151</v>
      </c>
      <c r="U403" s="92">
        <f>U383/$P$151*100</f>
        <v>32.282608695652179</v>
      </c>
      <c r="V403" s="92">
        <f>V383/$P$167*100</f>
        <v>54.597701149425291</v>
      </c>
      <c r="W403" s="92">
        <f>W383/$P$119*100</f>
        <v>62.93706293706294</v>
      </c>
      <c r="X403" s="135"/>
      <c r="Y403" s="92">
        <f>Y383/$P$136*100</f>
        <v>31.438515081206496</v>
      </c>
      <c r="Z403" s="92">
        <f>Z383/$P$152*100</f>
        <v>26.293103448275861</v>
      </c>
      <c r="AA403" s="92">
        <f>AA383/$P$168*100</f>
        <v>55.686274509803923</v>
      </c>
      <c r="AB403" s="92">
        <f>AB383/$P$120*100</f>
        <v>59.055118110236215</v>
      </c>
      <c r="AC403" s="135"/>
      <c r="AD403" s="92">
        <f>AD383/$P$137*100</f>
        <v>32.643678160919542</v>
      </c>
      <c r="AE403" s="92">
        <f>AE383/$P$153*100</f>
        <v>25.785482123510295</v>
      </c>
      <c r="AF403" s="92">
        <f>AF383/$P$169*100</f>
        <v>64.92985971943888</v>
      </c>
      <c r="AG403" s="92">
        <f>AG383/$P$121*100</f>
        <v>78</v>
      </c>
    </row>
    <row r="404" spans="1:34" x14ac:dyDescent="0.2">
      <c r="A404" s="32" t="s">
        <v>189</v>
      </c>
      <c r="B404" s="37">
        <f>B384/$P$131*100</f>
        <v>85.420944558521555</v>
      </c>
      <c r="C404" s="37">
        <f>C384/$P$147*100</f>
        <v>74.449339207048453</v>
      </c>
      <c r="D404" s="37">
        <f>D384/$P$163*100</f>
        <v>66.554054054054063</v>
      </c>
      <c r="E404" s="37">
        <f>E384/$P$115*100</f>
        <v>63.855421686746979</v>
      </c>
      <c r="F404" s="30">
        <f>AVERAGE(B402:E404)</f>
        <v>61.320846162153622</v>
      </c>
      <c r="G404" s="37">
        <f>G384/$P$132*100</f>
        <v>88.211382113821131</v>
      </c>
      <c r="H404" s="37">
        <f>H384/$P$148*100</f>
        <v>74.72283813747228</v>
      </c>
      <c r="I404" s="37">
        <f>I384/$P$164*100</f>
        <v>60.396039603960396</v>
      </c>
      <c r="J404" s="37">
        <f>J384/$P$116*100</f>
        <v>55.555555555555557</v>
      </c>
      <c r="K404" s="30">
        <f>AVERAGE(G402:J404)</f>
        <v>62.5128344233039</v>
      </c>
      <c r="L404" s="37">
        <f>L384/$P$133*100</f>
        <v>85.054945054945051</v>
      </c>
      <c r="M404" s="37">
        <f>M384/$P$149*100</f>
        <v>73.317865429234345</v>
      </c>
      <c r="N404" s="37">
        <f>N384/$P$165*100</f>
        <v>45.344129554655872</v>
      </c>
      <c r="O404" s="37">
        <f>O384/$P$117*100</f>
        <v>40</v>
      </c>
      <c r="P404" s="30">
        <f>AVERAGE(L402:O404)</f>
        <v>52.912328370274857</v>
      </c>
      <c r="S404" s="32" t="s">
        <v>189</v>
      </c>
      <c r="T404" s="37">
        <f>T384/$P$131*100</f>
        <v>14.579055441478438</v>
      </c>
      <c r="U404" s="37">
        <f>U384/$P$147*100</f>
        <v>25.55066079295154</v>
      </c>
      <c r="V404" s="37">
        <f>V384/$P$163*100</f>
        <v>33.445945945945951</v>
      </c>
      <c r="W404" s="37">
        <f>W384/$P$115*100</f>
        <v>36.144578313253014</v>
      </c>
      <c r="X404" s="30">
        <f>AVERAGE(T402:W404)</f>
        <v>38.679153837846378</v>
      </c>
      <c r="Y404" s="37">
        <f>Y384/$P$132*100</f>
        <v>11.788617886178862</v>
      </c>
      <c r="Z404" s="37">
        <f>Z384/$P$148*100</f>
        <v>25.277161862527713</v>
      </c>
      <c r="AA404" s="37">
        <f>AA384/$P$164*100</f>
        <v>39.603960396039604</v>
      </c>
      <c r="AB404" s="37">
        <f>AB384/$P$116*100</f>
        <v>44.444444444444443</v>
      </c>
      <c r="AC404" s="30">
        <f>AVERAGE(Y402:AB404)</f>
        <v>37.487165576696107</v>
      </c>
      <c r="AD404" s="37">
        <f>AD384/$P$133*100</f>
        <v>14.945054945054945</v>
      </c>
      <c r="AE404" s="37">
        <f>AE384/$P$149*100</f>
        <v>26.682134570765658</v>
      </c>
      <c r="AF404" s="37">
        <f>AF384/$P$165*100</f>
        <v>54.655870445344135</v>
      </c>
      <c r="AG404" s="37">
        <f>AG384/$P$117*100</f>
        <v>60</v>
      </c>
      <c r="AH404" s="30">
        <f>AVERAGE(AD402:AG404)</f>
        <v>47.087671629725129</v>
      </c>
    </row>
    <row r="405" spans="1:34" x14ac:dyDescent="0.2">
      <c r="A405" s="15" t="s">
        <v>279</v>
      </c>
      <c r="B405" s="27"/>
      <c r="C405" s="27"/>
      <c r="D405" s="27"/>
      <c r="E405" s="27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S405" s="15" t="s">
        <v>279</v>
      </c>
      <c r="T405" s="27"/>
      <c r="U405" s="27"/>
      <c r="V405" s="27"/>
      <c r="W405" s="27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</row>
    <row r="406" spans="1:34" x14ac:dyDescent="0.2">
      <c r="A406" s="136" t="s">
        <v>187</v>
      </c>
      <c r="B406" s="92">
        <f>B386/$H$143*100</f>
        <v>59.22330097087378</v>
      </c>
      <c r="C406" s="92">
        <f>C386/$H$159*100</f>
        <v>72.727272727272734</v>
      </c>
      <c r="D406" s="92">
        <f>D386/$H$175*100</f>
        <v>35.294117647058826</v>
      </c>
      <c r="E406" s="92">
        <f>E386/$H$127*100</f>
        <v>28.571428571428569</v>
      </c>
      <c r="F406" s="92"/>
      <c r="G406" s="92">
        <f>G386/$H$144*100</f>
        <v>53.535353535353536</v>
      </c>
      <c r="H406" s="92">
        <f>H386/$H$160*100</f>
        <v>66.666666666666657</v>
      </c>
      <c r="I406" s="92">
        <f>I386/$H$176*100</f>
        <v>48.484848484848484</v>
      </c>
      <c r="J406" s="92">
        <f>J386/$H$128*100</f>
        <v>40</v>
      </c>
      <c r="K406" s="92"/>
      <c r="L406" s="92">
        <f>L386/$H$145*100</f>
        <v>52.380952380952387</v>
      </c>
      <c r="M406" s="92">
        <f>M386/$H$161*100</f>
        <v>71.428571428571431</v>
      </c>
      <c r="N406" s="92">
        <f>N386/$H$177*100</f>
        <v>40.625</v>
      </c>
      <c r="O406" s="92">
        <f>O386/$H$129*100</f>
        <v>14.285714285714285</v>
      </c>
      <c r="S406" s="136" t="s">
        <v>187</v>
      </c>
      <c r="T406" s="92">
        <f>T386/$H$143*100</f>
        <v>40.776699029126213</v>
      </c>
      <c r="U406" s="92">
        <f>U386/$H$159*100</f>
        <v>27.27272727272727</v>
      </c>
      <c r="V406" s="92">
        <f>V386/$H$175*100</f>
        <v>64.705882352941174</v>
      </c>
      <c r="W406" s="92">
        <f>W386/$H$127*100</f>
        <v>71.428571428571431</v>
      </c>
      <c r="X406" s="92"/>
      <c r="Y406" s="92">
        <f>Y386/$H$144*100</f>
        <v>46.464646464646464</v>
      </c>
      <c r="Z406" s="92">
        <f>Z386/$H$160*100</f>
        <v>33.333333333333329</v>
      </c>
      <c r="AA406" s="92">
        <f>AA386/$H$176*100</f>
        <v>51.515151515151516</v>
      </c>
      <c r="AB406" s="92">
        <f>AB386/$H$128*100</f>
        <v>60</v>
      </c>
      <c r="AC406" s="92"/>
      <c r="AD406" s="92">
        <f>AD386/$H$145*100</f>
        <v>47.619047619047613</v>
      </c>
      <c r="AE406" s="92">
        <f>AE386/$H$161*100</f>
        <v>28.571428571428569</v>
      </c>
      <c r="AF406" s="92">
        <f>AF386/$H$177*100</f>
        <v>59.375</v>
      </c>
      <c r="AG406" s="92">
        <f>AG386/$H$129*100</f>
        <v>85.714285714285708</v>
      </c>
    </row>
    <row r="407" spans="1:34" x14ac:dyDescent="0.2">
      <c r="A407" s="136" t="s">
        <v>188</v>
      </c>
      <c r="B407" s="92">
        <f>B387/$H$135*100</f>
        <v>69.512195121951208</v>
      </c>
      <c r="C407" s="92">
        <f>C387/$H$151*100</f>
        <v>42.105263157894733</v>
      </c>
      <c r="D407" s="92">
        <f>D387/$H$167*100</f>
        <v>52.380952380952387</v>
      </c>
      <c r="E407" s="92">
        <f>E387/$H$119*100</f>
        <v>55.000000000000007</v>
      </c>
      <c r="F407" s="92"/>
      <c r="G407" s="92">
        <f>G387/$H$136*100</f>
        <v>72.067039106145245</v>
      </c>
      <c r="H407" s="92">
        <f>H387/$H$152*100</f>
        <v>72.727272727272734</v>
      </c>
      <c r="I407" s="92">
        <f>I387/$H$168*100</f>
        <v>71.428571428571431</v>
      </c>
      <c r="J407" s="92">
        <f>J387/$H$120*100</f>
        <v>55.555555555555557</v>
      </c>
      <c r="K407" s="92"/>
      <c r="L407" s="92">
        <f>L387/$H$137*100</f>
        <v>75.221238938053091</v>
      </c>
      <c r="M407" s="92">
        <f>M387/$H$153*100</f>
        <v>58.82352941176471</v>
      </c>
      <c r="N407" s="92">
        <f>N387/$H$169*100</f>
        <v>60</v>
      </c>
      <c r="O407" s="92">
        <f>O387/$H$121*100</f>
        <v>18.75</v>
      </c>
      <c r="S407" s="136" t="s">
        <v>188</v>
      </c>
      <c r="T407" s="92">
        <f>T387/$H$135*100</f>
        <v>30.487804878048781</v>
      </c>
      <c r="U407" s="92">
        <f>U387/$H$151*100</f>
        <v>57.894736842105267</v>
      </c>
      <c r="V407" s="92">
        <f>V387/$H$167*100</f>
        <v>47.619047619047613</v>
      </c>
      <c r="W407" s="92">
        <f>W387/$H$119*100</f>
        <v>45</v>
      </c>
      <c r="X407" s="92"/>
      <c r="Y407" s="92">
        <f>Y387/$H$136*100</f>
        <v>27.932960893854748</v>
      </c>
      <c r="Z407" s="92">
        <f>Z387/$H$152*100</f>
        <v>27.27272727272727</v>
      </c>
      <c r="AA407" s="92">
        <f>AA387/$H$168*100</f>
        <v>28.571428571428569</v>
      </c>
      <c r="AB407" s="92">
        <f>AB387/$H$120*100</f>
        <v>44.444444444444443</v>
      </c>
      <c r="AC407" s="92"/>
      <c r="AD407" s="92">
        <f>AD387/$H$137*100</f>
        <v>24.778761061946902</v>
      </c>
      <c r="AE407" s="92">
        <f>AE387/$H$153*100</f>
        <v>41.17647058823529</v>
      </c>
      <c r="AF407" s="92">
        <f>AF387/$H$169*100</f>
        <v>40</v>
      </c>
      <c r="AG407" s="92">
        <f>AG387/$H$121*100</f>
        <v>81.25</v>
      </c>
    </row>
    <row r="408" spans="1:34" x14ac:dyDescent="0.2">
      <c r="A408" s="32" t="s">
        <v>189</v>
      </c>
      <c r="B408" s="37">
        <f>B388/$H$131*100</f>
        <v>80</v>
      </c>
      <c r="C408" s="37">
        <f>C388/$H$147*100</f>
        <v>80</v>
      </c>
      <c r="D408" s="37">
        <f>D388/$H$163*100</f>
        <v>40</v>
      </c>
      <c r="E408" s="37">
        <f>E388/$H$115*100</f>
        <v>62.5</v>
      </c>
      <c r="F408" s="30">
        <f>AVERAGE(B406:E408)</f>
        <v>56.442877548119355</v>
      </c>
      <c r="G408" s="37">
        <f>G388/$H$132*100</f>
        <v>90</v>
      </c>
      <c r="H408" s="37">
        <f>H388/$H$148*100</f>
        <v>100</v>
      </c>
      <c r="I408" s="37">
        <f>I388/$H$164*100</f>
        <v>35.294117647058826</v>
      </c>
      <c r="J408" s="37">
        <f>J388/$H$116*100</f>
        <v>33.333333333333329</v>
      </c>
      <c r="K408" s="30">
        <f>AVERAGE(G406:J408)</f>
        <v>61.591063207067151</v>
      </c>
      <c r="L408" s="37">
        <f>L388/$H$133*100</f>
        <v>83.333333333333343</v>
      </c>
      <c r="M408" s="37">
        <f>M388/$H$149*100</f>
        <v>33.333333333333329</v>
      </c>
      <c r="N408" s="37">
        <f>N388/$H$165*100</f>
        <v>16.666666666666664</v>
      </c>
      <c r="O408" s="37">
        <f>O388/$H$117*100</f>
        <v>38.888888888888893</v>
      </c>
      <c r="P408" s="30">
        <f>AVERAGE(L406:O408)</f>
        <v>46.978102388939845</v>
      </c>
      <c r="S408" s="32" t="s">
        <v>189</v>
      </c>
      <c r="T408" s="37">
        <f>T388/$H$131*100</f>
        <v>20</v>
      </c>
      <c r="U408" s="37">
        <f>U388/$H$147*100</f>
        <v>20</v>
      </c>
      <c r="V408" s="37">
        <f>V388/$H$163*100</f>
        <v>60</v>
      </c>
      <c r="W408" s="37">
        <f>W388/$H$115*100</f>
        <v>37.5</v>
      </c>
      <c r="X408" s="30">
        <f>AVERAGE(T406:W408)</f>
        <v>43.557122451880645</v>
      </c>
      <c r="Y408" s="37">
        <f>Y388/$H$132*100</f>
        <v>10</v>
      </c>
      <c r="Z408" s="37">
        <f>Z388/$H$148*100</f>
        <v>0</v>
      </c>
      <c r="AA408" s="37">
        <f>AA388/$H$164*100</f>
        <v>64.705882352941174</v>
      </c>
      <c r="AB408" s="37">
        <f>AB388/$H$116*100</f>
        <v>66.666666666666657</v>
      </c>
      <c r="AC408" s="30">
        <f>AVERAGE(Y406:AB408)</f>
        <v>38.408936792932849</v>
      </c>
      <c r="AD408" s="37">
        <f>AD388/$H$133*100</f>
        <v>16.666666666666664</v>
      </c>
      <c r="AE408" s="37">
        <f>AE388/$H$149*100</f>
        <v>66.666666666666657</v>
      </c>
      <c r="AF408" s="37">
        <f>AF388/$H$165*100</f>
        <v>83.333333333333343</v>
      </c>
      <c r="AG408" s="37">
        <f>AG388/$H$117*100</f>
        <v>61.111111111111114</v>
      </c>
      <c r="AH408" s="30">
        <f>AVERAGE(AD406:AG408)</f>
        <v>53.021897611060155</v>
      </c>
    </row>
    <row r="409" spans="1:34" x14ac:dyDescent="0.2">
      <c r="A409" s="15" t="s">
        <v>269</v>
      </c>
      <c r="B409" s="27"/>
      <c r="C409" s="27"/>
      <c r="D409" s="27"/>
      <c r="E409" s="27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S409" s="15" t="s">
        <v>269</v>
      </c>
      <c r="T409" s="27"/>
      <c r="U409" s="27"/>
      <c r="V409" s="27"/>
      <c r="W409" s="27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</row>
    <row r="410" spans="1:34" x14ac:dyDescent="0.2">
      <c r="A410" s="136" t="s">
        <v>187</v>
      </c>
      <c r="B410" s="92">
        <f>B390/($L$143+$M$143)*100</f>
        <v>73.68421052631578</v>
      </c>
      <c r="C410" s="92">
        <f>C390/($L$159+$M$159)*100</f>
        <v>79.411764705882348</v>
      </c>
      <c r="D410" s="92">
        <f>D390/($L$175+$M$175)*100</f>
        <v>80.625</v>
      </c>
      <c r="E410" s="92">
        <f>E390/($L$127+$M$127)*100</f>
        <v>28.571428571428569</v>
      </c>
      <c r="F410" s="92"/>
      <c r="G410" s="92">
        <f>G390/($L$144+$M$144)*100</f>
        <v>71.806167400881066</v>
      </c>
      <c r="H410" s="92">
        <f>H390/($L$160+$M$160)*100</f>
        <v>74.285714285714292</v>
      </c>
      <c r="I410" s="92">
        <f>I390/($L$176+$M$176)*100</f>
        <v>74.81481481481481</v>
      </c>
      <c r="J410" s="92">
        <f>J390/($L$128+$M$128)*100</f>
        <v>38.888888888888893</v>
      </c>
      <c r="K410" s="92"/>
      <c r="L410" s="92">
        <f>L390/($L$145+$M$145)*100</f>
        <v>70.833333333333343</v>
      </c>
      <c r="M410" s="92">
        <f>M390/($L$161+$M$161)*100</f>
        <v>82.608695652173907</v>
      </c>
      <c r="N410" s="92">
        <f>N390/($L$177+$M$177)*100</f>
        <v>44.871794871794876</v>
      </c>
      <c r="O410" s="92">
        <f>O390/($L$129+$M$129)*100</f>
        <v>5.8823529411764701</v>
      </c>
      <c r="S410" s="136" t="s">
        <v>187</v>
      </c>
      <c r="T410" s="92">
        <f>T390/($L$143+$M$143)*100</f>
        <v>26.315789473684209</v>
      </c>
      <c r="U410" s="92">
        <f>U390/($L$159+$M$159)*100</f>
        <v>20.588235294117645</v>
      </c>
      <c r="V410" s="92">
        <f>V390/($L$175+$M$175)*100</f>
        <v>19.375</v>
      </c>
      <c r="W410" s="92">
        <f>W390/($L$127+$M$127)*100</f>
        <v>71.428571428571431</v>
      </c>
      <c r="X410" s="92"/>
      <c r="Y410" s="92">
        <f>Y390/($L$144+$M$144)*100</f>
        <v>28.193832599118945</v>
      </c>
      <c r="Z410" s="92">
        <f>Z390/($L$160+$M$160)*100</f>
        <v>25.714285714285712</v>
      </c>
      <c r="AA410" s="92">
        <f>AA390/($L$176+$M$176)*100</f>
        <v>25.185185185185183</v>
      </c>
      <c r="AB410" s="92">
        <f>AB390/($L$128+$M$128)*100</f>
        <v>61.111111111111114</v>
      </c>
      <c r="AC410" s="92"/>
      <c r="AD410" s="92">
        <f>AD390/($L$145+$M$145)*100</f>
        <v>29.166666666666668</v>
      </c>
      <c r="AE410" s="92">
        <f>AE390/($L$161+$M$161)*100</f>
        <v>17.391304347826086</v>
      </c>
      <c r="AF410" s="92">
        <f>AF390/($L$177+$M$177)*100</f>
        <v>55.128205128205131</v>
      </c>
      <c r="AG410" s="92">
        <f>AG390/($L$129+$M$129)*100</f>
        <v>94.117647058823522</v>
      </c>
    </row>
    <row r="411" spans="1:34" x14ac:dyDescent="0.2">
      <c r="A411" s="136" t="s">
        <v>188</v>
      </c>
      <c r="B411" s="92">
        <f>B391/($L$135+$M$135)*100</f>
        <v>58.620689655172406</v>
      </c>
      <c r="C411" s="92">
        <f>C391/($L$151+$M$151)*100</f>
        <v>48</v>
      </c>
      <c r="D411" s="92">
        <f>D391/($L$167+$M$167)*100</f>
        <v>47.794117647058826</v>
      </c>
      <c r="E411" s="92">
        <f>E391/($L$119+$M$119)*100</f>
        <v>42.307692307692307</v>
      </c>
      <c r="F411" s="92"/>
      <c r="G411" s="92">
        <f>G391/($L$136+$M$136)*100</f>
        <v>61.6</v>
      </c>
      <c r="H411" s="92">
        <f>L391/($L$152+$M$152)*100</f>
        <v>205.55555555555554</v>
      </c>
      <c r="I411" s="92">
        <f>I391/($L$168+$M$168)*100</f>
        <v>40.845070422535215</v>
      </c>
      <c r="J411" s="92">
        <f>J391/($L$120+$M$120)*100</f>
        <v>34.615384615384613</v>
      </c>
      <c r="K411" s="92"/>
      <c r="L411" s="92">
        <f>L391/($L$137+$M$137)*100</f>
        <v>51.388888888888886</v>
      </c>
      <c r="M411" s="92">
        <f>M391/($L$153+$M$153)*100</f>
        <v>33.333333333333329</v>
      </c>
      <c r="N411" s="92">
        <f>N391/($L$169+$M$169)*100</f>
        <v>32</v>
      </c>
      <c r="O411" s="92">
        <f>O391/($L$121+$M$121)*100</f>
        <v>37.5</v>
      </c>
      <c r="S411" s="136" t="s">
        <v>188</v>
      </c>
      <c r="T411" s="92">
        <f>T391/($L$135+$M$135)*100</f>
        <v>41.379310344827587</v>
      </c>
      <c r="U411" s="92">
        <f>U391/($L$151+$M$151)*100</f>
        <v>52</v>
      </c>
      <c r="V411" s="92">
        <f>V391/($L$167+$M$167)*100</f>
        <v>52.205882352941181</v>
      </c>
      <c r="W411" s="92">
        <f>W391/($L$119+$M$119)*100</f>
        <v>57.692307692307686</v>
      </c>
      <c r="X411" s="92"/>
      <c r="Y411" s="92">
        <f>Y391/($L$136+$M$136)*100</f>
        <v>38.4</v>
      </c>
      <c r="Z411" s="92">
        <f>AD391/($L$152+$M$152)*100</f>
        <v>194.44444444444443</v>
      </c>
      <c r="AA411" s="92">
        <f>AA391/($L$168+$M$168)*100</f>
        <v>59.154929577464785</v>
      </c>
      <c r="AB411" s="92">
        <f>AB391/($L$120+$M$120)*100</f>
        <v>65.384615384615387</v>
      </c>
      <c r="AC411" s="92"/>
      <c r="AD411" s="92">
        <f>AD391/($L$137+$M$137)*100</f>
        <v>48.611111111111107</v>
      </c>
      <c r="AE411" s="92">
        <f>AE391/($L$153+$M$153)*100</f>
        <v>66.666666666666657</v>
      </c>
      <c r="AF411" s="92">
        <f>AF391/($L$169+$M$169)*100</f>
        <v>68</v>
      </c>
      <c r="AG411" s="92">
        <f>AG391/($L$121+$M$121)*100</f>
        <v>62.5</v>
      </c>
    </row>
    <row r="412" spans="1:34" x14ac:dyDescent="0.2">
      <c r="A412" s="32" t="s">
        <v>189</v>
      </c>
      <c r="B412" s="37">
        <f>B392/($L$131+$M$131)*100</f>
        <v>83.431952662721898</v>
      </c>
      <c r="C412" s="37">
        <f>C392/($L$147+$M$147)*100</f>
        <v>81.818181818181827</v>
      </c>
      <c r="D412" s="37">
        <f>D392/($L$163+$M$163)*100</f>
        <v>80.645161290322577</v>
      </c>
      <c r="E412" s="37">
        <f>E392/($L$115+$M$115)*100</f>
        <v>66.666666666666657</v>
      </c>
      <c r="F412" s="7">
        <f>AVERAGE(B410:E412)</f>
        <v>64.298072154286942</v>
      </c>
      <c r="G412" s="37">
        <f>G392/($L$132+$M$132)*100</f>
        <v>88.965517241379317</v>
      </c>
      <c r="H412" s="37">
        <f>L392/($L$148+$M$148)*100</f>
        <v>826.66666666666674</v>
      </c>
      <c r="I412" s="37">
        <f>I392/($L$164+$M$164)*100</f>
        <v>68.75</v>
      </c>
      <c r="J412" s="37">
        <f>J392/($L$116+$M$116)*100</f>
        <v>59.183673469387756</v>
      </c>
      <c r="K412" s="7">
        <f>AVERAGE(G410:J412)</f>
        <v>137.16478778010068</v>
      </c>
      <c r="L412" s="37">
        <f>L392/($L$133+$M$133)*100</f>
        <v>84.93150684931507</v>
      </c>
      <c r="M412" s="37">
        <f>M392/($L$149+$M$149)*100</f>
        <v>62.5</v>
      </c>
      <c r="N412" s="37">
        <f>N392/($L$165+$M$165)*100</f>
        <v>67.64705882352942</v>
      </c>
      <c r="O412" s="37">
        <f>O392/($L$117+$M$117)*100</f>
        <v>37.837837837837839</v>
      </c>
      <c r="S412" s="32" t="s">
        <v>189</v>
      </c>
      <c r="T412" s="37">
        <f>T392/($L$131+$M$131)*100</f>
        <v>16.568047337278109</v>
      </c>
      <c r="U412" s="37">
        <f>U392/($L$147+$M$147)*100</f>
        <v>18.181818181818183</v>
      </c>
      <c r="V412" s="37">
        <f>V392/($L$163+$M$163)*100</f>
        <v>19.35483870967742</v>
      </c>
      <c r="W412" s="37">
        <f>W392/($L$115+$M$115)*100</f>
        <v>33.333333333333329</v>
      </c>
      <c r="X412" s="7">
        <f>AVERAGE(T410:W412)</f>
        <v>35.701927845713065</v>
      </c>
      <c r="Y412" s="37">
        <f>Y392/($L$132+$M$132)*100</f>
        <v>11.03448275862069</v>
      </c>
      <c r="Z412" s="37">
        <f>AD392/($L$148+$M$148)*100</f>
        <v>146.66666666666666</v>
      </c>
      <c r="AA412" s="37">
        <f>AA392/($L$164+$M$164)*100</f>
        <v>31.25</v>
      </c>
      <c r="AB412" s="37">
        <f>AB392/($L$116+$M$116)*100</f>
        <v>40.816326530612244</v>
      </c>
      <c r="AC412" s="7">
        <f>AVERAGE(Y410:AB412)</f>
        <v>60.612989997677097</v>
      </c>
      <c r="AD412" s="37">
        <f>AD392/($L$133+$M$133)*100</f>
        <v>15.068493150684931</v>
      </c>
      <c r="AE412" s="37">
        <f>AE392/($L$149+$M$149)*100</f>
        <v>37.5</v>
      </c>
      <c r="AF412" s="37">
        <f>AF392/($L$165+$M$165)*100</f>
        <v>32.352941176470587</v>
      </c>
      <c r="AG412" s="37">
        <f>AG392/($L$117+$M$117)*100</f>
        <v>62.162162162162161</v>
      </c>
    </row>
    <row r="413" spans="1:34" x14ac:dyDescent="0.2">
      <c r="A413" s="15" t="s">
        <v>270</v>
      </c>
      <c r="B413" s="27"/>
      <c r="C413" s="27"/>
      <c r="D413" s="27"/>
      <c r="E413" s="27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S413" s="15" t="s">
        <v>270</v>
      </c>
      <c r="T413" s="27"/>
      <c r="U413" s="27"/>
      <c r="V413" s="27"/>
      <c r="W413" s="27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</row>
    <row r="414" spans="1:34" x14ac:dyDescent="0.2">
      <c r="A414" s="136" t="s">
        <v>187</v>
      </c>
      <c r="B414" s="92">
        <f>B394/$M$143*100</f>
        <v>68.75</v>
      </c>
      <c r="C414" s="92">
        <f>C394/$M$159*100</f>
        <v>81.25</v>
      </c>
      <c r="D414" s="92">
        <f>D394/$M$175*100</f>
        <v>82.926829268292678</v>
      </c>
      <c r="E414" s="92">
        <f>E394/$M$127*100</f>
        <v>18.181818181818183</v>
      </c>
      <c r="F414" s="92"/>
      <c r="G414" s="92">
        <f>G394/$M$144*100</f>
        <v>66.666666666666657</v>
      </c>
      <c r="H414" s="92">
        <f>H394/$M$160*100</f>
        <v>90</v>
      </c>
      <c r="I414" s="92">
        <f>I394/$M$176*100</f>
        <v>69.863013698630141</v>
      </c>
      <c r="J414" s="92">
        <f>J394/$M$128*100</f>
        <v>43.75</v>
      </c>
      <c r="K414" s="92"/>
      <c r="L414" s="92">
        <f>L394/$M$145*100</f>
        <v>62.121212121212125</v>
      </c>
      <c r="M414" s="92">
        <f>M394/$M$161*100</f>
        <v>87.5</v>
      </c>
      <c r="N414" s="92">
        <f>N394/$M$177*100</f>
        <v>41.860465116279073</v>
      </c>
      <c r="O414" s="92">
        <f>O394/$M$129*100</f>
        <v>5.8823529411764701</v>
      </c>
      <c r="S414" s="136" t="s">
        <v>187</v>
      </c>
      <c r="T414" s="92">
        <f>T394/$M$143*100</f>
        <v>31.25</v>
      </c>
      <c r="U414" s="92">
        <f>U394/$M$159*100</f>
        <v>18.75</v>
      </c>
      <c r="V414" s="92">
        <f>V394/$M$175*100</f>
        <v>17.073170731707318</v>
      </c>
      <c r="W414" s="92">
        <f>W394/$M$127*100</f>
        <v>81.818181818181827</v>
      </c>
      <c r="X414" s="92"/>
      <c r="Y414" s="92">
        <f>Y394/$M$144*100</f>
        <v>33.333333333333329</v>
      </c>
      <c r="Z414" s="92">
        <f>Z394/$M$160*100</f>
        <v>10</v>
      </c>
      <c r="AA414" s="92">
        <f>AA394/$M$176*100</f>
        <v>30.136986301369863</v>
      </c>
      <c r="AB414" s="92">
        <f>AB394/$M$128*100</f>
        <v>56.25</v>
      </c>
      <c r="AC414" s="92"/>
      <c r="AD414" s="92">
        <f>AD394/$M$145*100</f>
        <v>37.878787878787875</v>
      </c>
      <c r="AE414" s="92">
        <f>AE394/$M$161*100</f>
        <v>12.5</v>
      </c>
      <c r="AF414" s="92">
        <f>AF394/$M$177*100</f>
        <v>58.139534883720934</v>
      </c>
      <c r="AG414" s="92">
        <f>AG394/$M$129*100</f>
        <v>94.117647058823522</v>
      </c>
    </row>
    <row r="415" spans="1:34" x14ac:dyDescent="0.2">
      <c r="A415" s="136" t="s">
        <v>188</v>
      </c>
      <c r="B415" s="92">
        <f>B395/$M$135*100</f>
        <v>55.405405405405403</v>
      </c>
      <c r="C415" s="92">
        <f>C395/$M$151*100</f>
        <v>54.54545454545454</v>
      </c>
      <c r="D415" s="92">
        <f>D395/$M$167*100</f>
        <v>34.246575342465754</v>
      </c>
      <c r="E415" s="92">
        <f>E395/$M$119*100</f>
        <v>7.6923076923076925</v>
      </c>
      <c r="F415" s="92"/>
      <c r="G415" s="92">
        <f>G395/$M$136*100</f>
        <v>55.555555555555557</v>
      </c>
      <c r="H415" s="92">
        <f>H395/$M$152*100</f>
        <v>28.571428571428569</v>
      </c>
      <c r="I415" s="92">
        <f>I395/$M$168*100</f>
        <v>28.378378378378379</v>
      </c>
      <c r="J415" s="92">
        <f>J395/$M$120*100</f>
        <v>23.52941176470588</v>
      </c>
      <c r="K415" s="92"/>
      <c r="L415" s="92">
        <f>L395/$M$137*100</f>
        <v>40</v>
      </c>
      <c r="M415" s="92">
        <f>M395/$M$153*100</f>
        <v>30</v>
      </c>
      <c r="N415" s="92">
        <f>N395/$M$169*100</f>
        <v>17.543859649122805</v>
      </c>
      <c r="O415" s="92">
        <f>O395/$M$121*100</f>
        <v>33.333333333333329</v>
      </c>
      <c r="S415" s="136" t="s">
        <v>188</v>
      </c>
      <c r="T415" s="92">
        <f>T395/$M$135*100</f>
        <v>44.594594594594597</v>
      </c>
      <c r="U415" s="92">
        <f>U395/$M$151*100</f>
        <v>45.454545454545453</v>
      </c>
      <c r="V415" s="92">
        <f>V395/$M$167*100</f>
        <v>65.753424657534239</v>
      </c>
      <c r="W415" s="92">
        <f>W395/$M$119*100</f>
        <v>92.307692307692307</v>
      </c>
      <c r="X415" s="92"/>
      <c r="Y415" s="92">
        <f>Y395/$M$136*100</f>
        <v>44.444444444444443</v>
      </c>
      <c r="Z415" s="92">
        <f>Z395/$M$152*100</f>
        <v>71.428571428571431</v>
      </c>
      <c r="AA415" s="92">
        <f>AA395/$M$168*100</f>
        <v>71.621621621621628</v>
      </c>
      <c r="AB415" s="92">
        <f>AB395/$M$120*100</f>
        <v>76.470588235294116</v>
      </c>
      <c r="AC415" s="92"/>
      <c r="AD415" s="92">
        <f>AD395/$M$137*100</f>
        <v>60</v>
      </c>
      <c r="AE415" s="92">
        <f>AE395/$M$153*100</f>
        <v>70</v>
      </c>
      <c r="AF415" s="92">
        <f>AF395/$M$169*100</f>
        <v>82.456140350877192</v>
      </c>
      <c r="AG415" s="92">
        <f>AG395/$M$121*100</f>
        <v>66.666666666666657</v>
      </c>
    </row>
    <row r="416" spans="1:34" x14ac:dyDescent="0.2">
      <c r="A416" s="32" t="s">
        <v>189</v>
      </c>
      <c r="B416" s="37">
        <f>B396/$M$131*100</f>
        <v>90.243902439024396</v>
      </c>
      <c r="C416" s="37">
        <f>C396/$M$147*100</f>
        <v>75</v>
      </c>
      <c r="D416" s="37">
        <f>D396/$M$163*100</f>
        <v>85</v>
      </c>
      <c r="E416" s="37">
        <f>E396/$M$115*100</f>
        <v>71.428571428571431</v>
      </c>
      <c r="F416" s="7">
        <f>AVERAGE(B414:E416)</f>
        <v>60.389238691945017</v>
      </c>
      <c r="G416" s="37">
        <f>G396/$M$132*100</f>
        <v>87.179487179487182</v>
      </c>
      <c r="H416" s="37">
        <f>H396/$M$148*100</f>
        <v>66.666666666666657</v>
      </c>
      <c r="I416" s="37">
        <f>I396/$M$164*100</f>
        <v>55.555555555555557</v>
      </c>
      <c r="J416" s="37">
        <f>J396/$M$116*100</f>
        <v>84.615384615384613</v>
      </c>
      <c r="K416" s="7">
        <f>AVERAGE(G414:J416)</f>
        <v>58.360962387704937</v>
      </c>
      <c r="L416" s="37">
        <f>L396/$M$133*100</f>
        <v>80</v>
      </c>
      <c r="M416" s="37">
        <f>M396/$M$149*100</f>
        <v>25</v>
      </c>
      <c r="N416" s="37">
        <f>N396/$M$165*100</f>
        <v>50</v>
      </c>
      <c r="O416" s="37">
        <f>O396/$M$117*100</f>
        <v>25</v>
      </c>
      <c r="P416" s="7">
        <f>AVERAGE(L414:O416)</f>
        <v>41.520101930093652</v>
      </c>
      <c r="S416" s="32" t="s">
        <v>189</v>
      </c>
      <c r="T416" s="37">
        <f>T396/$M$131*100</f>
        <v>9.7560975609756095</v>
      </c>
      <c r="U416" s="37">
        <f>U396/$M$147*100</f>
        <v>25</v>
      </c>
      <c r="V416" s="37">
        <f>V396/$M$163*100</f>
        <v>15</v>
      </c>
      <c r="W416" s="37">
        <f>W396/$M$115*100</f>
        <v>28.571428571428569</v>
      </c>
      <c r="X416" s="7">
        <f>AVERAGE(T414:W416)</f>
        <v>39.610761308054997</v>
      </c>
      <c r="Y416" s="37">
        <f>Y396/$M$132*100</f>
        <v>12.820512820512819</v>
      </c>
      <c r="Z416" s="37">
        <f>Z396/$M$148*100</f>
        <v>33.333333333333329</v>
      </c>
      <c r="AA416" s="37">
        <f>AA396/$M$164*100</f>
        <v>44.444444444444443</v>
      </c>
      <c r="AB416" s="37">
        <f>AB396/$M$116*100</f>
        <v>15.384615384615385</v>
      </c>
      <c r="AC416" s="7">
        <f>AVERAGE(Y414:AB416)</f>
        <v>41.639037612295063</v>
      </c>
      <c r="AD416" s="37">
        <f>AD396/$M$133*100</f>
        <v>20</v>
      </c>
      <c r="AE416" s="37">
        <f>AE396/$M$149*100</f>
        <v>75</v>
      </c>
      <c r="AF416" s="37">
        <f>AF396/$M$165*100</f>
        <v>50</v>
      </c>
      <c r="AG416" s="37">
        <f>AG396/$M$117*100</f>
        <v>75</v>
      </c>
      <c r="AH416" s="7">
        <f>AVERAGE(AD414:AG416)</f>
        <v>58.479898069906348</v>
      </c>
    </row>
    <row r="417" spans="1:34" x14ac:dyDescent="0.2">
      <c r="A417" s="15" t="s">
        <v>274</v>
      </c>
      <c r="B417" s="27"/>
      <c r="C417" s="27"/>
      <c r="D417" s="27"/>
      <c r="E417" s="27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S417" s="15" t="s">
        <v>274</v>
      </c>
      <c r="T417" s="27"/>
      <c r="U417" s="27"/>
      <c r="V417" s="27"/>
      <c r="W417" s="27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</row>
    <row r="418" spans="1:34" ht="15" customHeight="1" x14ac:dyDescent="0.2">
      <c r="A418" s="136" t="s">
        <v>187</v>
      </c>
      <c r="B418" s="92">
        <f>B398/$N$143*100</f>
        <v>58.675799086757998</v>
      </c>
      <c r="C418" s="92">
        <f>C398/$N$159*100</f>
        <v>62.857142857142854</v>
      </c>
      <c r="D418" s="92">
        <f>D398/$N$175*100</f>
        <v>40.86021505376344</v>
      </c>
      <c r="E418" s="92">
        <f>E398/$N$127*100</f>
        <v>11.475409836065573</v>
      </c>
      <c r="F418" s="92"/>
      <c r="G418" s="92">
        <f>G398/$N$144*100</f>
        <v>59.452054794520549</v>
      </c>
      <c r="H418" s="92">
        <f>H398/$N$160*100</f>
        <v>75</v>
      </c>
      <c r="I418" s="92">
        <f>I398/$N$176*100</f>
        <v>54.716981132075468</v>
      </c>
      <c r="J418" s="92">
        <f>J398/$N$128*100</f>
        <v>14.754098360655737</v>
      </c>
      <c r="K418" s="92"/>
      <c r="L418" s="92">
        <f>L398/$N$145*100</f>
        <v>62.93333333333333</v>
      </c>
      <c r="M418" s="92">
        <f>M398/$N$161*100</f>
        <v>76.08695652173914</v>
      </c>
      <c r="N418" s="92">
        <f>N398/$N$177*100</f>
        <v>30.630630630630627</v>
      </c>
      <c r="O418" s="92">
        <f>O398/$N$129*100</f>
        <v>1.7543859649122806</v>
      </c>
      <c r="S418" s="136" t="s">
        <v>187</v>
      </c>
      <c r="T418" s="92">
        <f>T398/$N$143*100</f>
        <v>41.324200913242009</v>
      </c>
      <c r="U418" s="92">
        <f>U398/$N$159*100</f>
        <v>37.142857142857146</v>
      </c>
      <c r="V418" s="92">
        <f>V398/$N$175*100</f>
        <v>59.13978494623656</v>
      </c>
      <c r="W418" s="92">
        <f>W398/$N$127*100</f>
        <v>88.52459016393442</v>
      </c>
      <c r="X418" s="92"/>
      <c r="Y418" s="92">
        <f>Y398/$N$144*100</f>
        <v>40.547945205479451</v>
      </c>
      <c r="Z418" s="92">
        <f>Z398/$N$160*100</f>
        <v>25</v>
      </c>
      <c r="AA418" s="92">
        <f>AA398/$N$176*100</f>
        <v>45.283018867924532</v>
      </c>
      <c r="AB418" s="92">
        <f>AB398/$N$128*100</f>
        <v>85.245901639344254</v>
      </c>
      <c r="AC418" s="92"/>
      <c r="AD418" s="92">
        <f>AD398/$N$145*100</f>
        <v>37.066666666666663</v>
      </c>
      <c r="AE418" s="92">
        <f>AE398/$N$161*100</f>
        <v>23.913043478260871</v>
      </c>
      <c r="AF418" s="92">
        <f>AF398/$N$177*100</f>
        <v>69.369369369369366</v>
      </c>
      <c r="AG418" s="92">
        <f>AG398/$N$129*100</f>
        <v>98.245614035087712</v>
      </c>
    </row>
    <row r="419" spans="1:34" x14ac:dyDescent="0.2">
      <c r="A419" s="136" t="s">
        <v>188</v>
      </c>
      <c r="B419" s="92">
        <f>B399/$N$135*100</f>
        <v>63.076923076923073</v>
      </c>
      <c r="C419" s="92">
        <f>C399/$N$151*100</f>
        <v>60.975609756097562</v>
      </c>
      <c r="D419" s="92">
        <f>D399/$N$167*100</f>
        <v>27.167630057803464</v>
      </c>
      <c r="E419" s="92">
        <f>E399/$N$119*100</f>
        <v>33.333333333333329</v>
      </c>
      <c r="F419" s="92"/>
      <c r="G419" s="92">
        <f>G399/$N$136*100</f>
        <v>67.25352112676056</v>
      </c>
      <c r="H419" s="92">
        <f>H399/$N$152*100</f>
        <v>58.333333333333336</v>
      </c>
      <c r="I419" s="92">
        <f>I399/$N$168*100</f>
        <v>24.096385542168676</v>
      </c>
      <c r="J419" s="92">
        <f>J399/$N$120*100</f>
        <v>36.363636363636367</v>
      </c>
      <c r="K419" s="92"/>
      <c r="L419" s="92">
        <f>L399/$N$137*100</f>
        <v>66.472303206997083</v>
      </c>
      <c r="M419" s="92">
        <f>M399/$N$153*100</f>
        <v>60.416666666666664</v>
      </c>
      <c r="N419" s="92">
        <f>N399/$N$169*100</f>
        <v>12.206572769953052</v>
      </c>
      <c r="O419" s="92">
        <f>O399/$N$121*100</f>
        <v>0</v>
      </c>
      <c r="S419" s="136" t="s">
        <v>188</v>
      </c>
      <c r="T419" s="92">
        <f>T399/$N$135*100</f>
        <v>36.923076923076927</v>
      </c>
      <c r="U419" s="92">
        <f>U399/$N$151*100</f>
        <v>39.024390243902438</v>
      </c>
      <c r="V419" s="92">
        <f>V399/$N$167*100</f>
        <v>72.832369942196522</v>
      </c>
      <c r="W419" s="92">
        <f>W399/$N$119*100</f>
        <v>66.666666666666657</v>
      </c>
      <c r="X419" s="92"/>
      <c r="Y419" s="92">
        <f>Y399/$N$136*100</f>
        <v>32.74647887323944</v>
      </c>
      <c r="Z419" s="92">
        <f>Z399/$N$152*100</f>
        <v>41.666666666666671</v>
      </c>
      <c r="AA419" s="92">
        <f>AA399/$N$168*100</f>
        <v>75.903614457831324</v>
      </c>
      <c r="AB419" s="92">
        <f>AB399/$N$120*100</f>
        <v>63.636363636363633</v>
      </c>
      <c r="AC419" s="92"/>
      <c r="AD419" s="92">
        <f>AD399/$N$137*100</f>
        <v>33.527696793002917</v>
      </c>
      <c r="AE419" s="92">
        <f>AE399/$N$153*100</f>
        <v>39.583333333333329</v>
      </c>
      <c r="AF419" s="92">
        <f>AF399/$N$169*100</f>
        <v>87.793427230046944</v>
      </c>
      <c r="AG419" s="92">
        <f>AG399/$N$121*100</f>
        <v>100</v>
      </c>
    </row>
    <row r="420" spans="1:34" x14ac:dyDescent="0.2">
      <c r="A420" s="32" t="s">
        <v>189</v>
      </c>
      <c r="B420" s="37">
        <f>B400/$N$131*100</f>
        <v>88.157894736842096</v>
      </c>
      <c r="C420" s="37">
        <f>C400/$N$147*100</f>
        <v>80</v>
      </c>
      <c r="D420" s="37">
        <f>D400/$N$163*100</f>
        <v>46.835443037974684</v>
      </c>
      <c r="E420" s="37">
        <f>E400/$N$115*100</f>
        <v>63.157894736842103</v>
      </c>
      <c r="F420" s="7">
        <f>AVERAGE(B418:E420)</f>
        <v>53.047774630795509</v>
      </c>
      <c r="G420" s="37">
        <f>G400/$N$132*100</f>
        <v>88.888888888888886</v>
      </c>
      <c r="H420" s="37">
        <f>H400/$N$148*100</f>
        <v>78.571428571428569</v>
      </c>
      <c r="I420" s="37">
        <f>I400/$N$164*100</f>
        <v>35.2112676056338</v>
      </c>
      <c r="J420" s="37">
        <f>J400/$N$116*100</f>
        <v>44.444444444444443</v>
      </c>
      <c r="K420" s="7">
        <f>AVERAGE(G418:J420)</f>
        <v>53.090503346962201</v>
      </c>
      <c r="L420" s="37">
        <f>L400/$N$133*100</f>
        <v>88.461538461538453</v>
      </c>
      <c r="M420" s="37">
        <f>M400/$N$149*100</f>
        <v>91.304347826086953</v>
      </c>
      <c r="N420" s="37">
        <f>N400/$N$165*100</f>
        <v>19.230769230769234</v>
      </c>
      <c r="O420" s="37">
        <f>O400/$N$117*100</f>
        <v>41.666666666666671</v>
      </c>
      <c r="P420" s="7">
        <f>AVERAGE(L418:O420)</f>
        <v>45.930347606607789</v>
      </c>
      <c r="S420" s="32" t="s">
        <v>189</v>
      </c>
      <c r="T420" s="37">
        <f>T400/$N$131*100</f>
        <v>11.842105263157894</v>
      </c>
      <c r="U420" s="37">
        <f>U400/$N$147*100</f>
        <v>20</v>
      </c>
      <c r="V420" s="37">
        <f>V400/$N$163*100</f>
        <v>53.164556962025308</v>
      </c>
      <c r="W420" s="37">
        <f>W400/$N$115*100</f>
        <v>36.84210526315789</v>
      </c>
      <c r="X420" s="7">
        <f>AVERAGE(T418:W420)</f>
        <v>46.952225369204484</v>
      </c>
      <c r="Y420" s="37">
        <f>Y400/$N$132*100</f>
        <v>11.111111111111111</v>
      </c>
      <c r="Z420" s="37">
        <f>Z400/$N$148*100</f>
        <v>21.428571428571427</v>
      </c>
      <c r="AA420" s="37">
        <f>AA400/$N$164*100</f>
        <v>64.788732394366207</v>
      </c>
      <c r="AB420" s="37">
        <f>AB400/$N$116*100</f>
        <v>55.555555555555557</v>
      </c>
      <c r="AC420" s="7">
        <f>AVERAGE(Y418:AB420)</f>
        <v>46.909496653037799</v>
      </c>
      <c r="AD420" s="37">
        <f>AD400/$N$133*100</f>
        <v>11.538461538461538</v>
      </c>
      <c r="AE420" s="37">
        <f>AE400/$N$149*100</f>
        <v>8.695652173913043</v>
      </c>
      <c r="AF420" s="37">
        <f>AF400/$N$165*100</f>
        <v>80.769230769230774</v>
      </c>
      <c r="AG420" s="37">
        <f>AG400/$N$117*100</f>
        <v>58.333333333333336</v>
      </c>
      <c r="AH420" s="7">
        <f>AVERAGE(AD418:AG420)</f>
        <v>54.069652393392211</v>
      </c>
    </row>
    <row r="426" spans="1:34" ht="48" x14ac:dyDescent="0.2">
      <c r="A426" s="10" t="s">
        <v>272</v>
      </c>
      <c r="B426" s="11" t="s">
        <v>259</v>
      </c>
      <c r="C426" s="11"/>
      <c r="D426" s="11"/>
      <c r="E426" s="11"/>
      <c r="F426" s="12"/>
      <c r="G426" s="11" t="s">
        <v>260</v>
      </c>
      <c r="H426" s="11"/>
      <c r="I426" s="11"/>
      <c r="J426" s="11"/>
      <c r="K426" s="12"/>
      <c r="L426" s="11" t="s">
        <v>261</v>
      </c>
      <c r="M426" s="11"/>
      <c r="N426" s="11"/>
      <c r="O426" s="11"/>
    </row>
    <row r="427" spans="1:34" x14ac:dyDescent="0.2">
      <c r="A427" s="11"/>
      <c r="B427" s="12" t="s">
        <v>183</v>
      </c>
      <c r="C427" s="12" t="s">
        <v>184</v>
      </c>
      <c r="D427" s="12" t="s">
        <v>185</v>
      </c>
      <c r="E427" s="12" t="s">
        <v>186</v>
      </c>
      <c r="F427" s="12"/>
      <c r="G427" s="12" t="s">
        <v>183</v>
      </c>
      <c r="H427" s="12" t="s">
        <v>184</v>
      </c>
      <c r="I427" s="12" t="s">
        <v>185</v>
      </c>
      <c r="J427" s="12" t="s">
        <v>186</v>
      </c>
      <c r="K427" s="12"/>
      <c r="L427" s="12" t="s">
        <v>183</v>
      </c>
      <c r="M427" s="12" t="s">
        <v>184</v>
      </c>
      <c r="N427" s="12" t="s">
        <v>185</v>
      </c>
      <c r="O427" s="12" t="s">
        <v>186</v>
      </c>
    </row>
    <row r="428" spans="1:34" x14ac:dyDescent="0.2">
      <c r="A428" s="15" t="s">
        <v>262</v>
      </c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</row>
    <row r="429" spans="1:34" x14ac:dyDescent="0.2">
      <c r="A429" s="16" t="s">
        <v>187</v>
      </c>
      <c r="B429" s="93">
        <v>157</v>
      </c>
      <c r="C429" s="93">
        <v>492</v>
      </c>
      <c r="D429" s="93">
        <v>166</v>
      </c>
      <c r="E429" s="93">
        <v>1</v>
      </c>
      <c r="F429" s="93"/>
      <c r="G429" s="93">
        <v>144</v>
      </c>
      <c r="H429" s="93">
        <v>505</v>
      </c>
      <c r="I429" s="93">
        <v>148</v>
      </c>
      <c r="J429" s="93">
        <v>2</v>
      </c>
      <c r="K429" s="93"/>
      <c r="L429" s="93">
        <v>33</v>
      </c>
      <c r="M429" s="93">
        <v>147</v>
      </c>
      <c r="N429" s="93">
        <v>39</v>
      </c>
      <c r="O429" s="93">
        <v>0</v>
      </c>
    </row>
    <row r="430" spans="1:34" x14ac:dyDescent="0.2">
      <c r="A430" s="16" t="s">
        <v>188</v>
      </c>
      <c r="B430" s="93">
        <v>206</v>
      </c>
      <c r="C430" s="93">
        <v>599</v>
      </c>
      <c r="D430" s="93">
        <v>106</v>
      </c>
      <c r="E430" s="93">
        <v>17</v>
      </c>
      <c r="F430" s="93"/>
      <c r="G430" s="93">
        <v>228</v>
      </c>
      <c r="H430" s="93">
        <v>638</v>
      </c>
      <c r="I430" s="93">
        <v>124</v>
      </c>
      <c r="J430" s="93">
        <v>17</v>
      </c>
      <c r="K430" s="93"/>
      <c r="L430" s="93">
        <v>169</v>
      </c>
      <c r="M430" s="93">
        <v>565</v>
      </c>
      <c r="N430" s="93">
        <v>65</v>
      </c>
      <c r="O430" s="93">
        <v>12</v>
      </c>
    </row>
    <row r="431" spans="1:34" x14ac:dyDescent="0.2">
      <c r="A431" s="16" t="s">
        <v>189</v>
      </c>
      <c r="B431" s="93">
        <v>480</v>
      </c>
      <c r="C431" s="138">
        <v>422</v>
      </c>
      <c r="D431" s="138">
        <v>154</v>
      </c>
      <c r="E431" s="93">
        <v>33</v>
      </c>
      <c r="F431" s="93"/>
      <c r="G431" s="93">
        <v>450</v>
      </c>
      <c r="H431" s="138">
        <v>378</v>
      </c>
      <c r="I431" s="138">
        <v>135</v>
      </c>
      <c r="J431" s="93">
        <v>24</v>
      </c>
      <c r="K431" s="93"/>
      <c r="L431" s="93">
        <v>349</v>
      </c>
      <c r="M431" s="138">
        <v>251</v>
      </c>
      <c r="N431" s="138">
        <v>122</v>
      </c>
      <c r="O431" s="93">
        <v>21</v>
      </c>
    </row>
    <row r="432" spans="1:34" x14ac:dyDescent="0.2">
      <c r="A432" s="15" t="s">
        <v>266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</row>
    <row r="433" spans="1:16" x14ac:dyDescent="0.2">
      <c r="A433" s="136" t="s">
        <v>187</v>
      </c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</row>
    <row r="434" spans="1:16" x14ac:dyDescent="0.2">
      <c r="A434" s="136" t="s">
        <v>188</v>
      </c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30">
        <f>AVERAGE(L445:O447)</f>
        <v>29.149156666666666</v>
      </c>
    </row>
    <row r="435" spans="1:16" x14ac:dyDescent="0.2">
      <c r="A435" s="136" t="s">
        <v>189</v>
      </c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</row>
    <row r="436" spans="1:16" x14ac:dyDescent="0.2">
      <c r="A436" s="15" t="s">
        <v>267</v>
      </c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</row>
    <row r="437" spans="1:16" x14ac:dyDescent="0.2">
      <c r="A437" s="136" t="s">
        <v>187</v>
      </c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</row>
    <row r="438" spans="1:16" x14ac:dyDescent="0.2">
      <c r="A438" s="136" t="s">
        <v>188</v>
      </c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</row>
    <row r="439" spans="1:16" x14ac:dyDescent="0.2">
      <c r="A439" s="32" t="s">
        <v>189</v>
      </c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</row>
    <row r="440" spans="1:16" x14ac:dyDescent="0.2">
      <c r="A440" s="135" t="s">
        <v>268</v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</row>
    <row r="441" spans="1:16" x14ac:dyDescent="0.2">
      <c r="A441" s="16" t="s">
        <v>187</v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</row>
    <row r="442" spans="1:16" x14ac:dyDescent="0.2">
      <c r="A442" s="16" t="s">
        <v>188</v>
      </c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</row>
    <row r="443" spans="1:16" x14ac:dyDescent="0.2">
      <c r="A443" s="32" t="s">
        <v>189</v>
      </c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</row>
    <row r="444" spans="1:16" x14ac:dyDescent="0.2">
      <c r="A444" s="100" t="s">
        <v>264</v>
      </c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</row>
    <row r="445" spans="1:16" x14ac:dyDescent="0.2">
      <c r="A445" s="125" t="s">
        <v>187</v>
      </c>
      <c r="B445" s="71">
        <v>16.737739999999999</v>
      </c>
      <c r="C445" s="71">
        <v>52.564103000000003</v>
      </c>
      <c r="D445" s="71">
        <v>39.243499</v>
      </c>
      <c r="E445" s="102">
        <v>1.6393439999999999</v>
      </c>
      <c r="F445" s="71"/>
      <c r="G445" s="71">
        <v>15.384615</v>
      </c>
      <c r="H445" s="71">
        <v>54.476807000000001</v>
      </c>
      <c r="I445" s="71">
        <v>34.180138999999997</v>
      </c>
      <c r="J445" s="102">
        <v>2.6666669999999999</v>
      </c>
      <c r="K445" s="71"/>
      <c r="L445" s="102">
        <v>3.6383679999999998</v>
      </c>
      <c r="M445" s="71">
        <v>16.207277000000001</v>
      </c>
      <c r="N445" s="102">
        <v>9.7989949999999997</v>
      </c>
      <c r="O445" s="102">
        <v>0</v>
      </c>
    </row>
    <row r="446" spans="1:16" x14ac:dyDescent="0.2">
      <c r="A446" s="125" t="s">
        <v>188</v>
      </c>
      <c r="B446" s="71">
        <v>42.916666999999997</v>
      </c>
      <c r="C446" s="71">
        <v>67.077268000000004</v>
      </c>
      <c r="D446" s="71">
        <v>36.805556000000003</v>
      </c>
      <c r="E446" s="71">
        <v>28.813559000000001</v>
      </c>
      <c r="F446" s="71"/>
      <c r="G446" s="71">
        <v>48.510638</v>
      </c>
      <c r="H446" s="71">
        <v>72.997712000000007</v>
      </c>
      <c r="I446" s="71">
        <v>40.789473999999998</v>
      </c>
      <c r="J446" s="71">
        <v>30.357143000000001</v>
      </c>
      <c r="K446" s="71"/>
      <c r="L446" s="71">
        <v>37.723213999999999</v>
      </c>
      <c r="M446" s="71">
        <v>65.697674000000006</v>
      </c>
      <c r="N446" s="71">
        <v>25.793651000000001</v>
      </c>
      <c r="O446" s="71">
        <v>28.571428999999998</v>
      </c>
    </row>
    <row r="447" spans="1:16" x14ac:dyDescent="0.2">
      <c r="A447" s="125" t="s">
        <v>189</v>
      </c>
      <c r="B447" s="71">
        <v>72.180451000000005</v>
      </c>
      <c r="C447" s="71">
        <v>78.731342999999995</v>
      </c>
      <c r="D447" s="71">
        <v>47.094800999999997</v>
      </c>
      <c r="E447" s="71">
        <v>41.25</v>
      </c>
      <c r="F447" s="30">
        <f>AVERAGE(B445:E447)</f>
        <v>43.754527583333335</v>
      </c>
      <c r="G447" s="71">
        <v>69.337441999999996</v>
      </c>
      <c r="H447" s="71">
        <v>71.455577000000005</v>
      </c>
      <c r="I447" s="71">
        <v>44.117646999999998</v>
      </c>
      <c r="J447" s="71">
        <v>33.802816999999997</v>
      </c>
      <c r="K447" s="30">
        <f>AVERAGE(G445:J447)</f>
        <v>43.173056500000001</v>
      </c>
      <c r="L447" s="71">
        <v>53.201219999999999</v>
      </c>
      <c r="M447" s="71">
        <v>47.718631000000002</v>
      </c>
      <c r="N447" s="71">
        <v>34.857143000000001</v>
      </c>
      <c r="O447" s="71">
        <v>26.582277999999999</v>
      </c>
    </row>
  </sheetData>
  <mergeCells count="73">
    <mergeCell ref="Q210:Q211"/>
    <mergeCell ref="R210:U210"/>
    <mergeCell ref="S379:S380"/>
    <mergeCell ref="T379:W379"/>
    <mergeCell ref="Y379:AB379"/>
    <mergeCell ref="AD379:AG379"/>
    <mergeCell ref="S338:S339"/>
    <mergeCell ref="T338:W338"/>
    <mergeCell ref="A379:A380"/>
    <mergeCell ref="B379:E379"/>
    <mergeCell ref="G379:J379"/>
    <mergeCell ref="L379:O379"/>
    <mergeCell ref="A353:A355"/>
    <mergeCell ref="B353:E354"/>
    <mergeCell ref="F353:F354"/>
    <mergeCell ref="G353:J354"/>
    <mergeCell ref="L353:O354"/>
    <mergeCell ref="A329:A331"/>
    <mergeCell ref="B329:E330"/>
    <mergeCell ref="F329:F330"/>
    <mergeCell ref="G329:J330"/>
    <mergeCell ref="L329:O330"/>
    <mergeCell ref="B310:E310"/>
    <mergeCell ref="A310:A311"/>
    <mergeCell ref="Q224:Q225"/>
    <mergeCell ref="R224:U224"/>
    <mergeCell ref="G310:G311"/>
    <mergeCell ref="H310:K310"/>
    <mergeCell ref="A258:A260"/>
    <mergeCell ref="B258:E259"/>
    <mergeCell ref="F258:F259"/>
    <mergeCell ref="G258:J259"/>
    <mergeCell ref="L258:O259"/>
    <mergeCell ref="A209:A211"/>
    <mergeCell ref="B209:E210"/>
    <mergeCell ref="G209:J210"/>
    <mergeCell ref="L209:O210"/>
    <mergeCell ref="A231:A232"/>
    <mergeCell ref="B231:E231"/>
    <mergeCell ref="G231:J231"/>
    <mergeCell ref="L231:O231"/>
    <mergeCell ref="F209:F210"/>
    <mergeCell ref="A182:A183"/>
    <mergeCell ref="B182:E182"/>
    <mergeCell ref="F182:F183"/>
    <mergeCell ref="G182:J182"/>
    <mergeCell ref="L182:O182"/>
    <mergeCell ref="V199:V200"/>
    <mergeCell ref="W199:Z199"/>
    <mergeCell ref="AB199:AE199"/>
    <mergeCell ref="Q249:Q250"/>
    <mergeCell ref="R249:U249"/>
    <mergeCell ref="W249:Z249"/>
    <mergeCell ref="AB249:AE249"/>
    <mergeCell ref="Q199:Q200"/>
    <mergeCell ref="R199:U199"/>
    <mergeCell ref="Q236:Q237"/>
    <mergeCell ref="R236:U236"/>
    <mergeCell ref="W236:Z236"/>
    <mergeCell ref="AB236:AE236"/>
    <mergeCell ref="W224:Z224"/>
    <mergeCell ref="AB224:AE224"/>
    <mergeCell ref="V224:V225"/>
    <mergeCell ref="A281:A282"/>
    <mergeCell ref="B281:E281"/>
    <mergeCell ref="F281:F282"/>
    <mergeCell ref="G281:J281"/>
    <mergeCell ref="L281:O281"/>
    <mergeCell ref="Q298:Q299"/>
    <mergeCell ref="R298:U298"/>
    <mergeCell ref="V298:V299"/>
    <mergeCell ref="W298:Z298"/>
    <mergeCell ref="AB298:AE29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1"/>
  <sheetViews>
    <sheetView topLeftCell="A33" zoomScale="50" zoomScaleNormal="60" workbookViewId="0">
      <selection activeCell="R67" sqref="R67"/>
    </sheetView>
  </sheetViews>
  <sheetFormatPr baseColWidth="10" defaultColWidth="8.83203125" defaultRowHeight="15" x14ac:dyDescent="0.2"/>
  <cols>
    <col min="1" max="2" width="20" customWidth="1"/>
    <col min="3" max="3" width="8" customWidth="1"/>
    <col min="4" max="4" width="12" customWidth="1"/>
    <col min="5" max="5" width="20" customWidth="1"/>
    <col min="6" max="6" width="12" customWidth="1"/>
    <col min="7" max="7" width="18" customWidth="1"/>
    <col min="8" max="8" width="15" customWidth="1"/>
    <col min="9" max="9" width="20" customWidth="1"/>
    <col min="10" max="10" width="18" customWidth="1"/>
    <col min="11" max="11" width="20" customWidth="1"/>
    <col min="12" max="12" width="15" customWidth="1"/>
    <col min="13" max="13" width="20" customWidth="1"/>
    <col min="14" max="14" width="17" customWidth="1"/>
    <col min="15" max="15" width="20" customWidth="1"/>
    <col min="16" max="16" width="11" customWidth="1"/>
    <col min="17" max="17" width="17" customWidth="1"/>
    <col min="18" max="20" width="20" customWidth="1"/>
  </cols>
  <sheetData>
    <row r="1" spans="1:2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137</v>
      </c>
      <c r="B2" t="s">
        <v>21</v>
      </c>
      <c r="C2" t="s">
        <v>22</v>
      </c>
      <c r="D2" t="s">
        <v>138</v>
      </c>
      <c r="E2" t="s">
        <v>139</v>
      </c>
      <c r="F2">
        <v>3</v>
      </c>
      <c r="G2" t="s">
        <v>25</v>
      </c>
      <c r="H2">
        <v>261</v>
      </c>
      <c r="I2">
        <v>234</v>
      </c>
      <c r="J2">
        <v>486</v>
      </c>
      <c r="K2">
        <v>0</v>
      </c>
      <c r="L2">
        <v>98</v>
      </c>
      <c r="M2">
        <v>0</v>
      </c>
      <c r="N2">
        <v>1912</v>
      </c>
      <c r="O2">
        <v>0</v>
      </c>
      <c r="P2">
        <v>997</v>
      </c>
      <c r="Q2">
        <v>0</v>
      </c>
      <c r="R2">
        <v>0</v>
      </c>
      <c r="S2">
        <v>0</v>
      </c>
      <c r="T2">
        <v>0</v>
      </c>
    </row>
    <row r="3" spans="1:20" x14ac:dyDescent="0.2">
      <c r="A3" t="s">
        <v>137</v>
      </c>
      <c r="B3" t="s">
        <v>21</v>
      </c>
      <c r="C3" t="s">
        <v>22</v>
      </c>
      <c r="D3" t="s">
        <v>140</v>
      </c>
      <c r="E3" t="s">
        <v>141</v>
      </c>
      <c r="F3">
        <v>3</v>
      </c>
      <c r="G3" t="s">
        <v>25</v>
      </c>
      <c r="H3">
        <v>270</v>
      </c>
      <c r="I3">
        <v>240</v>
      </c>
      <c r="J3">
        <v>477</v>
      </c>
      <c r="K3">
        <v>0</v>
      </c>
      <c r="L3">
        <v>89</v>
      </c>
      <c r="M3">
        <v>0</v>
      </c>
      <c r="N3">
        <v>1921</v>
      </c>
      <c r="O3">
        <v>0</v>
      </c>
      <c r="P3">
        <v>999</v>
      </c>
      <c r="Q3">
        <v>0</v>
      </c>
      <c r="R3">
        <v>0</v>
      </c>
      <c r="S3">
        <v>0</v>
      </c>
      <c r="T3">
        <v>0</v>
      </c>
    </row>
    <row r="4" spans="1:20" x14ac:dyDescent="0.2">
      <c r="A4" t="s">
        <v>137</v>
      </c>
      <c r="B4" t="s">
        <v>21</v>
      </c>
      <c r="C4" t="s">
        <v>22</v>
      </c>
      <c r="D4" t="s">
        <v>142</v>
      </c>
      <c r="E4" t="s">
        <v>143</v>
      </c>
      <c r="F4">
        <v>3</v>
      </c>
      <c r="G4" t="s">
        <v>25</v>
      </c>
      <c r="H4">
        <v>222</v>
      </c>
      <c r="I4">
        <v>360</v>
      </c>
      <c r="J4">
        <v>399</v>
      </c>
      <c r="K4">
        <v>0</v>
      </c>
      <c r="L4">
        <v>63</v>
      </c>
      <c r="M4">
        <v>0</v>
      </c>
      <c r="N4">
        <v>1950</v>
      </c>
      <c r="O4">
        <v>0</v>
      </c>
      <c r="P4">
        <v>998</v>
      </c>
      <c r="Q4">
        <v>0</v>
      </c>
      <c r="R4">
        <v>0</v>
      </c>
      <c r="S4">
        <v>0</v>
      </c>
      <c r="T4">
        <v>0</v>
      </c>
    </row>
    <row r="5" spans="1:20" x14ac:dyDescent="0.2">
      <c r="A5" t="s">
        <v>144</v>
      </c>
      <c r="B5" t="s">
        <v>21</v>
      </c>
      <c r="C5" t="s">
        <v>22</v>
      </c>
      <c r="D5" t="s">
        <v>138</v>
      </c>
      <c r="E5" t="s">
        <v>145</v>
      </c>
      <c r="F5">
        <v>3</v>
      </c>
      <c r="G5" t="s">
        <v>25</v>
      </c>
      <c r="H5">
        <v>46</v>
      </c>
      <c r="I5">
        <v>1505</v>
      </c>
      <c r="J5">
        <v>1209</v>
      </c>
      <c r="K5">
        <v>0</v>
      </c>
      <c r="L5">
        <v>18</v>
      </c>
      <c r="M5">
        <v>0</v>
      </c>
      <c r="N5">
        <v>210</v>
      </c>
      <c r="O5">
        <v>0</v>
      </c>
      <c r="P5">
        <v>996</v>
      </c>
      <c r="Q5">
        <v>0</v>
      </c>
      <c r="R5">
        <v>0</v>
      </c>
      <c r="S5">
        <v>0</v>
      </c>
      <c r="T5">
        <v>0</v>
      </c>
    </row>
    <row r="6" spans="1:20" x14ac:dyDescent="0.2">
      <c r="A6" t="s">
        <v>144</v>
      </c>
      <c r="B6" t="s">
        <v>21</v>
      </c>
      <c r="C6" t="s">
        <v>22</v>
      </c>
      <c r="D6" t="s">
        <v>140</v>
      </c>
      <c r="E6" t="s">
        <v>146</v>
      </c>
      <c r="F6">
        <v>3</v>
      </c>
      <c r="G6" t="s">
        <v>25</v>
      </c>
      <c r="H6">
        <v>50</v>
      </c>
      <c r="I6">
        <v>1687</v>
      </c>
      <c r="J6">
        <v>1008</v>
      </c>
      <c r="K6">
        <v>0</v>
      </c>
      <c r="L6">
        <v>24</v>
      </c>
      <c r="M6">
        <v>0</v>
      </c>
      <c r="N6">
        <v>204</v>
      </c>
      <c r="O6">
        <v>0</v>
      </c>
      <c r="P6">
        <v>991</v>
      </c>
      <c r="Q6">
        <v>0</v>
      </c>
      <c r="R6">
        <v>0</v>
      </c>
      <c r="S6">
        <v>0</v>
      </c>
      <c r="T6">
        <v>0</v>
      </c>
    </row>
    <row r="7" spans="1:20" x14ac:dyDescent="0.2">
      <c r="A7" t="s">
        <v>144</v>
      </c>
      <c r="B7" t="s">
        <v>21</v>
      </c>
      <c r="C7" t="s">
        <v>22</v>
      </c>
      <c r="D7" t="s">
        <v>142</v>
      </c>
      <c r="E7" t="s">
        <v>147</v>
      </c>
      <c r="F7">
        <v>3</v>
      </c>
      <c r="G7" t="s">
        <v>25</v>
      </c>
      <c r="H7">
        <v>55</v>
      </c>
      <c r="I7">
        <v>1679</v>
      </c>
      <c r="J7">
        <v>1023</v>
      </c>
      <c r="K7">
        <v>0</v>
      </c>
      <c r="L7">
        <v>25</v>
      </c>
      <c r="M7">
        <v>0</v>
      </c>
      <c r="N7">
        <v>200</v>
      </c>
      <c r="O7">
        <v>0</v>
      </c>
      <c r="P7">
        <v>994</v>
      </c>
      <c r="Q7">
        <v>0</v>
      </c>
      <c r="R7">
        <v>0</v>
      </c>
      <c r="S7">
        <v>0</v>
      </c>
      <c r="T7">
        <v>0</v>
      </c>
    </row>
    <row r="8" spans="1:20" x14ac:dyDescent="0.2">
      <c r="A8" t="s">
        <v>148</v>
      </c>
      <c r="B8" t="s">
        <v>21</v>
      </c>
      <c r="C8" t="s">
        <v>22</v>
      </c>
      <c r="D8" t="s">
        <v>138</v>
      </c>
      <c r="E8" t="s">
        <v>149</v>
      </c>
      <c r="F8">
        <v>3</v>
      </c>
      <c r="G8" t="s">
        <v>25</v>
      </c>
      <c r="H8">
        <v>253</v>
      </c>
      <c r="I8">
        <v>365</v>
      </c>
      <c r="J8">
        <v>582</v>
      </c>
      <c r="K8">
        <v>0</v>
      </c>
      <c r="L8">
        <v>273</v>
      </c>
      <c r="M8">
        <v>0</v>
      </c>
      <c r="N8">
        <v>582</v>
      </c>
      <c r="O8">
        <v>0</v>
      </c>
      <c r="P8">
        <v>685</v>
      </c>
      <c r="Q8">
        <v>0</v>
      </c>
      <c r="R8">
        <v>0</v>
      </c>
      <c r="S8">
        <v>0</v>
      </c>
      <c r="T8">
        <v>0</v>
      </c>
    </row>
    <row r="9" spans="1:20" x14ac:dyDescent="0.2">
      <c r="A9" t="s">
        <v>148</v>
      </c>
      <c r="B9" t="s">
        <v>21</v>
      </c>
      <c r="C9" t="s">
        <v>22</v>
      </c>
      <c r="D9" t="s">
        <v>140</v>
      </c>
      <c r="E9" t="s">
        <v>150</v>
      </c>
      <c r="F9">
        <v>3</v>
      </c>
      <c r="G9" t="s">
        <v>25</v>
      </c>
      <c r="H9">
        <v>212</v>
      </c>
      <c r="I9">
        <v>460</v>
      </c>
      <c r="J9">
        <v>519</v>
      </c>
      <c r="K9">
        <v>0</v>
      </c>
      <c r="L9">
        <v>286</v>
      </c>
      <c r="M9">
        <v>0</v>
      </c>
      <c r="N9">
        <v>575</v>
      </c>
      <c r="O9">
        <v>0</v>
      </c>
      <c r="P9">
        <v>684</v>
      </c>
      <c r="Q9">
        <v>0</v>
      </c>
      <c r="R9">
        <v>0</v>
      </c>
      <c r="S9">
        <v>0</v>
      </c>
      <c r="T9">
        <v>0</v>
      </c>
    </row>
    <row r="10" spans="1:20" x14ac:dyDescent="0.2">
      <c r="A10" t="s">
        <v>148</v>
      </c>
      <c r="B10" t="s">
        <v>21</v>
      </c>
      <c r="C10" t="s">
        <v>22</v>
      </c>
      <c r="D10" t="s">
        <v>142</v>
      </c>
      <c r="E10" t="s">
        <v>151</v>
      </c>
      <c r="F10">
        <v>3</v>
      </c>
      <c r="G10" t="s">
        <v>25</v>
      </c>
      <c r="H10">
        <v>226</v>
      </c>
      <c r="I10">
        <v>434</v>
      </c>
      <c r="J10">
        <v>531</v>
      </c>
      <c r="K10">
        <v>0</v>
      </c>
      <c r="L10">
        <v>265</v>
      </c>
      <c r="M10">
        <v>0</v>
      </c>
      <c r="N10">
        <v>581</v>
      </c>
      <c r="O10">
        <v>0</v>
      </c>
      <c r="P10">
        <v>679</v>
      </c>
      <c r="Q10">
        <v>0</v>
      </c>
      <c r="R10">
        <v>0</v>
      </c>
      <c r="S10">
        <v>0</v>
      </c>
      <c r="T10">
        <v>0</v>
      </c>
    </row>
    <row r="11" spans="1:20" x14ac:dyDescent="0.2">
      <c r="A11" t="s">
        <v>152</v>
      </c>
      <c r="B11" t="s">
        <v>21</v>
      </c>
      <c r="C11" t="s">
        <v>22</v>
      </c>
      <c r="D11" t="s">
        <v>138</v>
      </c>
      <c r="E11" t="s">
        <v>153</v>
      </c>
      <c r="F11">
        <v>3</v>
      </c>
      <c r="G11" t="s">
        <v>25</v>
      </c>
      <c r="H11">
        <v>81</v>
      </c>
      <c r="I11">
        <v>6</v>
      </c>
      <c r="J11">
        <v>198</v>
      </c>
      <c r="K11">
        <v>0</v>
      </c>
      <c r="L11">
        <v>49</v>
      </c>
      <c r="M11">
        <v>0</v>
      </c>
      <c r="N11">
        <v>254</v>
      </c>
      <c r="O11">
        <v>0</v>
      </c>
      <c r="P11">
        <v>196</v>
      </c>
      <c r="Q11">
        <v>0</v>
      </c>
      <c r="R11">
        <v>0</v>
      </c>
      <c r="S11">
        <v>0</v>
      </c>
      <c r="T11">
        <v>0</v>
      </c>
    </row>
    <row r="12" spans="1:20" x14ac:dyDescent="0.2">
      <c r="A12" t="s">
        <v>152</v>
      </c>
      <c r="B12" t="s">
        <v>21</v>
      </c>
      <c r="C12" t="s">
        <v>22</v>
      </c>
      <c r="D12" t="s">
        <v>140</v>
      </c>
      <c r="E12" t="s">
        <v>154</v>
      </c>
      <c r="F12">
        <v>3</v>
      </c>
      <c r="G12" t="s">
        <v>25</v>
      </c>
      <c r="H12">
        <v>83</v>
      </c>
      <c r="I12">
        <v>25</v>
      </c>
      <c r="J12">
        <v>180</v>
      </c>
      <c r="K12">
        <v>0</v>
      </c>
      <c r="L12">
        <v>37</v>
      </c>
      <c r="M12">
        <v>0</v>
      </c>
      <c r="N12">
        <v>266</v>
      </c>
      <c r="O12">
        <v>0</v>
      </c>
      <c r="P12">
        <v>197</v>
      </c>
      <c r="Q12">
        <v>0</v>
      </c>
      <c r="R12">
        <v>0</v>
      </c>
      <c r="S12">
        <v>0</v>
      </c>
      <c r="T12">
        <v>0</v>
      </c>
    </row>
    <row r="13" spans="1:20" x14ac:dyDescent="0.2">
      <c r="A13" t="s">
        <v>152</v>
      </c>
      <c r="B13" t="s">
        <v>21</v>
      </c>
      <c r="C13" t="s">
        <v>22</v>
      </c>
      <c r="D13" t="s">
        <v>142</v>
      </c>
      <c r="E13" t="s">
        <v>155</v>
      </c>
      <c r="F13">
        <v>3</v>
      </c>
      <c r="G13" t="s">
        <v>25</v>
      </c>
      <c r="H13">
        <v>61</v>
      </c>
      <c r="I13">
        <v>56</v>
      </c>
      <c r="J13">
        <v>168</v>
      </c>
      <c r="K13">
        <v>0</v>
      </c>
      <c r="L13">
        <v>70</v>
      </c>
      <c r="M13">
        <v>0</v>
      </c>
      <c r="N13">
        <v>233</v>
      </c>
      <c r="O13">
        <v>0</v>
      </c>
      <c r="P13">
        <v>196</v>
      </c>
      <c r="Q13">
        <v>0</v>
      </c>
      <c r="R13">
        <v>0</v>
      </c>
      <c r="S13">
        <v>0</v>
      </c>
      <c r="T13">
        <v>0</v>
      </c>
    </row>
    <row r="14" spans="1:20" x14ac:dyDescent="0.2">
      <c r="A14" t="s">
        <v>156</v>
      </c>
      <c r="B14" t="s">
        <v>30</v>
      </c>
      <c r="C14" t="s">
        <v>22</v>
      </c>
      <c r="D14" t="s">
        <v>138</v>
      </c>
      <c r="E14" t="s">
        <v>139</v>
      </c>
      <c r="F14">
        <v>3</v>
      </c>
      <c r="G14" t="s">
        <v>25</v>
      </c>
      <c r="H14">
        <v>879</v>
      </c>
      <c r="I14">
        <v>483</v>
      </c>
      <c r="J14">
        <v>180</v>
      </c>
      <c r="K14">
        <v>0</v>
      </c>
      <c r="L14">
        <v>79</v>
      </c>
      <c r="M14">
        <v>0</v>
      </c>
      <c r="N14">
        <v>1364</v>
      </c>
      <c r="O14">
        <v>0</v>
      </c>
      <c r="P14">
        <v>995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t="s">
        <v>156</v>
      </c>
      <c r="B15" t="s">
        <v>30</v>
      </c>
      <c r="C15" t="s">
        <v>22</v>
      </c>
      <c r="D15" t="s">
        <v>140</v>
      </c>
      <c r="E15" t="s">
        <v>141</v>
      </c>
      <c r="F15">
        <v>3</v>
      </c>
      <c r="G15" t="s">
        <v>25</v>
      </c>
      <c r="H15">
        <v>901</v>
      </c>
      <c r="I15">
        <v>452</v>
      </c>
      <c r="J15">
        <v>198</v>
      </c>
      <c r="K15">
        <v>0</v>
      </c>
      <c r="L15">
        <v>77</v>
      </c>
      <c r="M15">
        <v>0</v>
      </c>
      <c r="N15">
        <v>1366</v>
      </c>
      <c r="O15">
        <v>0</v>
      </c>
      <c r="P15">
        <v>998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t="s">
        <v>156</v>
      </c>
      <c r="B16" t="s">
        <v>30</v>
      </c>
      <c r="C16" t="s">
        <v>22</v>
      </c>
      <c r="D16" t="s">
        <v>142</v>
      </c>
      <c r="E16" t="s">
        <v>143</v>
      </c>
      <c r="F16">
        <v>3</v>
      </c>
      <c r="G16" t="s">
        <v>25</v>
      </c>
      <c r="H16">
        <v>806</v>
      </c>
      <c r="I16">
        <v>583</v>
      </c>
      <c r="J16">
        <v>162</v>
      </c>
      <c r="K16">
        <v>0</v>
      </c>
      <c r="L16">
        <v>84</v>
      </c>
      <c r="M16">
        <v>0</v>
      </c>
      <c r="N16">
        <v>1359</v>
      </c>
      <c r="O16">
        <v>0</v>
      </c>
      <c r="P16">
        <v>998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t="s">
        <v>157</v>
      </c>
      <c r="B17" t="s">
        <v>30</v>
      </c>
      <c r="C17" t="s">
        <v>22</v>
      </c>
      <c r="D17" t="s">
        <v>138</v>
      </c>
      <c r="E17" t="s">
        <v>145</v>
      </c>
      <c r="F17">
        <v>3</v>
      </c>
      <c r="G17" t="s">
        <v>25</v>
      </c>
      <c r="H17">
        <v>60</v>
      </c>
      <c r="I17">
        <v>1479</v>
      </c>
      <c r="J17">
        <v>1209</v>
      </c>
      <c r="K17">
        <v>0</v>
      </c>
      <c r="L17">
        <v>19</v>
      </c>
      <c r="M17">
        <v>0</v>
      </c>
      <c r="N17">
        <v>215</v>
      </c>
      <c r="O17">
        <v>0</v>
      </c>
      <c r="P17">
        <v>994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t="s">
        <v>157</v>
      </c>
      <c r="B18" t="s">
        <v>30</v>
      </c>
      <c r="C18" t="s">
        <v>22</v>
      </c>
      <c r="D18" t="s">
        <v>140</v>
      </c>
      <c r="E18" t="s">
        <v>146</v>
      </c>
      <c r="F18">
        <v>3</v>
      </c>
      <c r="G18" t="s">
        <v>25</v>
      </c>
      <c r="H18">
        <v>48</v>
      </c>
      <c r="I18">
        <v>1635</v>
      </c>
      <c r="J18">
        <v>1080</v>
      </c>
      <c r="K18">
        <v>0</v>
      </c>
      <c r="L18">
        <v>23</v>
      </c>
      <c r="M18">
        <v>0</v>
      </c>
      <c r="N18">
        <v>205</v>
      </c>
      <c r="O18">
        <v>0</v>
      </c>
      <c r="P18">
        <v>997</v>
      </c>
      <c r="Q18">
        <v>0</v>
      </c>
      <c r="R18">
        <v>0</v>
      </c>
      <c r="S18">
        <v>0</v>
      </c>
      <c r="T18">
        <v>0</v>
      </c>
    </row>
    <row r="19" spans="1:20" x14ac:dyDescent="0.2">
      <c r="A19" t="s">
        <v>157</v>
      </c>
      <c r="B19" t="s">
        <v>30</v>
      </c>
      <c r="C19" t="s">
        <v>22</v>
      </c>
      <c r="D19" t="s">
        <v>142</v>
      </c>
      <c r="E19" t="s">
        <v>147</v>
      </c>
      <c r="F19">
        <v>3</v>
      </c>
      <c r="G19" t="s">
        <v>25</v>
      </c>
      <c r="H19">
        <v>49</v>
      </c>
      <c r="I19">
        <v>1559</v>
      </c>
      <c r="J19">
        <v>1149</v>
      </c>
      <c r="K19">
        <v>0</v>
      </c>
      <c r="L19">
        <v>18</v>
      </c>
      <c r="M19">
        <v>0</v>
      </c>
      <c r="N19">
        <v>213</v>
      </c>
      <c r="O19">
        <v>0</v>
      </c>
      <c r="P19">
        <v>996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t="s">
        <v>158</v>
      </c>
      <c r="B20" t="s">
        <v>30</v>
      </c>
      <c r="C20" t="s">
        <v>22</v>
      </c>
      <c r="D20" t="s">
        <v>138</v>
      </c>
      <c r="E20" t="s">
        <v>149</v>
      </c>
      <c r="F20">
        <v>3</v>
      </c>
      <c r="G20" t="s">
        <v>25</v>
      </c>
      <c r="H20">
        <v>89</v>
      </c>
      <c r="I20">
        <v>325</v>
      </c>
      <c r="J20">
        <v>558</v>
      </c>
      <c r="K20">
        <v>0</v>
      </c>
      <c r="L20">
        <v>177</v>
      </c>
      <c r="M20">
        <v>0</v>
      </c>
      <c r="N20">
        <v>894</v>
      </c>
      <c r="O20">
        <v>0</v>
      </c>
      <c r="P20">
        <v>681</v>
      </c>
      <c r="Q20">
        <v>0</v>
      </c>
      <c r="R20">
        <v>0</v>
      </c>
      <c r="S20">
        <v>0</v>
      </c>
      <c r="T20">
        <v>0</v>
      </c>
    </row>
    <row r="21" spans="1:20" x14ac:dyDescent="0.2">
      <c r="A21" t="s">
        <v>158</v>
      </c>
      <c r="B21" t="s">
        <v>30</v>
      </c>
      <c r="C21" t="s">
        <v>22</v>
      </c>
      <c r="D21" t="s">
        <v>140</v>
      </c>
      <c r="E21" t="s">
        <v>150</v>
      </c>
      <c r="F21">
        <v>3</v>
      </c>
      <c r="G21" t="s">
        <v>25</v>
      </c>
      <c r="H21">
        <v>81</v>
      </c>
      <c r="I21">
        <v>360</v>
      </c>
      <c r="J21">
        <v>531</v>
      </c>
      <c r="K21">
        <v>0</v>
      </c>
      <c r="L21">
        <v>217</v>
      </c>
      <c r="M21">
        <v>0</v>
      </c>
      <c r="N21">
        <v>851</v>
      </c>
      <c r="O21">
        <v>0</v>
      </c>
      <c r="P21">
        <v>680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t="s">
        <v>158</v>
      </c>
      <c r="B22" t="s">
        <v>30</v>
      </c>
      <c r="C22" t="s">
        <v>22</v>
      </c>
      <c r="D22" t="s">
        <v>142</v>
      </c>
      <c r="E22" t="s">
        <v>151</v>
      </c>
      <c r="F22">
        <v>3</v>
      </c>
      <c r="G22" t="s">
        <v>25</v>
      </c>
      <c r="H22">
        <v>87</v>
      </c>
      <c r="I22">
        <v>279</v>
      </c>
      <c r="J22">
        <v>606</v>
      </c>
      <c r="K22">
        <v>0</v>
      </c>
      <c r="L22">
        <v>84</v>
      </c>
      <c r="M22">
        <v>0</v>
      </c>
      <c r="N22">
        <v>984</v>
      </c>
      <c r="O22">
        <v>0</v>
      </c>
      <c r="P22">
        <v>680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t="s">
        <v>159</v>
      </c>
      <c r="B23" t="s">
        <v>30</v>
      </c>
      <c r="C23" t="s">
        <v>22</v>
      </c>
      <c r="D23" t="s">
        <v>138</v>
      </c>
      <c r="E23" t="s">
        <v>160</v>
      </c>
      <c r="F23">
        <v>3</v>
      </c>
      <c r="G23" t="s">
        <v>25</v>
      </c>
      <c r="H23">
        <v>109</v>
      </c>
      <c r="I23">
        <v>155</v>
      </c>
      <c r="J23">
        <v>141</v>
      </c>
      <c r="K23">
        <v>0</v>
      </c>
      <c r="L23">
        <v>34</v>
      </c>
      <c r="M23">
        <v>0</v>
      </c>
      <c r="N23">
        <v>149</v>
      </c>
      <c r="O23">
        <v>0</v>
      </c>
      <c r="P23">
        <v>196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t="s">
        <v>159</v>
      </c>
      <c r="B24" t="s">
        <v>30</v>
      </c>
      <c r="C24" t="s">
        <v>22</v>
      </c>
      <c r="D24" t="s">
        <v>140</v>
      </c>
      <c r="E24" t="s">
        <v>161</v>
      </c>
      <c r="F24">
        <v>3</v>
      </c>
      <c r="G24" t="s">
        <v>25</v>
      </c>
      <c r="H24">
        <v>110</v>
      </c>
      <c r="I24">
        <v>154</v>
      </c>
      <c r="J24">
        <v>141</v>
      </c>
      <c r="K24">
        <v>0</v>
      </c>
      <c r="L24">
        <v>29</v>
      </c>
      <c r="M24">
        <v>0</v>
      </c>
      <c r="N24">
        <v>154</v>
      </c>
      <c r="O24">
        <v>0</v>
      </c>
      <c r="P24">
        <v>196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t="s">
        <v>159</v>
      </c>
      <c r="B25" t="s">
        <v>30</v>
      </c>
      <c r="C25" t="s">
        <v>22</v>
      </c>
      <c r="D25" t="s">
        <v>142</v>
      </c>
      <c r="E25" t="s">
        <v>162</v>
      </c>
      <c r="F25">
        <v>3</v>
      </c>
      <c r="G25" t="s">
        <v>25</v>
      </c>
      <c r="H25">
        <v>111</v>
      </c>
      <c r="I25">
        <v>138</v>
      </c>
      <c r="J25">
        <v>159</v>
      </c>
      <c r="K25">
        <v>0</v>
      </c>
      <c r="L25">
        <v>30</v>
      </c>
      <c r="M25">
        <v>0</v>
      </c>
      <c r="N25">
        <v>153</v>
      </c>
      <c r="O25">
        <v>0</v>
      </c>
      <c r="P25">
        <v>197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t="s">
        <v>163</v>
      </c>
      <c r="B26" t="s">
        <v>32</v>
      </c>
      <c r="C26" t="s">
        <v>22</v>
      </c>
      <c r="D26" t="s">
        <v>138</v>
      </c>
      <c r="E26" t="s">
        <v>139</v>
      </c>
      <c r="F26">
        <v>3</v>
      </c>
      <c r="G26" t="s">
        <v>25</v>
      </c>
      <c r="H26">
        <v>162</v>
      </c>
      <c r="I26">
        <v>312</v>
      </c>
      <c r="J26">
        <v>441</v>
      </c>
      <c r="K26">
        <v>0</v>
      </c>
      <c r="L26">
        <v>209</v>
      </c>
      <c r="M26">
        <v>0</v>
      </c>
      <c r="N26">
        <v>1483</v>
      </c>
      <c r="O26">
        <v>0</v>
      </c>
      <c r="P26">
        <v>869</v>
      </c>
      <c r="Q26">
        <v>0</v>
      </c>
      <c r="R26">
        <v>0</v>
      </c>
      <c r="S26">
        <v>0</v>
      </c>
      <c r="T26">
        <v>0</v>
      </c>
    </row>
    <row r="27" spans="1:20" x14ac:dyDescent="0.2">
      <c r="A27" t="s">
        <v>163</v>
      </c>
      <c r="B27" t="s">
        <v>32</v>
      </c>
      <c r="C27" t="s">
        <v>22</v>
      </c>
      <c r="D27" t="s">
        <v>140</v>
      </c>
      <c r="E27" t="s">
        <v>141</v>
      </c>
      <c r="F27">
        <v>3</v>
      </c>
      <c r="G27" t="s">
        <v>25</v>
      </c>
      <c r="H27">
        <v>186</v>
      </c>
      <c r="I27">
        <v>348</v>
      </c>
      <c r="J27">
        <v>414</v>
      </c>
      <c r="K27">
        <v>0</v>
      </c>
      <c r="L27">
        <v>199</v>
      </c>
      <c r="M27">
        <v>0</v>
      </c>
      <c r="N27">
        <v>1553</v>
      </c>
      <c r="O27">
        <v>0</v>
      </c>
      <c r="P27">
        <v>900</v>
      </c>
      <c r="Q27">
        <v>0</v>
      </c>
      <c r="R27">
        <v>0</v>
      </c>
      <c r="S27">
        <v>0</v>
      </c>
      <c r="T27">
        <v>0</v>
      </c>
    </row>
    <row r="28" spans="1:20" x14ac:dyDescent="0.2">
      <c r="A28" t="s">
        <v>163</v>
      </c>
      <c r="B28" t="s">
        <v>32</v>
      </c>
      <c r="C28" t="s">
        <v>22</v>
      </c>
      <c r="D28" t="s">
        <v>142</v>
      </c>
      <c r="E28" t="s">
        <v>143</v>
      </c>
      <c r="F28">
        <v>3</v>
      </c>
      <c r="G28" t="s">
        <v>25</v>
      </c>
      <c r="H28">
        <v>110</v>
      </c>
      <c r="I28">
        <v>355</v>
      </c>
      <c r="J28">
        <v>351</v>
      </c>
      <c r="K28">
        <v>0</v>
      </c>
      <c r="L28">
        <v>115</v>
      </c>
      <c r="M28">
        <v>0</v>
      </c>
      <c r="N28">
        <v>1547</v>
      </c>
      <c r="O28">
        <v>0</v>
      </c>
      <c r="P28">
        <v>826</v>
      </c>
      <c r="Q28">
        <v>0</v>
      </c>
      <c r="R28">
        <v>0</v>
      </c>
      <c r="S28">
        <v>0</v>
      </c>
      <c r="T28">
        <v>0</v>
      </c>
    </row>
    <row r="29" spans="1:20" x14ac:dyDescent="0.2">
      <c r="A29" t="s">
        <v>164</v>
      </c>
      <c r="B29" t="s">
        <v>32</v>
      </c>
      <c r="C29" t="s">
        <v>22</v>
      </c>
      <c r="D29" t="s">
        <v>138</v>
      </c>
      <c r="E29" t="s">
        <v>145</v>
      </c>
      <c r="F29">
        <v>3</v>
      </c>
      <c r="G29" t="s">
        <v>25</v>
      </c>
      <c r="H29">
        <v>16</v>
      </c>
      <c r="I29">
        <v>734</v>
      </c>
      <c r="J29">
        <v>1275</v>
      </c>
      <c r="K29">
        <v>0</v>
      </c>
      <c r="L29">
        <v>27</v>
      </c>
      <c r="M29">
        <v>0</v>
      </c>
      <c r="N29">
        <v>138</v>
      </c>
      <c r="O29">
        <v>0</v>
      </c>
      <c r="P29">
        <v>730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t="s">
        <v>164</v>
      </c>
      <c r="B30" t="s">
        <v>32</v>
      </c>
      <c r="C30" t="s">
        <v>22</v>
      </c>
      <c r="D30" t="s">
        <v>140</v>
      </c>
      <c r="E30" t="s">
        <v>146</v>
      </c>
      <c r="F30">
        <v>3</v>
      </c>
      <c r="G30" t="s">
        <v>25</v>
      </c>
      <c r="H30">
        <v>19</v>
      </c>
      <c r="I30">
        <v>899</v>
      </c>
      <c r="J30">
        <v>1023</v>
      </c>
      <c r="K30">
        <v>0</v>
      </c>
      <c r="L30">
        <v>27</v>
      </c>
      <c r="M30">
        <v>0</v>
      </c>
      <c r="N30">
        <v>126</v>
      </c>
      <c r="O30">
        <v>0</v>
      </c>
      <c r="P30">
        <v>698</v>
      </c>
      <c r="Q30">
        <v>0</v>
      </c>
      <c r="R30">
        <v>0</v>
      </c>
      <c r="S30">
        <v>0</v>
      </c>
      <c r="T30">
        <v>0</v>
      </c>
    </row>
    <row r="31" spans="1:20" x14ac:dyDescent="0.2">
      <c r="A31" t="s">
        <v>164</v>
      </c>
      <c r="B31" t="s">
        <v>32</v>
      </c>
      <c r="C31" t="s">
        <v>22</v>
      </c>
      <c r="D31" t="s">
        <v>142</v>
      </c>
      <c r="E31" t="s">
        <v>147</v>
      </c>
      <c r="F31">
        <v>3</v>
      </c>
      <c r="G31" t="s">
        <v>25</v>
      </c>
      <c r="H31">
        <v>15</v>
      </c>
      <c r="I31">
        <v>786</v>
      </c>
      <c r="J31">
        <v>1209</v>
      </c>
      <c r="K31">
        <v>0</v>
      </c>
      <c r="L31">
        <v>12</v>
      </c>
      <c r="M31">
        <v>0</v>
      </c>
      <c r="N31">
        <v>144</v>
      </c>
      <c r="O31">
        <v>0</v>
      </c>
      <c r="P31">
        <v>722</v>
      </c>
      <c r="Q31">
        <v>0</v>
      </c>
      <c r="R31">
        <v>0</v>
      </c>
      <c r="S31">
        <v>0</v>
      </c>
      <c r="T31">
        <v>0</v>
      </c>
    </row>
    <row r="32" spans="1:20" x14ac:dyDescent="0.2">
      <c r="A32" t="s">
        <v>165</v>
      </c>
      <c r="B32" t="s">
        <v>32</v>
      </c>
      <c r="C32" t="s">
        <v>22</v>
      </c>
      <c r="D32" t="s">
        <v>138</v>
      </c>
      <c r="E32" t="s">
        <v>149</v>
      </c>
      <c r="F32">
        <v>3</v>
      </c>
      <c r="G32" t="s">
        <v>25</v>
      </c>
      <c r="H32">
        <v>85</v>
      </c>
      <c r="I32">
        <v>188</v>
      </c>
      <c r="J32">
        <v>573</v>
      </c>
      <c r="K32">
        <v>0</v>
      </c>
      <c r="L32">
        <v>125</v>
      </c>
      <c r="M32">
        <v>0</v>
      </c>
      <c r="N32">
        <v>523</v>
      </c>
      <c r="O32">
        <v>0</v>
      </c>
      <c r="P32">
        <v>498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t="s">
        <v>165</v>
      </c>
      <c r="B33" t="s">
        <v>32</v>
      </c>
      <c r="C33" t="s">
        <v>22</v>
      </c>
      <c r="D33" t="s">
        <v>140</v>
      </c>
      <c r="E33" t="s">
        <v>150</v>
      </c>
      <c r="F33">
        <v>3</v>
      </c>
      <c r="G33" t="s">
        <v>25</v>
      </c>
      <c r="H33">
        <v>98</v>
      </c>
      <c r="I33">
        <v>256</v>
      </c>
      <c r="J33">
        <v>456</v>
      </c>
      <c r="K33">
        <v>0</v>
      </c>
      <c r="L33">
        <v>84</v>
      </c>
      <c r="M33">
        <v>0</v>
      </c>
      <c r="N33">
        <v>507</v>
      </c>
      <c r="O33">
        <v>0</v>
      </c>
      <c r="P33">
        <v>467</v>
      </c>
      <c r="Q33">
        <v>0</v>
      </c>
      <c r="R33">
        <v>0</v>
      </c>
      <c r="S33">
        <v>0</v>
      </c>
      <c r="T33">
        <v>0</v>
      </c>
    </row>
    <row r="34" spans="1:20" x14ac:dyDescent="0.2">
      <c r="A34" t="s">
        <v>165</v>
      </c>
      <c r="B34" t="s">
        <v>32</v>
      </c>
      <c r="C34" t="s">
        <v>22</v>
      </c>
      <c r="D34" t="s">
        <v>142</v>
      </c>
      <c r="E34" t="s">
        <v>151</v>
      </c>
      <c r="F34">
        <v>3</v>
      </c>
      <c r="G34" t="s">
        <v>25</v>
      </c>
      <c r="H34">
        <v>87</v>
      </c>
      <c r="I34">
        <v>222</v>
      </c>
      <c r="J34">
        <v>519</v>
      </c>
      <c r="K34">
        <v>0</v>
      </c>
      <c r="L34">
        <v>76</v>
      </c>
      <c r="M34">
        <v>0</v>
      </c>
      <c r="N34">
        <v>626</v>
      </c>
      <c r="O34">
        <v>0</v>
      </c>
      <c r="P34">
        <v>510</v>
      </c>
      <c r="Q34">
        <v>0</v>
      </c>
      <c r="R34">
        <v>0</v>
      </c>
      <c r="S34">
        <v>0</v>
      </c>
      <c r="T34">
        <v>0</v>
      </c>
    </row>
    <row r="35" spans="1:20" x14ac:dyDescent="0.2">
      <c r="A35" t="s">
        <v>166</v>
      </c>
      <c r="B35" t="s">
        <v>32</v>
      </c>
      <c r="C35" t="s">
        <v>22</v>
      </c>
      <c r="D35" t="s">
        <v>138</v>
      </c>
      <c r="E35" t="s">
        <v>160</v>
      </c>
      <c r="F35">
        <v>3</v>
      </c>
      <c r="G35" t="s">
        <v>25</v>
      </c>
      <c r="H35">
        <v>38</v>
      </c>
      <c r="I35">
        <v>7</v>
      </c>
      <c r="J35">
        <v>87</v>
      </c>
      <c r="K35">
        <v>0</v>
      </c>
      <c r="L35">
        <v>40</v>
      </c>
      <c r="M35">
        <v>0</v>
      </c>
      <c r="N35">
        <v>263</v>
      </c>
      <c r="O35">
        <v>0</v>
      </c>
      <c r="P35">
        <v>145</v>
      </c>
      <c r="Q35">
        <v>0</v>
      </c>
      <c r="R35">
        <v>0</v>
      </c>
      <c r="S35">
        <v>0</v>
      </c>
      <c r="T35">
        <v>0</v>
      </c>
    </row>
    <row r="36" spans="1:20" x14ac:dyDescent="0.2">
      <c r="A36" t="s">
        <v>166</v>
      </c>
      <c r="B36" t="s">
        <v>32</v>
      </c>
      <c r="C36" t="s">
        <v>22</v>
      </c>
      <c r="D36" t="s">
        <v>140</v>
      </c>
      <c r="E36" t="s">
        <v>161</v>
      </c>
      <c r="F36">
        <v>3</v>
      </c>
      <c r="G36" t="s">
        <v>25</v>
      </c>
      <c r="H36">
        <v>25</v>
      </c>
      <c r="I36">
        <v>41</v>
      </c>
      <c r="J36">
        <v>39</v>
      </c>
      <c r="K36">
        <v>0</v>
      </c>
      <c r="L36">
        <v>71</v>
      </c>
      <c r="M36">
        <v>0</v>
      </c>
      <c r="N36">
        <v>184</v>
      </c>
      <c r="O36">
        <v>0</v>
      </c>
      <c r="P36">
        <v>120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t="s">
        <v>166</v>
      </c>
      <c r="B37" t="s">
        <v>32</v>
      </c>
      <c r="C37" t="s">
        <v>22</v>
      </c>
      <c r="D37" t="s">
        <v>142</v>
      </c>
      <c r="E37" t="s">
        <v>162</v>
      </c>
      <c r="F37">
        <v>3</v>
      </c>
      <c r="G37" t="s">
        <v>25</v>
      </c>
      <c r="H37">
        <v>63</v>
      </c>
      <c r="I37">
        <v>15</v>
      </c>
      <c r="J37">
        <v>60</v>
      </c>
      <c r="K37">
        <v>0</v>
      </c>
      <c r="L37">
        <v>64</v>
      </c>
      <c r="M37">
        <v>0</v>
      </c>
      <c r="N37">
        <v>263</v>
      </c>
      <c r="O37">
        <v>0</v>
      </c>
      <c r="P37">
        <v>155</v>
      </c>
      <c r="Q37">
        <v>0</v>
      </c>
      <c r="R37">
        <v>0</v>
      </c>
      <c r="S37">
        <v>0</v>
      </c>
      <c r="T37">
        <v>0</v>
      </c>
    </row>
    <row r="40" spans="1:20" x14ac:dyDescent="0.2">
      <c r="A40" s="76" t="s">
        <v>194</v>
      </c>
      <c r="B40" s="77" t="s">
        <v>142</v>
      </c>
      <c r="C40" s="77"/>
      <c r="D40" s="77"/>
      <c r="E40" s="77"/>
      <c r="F40" s="78"/>
      <c r="G40" s="77" t="s">
        <v>140</v>
      </c>
      <c r="H40" s="77"/>
      <c r="I40" s="77"/>
      <c r="J40" s="77"/>
      <c r="K40" s="78"/>
      <c r="L40" s="77" t="s">
        <v>138</v>
      </c>
      <c r="M40" s="77"/>
      <c r="N40" s="77"/>
      <c r="O40" s="77"/>
    </row>
    <row r="41" spans="1:20" x14ac:dyDescent="0.2">
      <c r="A41" s="76"/>
      <c r="B41" s="12" t="s">
        <v>183</v>
      </c>
      <c r="C41" s="12" t="s">
        <v>184</v>
      </c>
      <c r="D41" s="12" t="s">
        <v>185</v>
      </c>
      <c r="E41" s="12" t="s">
        <v>186</v>
      </c>
      <c r="F41" s="78"/>
      <c r="G41" s="12" t="s">
        <v>183</v>
      </c>
      <c r="H41" s="12" t="s">
        <v>184</v>
      </c>
      <c r="I41" s="12" t="s">
        <v>185</v>
      </c>
      <c r="J41" s="12" t="s">
        <v>186</v>
      </c>
      <c r="K41" s="78"/>
      <c r="L41" s="12" t="s">
        <v>183</v>
      </c>
      <c r="M41" s="12" t="s">
        <v>184</v>
      </c>
      <c r="N41" s="12" t="s">
        <v>185</v>
      </c>
      <c r="O41" s="12" t="s">
        <v>186</v>
      </c>
    </row>
    <row r="42" spans="1:20" x14ac:dyDescent="0.2">
      <c r="A42" s="15" t="s">
        <v>7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7</v>
      </c>
      <c r="L42" s="15"/>
      <c r="M42" s="15"/>
      <c r="N42" s="15"/>
      <c r="O42" s="15"/>
    </row>
    <row r="43" spans="1:20" x14ac:dyDescent="0.2">
      <c r="A43" s="16" t="s">
        <v>187</v>
      </c>
      <c r="B43" s="18">
        <f>H4/(F4*P4)*100</f>
        <v>7.414829659318638</v>
      </c>
      <c r="C43" s="22">
        <f>H7/(F7*P7)*100</f>
        <v>1.8443997317236756</v>
      </c>
      <c r="D43" s="26">
        <f>H10/(F10*P10)*100</f>
        <v>11.094747177221404</v>
      </c>
      <c r="E43" s="17">
        <f>H13/(F13*P13)*100</f>
        <v>10.374149659863946</v>
      </c>
      <c r="F43" s="12"/>
      <c r="G43" s="19">
        <f>H3/(F3*P3)*100</f>
        <v>9.0090090090090094</v>
      </c>
      <c r="H43" s="23">
        <f>H6/(F6*P6)*100</f>
        <v>1.6818028927009756</v>
      </c>
      <c r="I43" s="26">
        <f>H9/(F9*P9)*100</f>
        <v>10.331384015594541</v>
      </c>
      <c r="J43" s="21">
        <f>H12/(F12*P12)*100</f>
        <v>14.043993231810489</v>
      </c>
      <c r="K43" s="16" t="s">
        <v>187</v>
      </c>
      <c r="L43" s="18">
        <f>H2/(F2*P2)*100</f>
        <v>8.7261785356068202</v>
      </c>
      <c r="M43" s="18">
        <f>H5/(F5*P5)*100</f>
        <v>1.5394912985274432</v>
      </c>
      <c r="N43" s="20">
        <f>H8/(F8*P8)*100</f>
        <v>12.311435523114355</v>
      </c>
      <c r="O43" s="17">
        <f>H11/(F11*P11)*100</f>
        <v>13.77551020408163</v>
      </c>
    </row>
    <row r="44" spans="1:20" x14ac:dyDescent="0.2">
      <c r="A44" s="16" t="s">
        <v>188</v>
      </c>
      <c r="B44" s="26">
        <f>H16/(F16*P16)*100</f>
        <v>26.920507682030724</v>
      </c>
      <c r="C44" s="18">
        <f>H19/(F19*P19)*100</f>
        <v>1.6398929049531459</v>
      </c>
      <c r="D44" s="18">
        <f>H22/(F22*P22)*100</f>
        <v>4.2647058823529411</v>
      </c>
      <c r="E44" s="20">
        <f>H25/(F25*P25)*100</f>
        <v>18.781725888324875</v>
      </c>
      <c r="F44" s="12"/>
      <c r="G44" s="20">
        <f>H15/(F15*P15)*100</f>
        <v>30.093520374081496</v>
      </c>
      <c r="H44" s="18">
        <f>H18/(F18*P18)*100</f>
        <v>1.60481444332999</v>
      </c>
      <c r="I44" s="18">
        <f>H21/(F21*P21)*100</f>
        <v>3.9705882352941173</v>
      </c>
      <c r="J44" s="26">
        <f>H24/(F24*P24)*100</f>
        <v>18.707482993197281</v>
      </c>
      <c r="K44" s="16" t="s">
        <v>188</v>
      </c>
      <c r="L44" s="26">
        <f>H14/(F14*P14)*100</f>
        <v>29.447236180904525</v>
      </c>
      <c r="M44" s="22">
        <f>H17/(F17*P17)*100</f>
        <v>2.0120724346076457</v>
      </c>
      <c r="N44" s="19">
        <f>H20/(F20*P20)*100</f>
        <v>4.3563387175721981</v>
      </c>
      <c r="O44" s="26">
        <f>H23/(F23*P23)*100</f>
        <v>18.537414965986397</v>
      </c>
    </row>
    <row r="45" spans="1:20" x14ac:dyDescent="0.2">
      <c r="A45" s="16" t="s">
        <v>189</v>
      </c>
      <c r="B45" s="18">
        <f>H28/(F28*P28)*100</f>
        <v>4.4390637610976595</v>
      </c>
      <c r="C45" s="28">
        <f>H31/(F31*P31)*100</f>
        <v>0.69252077562326864</v>
      </c>
      <c r="D45" s="18">
        <f xml:space="preserve"> H34/(F34*P34)*100</f>
        <v>5.6862745098039218</v>
      </c>
      <c r="E45" s="21">
        <f>H37/(F37*P37)*100</f>
        <v>13.548387096774196</v>
      </c>
      <c r="F45" s="12"/>
      <c r="G45" s="19">
        <f>H27/(F27*P27)*100</f>
        <v>6.8888888888888893</v>
      </c>
      <c r="H45" s="31">
        <f>H30/(F30*P30)*100</f>
        <v>0.90735434574976126</v>
      </c>
      <c r="I45" s="19">
        <f>H33/(F33*P33)*100</f>
        <v>6.9950035688793726</v>
      </c>
      <c r="J45" s="18">
        <f>H36/(F36*P36)*100</f>
        <v>6.9444444444444446</v>
      </c>
      <c r="K45" s="16" t="s">
        <v>189</v>
      </c>
      <c r="L45" s="18">
        <f>H26/(F26*P26)*100</f>
        <v>6.2140391254315306</v>
      </c>
      <c r="M45" s="28">
        <f>H29/(F29*P29)*100</f>
        <v>0.73059360730593603</v>
      </c>
      <c r="N45" s="18">
        <f>H32/(F32*P32)*100</f>
        <v>5.689424364123159</v>
      </c>
      <c r="O45" s="18">
        <f>H35/(F35*P35)*100</f>
        <v>8.7356321839080451</v>
      </c>
    </row>
    <row r="46" spans="1:20" x14ac:dyDescent="0.2">
      <c r="A46" s="15" t="s">
        <v>13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13</v>
      </c>
      <c r="L46" s="15"/>
      <c r="M46" s="15"/>
      <c r="N46" s="15"/>
      <c r="O46" s="15"/>
      <c r="Q46" t="s">
        <v>241</v>
      </c>
    </row>
    <row r="47" spans="1:20" x14ac:dyDescent="0.2">
      <c r="A47" s="16" t="s">
        <v>187</v>
      </c>
      <c r="B47" s="20">
        <f>N4/(F4*P4)*100</f>
        <v>65.130260521042089</v>
      </c>
      <c r="C47" s="18">
        <f>N7/(F7*P7)*100</f>
        <v>6.7069081153588197</v>
      </c>
      <c r="D47" s="21">
        <f>N10/(F10*P10)*100</f>
        <v>28.522336769759448</v>
      </c>
      <c r="E47" s="17">
        <f>N13/(F13*P13)*100</f>
        <v>39.625850340136054</v>
      </c>
      <c r="G47" s="26">
        <f>N3/(F3*P3)*100</f>
        <v>64.097430764097425</v>
      </c>
      <c r="H47" s="23">
        <f>N6/(F6*P6)*100</f>
        <v>6.8617558022199789</v>
      </c>
      <c r="I47" s="17">
        <f>N9/(F9*P9)*100</f>
        <v>28.02144249512671</v>
      </c>
      <c r="J47" s="21">
        <f>N12/(F12*P12)*100</f>
        <v>45.008460236886634</v>
      </c>
      <c r="K47" s="16" t="s">
        <v>187</v>
      </c>
      <c r="L47" s="26">
        <f>N2/(F2*P2)*100</f>
        <v>63.92510865931127</v>
      </c>
      <c r="M47" s="19">
        <f>N5/(F5*P5)*100</f>
        <v>7.0281124497991971</v>
      </c>
      <c r="N47" s="17">
        <f>N8/(F8*P8)*100</f>
        <v>28.321167883211679</v>
      </c>
      <c r="O47" s="17">
        <f>N11/(F11*P11)*100</f>
        <v>43.197278911564624</v>
      </c>
      <c r="Q47" s="7">
        <f>L47+L55</f>
        <v>67.201604814443328</v>
      </c>
      <c r="R47" s="7">
        <f t="shared" ref="R47:T49" si="0">M47+M55</f>
        <v>7.6305220883534144</v>
      </c>
      <c r="S47" s="7">
        <f t="shared" si="0"/>
        <v>41.605839416058394</v>
      </c>
      <c r="T47" s="7">
        <f t="shared" si="0"/>
        <v>51.530612244897952</v>
      </c>
    </row>
    <row r="48" spans="1:20" x14ac:dyDescent="0.2">
      <c r="A48" s="16" t="s">
        <v>188</v>
      </c>
      <c r="B48" s="17">
        <f>N16/(F16*P16)*100</f>
        <v>45.390781563126254</v>
      </c>
      <c r="C48" s="23">
        <f>N19/(F19*P19)*100</f>
        <v>7.1285140562248994</v>
      </c>
      <c r="D48" s="20">
        <f>N22/(F22*P22)*100</f>
        <v>48.235294117647058</v>
      </c>
      <c r="E48" s="21">
        <f>N25/(F25*P25)*100</f>
        <v>25.888324873096447</v>
      </c>
      <c r="G48" s="17">
        <f>N15/(F15*P15)*100</f>
        <v>45.624582498329993</v>
      </c>
      <c r="H48" s="18">
        <f>N18/(F18*P18)*100</f>
        <v>6.8538950183884992</v>
      </c>
      <c r="I48" s="26">
        <f>N21/(F21*P21)*100</f>
        <v>41.715686274509807</v>
      </c>
      <c r="J48" s="17">
        <f>N23/(F23*P23)*100</f>
        <v>25.34013605442177</v>
      </c>
      <c r="K48" s="16" t="s">
        <v>188</v>
      </c>
      <c r="L48" s="21">
        <f>N14/(F14*P14)*100</f>
        <v>45.69514237855946</v>
      </c>
      <c r="M48" s="22">
        <f>N17/(F17*P17)*100</f>
        <v>7.2099262240107302</v>
      </c>
      <c r="N48" s="26">
        <f>N20/(F20*P20)*100</f>
        <v>43.759177679882526</v>
      </c>
      <c r="O48" s="17">
        <f>N23/(F23*P23)*100</f>
        <v>25.34013605442177</v>
      </c>
      <c r="Q48" s="7">
        <f t="shared" ref="Q48:Q49" si="1">L48+L56</f>
        <v>48.341708542713562</v>
      </c>
      <c r="R48" s="7">
        <f t="shared" si="0"/>
        <v>7.8470824949698184</v>
      </c>
      <c r="S48" s="7">
        <f t="shared" si="0"/>
        <v>52.42290748898678</v>
      </c>
      <c r="T48" s="7">
        <f t="shared" si="0"/>
        <v>31.122448979591837</v>
      </c>
    </row>
    <row r="49" spans="1:20" ht="16" thickBot="1" x14ac:dyDescent="0.25">
      <c r="A49" s="40" t="s">
        <v>189</v>
      </c>
      <c r="B49" s="41">
        <f>N28/(F28*P28)*100</f>
        <v>62.429378531073439</v>
      </c>
      <c r="C49" s="42">
        <f>N31/(F31*P31)*100</f>
        <v>6.64819944598338</v>
      </c>
      <c r="D49" s="41">
        <f>N34/(F34*P34)*100</f>
        <v>40.915032679738559</v>
      </c>
      <c r="E49" s="26">
        <f>N37/(F37*P37)*100</f>
        <v>56.559139784946233</v>
      </c>
      <c r="G49" s="45">
        <f>N27/(F27*P27)*100</f>
        <v>57.518518518518512</v>
      </c>
      <c r="H49" s="46">
        <f>N30/(F30*P30)*100</f>
        <v>6.0171919770773634</v>
      </c>
      <c r="I49" s="45">
        <f>N33/(F33*P33)*100</f>
        <v>36.188436830835116</v>
      </c>
      <c r="J49" s="43">
        <f>N36/(F36*P36)*100</f>
        <v>51.111111111111107</v>
      </c>
      <c r="K49" s="40" t="s">
        <v>189</v>
      </c>
      <c r="L49" s="45">
        <f>N26/(F26*P26)*100</f>
        <v>56.885308784042962</v>
      </c>
      <c r="M49" s="46">
        <f>N29/(F29*P29)*100</f>
        <v>6.3013698630136989</v>
      </c>
      <c r="N49" s="45">
        <f>N32/(F32*P32)*100</f>
        <v>35.006693440428386</v>
      </c>
      <c r="O49" s="44">
        <f>N35/(F35*P35)*100</f>
        <v>60.459770114942522</v>
      </c>
      <c r="Q49" s="7">
        <f t="shared" si="1"/>
        <v>64.902186421173766</v>
      </c>
      <c r="R49" s="7">
        <f t="shared" si="0"/>
        <v>7.5342465753424666</v>
      </c>
      <c r="S49" s="7">
        <f t="shared" si="0"/>
        <v>43.373493975903621</v>
      </c>
      <c r="T49" s="7">
        <f t="shared" si="0"/>
        <v>69.655172413793096</v>
      </c>
    </row>
    <row r="50" spans="1:20" x14ac:dyDescent="0.2">
      <c r="A50" s="15" t="s">
        <v>190</v>
      </c>
      <c r="B50" s="27"/>
      <c r="C50" s="27"/>
      <c r="D50" s="27"/>
      <c r="E50" s="27"/>
      <c r="F50" s="27"/>
      <c r="G50" s="27"/>
      <c r="H50" s="27"/>
      <c r="I50" s="27"/>
      <c r="J50" s="27"/>
      <c r="K50" s="15" t="s">
        <v>190</v>
      </c>
      <c r="L50" s="27"/>
      <c r="M50" s="27"/>
      <c r="N50" s="27"/>
      <c r="O50" s="27"/>
    </row>
    <row r="51" spans="1:20" x14ac:dyDescent="0.2">
      <c r="A51" s="16" t="s">
        <v>187</v>
      </c>
      <c r="B51" s="17">
        <f>(I4+J4)/(F4*P4)*100</f>
        <v>25.350701402805608</v>
      </c>
      <c r="C51" s="20">
        <f>(I7+J7)/(F7*P7)*100</f>
        <v>90.610328638497649</v>
      </c>
      <c r="D51" s="17">
        <f>(I10+J10)/(F10*P10)*100</f>
        <v>47.373588610702008</v>
      </c>
      <c r="E51" s="17">
        <f>(I13+J13)/(F13*P13)*100</f>
        <v>38.095238095238095</v>
      </c>
      <c r="F51" s="12"/>
      <c r="G51" s="21">
        <f>(I3+J3)/(F3*P3)*100</f>
        <v>23.923923923923923</v>
      </c>
      <c r="H51" s="20">
        <f>(I6+J6)/(F6*P6)*100</f>
        <v>90.649175916582578</v>
      </c>
      <c r="I51" s="17">
        <f>(I9+J9)/(F9*P9)*100</f>
        <v>47.709551656920077</v>
      </c>
      <c r="J51" s="21">
        <f>(I12+J12)/(F12*P12)*100</f>
        <v>34.686971235194584</v>
      </c>
      <c r="K51" s="16" t="s">
        <v>187</v>
      </c>
      <c r="L51" s="17">
        <f>(I2+J2)/(F2*P2)*100</f>
        <v>24.072216649949848</v>
      </c>
      <c r="M51" s="17">
        <f>(I5+J5)/(F5*P5)*100</f>
        <v>90.829986613119146</v>
      </c>
      <c r="N51" s="21">
        <f>(I8+J8)/(F8*P8)*100</f>
        <v>46.082725060827251</v>
      </c>
      <c r="O51" s="21">
        <f>(I11+J11)/(F11*P11)*100</f>
        <v>34.693877551020407</v>
      </c>
    </row>
    <row r="52" spans="1:20" x14ac:dyDescent="0.2">
      <c r="A52" s="16" t="s">
        <v>188</v>
      </c>
      <c r="B52" s="26">
        <f>(I16+J16)/(F16*P16)*100</f>
        <v>24.883099532398127</v>
      </c>
      <c r="C52" s="26">
        <f>(I19+J19)/(F19*P19)*100</f>
        <v>90.629183400267735</v>
      </c>
      <c r="D52" s="26">
        <f>(I22+J22)/(F22*P22)*100</f>
        <v>43.382352941176471</v>
      </c>
      <c r="E52" s="17">
        <f>(I25+J25)/(F25*P25)*100</f>
        <v>50.253807106598977</v>
      </c>
      <c r="F52" s="12"/>
      <c r="G52" s="20">
        <f>(I15+J15)/(F15*P15)*100</f>
        <v>21.710086840347362</v>
      </c>
      <c r="H52" s="17">
        <f>(I18+J18)/(F18*P18)*100</f>
        <v>90.772316950852556</v>
      </c>
      <c r="I52" s="26">
        <f>(I21+J21)/(F21*P21)*100</f>
        <v>43.676470588235297</v>
      </c>
      <c r="J52" s="21">
        <f>(I24+J24)/(F24*P24)*100</f>
        <v>50.170068027210881</v>
      </c>
      <c r="K52" s="16" t="s">
        <v>188</v>
      </c>
      <c r="L52" s="26">
        <f>(I14+J14)/(F14*P14)*100</f>
        <v>22.211055276381909</v>
      </c>
      <c r="M52" s="20">
        <f>(I17+J17)/(F17*P17)*100</f>
        <v>90.140845070422543</v>
      </c>
      <c r="N52" s="20">
        <f>(I20+J20)/(F20*P20)*100</f>
        <v>43.22075379344102</v>
      </c>
      <c r="O52" s="17">
        <f>(I23+J23)/(F23*P23)*100</f>
        <v>50.34013605442177</v>
      </c>
      <c r="Q52" t="s">
        <v>244</v>
      </c>
    </row>
    <row r="53" spans="1:20" x14ac:dyDescent="0.2">
      <c r="A53" s="32" t="s">
        <v>189</v>
      </c>
      <c r="B53" s="37">
        <f>(I28+J28)/(F28*P28)*100</f>
        <v>28.490718321226794</v>
      </c>
      <c r="C53" s="37">
        <f>(I31+J31)/(F31*P31)*100</f>
        <v>92.10526315789474</v>
      </c>
      <c r="D53" s="39">
        <f>(I34+J34)/(F34*P34)*100</f>
        <v>48.431372549019606</v>
      </c>
      <c r="E53" s="34">
        <f>(I37+J37)/(F37*P37)*100</f>
        <v>16.129032258064516</v>
      </c>
      <c r="F53" s="35"/>
      <c r="G53" s="39">
        <f>(I27+J27)/(F27*P27)*100</f>
        <v>28.222222222222221</v>
      </c>
      <c r="H53" s="37">
        <f>(I30+J30)/(F30*P30)*100</f>
        <v>91.786055396370585</v>
      </c>
      <c r="I53" s="37">
        <f>(I33+J33)/(F33*P33)*100</f>
        <v>50.820842255531758</v>
      </c>
      <c r="J53" s="33">
        <f>(I36+J36)/(F36*P36)*100</f>
        <v>22.222222222222221</v>
      </c>
      <c r="K53" s="32" t="s">
        <v>189</v>
      </c>
      <c r="L53" s="37">
        <f>(I26+J26)/(F26*P26)*100</f>
        <v>28.883774453394707</v>
      </c>
      <c r="M53" s="39">
        <f>(I29+J29)/(F29*P29)*100</f>
        <v>91.735159817351601</v>
      </c>
      <c r="N53" s="37">
        <f>(I32+J32)/(F32*P32)*100</f>
        <v>50.937081659973224</v>
      </c>
      <c r="O53" s="33">
        <f>(I35+J35)/(F35*P35)*100</f>
        <v>21.609195402298852</v>
      </c>
      <c r="Q53" t="s">
        <v>243</v>
      </c>
    </row>
    <row r="54" spans="1:20" x14ac:dyDescent="0.2">
      <c r="A54" t="s">
        <v>11</v>
      </c>
      <c r="B54" s="12"/>
      <c r="C54" s="12"/>
      <c r="D54" s="12"/>
      <c r="E54" s="12"/>
      <c r="F54" s="12"/>
      <c r="G54" s="12"/>
      <c r="H54" s="12"/>
      <c r="I54" s="12"/>
      <c r="J54" s="12"/>
      <c r="K54" t="s">
        <v>11</v>
      </c>
      <c r="L54" s="12"/>
      <c r="M54" s="12"/>
      <c r="N54" s="12"/>
      <c r="O54" s="12"/>
      <c r="Q54" t="s">
        <v>242</v>
      </c>
    </row>
    <row r="55" spans="1:20" x14ac:dyDescent="0.2">
      <c r="A55" s="16" t="s">
        <v>187</v>
      </c>
      <c r="B55" s="22">
        <f>L4/(F4*P4)*100</f>
        <v>2.1042084168336674</v>
      </c>
      <c r="C55" s="28">
        <f>L7/(F7*P7)*100</f>
        <v>0.83836351441985246</v>
      </c>
      <c r="D55" s="21">
        <f>L10/(F10*P10)*100</f>
        <v>13.009327442317135</v>
      </c>
      <c r="E55" s="17">
        <f>L13/(F13*P13)*100</f>
        <v>11.904761904761903</v>
      </c>
      <c r="F55" s="12"/>
      <c r="G55" s="18">
        <f>L3/(F3*P3)*100</f>
        <v>2.9696363029696364</v>
      </c>
      <c r="H55" s="28">
        <f>L6/(F6*P6)*100</f>
        <v>0.80726538849646823</v>
      </c>
      <c r="I55" s="17">
        <f>L9/(F9*P9)*100</f>
        <v>13.937621832358674</v>
      </c>
      <c r="J55" s="19">
        <f>L12/(F12*P12)*100</f>
        <v>6.260575296108291</v>
      </c>
      <c r="K55" s="16" t="s">
        <v>187</v>
      </c>
      <c r="L55" s="18">
        <f>L2/(F2*P2)*100</f>
        <v>3.276496155132063</v>
      </c>
      <c r="M55" s="25">
        <f>L5/(F5*P5)*100</f>
        <v>0.60240963855421692</v>
      </c>
      <c r="N55" s="17">
        <f>L8/(F8*P8)*100</f>
        <v>13.284671532846716</v>
      </c>
      <c r="O55" s="18">
        <f>L11/(F11*P11)*100</f>
        <v>8.3333333333333321</v>
      </c>
    </row>
    <row r="56" spans="1:20" x14ac:dyDescent="0.2">
      <c r="A56" s="16" t="s">
        <v>188</v>
      </c>
      <c r="B56" s="18">
        <f>L16/(F16*P16)*100</f>
        <v>2.8056112224448899</v>
      </c>
      <c r="C56" s="31">
        <f>L19/(F19*P19)*100</f>
        <v>0.60240963855421692</v>
      </c>
      <c r="D56" s="22">
        <f>L22/(F22*P22)*100</f>
        <v>4.117647058823529</v>
      </c>
      <c r="E56" s="22">
        <f>L25/(F25*P25)*100</f>
        <v>5.0761421319796955</v>
      </c>
      <c r="F56" s="12"/>
      <c r="G56" s="22">
        <f>L15/(F15*P15)*100</f>
        <v>2.5718102872411488</v>
      </c>
      <c r="H56" s="24">
        <f>L18/(F18*P18)*100</f>
        <v>0.7689735874289535</v>
      </c>
      <c r="I56" s="17">
        <f>L21/(F21*P21)*100</f>
        <v>10.637254901960784</v>
      </c>
      <c r="J56" s="23">
        <f>L23/(F23*P23)*100</f>
        <v>5.7823129251700678</v>
      </c>
      <c r="K56" s="16" t="s">
        <v>188</v>
      </c>
      <c r="L56" s="23">
        <f>L14/(F14*P14)*100</f>
        <v>2.6465661641541036</v>
      </c>
      <c r="M56" s="28">
        <f>L17/(F17*P17)*100</f>
        <v>0.63715627095908789</v>
      </c>
      <c r="N56" s="18">
        <f>L20/(F20*P20)*100</f>
        <v>8.6637298091042574</v>
      </c>
      <c r="O56" s="23">
        <f>L23/(F23*P23)*100</f>
        <v>5.7823129251700678</v>
      </c>
    </row>
    <row r="57" spans="1:20" x14ac:dyDescent="0.2">
      <c r="A57" s="16" t="s">
        <v>189</v>
      </c>
      <c r="B57" s="19">
        <f>L28/(F28*P28)*100</f>
        <v>4.6408393866020985</v>
      </c>
      <c r="C57" s="25">
        <f>L31/(F31*P31)*100</f>
        <v>0.554016620498615</v>
      </c>
      <c r="D57" s="19">
        <f>L34/(F34*P34)*100</f>
        <v>4.9673202614379086</v>
      </c>
      <c r="E57" s="17">
        <f>L37/(F37*P37)*100</f>
        <v>13.763440860215054</v>
      </c>
      <c r="F57" s="12"/>
      <c r="G57" s="18">
        <f>L27/(F27*P27)*100</f>
        <v>7.3703703703703702</v>
      </c>
      <c r="H57" s="18">
        <f>L30/(F30*P30)*100</f>
        <v>1.2893982808022924</v>
      </c>
      <c r="I57" s="23">
        <f>L33/(F33*P33)*100</f>
        <v>5.9957173447537473</v>
      </c>
      <c r="J57" s="17">
        <f>L36/(F36*P36)*100</f>
        <v>19.722222222222221</v>
      </c>
      <c r="K57" s="16" t="s">
        <v>189</v>
      </c>
      <c r="L57" s="18">
        <f>L26/(F26*P26)*100</f>
        <v>8.0168776371308024</v>
      </c>
      <c r="M57" s="18">
        <f>L29/(F29*P29)*100</f>
        <v>1.2328767123287672</v>
      </c>
      <c r="N57" s="23">
        <f>L32/(F32*P32)*100</f>
        <v>8.3668005354752335</v>
      </c>
      <c r="O57" s="19">
        <f>L35/(F35*P35)*100</f>
        <v>9.1954022988505741</v>
      </c>
    </row>
    <row r="58" spans="1:20" x14ac:dyDescent="0.2">
      <c r="B58" s="7">
        <f t="shared" ref="B58:E60" si="2">SUM(B43+B51+B55+B47)</f>
        <v>100</v>
      </c>
      <c r="C58" s="7">
        <f t="shared" si="2"/>
        <v>99.999999999999986</v>
      </c>
      <c r="D58" s="7">
        <f t="shared" si="2"/>
        <v>99.999999999999986</v>
      </c>
      <c r="E58" s="7">
        <f t="shared" si="2"/>
        <v>100</v>
      </c>
      <c r="G58" s="7">
        <f t="shared" ref="G58:J60" si="3">SUM(G43+G51+G55+G47)</f>
        <v>99.999999999999986</v>
      </c>
      <c r="H58" s="7">
        <f t="shared" si="3"/>
        <v>100</v>
      </c>
      <c r="I58" s="7">
        <f t="shared" si="3"/>
        <v>100</v>
      </c>
      <c r="J58" s="7">
        <f t="shared" si="3"/>
        <v>100</v>
      </c>
      <c r="L58" s="7">
        <f t="shared" ref="L58:O60" si="4">SUM(L43+L51+L55+L47)</f>
        <v>100</v>
      </c>
      <c r="M58" s="7">
        <f t="shared" si="4"/>
        <v>100</v>
      </c>
      <c r="N58" s="7">
        <f t="shared" si="4"/>
        <v>100</v>
      </c>
      <c r="O58" s="7">
        <f t="shared" si="4"/>
        <v>99.999999999999986</v>
      </c>
    </row>
    <row r="59" spans="1:20" x14ac:dyDescent="0.2">
      <c r="B59" s="7">
        <f t="shared" si="2"/>
        <v>100</v>
      </c>
      <c r="C59" s="7">
        <f t="shared" si="2"/>
        <v>100</v>
      </c>
      <c r="D59" s="7">
        <f t="shared" si="2"/>
        <v>100</v>
      </c>
      <c r="E59" s="7">
        <f t="shared" si="2"/>
        <v>100</v>
      </c>
      <c r="G59" s="7">
        <f t="shared" si="3"/>
        <v>100</v>
      </c>
      <c r="H59" s="7">
        <f t="shared" si="3"/>
        <v>100</v>
      </c>
      <c r="I59" s="7">
        <f t="shared" si="3"/>
        <v>100</v>
      </c>
      <c r="J59" s="7">
        <f t="shared" si="3"/>
        <v>100</v>
      </c>
      <c r="L59" s="7">
        <f t="shared" si="4"/>
        <v>100</v>
      </c>
      <c r="M59" s="7">
        <f t="shared" si="4"/>
        <v>100</v>
      </c>
      <c r="N59" s="7">
        <f t="shared" si="4"/>
        <v>100</v>
      </c>
      <c r="O59" s="7">
        <f t="shared" si="4"/>
        <v>100</v>
      </c>
    </row>
    <row r="60" spans="1:20" x14ac:dyDescent="0.2">
      <c r="B60" s="7">
        <f t="shared" si="2"/>
        <v>99.999999999999986</v>
      </c>
      <c r="C60" s="7">
        <f t="shared" si="2"/>
        <v>100</v>
      </c>
      <c r="D60" s="7">
        <f t="shared" si="2"/>
        <v>100</v>
      </c>
      <c r="E60" s="7">
        <f t="shared" si="2"/>
        <v>100</v>
      </c>
      <c r="G60" s="7">
        <f t="shared" si="3"/>
        <v>100</v>
      </c>
      <c r="H60" s="7">
        <f t="shared" si="3"/>
        <v>100</v>
      </c>
      <c r="I60" s="7">
        <f t="shared" si="3"/>
        <v>100</v>
      </c>
      <c r="J60" s="7">
        <f t="shared" si="3"/>
        <v>100</v>
      </c>
      <c r="L60" s="7">
        <f t="shared" si="4"/>
        <v>100</v>
      </c>
      <c r="M60" s="7">
        <f t="shared" si="4"/>
        <v>100</v>
      </c>
      <c r="N60" s="7">
        <f t="shared" si="4"/>
        <v>100</v>
      </c>
      <c r="O60" s="7">
        <f t="shared" si="4"/>
        <v>100</v>
      </c>
    </row>
    <row r="63" spans="1:20" x14ac:dyDescent="0.2">
      <c r="A63" s="75" t="s">
        <v>201</v>
      </c>
      <c r="B63" s="77" t="s">
        <v>142</v>
      </c>
      <c r="C63" s="77"/>
      <c r="D63" s="77"/>
      <c r="E63" s="77"/>
      <c r="F63" s="78"/>
      <c r="G63" s="77" t="s">
        <v>140</v>
      </c>
      <c r="H63" s="77"/>
      <c r="I63" s="77"/>
      <c r="J63" s="77"/>
      <c r="K63" s="78"/>
      <c r="L63" s="77" t="s">
        <v>138</v>
      </c>
      <c r="M63" s="77"/>
      <c r="N63" s="77"/>
      <c r="O63" s="77"/>
      <c r="P63" s="78" t="s">
        <v>168</v>
      </c>
    </row>
    <row r="64" spans="1:20" x14ac:dyDescent="0.2">
      <c r="A64" s="76"/>
      <c r="B64" s="12" t="s">
        <v>183</v>
      </c>
      <c r="C64" s="12" t="s">
        <v>184</v>
      </c>
      <c r="D64" s="12" t="s">
        <v>185</v>
      </c>
      <c r="E64" s="12" t="s">
        <v>186</v>
      </c>
      <c r="F64" s="78"/>
      <c r="G64" s="12" t="s">
        <v>183</v>
      </c>
      <c r="H64" s="12" t="s">
        <v>184</v>
      </c>
      <c r="I64" s="12" t="s">
        <v>185</v>
      </c>
      <c r="J64" s="12" t="s">
        <v>186</v>
      </c>
      <c r="K64" s="78"/>
      <c r="L64" s="12" t="s">
        <v>183</v>
      </c>
      <c r="M64" s="12" t="s">
        <v>184</v>
      </c>
      <c r="N64" s="12" t="s">
        <v>185</v>
      </c>
      <c r="O64" s="12" t="s">
        <v>186</v>
      </c>
      <c r="P64" s="78"/>
    </row>
    <row r="65" spans="1:21" x14ac:dyDescent="0.2">
      <c r="A65" s="16" t="s">
        <v>187</v>
      </c>
      <c r="B65" s="57">
        <f>B43+B47</f>
        <v>72.545090180360731</v>
      </c>
      <c r="C65" s="7">
        <f t="shared" ref="B65:E67" si="5">C43+C47</f>
        <v>8.5513078470824944</v>
      </c>
      <c r="D65" s="30">
        <f t="shared" si="5"/>
        <v>39.617083946980856</v>
      </c>
      <c r="E65" s="57">
        <f t="shared" si="5"/>
        <v>50</v>
      </c>
      <c r="F65" s="7"/>
      <c r="G65" s="30">
        <f>G43+G47</f>
        <v>73.10643977310643</v>
      </c>
      <c r="H65" s="56">
        <f t="shared" ref="G65:J67" si="6">H43+H47</f>
        <v>8.5435586949209537</v>
      </c>
      <c r="I65" s="57">
        <f t="shared" si="6"/>
        <v>38.35282651072125</v>
      </c>
      <c r="J65" s="30">
        <f t="shared" si="6"/>
        <v>59.052453468697124</v>
      </c>
      <c r="K65" s="16" t="s">
        <v>187</v>
      </c>
      <c r="L65" s="30">
        <f t="shared" ref="L65:O67" si="7">L43+L47</f>
        <v>72.651287194918098</v>
      </c>
      <c r="M65" s="7">
        <f t="shared" si="7"/>
        <v>8.5676037483266398</v>
      </c>
      <c r="N65" s="30">
        <f t="shared" si="7"/>
        <v>40.632603406326034</v>
      </c>
      <c r="O65" s="30">
        <f t="shared" si="7"/>
        <v>56.97278911564625</v>
      </c>
      <c r="P65" s="7">
        <f>AVERAGE(L65:O65)</f>
        <v>44.706070866304259</v>
      </c>
    </row>
    <row r="66" spans="1:21" x14ac:dyDescent="0.2">
      <c r="A66" s="16" t="s">
        <v>188</v>
      </c>
      <c r="B66" s="57">
        <f t="shared" si="5"/>
        <v>72.311289245156985</v>
      </c>
      <c r="C66" s="7">
        <f t="shared" si="5"/>
        <v>8.7684069611780444</v>
      </c>
      <c r="D66" s="30">
        <f t="shared" si="5"/>
        <v>52.5</v>
      </c>
      <c r="E66" s="30">
        <f>E44+E48</f>
        <v>44.670050761421322</v>
      </c>
      <c r="F66" s="7"/>
      <c r="G66" s="30">
        <f>G44+G48</f>
        <v>75.718102872411492</v>
      </c>
      <c r="H66" s="56">
        <f t="shared" si="6"/>
        <v>8.4587094617184899</v>
      </c>
      <c r="I66" s="57">
        <f t="shared" si="6"/>
        <v>45.686274509803923</v>
      </c>
      <c r="J66" s="30">
        <f t="shared" si="6"/>
        <v>44.047619047619051</v>
      </c>
      <c r="K66" s="16" t="s">
        <v>188</v>
      </c>
      <c r="L66" s="30">
        <f t="shared" si="7"/>
        <v>75.142378559463992</v>
      </c>
      <c r="M66" s="7">
        <f t="shared" si="7"/>
        <v>9.2219986586183751</v>
      </c>
      <c r="N66" s="30">
        <f t="shared" si="7"/>
        <v>48.115516397454726</v>
      </c>
      <c r="O66" s="57">
        <f t="shared" si="7"/>
        <v>43.877551020408163</v>
      </c>
      <c r="P66" s="7">
        <f>AVERAGE(L66:O66)</f>
        <v>44.089361158986314</v>
      </c>
    </row>
    <row r="67" spans="1:21" ht="16" thickBot="1" x14ac:dyDescent="0.25">
      <c r="A67" s="40" t="s">
        <v>189</v>
      </c>
      <c r="B67" s="30">
        <f t="shared" si="5"/>
        <v>66.868442292171096</v>
      </c>
      <c r="C67" s="7">
        <f t="shared" si="5"/>
        <v>7.3407202216066487</v>
      </c>
      <c r="D67" s="30">
        <f t="shared" si="5"/>
        <v>46.601307189542482</v>
      </c>
      <c r="E67" s="30">
        <f t="shared" si="5"/>
        <v>70.107526881720432</v>
      </c>
      <c r="F67" s="7"/>
      <c r="G67" s="30">
        <f t="shared" si="6"/>
        <v>64.407407407407405</v>
      </c>
      <c r="H67" s="56">
        <f t="shared" si="6"/>
        <v>6.9245463228271245</v>
      </c>
      <c r="I67" s="30">
        <f t="shared" si="6"/>
        <v>43.183440399714485</v>
      </c>
      <c r="J67" s="57">
        <f t="shared" si="6"/>
        <v>58.05555555555555</v>
      </c>
      <c r="K67" s="40" t="s">
        <v>189</v>
      </c>
      <c r="L67" s="57">
        <f t="shared" si="7"/>
        <v>63.099347909474496</v>
      </c>
      <c r="M67" s="7">
        <f t="shared" si="7"/>
        <v>7.031963470319635</v>
      </c>
      <c r="N67" s="30">
        <f t="shared" si="7"/>
        <v>40.696117804551548</v>
      </c>
      <c r="O67" s="30">
        <f t="shared" si="7"/>
        <v>69.195402298850567</v>
      </c>
      <c r="P67" s="7">
        <f>AVERAGE(L67:O67)</f>
        <v>45.005707870799057</v>
      </c>
    </row>
    <row r="68" spans="1:21" x14ac:dyDescent="0.2">
      <c r="A68" s="58" t="s">
        <v>168</v>
      </c>
      <c r="B68" s="59">
        <f>AVERAGE(B65:B67)</f>
        <v>70.574940572562937</v>
      </c>
      <c r="C68" s="60">
        <f t="shared" ref="C68:J68" si="8">AVERAGE(C65:C67)</f>
        <v>8.2201450099557292</v>
      </c>
      <c r="D68" s="59">
        <f t="shared" si="8"/>
        <v>46.239463712174448</v>
      </c>
      <c r="E68" s="59">
        <f t="shared" si="8"/>
        <v>54.92585921438058</v>
      </c>
      <c r="F68" s="60"/>
      <c r="G68" s="59">
        <f t="shared" si="8"/>
        <v>71.077316684308428</v>
      </c>
      <c r="H68" s="61">
        <f t="shared" si="8"/>
        <v>7.9756048264888575</v>
      </c>
      <c r="I68" s="62">
        <f t="shared" si="8"/>
        <v>42.407513806746557</v>
      </c>
      <c r="J68" s="62">
        <f t="shared" si="8"/>
        <v>53.718542690623906</v>
      </c>
      <c r="K68" s="60"/>
      <c r="L68" s="62">
        <f t="shared" ref="L68" si="9">AVERAGE(L65:L67)</f>
        <v>70.297671221285526</v>
      </c>
      <c r="M68" s="60">
        <f t="shared" ref="M68" si="10">AVERAGE(M65:M67)</f>
        <v>8.2738552924215494</v>
      </c>
      <c r="N68" s="59">
        <f t="shared" ref="N68" si="11">AVERAGE(N65:N67)</f>
        <v>43.148079202777431</v>
      </c>
      <c r="O68" s="59">
        <f t="shared" ref="O68" si="12">AVERAGE(O65:O67)</f>
        <v>56.681914144968324</v>
      </c>
    </row>
    <row r="69" spans="1:21" x14ac:dyDescent="0.2">
      <c r="C69" s="30">
        <f>AVERAGE(B68:E68)</f>
        <v>44.990102127268422</v>
      </c>
      <c r="H69" s="30">
        <f>AVERAGE(G68:J68)</f>
        <v>43.794744502041937</v>
      </c>
      <c r="M69" s="30">
        <f>AVERAGE(L68:O68)</f>
        <v>44.600379965363203</v>
      </c>
    </row>
    <row r="70" spans="1:21" x14ac:dyDescent="0.2">
      <c r="B70" s="30">
        <f>(B68-L68)/B68*100</f>
        <v>0.39287224194306125</v>
      </c>
      <c r="C70" s="30">
        <f t="shared" ref="C70:E70" si="13">(C68-M68)/C68*100</f>
        <v>-0.65339823568525435</v>
      </c>
      <c r="D70" s="30">
        <f t="shared" si="13"/>
        <v>6.6855976718066517</v>
      </c>
      <c r="E70" s="30">
        <f t="shared" si="13"/>
        <v>-3.1971369327764245</v>
      </c>
      <c r="F70" s="30">
        <f>(C69-M69)/C69*100</f>
        <v>0.86623978048053596</v>
      </c>
    </row>
    <row r="72" spans="1:21" x14ac:dyDescent="0.2">
      <c r="A72" s="82" t="s">
        <v>201</v>
      </c>
      <c r="B72" s="81" t="s">
        <v>142</v>
      </c>
      <c r="C72" s="81"/>
      <c r="D72" s="81"/>
      <c r="E72" s="81"/>
      <c r="F72" s="81"/>
      <c r="H72" s="76" t="s">
        <v>140</v>
      </c>
      <c r="I72" s="76"/>
      <c r="J72" s="76"/>
      <c r="K72" s="76"/>
      <c r="L72" s="76"/>
      <c r="N72" s="77" t="s">
        <v>138</v>
      </c>
      <c r="O72" s="77"/>
      <c r="P72" s="77"/>
      <c r="Q72" s="77"/>
      <c r="R72" s="77"/>
    </row>
    <row r="73" spans="1:21" x14ac:dyDescent="0.2">
      <c r="A73" s="77"/>
      <c r="B73" s="11" t="s">
        <v>202</v>
      </c>
      <c r="D73" s="11" t="s">
        <v>187</v>
      </c>
      <c r="E73" s="11" t="s">
        <v>188</v>
      </c>
      <c r="F73" s="11" t="s">
        <v>189</v>
      </c>
      <c r="G73" s="14"/>
      <c r="H73" s="11" t="s">
        <v>202</v>
      </c>
      <c r="J73" s="11" t="s">
        <v>187</v>
      </c>
      <c r="K73" s="11" t="s">
        <v>188</v>
      </c>
      <c r="L73" s="11" t="s">
        <v>189</v>
      </c>
      <c r="M73" s="14"/>
      <c r="N73" s="11" t="s">
        <v>202</v>
      </c>
      <c r="P73" s="11" t="s">
        <v>187</v>
      </c>
      <c r="Q73" s="11" t="s">
        <v>188</v>
      </c>
      <c r="R73" s="11" t="s">
        <v>189</v>
      </c>
    </row>
    <row r="74" spans="1:21" x14ac:dyDescent="0.2">
      <c r="A74" s="67" t="s">
        <v>183</v>
      </c>
      <c r="B74" s="30">
        <f>B68</f>
        <v>70.574940572562937</v>
      </c>
      <c r="C74" s="7"/>
      <c r="D74" s="30">
        <f>B65</f>
        <v>72.545090180360731</v>
      </c>
      <c r="E74" s="30">
        <f>B66</f>
        <v>72.311289245156985</v>
      </c>
      <c r="F74" s="30">
        <f>B67</f>
        <v>66.868442292171096</v>
      </c>
      <c r="H74" s="30">
        <f>G68</f>
        <v>71.077316684308428</v>
      </c>
      <c r="J74" s="30">
        <f>G65</f>
        <v>73.10643977310643</v>
      </c>
      <c r="K74" s="30">
        <f>G66</f>
        <v>75.718102872411492</v>
      </c>
      <c r="L74" s="30">
        <f>G67</f>
        <v>64.407407407407405</v>
      </c>
      <c r="N74" s="30">
        <f>L68</f>
        <v>70.297671221285526</v>
      </c>
      <c r="P74" s="30">
        <f>M65</f>
        <v>8.5676037483266398</v>
      </c>
      <c r="Q74" s="30">
        <f>M66</f>
        <v>9.2219986586183751</v>
      </c>
      <c r="R74" s="30">
        <f>M67</f>
        <v>7.031963470319635</v>
      </c>
    </row>
    <row r="75" spans="1:21" x14ac:dyDescent="0.2">
      <c r="A75" s="67" t="s">
        <v>184</v>
      </c>
      <c r="B75" s="7">
        <f>C68</f>
        <v>8.2201450099557292</v>
      </c>
      <c r="D75" s="7">
        <f>C65</f>
        <v>8.5513078470824944</v>
      </c>
      <c r="E75" s="30">
        <f>C66</f>
        <v>8.7684069611780444</v>
      </c>
      <c r="F75" s="30">
        <f>C67</f>
        <v>7.3407202216066487</v>
      </c>
      <c r="H75" s="7">
        <f>H68</f>
        <v>7.9756048264888575</v>
      </c>
      <c r="J75" s="7">
        <f>H65</f>
        <v>8.5435586949209537</v>
      </c>
      <c r="K75" s="30">
        <f>H66</f>
        <v>8.4587094617184899</v>
      </c>
      <c r="L75" s="30">
        <f>H67</f>
        <v>6.9245463228271245</v>
      </c>
      <c r="N75" s="7">
        <f>M68</f>
        <v>8.2738552924215494</v>
      </c>
      <c r="P75" s="7">
        <f>N65</f>
        <v>40.632603406326034</v>
      </c>
      <c r="Q75" s="30">
        <f>N66</f>
        <v>48.115516397454726</v>
      </c>
      <c r="R75" s="30">
        <f>N67</f>
        <v>40.696117804551548</v>
      </c>
    </row>
    <row r="76" spans="1:21" x14ac:dyDescent="0.2">
      <c r="A76" s="67" t="s">
        <v>185</v>
      </c>
      <c r="B76" s="30">
        <f>D68</f>
        <v>46.239463712174448</v>
      </c>
      <c r="D76" s="30">
        <f>D65</f>
        <v>39.617083946980856</v>
      </c>
      <c r="E76" s="30">
        <f>D66</f>
        <v>52.5</v>
      </c>
      <c r="F76" s="30">
        <f>D67</f>
        <v>46.601307189542482</v>
      </c>
      <c r="H76" s="30">
        <f>I68</f>
        <v>42.407513806746557</v>
      </c>
      <c r="J76" s="30">
        <f>I65</f>
        <v>38.35282651072125</v>
      </c>
      <c r="K76" s="30">
        <f>I66</f>
        <v>45.686274509803923</v>
      </c>
      <c r="L76" s="30">
        <f>I67</f>
        <v>43.183440399714485</v>
      </c>
      <c r="N76" s="30">
        <f>N68</f>
        <v>43.148079202777431</v>
      </c>
      <c r="P76" s="30">
        <f>O65</f>
        <v>56.97278911564625</v>
      </c>
      <c r="Q76" s="30">
        <f>O66</f>
        <v>43.877551020408163</v>
      </c>
      <c r="R76" s="30">
        <f>O67</f>
        <v>69.195402298850567</v>
      </c>
    </row>
    <row r="77" spans="1:21" x14ac:dyDescent="0.2">
      <c r="A77" s="67" t="s">
        <v>186</v>
      </c>
      <c r="B77" s="30">
        <f>E68</f>
        <v>54.92585921438058</v>
      </c>
      <c r="D77" s="30">
        <f>E65</f>
        <v>50</v>
      </c>
      <c r="E77" s="30">
        <f>E66</f>
        <v>44.670050761421322</v>
      </c>
      <c r="F77" s="30">
        <f>E67</f>
        <v>70.107526881720432</v>
      </c>
      <c r="H77" s="30">
        <f>J68</f>
        <v>53.718542690623906</v>
      </c>
      <c r="J77" s="30">
        <f>J65</f>
        <v>59.052453468697124</v>
      </c>
      <c r="K77" s="30">
        <f>J66</f>
        <v>44.047619047619051</v>
      </c>
      <c r="L77" s="30">
        <f>J67</f>
        <v>58.05555555555555</v>
      </c>
      <c r="N77" s="30">
        <f>O68</f>
        <v>56.681914144968324</v>
      </c>
      <c r="P77" s="30">
        <f>P65</f>
        <v>44.706070866304259</v>
      </c>
      <c r="Q77" s="30">
        <f>P66</f>
        <v>44.089361158986314</v>
      </c>
      <c r="R77" s="30">
        <f>P67</f>
        <v>45.005707870799057</v>
      </c>
    </row>
    <row r="78" spans="1:21" x14ac:dyDescent="0.2">
      <c r="P78" s="7"/>
    </row>
    <row r="79" spans="1:21" x14ac:dyDescent="0.2">
      <c r="A79" s="75" t="s">
        <v>201</v>
      </c>
      <c r="B79" s="80" t="s">
        <v>142</v>
      </c>
      <c r="C79" s="80"/>
      <c r="D79" s="80"/>
      <c r="E79" s="80"/>
      <c r="F79" s="80"/>
      <c r="G79" s="80"/>
      <c r="H79" s="15"/>
      <c r="I79" s="80" t="s">
        <v>140</v>
      </c>
      <c r="J79" s="80"/>
      <c r="K79" s="80"/>
      <c r="L79" s="80"/>
      <c r="M79" s="80"/>
      <c r="N79" s="80"/>
      <c r="O79" s="15"/>
      <c r="P79" s="80" t="s">
        <v>138</v>
      </c>
      <c r="Q79" s="80"/>
      <c r="R79" s="80"/>
      <c r="S79" s="80"/>
      <c r="T79" s="80"/>
      <c r="U79" s="80"/>
    </row>
    <row r="80" spans="1:21" x14ac:dyDescent="0.2">
      <c r="A80" s="76"/>
      <c r="B80" s="35" t="s">
        <v>202</v>
      </c>
      <c r="C80" s="14"/>
      <c r="D80" s="35" t="s">
        <v>183</v>
      </c>
      <c r="E80" s="35" t="s">
        <v>184</v>
      </c>
      <c r="F80" s="35" t="s">
        <v>185</v>
      </c>
      <c r="G80" s="35" t="s">
        <v>186</v>
      </c>
      <c r="H80" s="14"/>
      <c r="I80" s="35" t="s">
        <v>202</v>
      </c>
      <c r="J80" s="14"/>
      <c r="K80" s="35" t="s">
        <v>183</v>
      </c>
      <c r="L80" s="35" t="s">
        <v>184</v>
      </c>
      <c r="M80" s="35" t="s">
        <v>185</v>
      </c>
      <c r="N80" s="35" t="s">
        <v>186</v>
      </c>
      <c r="O80" s="14"/>
      <c r="P80" s="35" t="s">
        <v>202</v>
      </c>
      <c r="Q80" s="14"/>
      <c r="R80" s="35" t="s">
        <v>183</v>
      </c>
      <c r="S80" s="35" t="s">
        <v>184</v>
      </c>
      <c r="T80" s="35" t="s">
        <v>185</v>
      </c>
      <c r="U80" s="35" t="s">
        <v>186</v>
      </c>
    </row>
    <row r="81" spans="1:21" x14ac:dyDescent="0.2">
      <c r="A81" s="16" t="s">
        <v>187</v>
      </c>
      <c r="B81" s="7">
        <f>AVERAGE(D81:G81)</f>
        <v>42.678370493606025</v>
      </c>
      <c r="C81" s="57"/>
      <c r="D81" s="7">
        <f>B65</f>
        <v>72.545090180360731</v>
      </c>
      <c r="E81" s="7">
        <f t="shared" ref="E81:G81" si="14">C65</f>
        <v>8.5513078470824944</v>
      </c>
      <c r="F81" s="7">
        <f t="shared" si="14"/>
        <v>39.617083946980856</v>
      </c>
      <c r="G81" s="7">
        <f t="shared" si="14"/>
        <v>50</v>
      </c>
      <c r="H81" s="30"/>
      <c r="I81" s="7">
        <f>AVERAGE(K81:N81)</f>
        <v>44.763819611861436</v>
      </c>
      <c r="J81" s="57"/>
      <c r="K81" s="30">
        <f>G65</f>
        <v>73.10643977310643</v>
      </c>
      <c r="L81" s="30">
        <f t="shared" ref="L81:N81" si="15">H65</f>
        <v>8.5435586949209537</v>
      </c>
      <c r="M81" s="30">
        <f t="shared" si="15"/>
        <v>38.35282651072125</v>
      </c>
      <c r="N81" s="30">
        <f t="shared" si="15"/>
        <v>59.052453468697124</v>
      </c>
      <c r="O81" s="30"/>
      <c r="P81" s="7">
        <f>AVERAGE(R81:U81)</f>
        <v>44.706070866304259</v>
      </c>
      <c r="R81" s="30">
        <f>L65</f>
        <v>72.651287194918098</v>
      </c>
      <c r="S81" s="30">
        <f t="shared" ref="S81:U81" si="16">M65</f>
        <v>8.5676037483266398</v>
      </c>
      <c r="T81" s="30">
        <f t="shared" si="16"/>
        <v>40.632603406326034</v>
      </c>
      <c r="U81" s="30">
        <f t="shared" si="16"/>
        <v>56.97278911564625</v>
      </c>
    </row>
    <row r="82" spans="1:21" x14ac:dyDescent="0.2">
      <c r="A82" s="16" t="s">
        <v>188</v>
      </c>
      <c r="B82" s="7">
        <f t="shared" ref="B82:B83" si="17">AVERAGE(D82:G82)</f>
        <v>44.562436741939088</v>
      </c>
      <c r="C82" s="57"/>
      <c r="D82" s="7">
        <f t="shared" ref="D82:D83" si="18">B66</f>
        <v>72.311289245156985</v>
      </c>
      <c r="E82" s="7">
        <f t="shared" ref="E82:E83" si="19">C66</f>
        <v>8.7684069611780444</v>
      </c>
      <c r="F82" s="7">
        <f t="shared" ref="F82:F83" si="20">D66</f>
        <v>52.5</v>
      </c>
      <c r="G82" s="7">
        <f t="shared" ref="G82:G83" si="21">E66</f>
        <v>44.670050761421322</v>
      </c>
      <c r="H82" s="30"/>
      <c r="I82" s="7">
        <f>AVERAGE(K82:N82)</f>
        <v>43.477676472888234</v>
      </c>
      <c r="J82" s="57"/>
      <c r="K82" s="30">
        <f t="shared" ref="K82:K83" si="22">G66</f>
        <v>75.718102872411492</v>
      </c>
      <c r="L82" s="30">
        <f>H66</f>
        <v>8.4587094617184899</v>
      </c>
      <c r="M82" s="30">
        <f t="shared" ref="M82:M83" si="23">I66</f>
        <v>45.686274509803923</v>
      </c>
      <c r="N82" s="30">
        <f t="shared" ref="N82" si="24">J66</f>
        <v>44.047619047619051</v>
      </c>
      <c r="O82" s="30"/>
      <c r="P82" s="7">
        <f>AVERAGE(R82:U82)</f>
        <v>44.089361158986314</v>
      </c>
      <c r="R82" s="30">
        <f t="shared" ref="R82:R83" si="25">L66</f>
        <v>75.142378559463992</v>
      </c>
      <c r="S82" s="30">
        <f t="shared" ref="S82:S83" si="26">M66</f>
        <v>9.2219986586183751</v>
      </c>
      <c r="T82" s="30">
        <f t="shared" ref="T82:T83" si="27">N66</f>
        <v>48.115516397454726</v>
      </c>
      <c r="U82" s="30">
        <f t="shared" ref="U82:U83" si="28">O66</f>
        <v>43.877551020408163</v>
      </c>
    </row>
    <row r="83" spans="1:21" ht="16" thickBot="1" x14ac:dyDescent="0.25">
      <c r="A83" s="40" t="s">
        <v>189</v>
      </c>
      <c r="B83" s="7">
        <f t="shared" si="17"/>
        <v>47.729499146260167</v>
      </c>
      <c r="C83" s="30"/>
      <c r="D83" s="7">
        <f t="shared" si="18"/>
        <v>66.868442292171096</v>
      </c>
      <c r="E83" s="7">
        <f t="shared" si="19"/>
        <v>7.3407202216066487</v>
      </c>
      <c r="F83" s="7">
        <f t="shared" si="20"/>
        <v>46.601307189542482</v>
      </c>
      <c r="G83" s="7">
        <f t="shared" si="21"/>
        <v>70.107526881720432</v>
      </c>
      <c r="H83" s="30"/>
      <c r="I83" s="7">
        <f t="shared" ref="I82:I83" si="29">AVERAGE(K83:N83)</f>
        <v>43.14273742137614</v>
      </c>
      <c r="J83" s="30"/>
      <c r="K83" s="30">
        <f t="shared" si="22"/>
        <v>64.407407407407405</v>
      </c>
      <c r="L83" s="30">
        <f t="shared" ref="L82:L83" si="30">H67</f>
        <v>6.9245463228271245</v>
      </c>
      <c r="M83" s="30">
        <f t="shared" si="23"/>
        <v>43.183440399714485</v>
      </c>
      <c r="N83" s="30">
        <f>J67</f>
        <v>58.05555555555555</v>
      </c>
      <c r="O83" s="30"/>
      <c r="P83" s="7">
        <f t="shared" ref="P83" si="31">AVERAGE(R83:U83)</f>
        <v>45.005707870799057</v>
      </c>
      <c r="R83" s="30">
        <f t="shared" si="25"/>
        <v>63.099347909474496</v>
      </c>
      <c r="S83" s="30">
        <f t="shared" si="26"/>
        <v>7.031963470319635</v>
      </c>
      <c r="T83" s="30">
        <f t="shared" si="27"/>
        <v>40.696117804551548</v>
      </c>
      <c r="U83" s="30">
        <f t="shared" si="28"/>
        <v>69.195402298850567</v>
      </c>
    </row>
    <row r="84" spans="1:21" x14ac:dyDescent="0.2">
      <c r="A84" s="5"/>
      <c r="C84" s="30"/>
      <c r="D84" s="7"/>
      <c r="E84" s="30"/>
      <c r="F84" s="30"/>
      <c r="G84" s="7"/>
      <c r="H84" s="30"/>
      <c r="I84" s="56"/>
      <c r="J84" s="57"/>
      <c r="K84" s="57"/>
      <c r="L84" s="7"/>
      <c r="M84" s="57"/>
      <c r="N84" s="7"/>
      <c r="O84" s="30"/>
      <c r="P84" s="30"/>
    </row>
    <row r="85" spans="1:21" x14ac:dyDescent="0.2">
      <c r="B85" s="7" t="str">
        <f>B79</f>
        <v>Answer</v>
      </c>
      <c r="C85" t="str">
        <f>I79</f>
        <v>Reasoning</v>
      </c>
      <c r="D85" t="str">
        <f>P79</f>
        <v>Both</v>
      </c>
    </row>
    <row r="86" spans="1:21" x14ac:dyDescent="0.2">
      <c r="A86" t="str">
        <f>A81</f>
        <v>Qwen2.5</v>
      </c>
      <c r="B86" s="30">
        <f>B81</f>
        <v>42.678370493606025</v>
      </c>
      <c r="C86" s="30">
        <f>I81</f>
        <v>44.763819611861436</v>
      </c>
      <c r="D86" s="30">
        <f>P81</f>
        <v>44.706070866304259</v>
      </c>
    </row>
    <row r="87" spans="1:21" x14ac:dyDescent="0.2">
      <c r="A87" t="str">
        <f t="shared" ref="A87:B88" si="32">A82</f>
        <v>Olmo 3</v>
      </c>
      <c r="B87" s="30">
        <f>B82</f>
        <v>44.562436741939088</v>
      </c>
      <c r="C87" s="30">
        <f t="shared" ref="C87:C88" si="33">I82</f>
        <v>43.477676472888234</v>
      </c>
      <c r="D87" s="30">
        <f>P82</f>
        <v>44.089361158986314</v>
      </c>
    </row>
    <row r="88" spans="1:21" x14ac:dyDescent="0.2">
      <c r="A88" t="str">
        <f t="shared" si="32"/>
        <v>Llama 3.2</v>
      </c>
      <c r="B88" s="30">
        <f t="shared" si="32"/>
        <v>47.729499146260167</v>
      </c>
      <c r="C88" s="30">
        <f t="shared" si="33"/>
        <v>43.14273742137614</v>
      </c>
      <c r="D88" s="30">
        <f t="shared" ref="D87:D88" si="34">P83</f>
        <v>45.005707870799057</v>
      </c>
    </row>
    <row r="89" spans="1:21" x14ac:dyDescent="0.2">
      <c r="A89" s="5" t="s">
        <v>202</v>
      </c>
      <c r="B89" s="57">
        <f>AVERAGE(B86:B88)</f>
        <v>44.990102127268422</v>
      </c>
      <c r="C89" s="57">
        <f>AVERAGE(C86:C88)</f>
        <v>43.794744502041937</v>
      </c>
      <c r="D89" s="57">
        <f>AVERAGE(D86:D88)</f>
        <v>44.60037996536321</v>
      </c>
    </row>
    <row r="91" spans="1:21" x14ac:dyDescent="0.2">
      <c r="C91">
        <f>(D89-B89)/D89*100</f>
        <v>-0.87380906218258947</v>
      </c>
    </row>
  </sheetData>
  <mergeCells count="21">
    <mergeCell ref="B79:G79"/>
    <mergeCell ref="I79:N79"/>
    <mergeCell ref="P79:U79"/>
    <mergeCell ref="A79:A80"/>
    <mergeCell ref="B72:F72"/>
    <mergeCell ref="N72:R72"/>
    <mergeCell ref="H72:L72"/>
    <mergeCell ref="A72:A73"/>
    <mergeCell ref="P63:P64"/>
    <mergeCell ref="L63:O63"/>
    <mergeCell ref="A40:A41"/>
    <mergeCell ref="B40:E40"/>
    <mergeCell ref="F40:F41"/>
    <mergeCell ref="G40:J40"/>
    <mergeCell ref="K40:K41"/>
    <mergeCell ref="L40:O40"/>
    <mergeCell ref="A63:A64"/>
    <mergeCell ref="B63:E63"/>
    <mergeCell ref="F63:F64"/>
    <mergeCell ref="G63:J63"/>
    <mergeCell ref="K63:K6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CR-IA</vt:lpstr>
      <vt:lpstr>dataset</vt:lpstr>
      <vt:lpstr>early_stopping</vt:lpstr>
      <vt:lpstr>IR-CA</vt:lpstr>
      <vt:lpstr>malicious</vt:lpstr>
      <vt:lpstr>share-mode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Naomi Knudsen</cp:lastModifiedBy>
  <dcterms:created xsi:type="dcterms:W3CDTF">2026-05-09T22:48:14Z</dcterms:created>
  <dcterms:modified xsi:type="dcterms:W3CDTF">2026-05-31T22:23:31Z</dcterms:modified>
</cp:coreProperties>
</file>