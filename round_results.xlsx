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4.xml" ContentType="application/vnd.openxmlformats-officedocument.drawing+xml"/>
  <Override PartName="/xl/charts/chart4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5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5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5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5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5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57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58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59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60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da71f200965671e6/DIKU/Lærerbøger/Thesis/"/>
    </mc:Choice>
  </mc:AlternateContent>
  <xr:revisionPtr revIDLastSave="2214" documentId="8_{A3A126FB-783C-734E-82B7-17AB09B713B6}" xr6:coauthVersionLast="47" xr6:coauthVersionMax="47" xr10:uidLastSave="{B27C8233-CC4F-A94E-BC26-78E4C325A187}"/>
  <bookViews>
    <workbookView xWindow="0" yWindow="660" windowWidth="29400" windowHeight="18460" activeTab="4" xr2:uid="{00000000-000D-0000-FFFF-FFFF00000000}"/>
  </bookViews>
  <sheets>
    <sheet name="CR-IA" sheetId="6" r:id="rId1"/>
    <sheet name="early_stopping" sheetId="5" r:id="rId2"/>
    <sheet name="IR-CA" sheetId="4" r:id="rId3"/>
    <sheet name="malicious" sheetId="2" r:id="rId4"/>
    <sheet name="share-mode" sheetId="1" r:id="rId5"/>
  </sheets>
  <calcPr calcId="191029" calcCompleted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70" i="6" l="1"/>
  <c r="AL470" i="6" s="1"/>
  <c r="AH589" i="4"/>
  <c r="AL588" i="4"/>
  <c r="T581" i="4"/>
  <c r="T580" i="4"/>
  <c r="T579" i="4"/>
  <c r="N581" i="4"/>
  <c r="N580" i="4"/>
  <c r="N579" i="4"/>
  <c r="H581" i="4"/>
  <c r="H580" i="4"/>
  <c r="H579" i="4"/>
  <c r="B581" i="4"/>
  <c r="B580" i="4"/>
  <c r="B579" i="4"/>
  <c r="AG589" i="4"/>
  <c r="AI588" i="4"/>
  <c r="AH588" i="4"/>
  <c r="AG588" i="4"/>
  <c r="AH476" i="6"/>
  <c r="AA476" i="6" a="1"/>
  <c r="AA476" i="6" s="1"/>
  <c r="AO588" i="5"/>
  <c r="AO583" i="5"/>
  <c r="AB473" i="5"/>
  <c r="AB469" i="5"/>
  <c r="AG582" i="5"/>
  <c r="AW683" i="5"/>
  <c r="AW684" i="5"/>
  <c r="AO764" i="5"/>
  <c r="AN764" i="5"/>
  <c r="BC766" i="5"/>
  <c r="BB766" i="5"/>
  <c r="BA766" i="5"/>
  <c r="AZ766" i="5"/>
  <c r="AY766" i="5"/>
  <c r="BD766" i="5" s="1"/>
  <c r="AW766" i="5"/>
  <c r="AV766" i="5"/>
  <c r="AU766" i="5"/>
  <c r="AT766" i="5"/>
  <c r="AS766" i="5"/>
  <c r="AQ768" i="5"/>
  <c r="AP768" i="5"/>
  <c r="AK766" i="5"/>
  <c r="AJ766" i="5"/>
  <c r="AI766" i="5"/>
  <c r="AH766" i="5"/>
  <c r="AG766" i="5"/>
  <c r="AL766" i="5" s="1"/>
  <c r="AV768" i="5"/>
  <c r="AN768" i="5"/>
  <c r="AR766" i="5"/>
  <c r="AH768" i="5"/>
  <c r="BC757" i="5"/>
  <c r="BB757" i="5"/>
  <c r="BA757" i="5"/>
  <c r="AZ757" i="5"/>
  <c r="AY757" i="5"/>
  <c r="BD757" i="5" s="1"/>
  <c r="AW757" i="5"/>
  <c r="AV757" i="5"/>
  <c r="AU757" i="5"/>
  <c r="AT757" i="5"/>
  <c r="AS757" i="5"/>
  <c r="AQ757" i="5"/>
  <c r="AP757" i="5"/>
  <c r="AO757" i="5"/>
  <c r="AN757" i="5"/>
  <c r="AM757" i="5"/>
  <c r="AR757" i="5" s="1"/>
  <c r="AK757" i="5"/>
  <c r="AJ757" i="5"/>
  <c r="AJ759" i="5" s="1"/>
  <c r="AI757" i="5"/>
  <c r="AH757" i="5"/>
  <c r="AG757" i="5"/>
  <c r="AL757" i="5" s="1"/>
  <c r="AU759" i="5"/>
  <c r="AM759" i="5"/>
  <c r="AK759" i="5"/>
  <c r="AI759" i="5"/>
  <c r="AH759" i="5"/>
  <c r="BC748" i="5"/>
  <c r="BB748" i="5"/>
  <c r="BA748" i="5"/>
  <c r="AZ748" i="5"/>
  <c r="BD748" i="5" s="1"/>
  <c r="AY748" i="5"/>
  <c r="AW748" i="5"/>
  <c r="AV748" i="5"/>
  <c r="AU748" i="5"/>
  <c r="AX748" i="5" s="1"/>
  <c r="AT748" i="5"/>
  <c r="AS748" i="5"/>
  <c r="AQ748" i="5"/>
  <c r="AP748" i="5"/>
  <c r="AR748" i="5" s="1"/>
  <c r="AO748" i="5"/>
  <c r="AN748" i="5"/>
  <c r="AM748" i="5"/>
  <c r="AK748" i="5"/>
  <c r="AJ748" i="5"/>
  <c r="AI748" i="5"/>
  <c r="AH748" i="5"/>
  <c r="AG748" i="5"/>
  <c r="AL748" i="5" s="1"/>
  <c r="AK750" i="5"/>
  <c r="AH750" i="5"/>
  <c r="BC739" i="5"/>
  <c r="BC741" i="5" s="1"/>
  <c r="BB739" i="5"/>
  <c r="BA739" i="5"/>
  <c r="AZ739" i="5"/>
  <c r="AY739" i="5"/>
  <c r="AV739" i="5"/>
  <c r="AU739" i="5"/>
  <c r="AT739" i="5"/>
  <c r="AS739" i="5"/>
  <c r="AW739" i="5"/>
  <c r="AQ739" i="5"/>
  <c r="AP739" i="5"/>
  <c r="AO739" i="5"/>
  <c r="AN739" i="5"/>
  <c r="AM739" i="5"/>
  <c r="AR739" i="5"/>
  <c r="AK739" i="5"/>
  <c r="AJ739" i="5"/>
  <c r="AI739" i="5"/>
  <c r="AH739" i="5"/>
  <c r="AG739" i="5"/>
  <c r="AL739" i="5"/>
  <c r="BC730" i="5"/>
  <c r="BB730" i="5"/>
  <c r="BA730" i="5"/>
  <c r="AZ730" i="5"/>
  <c r="AY730" i="5"/>
  <c r="BD730" i="5"/>
  <c r="AV730" i="5"/>
  <c r="AU730" i="5"/>
  <c r="AT730" i="5"/>
  <c r="AS730" i="5"/>
  <c r="AW730" i="5"/>
  <c r="AX730" i="5"/>
  <c r="AQ730" i="5"/>
  <c r="AP730" i="5"/>
  <c r="AO730" i="5"/>
  <c r="AN730" i="5"/>
  <c r="AM730" i="5"/>
  <c r="AQ732" i="5"/>
  <c r="AR730" i="5"/>
  <c r="AK730" i="5"/>
  <c r="AL730" i="5" s="1"/>
  <c r="AJ730" i="5"/>
  <c r="AI730" i="5"/>
  <c r="AH730" i="5"/>
  <c r="AG730" i="5"/>
  <c r="BD767" i="5"/>
  <c r="BD765" i="5"/>
  <c r="BD764" i="5"/>
  <c r="AX767" i="5"/>
  <c r="AX765" i="5"/>
  <c r="AX764" i="5"/>
  <c r="AR767" i="5"/>
  <c r="AR765" i="5"/>
  <c r="AR764" i="5"/>
  <c r="AL767" i="5"/>
  <c r="AL765" i="5"/>
  <c r="AL764" i="5"/>
  <c r="AR758" i="5"/>
  <c r="AR756" i="5"/>
  <c r="AR755" i="5"/>
  <c r="AL758" i="5"/>
  <c r="AL756" i="5"/>
  <c r="AL755" i="5"/>
  <c r="AX758" i="5"/>
  <c r="AX756" i="5"/>
  <c r="AX755" i="5"/>
  <c r="BD758" i="5"/>
  <c r="BD756" i="5"/>
  <c r="BD755" i="5"/>
  <c r="BD749" i="5"/>
  <c r="BD747" i="5"/>
  <c r="BD746" i="5"/>
  <c r="AX749" i="5"/>
  <c r="AX747" i="5"/>
  <c r="AX746" i="5"/>
  <c r="AW746" i="5"/>
  <c r="AW747" i="5"/>
  <c r="AW749" i="5"/>
  <c r="AR749" i="5"/>
  <c r="AR747" i="5"/>
  <c r="AR746" i="5"/>
  <c r="AL749" i="5"/>
  <c r="AL747" i="5"/>
  <c r="AL746" i="5"/>
  <c r="AL740" i="5"/>
  <c r="AL738" i="5"/>
  <c r="AL737" i="5"/>
  <c r="AR740" i="5"/>
  <c r="AR738" i="5"/>
  <c r="AR737" i="5"/>
  <c r="AX740" i="5"/>
  <c r="AX739" i="5"/>
  <c r="AX738" i="5"/>
  <c r="AX737" i="5"/>
  <c r="BD740" i="5"/>
  <c r="BD738" i="5"/>
  <c r="BD737" i="5"/>
  <c r="BD731" i="5"/>
  <c r="BD729" i="5"/>
  <c r="BD728" i="5"/>
  <c r="AX731" i="5"/>
  <c r="AX729" i="5"/>
  <c r="AX728" i="5"/>
  <c r="BD722" i="5"/>
  <c r="BD721" i="5"/>
  <c r="BD720" i="5"/>
  <c r="BD719" i="5"/>
  <c r="AX722" i="5"/>
  <c r="AX721" i="5"/>
  <c r="AX720" i="5"/>
  <c r="AX719" i="5"/>
  <c r="AR722" i="5"/>
  <c r="AR721" i="5"/>
  <c r="AR720" i="5"/>
  <c r="AR719" i="5"/>
  <c r="AR731" i="5"/>
  <c r="AR729" i="5"/>
  <c r="AR728" i="5"/>
  <c r="AL731" i="5"/>
  <c r="AL729" i="5"/>
  <c r="AL728" i="5"/>
  <c r="BC721" i="5"/>
  <c r="BB721" i="5"/>
  <c r="BA721" i="5"/>
  <c r="AZ721" i="5"/>
  <c r="AY721" i="5"/>
  <c r="AW721" i="5"/>
  <c r="AV721" i="5"/>
  <c r="AU721" i="5"/>
  <c r="AT721" i="5"/>
  <c r="AS721" i="5"/>
  <c r="AU723" i="5"/>
  <c r="AT723" i="5"/>
  <c r="AQ721" i="5"/>
  <c r="AP721" i="5"/>
  <c r="AO721" i="5"/>
  <c r="AN721" i="5"/>
  <c r="AM721" i="5"/>
  <c r="AO701" i="5"/>
  <c r="AP701" i="5"/>
  <c r="AO710" i="5"/>
  <c r="AL721" i="5"/>
  <c r="AL722" i="5"/>
  <c r="AL720" i="5"/>
  <c r="AL719" i="5"/>
  <c r="AK721" i="5"/>
  <c r="AJ721" i="5"/>
  <c r="AK723" i="5"/>
  <c r="AI721" i="5"/>
  <c r="AH721" i="5"/>
  <c r="AG721" i="5"/>
  <c r="BC710" i="5"/>
  <c r="BB710" i="5"/>
  <c r="BA710" i="5"/>
  <c r="AZ710" i="5"/>
  <c r="BD710" i="5" s="1"/>
  <c r="AY710" i="5"/>
  <c r="AW710" i="5"/>
  <c r="AV710" i="5"/>
  <c r="AU710" i="5"/>
  <c r="AT710" i="5"/>
  <c r="AS710" i="5"/>
  <c r="AQ710" i="5"/>
  <c r="AP710" i="5"/>
  <c r="AP712" i="5" s="1"/>
  <c r="AN710" i="5"/>
  <c r="AR710" i="5" s="1"/>
  <c r="AM710" i="5"/>
  <c r="AK710" i="5"/>
  <c r="AJ710" i="5"/>
  <c r="AI710" i="5"/>
  <c r="AH710" i="5"/>
  <c r="AG710" i="5"/>
  <c r="AL710" i="5" s="1"/>
  <c r="AX710" i="5"/>
  <c r="BC701" i="5"/>
  <c r="BB701" i="5"/>
  <c r="BA701" i="5"/>
  <c r="AZ701" i="5"/>
  <c r="AY701" i="5"/>
  <c r="AW701" i="5"/>
  <c r="AV701" i="5"/>
  <c r="AV703" i="5" s="1"/>
  <c r="AU701" i="5"/>
  <c r="AT701" i="5"/>
  <c r="AS701" i="5"/>
  <c r="AQ701" i="5"/>
  <c r="AO703" i="5"/>
  <c r="AN701" i="5"/>
  <c r="AN703" i="5" s="1"/>
  <c r="AM701" i="5"/>
  <c r="AM703" i="5" s="1"/>
  <c r="AK701" i="5"/>
  <c r="AJ701" i="5"/>
  <c r="AI701" i="5"/>
  <c r="AH701" i="5"/>
  <c r="AG701" i="5"/>
  <c r="BD701" i="5"/>
  <c r="AX701" i="5"/>
  <c r="AK703" i="5"/>
  <c r="AL701" i="5"/>
  <c r="AI703" i="5"/>
  <c r="AX692" i="5"/>
  <c r="AR692" i="5"/>
  <c r="BC692" i="5"/>
  <c r="BB692" i="5"/>
  <c r="BA692" i="5"/>
  <c r="AZ692" i="5"/>
  <c r="AY692" i="5"/>
  <c r="BD692" i="5" s="1"/>
  <c r="AW692" i="5"/>
  <c r="AV692" i="5"/>
  <c r="AU692" i="5"/>
  <c r="AT692" i="5"/>
  <c r="AS692" i="5"/>
  <c r="AQ692" i="5"/>
  <c r="AP692" i="5"/>
  <c r="AO692" i="5"/>
  <c r="AN692" i="5"/>
  <c r="AN694" i="5" s="1"/>
  <c r="AM692" i="5"/>
  <c r="AK692" i="5"/>
  <c r="AJ692" i="5"/>
  <c r="AI692" i="5"/>
  <c r="AH692" i="5"/>
  <c r="AG692" i="5"/>
  <c r="AL692" i="5"/>
  <c r="AQ694" i="5"/>
  <c r="BC683" i="5"/>
  <c r="BB683" i="5"/>
  <c r="BA683" i="5"/>
  <c r="AZ683" i="5"/>
  <c r="AY683" i="5"/>
  <c r="BD683" i="5"/>
  <c r="AV683" i="5"/>
  <c r="AU683" i="5"/>
  <c r="AT683" i="5"/>
  <c r="AS683" i="5"/>
  <c r="BD684" i="5"/>
  <c r="BD682" i="5"/>
  <c r="BD681" i="5"/>
  <c r="AX684" i="5"/>
  <c r="AX683" i="5"/>
  <c r="AX682" i="5"/>
  <c r="AX681" i="5"/>
  <c r="AP683" i="5"/>
  <c r="AR684" i="5"/>
  <c r="AR683" i="5"/>
  <c r="AR682" i="5"/>
  <c r="AR681" i="5"/>
  <c r="AL684" i="5"/>
  <c r="AL683" i="5"/>
  <c r="AL682" i="5"/>
  <c r="AL681" i="5"/>
  <c r="AP673" i="5"/>
  <c r="AP675" i="5" s="1"/>
  <c r="AM673" i="5"/>
  <c r="AM672" i="5"/>
  <c r="AR673" i="5"/>
  <c r="AS685" i="5"/>
  <c r="AQ683" i="5"/>
  <c r="AO683" i="5"/>
  <c r="AN683" i="5"/>
  <c r="AM683" i="5"/>
  <c r="AK683" i="5"/>
  <c r="AJ683" i="5"/>
  <c r="AI683" i="5"/>
  <c r="AH683" i="5"/>
  <c r="AG683" i="5"/>
  <c r="BC673" i="5"/>
  <c r="BB673" i="5"/>
  <c r="BA673" i="5"/>
  <c r="AZ673" i="5"/>
  <c r="AY673" i="5"/>
  <c r="AW673" i="5"/>
  <c r="AV673" i="5"/>
  <c r="AU673" i="5"/>
  <c r="AT673" i="5"/>
  <c r="AX673" i="5" s="1"/>
  <c r="AS673" i="5"/>
  <c r="AQ673" i="5"/>
  <c r="AO673" i="5"/>
  <c r="AN673" i="5"/>
  <c r="BD674" i="5"/>
  <c r="BD672" i="5"/>
  <c r="BD671" i="5"/>
  <c r="BD665" i="5"/>
  <c r="BD663" i="5"/>
  <c r="BD662" i="5"/>
  <c r="AX674" i="5"/>
  <c r="AX672" i="5"/>
  <c r="AX671" i="5"/>
  <c r="AX665" i="5"/>
  <c r="AX663" i="5"/>
  <c r="AX662" i="5"/>
  <c r="AR665" i="5"/>
  <c r="AR663" i="5"/>
  <c r="AR662" i="5"/>
  <c r="AR674" i="5"/>
  <c r="AR672" i="5"/>
  <c r="AR671" i="5"/>
  <c r="AL663" i="5"/>
  <c r="AK673" i="5"/>
  <c r="AJ673" i="5"/>
  <c r="AI673" i="5"/>
  <c r="AH673" i="5"/>
  <c r="AG673" i="5"/>
  <c r="AL673" i="5" s="1"/>
  <c r="BC664" i="5"/>
  <c r="BB664" i="5"/>
  <c r="BA664" i="5"/>
  <c r="AZ664" i="5"/>
  <c r="AZ666" i="5" s="1"/>
  <c r="AY664" i="5"/>
  <c r="BD664" i="5" s="1"/>
  <c r="AW664" i="5"/>
  <c r="AV664" i="5"/>
  <c r="AU664" i="5"/>
  <c r="AT664" i="5"/>
  <c r="AX664" i="5" s="1"/>
  <c r="AS664" i="5"/>
  <c r="AS666" i="5"/>
  <c r="AQ664" i="5"/>
  <c r="AP664" i="5"/>
  <c r="AO664" i="5"/>
  <c r="AN664" i="5"/>
  <c r="AM664" i="5"/>
  <c r="AR664" i="5" s="1"/>
  <c r="AK664" i="5"/>
  <c r="AJ664" i="5"/>
  <c r="AI664" i="5"/>
  <c r="AH664" i="5"/>
  <c r="BC768" i="5"/>
  <c r="AK768" i="5"/>
  <c r="AJ768" i="5"/>
  <c r="AI768" i="5"/>
  <c r="BA767" i="5"/>
  <c r="AZ767" i="5"/>
  <c r="AY767" i="5"/>
  <c r="AS767" i="5"/>
  <c r="AM767" i="5"/>
  <c r="AG767" i="5"/>
  <c r="AY765" i="5"/>
  <c r="AU765" i="5"/>
  <c r="AU768" i="5" s="1"/>
  <c r="AT765" i="5"/>
  <c r="AS765" i="5"/>
  <c r="AM765" i="5"/>
  <c r="AG765" i="5"/>
  <c r="AY764" i="5"/>
  <c r="AS764" i="5"/>
  <c r="AM764" i="5"/>
  <c r="AG764" i="5"/>
  <c r="BC759" i="5"/>
  <c r="BA759" i="5"/>
  <c r="BC758" i="5"/>
  <c r="BB758" i="5"/>
  <c r="BB759" i="5" s="1"/>
  <c r="BA758" i="5"/>
  <c r="AZ758" i="5"/>
  <c r="AY758" i="5"/>
  <c r="AW756" i="5"/>
  <c r="AV756" i="5"/>
  <c r="AU756" i="5"/>
  <c r="AT756" i="5"/>
  <c r="AT759" i="5" s="1"/>
  <c r="AS756" i="5"/>
  <c r="X756" i="5"/>
  <c r="R756" i="5"/>
  <c r="Q756" i="5"/>
  <c r="P756" i="5"/>
  <c r="O756" i="5"/>
  <c r="L756" i="5"/>
  <c r="K756" i="5"/>
  <c r="J756" i="5"/>
  <c r="I756" i="5"/>
  <c r="F756" i="5"/>
  <c r="E756" i="5"/>
  <c r="D756" i="5"/>
  <c r="C756" i="5"/>
  <c r="AQ755" i="5"/>
  <c r="AP755" i="5"/>
  <c r="AP759" i="5" s="1"/>
  <c r="AO755" i="5"/>
  <c r="AN755" i="5"/>
  <c r="AM755" i="5"/>
  <c r="V755" i="5"/>
  <c r="U755" i="5"/>
  <c r="T755" i="5"/>
  <c r="Y755" i="5" s="1"/>
  <c r="N755" i="5"/>
  <c r="S755" i="5" s="1"/>
  <c r="H755" i="5"/>
  <c r="M755" i="5" s="1"/>
  <c r="G755" i="5"/>
  <c r="B755" i="5"/>
  <c r="T754" i="5"/>
  <c r="P754" i="5"/>
  <c r="O754" i="5"/>
  <c r="N754" i="5"/>
  <c r="S754" i="5" s="1"/>
  <c r="M754" i="5"/>
  <c r="H754" i="5"/>
  <c r="G754" i="5"/>
  <c r="B754" i="5"/>
  <c r="B756" i="5" s="1"/>
  <c r="T753" i="5"/>
  <c r="Y753" i="5" s="1"/>
  <c r="S753" i="5"/>
  <c r="N753" i="5"/>
  <c r="J753" i="5"/>
  <c r="I753" i="5"/>
  <c r="H753" i="5"/>
  <c r="B753" i="5"/>
  <c r="G753" i="5" s="1"/>
  <c r="BA750" i="5"/>
  <c r="AN750" i="5"/>
  <c r="AI750" i="5"/>
  <c r="BC749" i="5"/>
  <c r="BC750" i="5" s="1"/>
  <c r="BB749" i="5"/>
  <c r="BB750" i="5" s="1"/>
  <c r="AY749" i="5"/>
  <c r="AS749" i="5"/>
  <c r="AM749" i="5"/>
  <c r="AG749" i="5"/>
  <c r="X748" i="5"/>
  <c r="W748" i="5"/>
  <c r="V748" i="5"/>
  <c r="T748" i="5"/>
  <c r="R748" i="5"/>
  <c r="O748" i="5"/>
  <c r="F748" i="5"/>
  <c r="D748" i="5"/>
  <c r="C748" i="5"/>
  <c r="B748" i="5"/>
  <c r="AY747" i="5"/>
  <c r="AV747" i="5"/>
  <c r="AV750" i="5" s="1"/>
  <c r="AS747" i="5"/>
  <c r="AM747" i="5"/>
  <c r="AG747" i="5"/>
  <c r="X747" i="5"/>
  <c r="W747" i="5"/>
  <c r="V747" i="5"/>
  <c r="U747" i="5"/>
  <c r="U748" i="5" s="1"/>
  <c r="T747" i="5"/>
  <c r="S747" i="5"/>
  <c r="M747" i="5"/>
  <c r="G747" i="5"/>
  <c r="AY746" i="5"/>
  <c r="AS746" i="5"/>
  <c r="AS750" i="5" s="1"/>
  <c r="AQ746" i="5"/>
  <c r="AQ750" i="5" s="1"/>
  <c r="AP746" i="5"/>
  <c r="AM746" i="5"/>
  <c r="AG746" i="5"/>
  <c r="Y746" i="5"/>
  <c r="R746" i="5"/>
  <c r="Q746" i="5"/>
  <c r="Q748" i="5" s="1"/>
  <c r="P746" i="5"/>
  <c r="P748" i="5" s="1"/>
  <c r="O746" i="5"/>
  <c r="N746" i="5"/>
  <c r="Y745" i="5"/>
  <c r="L745" i="5"/>
  <c r="K745" i="5"/>
  <c r="J745" i="5"/>
  <c r="I745" i="5"/>
  <c r="H745" i="5"/>
  <c r="G745" i="5"/>
  <c r="AW741" i="5"/>
  <c r="AV741" i="5"/>
  <c r="AS741" i="5"/>
  <c r="AQ741" i="5"/>
  <c r="AP741" i="5"/>
  <c r="AH741" i="5"/>
  <c r="BA740" i="5"/>
  <c r="AZ740" i="5"/>
  <c r="AY740" i="5"/>
  <c r="AS740" i="5"/>
  <c r="AM740" i="5"/>
  <c r="AG740" i="5"/>
  <c r="W740" i="5"/>
  <c r="V740" i="5"/>
  <c r="U740" i="5"/>
  <c r="R740" i="5"/>
  <c r="J740" i="5"/>
  <c r="I740" i="5"/>
  <c r="F740" i="5"/>
  <c r="D740" i="5"/>
  <c r="C740" i="5"/>
  <c r="X739" i="5"/>
  <c r="X740" i="5" s="1"/>
  <c r="W739" i="5"/>
  <c r="T739" i="5"/>
  <c r="Y739" i="5" s="1"/>
  <c r="N739" i="5"/>
  <c r="M739" i="5"/>
  <c r="H739" i="5"/>
  <c r="B739" i="5"/>
  <c r="G739" i="5" s="1"/>
  <c r="AY738" i="5"/>
  <c r="AY741" i="5" s="1"/>
  <c r="AU738" i="5"/>
  <c r="AU741" i="5" s="1"/>
  <c r="AT738" i="5"/>
  <c r="AS738" i="5"/>
  <c r="AM738" i="5"/>
  <c r="AG738" i="5"/>
  <c r="T738" i="5"/>
  <c r="Y738" i="5" s="1"/>
  <c r="R738" i="5"/>
  <c r="Q738" i="5"/>
  <c r="N738" i="5"/>
  <c r="H738" i="5"/>
  <c r="M738" i="5" s="1"/>
  <c r="B738" i="5"/>
  <c r="AY737" i="5"/>
  <c r="AS737" i="5"/>
  <c r="AO737" i="5"/>
  <c r="AO741" i="5" s="1"/>
  <c r="AN737" i="5"/>
  <c r="AM737" i="5"/>
  <c r="AG737" i="5"/>
  <c r="T737" i="5"/>
  <c r="N737" i="5"/>
  <c r="N740" i="5" s="1"/>
  <c r="L737" i="5"/>
  <c r="L740" i="5" s="1"/>
  <c r="K737" i="5"/>
  <c r="K740" i="5" s="1"/>
  <c r="H737" i="5"/>
  <c r="M737" i="5" s="1"/>
  <c r="B737" i="5"/>
  <c r="BA732" i="5"/>
  <c r="AZ732" i="5"/>
  <c r="AY732" i="5"/>
  <c r="AP732" i="5"/>
  <c r="AO732" i="5"/>
  <c r="AK732" i="5"/>
  <c r="AG732" i="5"/>
  <c r="X732" i="5"/>
  <c r="R732" i="5"/>
  <c r="Q732" i="5"/>
  <c r="L732" i="5"/>
  <c r="K732" i="5"/>
  <c r="H732" i="5"/>
  <c r="B732" i="5"/>
  <c r="BC731" i="5"/>
  <c r="BC732" i="5" s="1"/>
  <c r="BB731" i="5"/>
  <c r="BB732" i="5" s="1"/>
  <c r="BA731" i="5"/>
  <c r="AZ731" i="5"/>
  <c r="AY731" i="5"/>
  <c r="V731" i="5"/>
  <c r="Y731" i="5" s="1"/>
  <c r="U731" i="5"/>
  <c r="T731" i="5"/>
  <c r="N731" i="5"/>
  <c r="M731" i="5"/>
  <c r="H731" i="5"/>
  <c r="B731" i="5"/>
  <c r="G731" i="5" s="1"/>
  <c r="T730" i="5"/>
  <c r="P730" i="5"/>
  <c r="P732" i="5" s="1"/>
  <c r="O730" i="5"/>
  <c r="N730" i="5"/>
  <c r="H730" i="5"/>
  <c r="B730" i="5"/>
  <c r="AW729" i="5"/>
  <c r="AV729" i="5"/>
  <c r="AU729" i="5"/>
  <c r="AT729" i="5"/>
  <c r="AS729" i="5"/>
  <c r="T729" i="5"/>
  <c r="N729" i="5"/>
  <c r="M729" i="5"/>
  <c r="J729" i="5"/>
  <c r="J732" i="5" s="1"/>
  <c r="I729" i="5"/>
  <c r="H729" i="5"/>
  <c r="B729" i="5"/>
  <c r="AQ728" i="5"/>
  <c r="AP728" i="5"/>
  <c r="AO728" i="5"/>
  <c r="AN728" i="5"/>
  <c r="AM728" i="5"/>
  <c r="AM732" i="5" s="1"/>
  <c r="X724" i="5"/>
  <c r="U724" i="5"/>
  <c r="T724" i="5"/>
  <c r="K724" i="5"/>
  <c r="J724" i="5"/>
  <c r="AV723" i="5"/>
  <c r="AQ723" i="5"/>
  <c r="AG723" i="5"/>
  <c r="X723" i="5"/>
  <c r="W723" i="5"/>
  <c r="W724" i="5" s="1"/>
  <c r="V723" i="5"/>
  <c r="V724" i="5" s="1"/>
  <c r="U723" i="5"/>
  <c r="T723" i="5"/>
  <c r="S723" i="5"/>
  <c r="M723" i="5"/>
  <c r="G723" i="5"/>
  <c r="BC722" i="5"/>
  <c r="BC723" i="5" s="1"/>
  <c r="BB722" i="5"/>
  <c r="BB723" i="5" s="1"/>
  <c r="AY722" i="5"/>
  <c r="AS722" i="5"/>
  <c r="AM722" i="5"/>
  <c r="AG722" i="5"/>
  <c r="Y722" i="5"/>
  <c r="R722" i="5"/>
  <c r="Q722" i="5"/>
  <c r="S722" i="5" s="1"/>
  <c r="P722" i="5"/>
  <c r="O722" i="5"/>
  <c r="N722" i="5"/>
  <c r="M722" i="5"/>
  <c r="Y721" i="5"/>
  <c r="L721" i="5"/>
  <c r="L724" i="5" s="1"/>
  <c r="K721" i="5"/>
  <c r="J721" i="5"/>
  <c r="I721" i="5"/>
  <c r="I724" i="5" s="1"/>
  <c r="H721" i="5"/>
  <c r="H724" i="5" s="1"/>
  <c r="G721" i="5"/>
  <c r="AY720" i="5"/>
  <c r="AW720" i="5"/>
  <c r="AV720" i="5"/>
  <c r="AS720" i="5"/>
  <c r="AM720" i="5"/>
  <c r="AG720" i="5"/>
  <c r="AY719" i="5"/>
  <c r="AS719" i="5"/>
  <c r="AQ719" i="5"/>
  <c r="AP719" i="5"/>
  <c r="AM719" i="5"/>
  <c r="AM723" i="5" s="1"/>
  <c r="AG719" i="5"/>
  <c r="W716" i="5"/>
  <c r="R716" i="5"/>
  <c r="Q716" i="5"/>
  <c r="P716" i="5"/>
  <c r="O716" i="5"/>
  <c r="F716" i="5"/>
  <c r="X715" i="5"/>
  <c r="X716" i="5" s="1"/>
  <c r="W715" i="5"/>
  <c r="T715" i="5"/>
  <c r="N715" i="5"/>
  <c r="H715" i="5"/>
  <c r="M715" i="5" s="1"/>
  <c r="B715" i="5"/>
  <c r="Y714" i="5"/>
  <c r="T714" i="5"/>
  <c r="R714" i="5"/>
  <c r="S714" i="5" s="1"/>
  <c r="Q714" i="5"/>
  <c r="N714" i="5"/>
  <c r="H714" i="5"/>
  <c r="H716" i="5" s="1"/>
  <c r="B714" i="5"/>
  <c r="T713" i="5"/>
  <c r="N713" i="5"/>
  <c r="S713" i="5" s="1"/>
  <c r="L713" i="5"/>
  <c r="K713" i="5"/>
  <c r="H713" i="5"/>
  <c r="B713" i="5"/>
  <c r="BC712" i="5"/>
  <c r="BB712" i="5"/>
  <c r="AU712" i="5"/>
  <c r="AQ712" i="5"/>
  <c r="AN712" i="5"/>
  <c r="AI712" i="5"/>
  <c r="AY711" i="5"/>
  <c r="BD711" i="5" s="1"/>
  <c r="AS711" i="5"/>
  <c r="AX711" i="5" s="1"/>
  <c r="AM711" i="5"/>
  <c r="AI711" i="5"/>
  <c r="AH711" i="5"/>
  <c r="AG711" i="5"/>
  <c r="AL711" i="5" s="1"/>
  <c r="AY709" i="5"/>
  <c r="BD709" i="5" s="1"/>
  <c r="AS709" i="5"/>
  <c r="AX709" i="5" s="1"/>
  <c r="AR709" i="5"/>
  <c r="AM709" i="5"/>
  <c r="AG709" i="5"/>
  <c r="BA708" i="5"/>
  <c r="AZ708" i="5"/>
  <c r="AY708" i="5"/>
  <c r="AS708" i="5"/>
  <c r="AM708" i="5"/>
  <c r="AR708" i="5" s="1"/>
  <c r="AG708" i="5"/>
  <c r="X706" i="5"/>
  <c r="W706" i="5"/>
  <c r="N706" i="5"/>
  <c r="K706" i="5"/>
  <c r="J706" i="5"/>
  <c r="I706" i="5"/>
  <c r="T705" i="5"/>
  <c r="N705" i="5"/>
  <c r="S705" i="5" s="1"/>
  <c r="H705" i="5"/>
  <c r="D705" i="5"/>
  <c r="C705" i="5"/>
  <c r="B705" i="5"/>
  <c r="G705" i="5" s="1"/>
  <c r="Y704" i="5"/>
  <c r="T704" i="5"/>
  <c r="S704" i="5"/>
  <c r="N704" i="5"/>
  <c r="M704" i="5"/>
  <c r="H704" i="5"/>
  <c r="B704" i="5"/>
  <c r="BB703" i="5"/>
  <c r="AQ703" i="5"/>
  <c r="AP703" i="5"/>
  <c r="V703" i="5"/>
  <c r="U703" i="5"/>
  <c r="U706" i="5" s="1"/>
  <c r="T703" i="5"/>
  <c r="N703" i="5"/>
  <c r="M703" i="5"/>
  <c r="H703" i="5"/>
  <c r="H706" i="5" s="1"/>
  <c r="B703" i="5"/>
  <c r="BD702" i="5"/>
  <c r="AX702" i="5"/>
  <c r="AR702" i="5"/>
  <c r="AK702" i="5"/>
  <c r="AJ702" i="5"/>
  <c r="AJ703" i="5" s="1"/>
  <c r="AI702" i="5"/>
  <c r="AH702" i="5"/>
  <c r="AG702" i="5"/>
  <c r="BD700" i="5"/>
  <c r="AR700" i="5"/>
  <c r="AL700" i="5"/>
  <c r="BC699" i="5"/>
  <c r="BC703" i="5" s="1"/>
  <c r="BB699" i="5"/>
  <c r="BA699" i="5"/>
  <c r="AZ699" i="5"/>
  <c r="AY699" i="5"/>
  <c r="W698" i="5"/>
  <c r="V698" i="5"/>
  <c r="L698" i="5"/>
  <c r="K698" i="5"/>
  <c r="J698" i="5"/>
  <c r="I698" i="5"/>
  <c r="H698" i="5"/>
  <c r="F698" i="5"/>
  <c r="C698" i="5"/>
  <c r="Y697" i="5"/>
  <c r="S697" i="5"/>
  <c r="M697" i="5"/>
  <c r="G697" i="5"/>
  <c r="F697" i="5"/>
  <c r="E697" i="5"/>
  <c r="E698" i="5" s="1"/>
  <c r="D697" i="5"/>
  <c r="D698" i="5" s="1"/>
  <c r="C697" i="5"/>
  <c r="B697" i="5"/>
  <c r="X695" i="5"/>
  <c r="X698" i="5" s="1"/>
  <c r="W695" i="5"/>
  <c r="V695" i="5"/>
  <c r="U695" i="5"/>
  <c r="U698" i="5" s="1"/>
  <c r="T695" i="5"/>
  <c r="T698" i="5" s="1"/>
  <c r="AY693" i="5"/>
  <c r="BD693" i="5" s="1"/>
  <c r="AS693" i="5"/>
  <c r="AM693" i="5"/>
  <c r="AK693" i="5"/>
  <c r="AJ693" i="5"/>
  <c r="AG693" i="5"/>
  <c r="AY691" i="5"/>
  <c r="AS691" i="5"/>
  <c r="AM691" i="5"/>
  <c r="AG691" i="5"/>
  <c r="BC690" i="5"/>
  <c r="BB690" i="5"/>
  <c r="AY690" i="5"/>
  <c r="AS690" i="5"/>
  <c r="AM690" i="5"/>
  <c r="AG690" i="5"/>
  <c r="V690" i="5"/>
  <c r="U690" i="5"/>
  <c r="T690" i="5"/>
  <c r="L690" i="5"/>
  <c r="K690" i="5"/>
  <c r="J690" i="5"/>
  <c r="I690" i="5"/>
  <c r="B690" i="5"/>
  <c r="T689" i="5"/>
  <c r="N689" i="5"/>
  <c r="H689" i="5"/>
  <c r="F689" i="5"/>
  <c r="E689" i="5"/>
  <c r="B689" i="5"/>
  <c r="T688" i="5"/>
  <c r="N688" i="5"/>
  <c r="H688" i="5"/>
  <c r="B688" i="5"/>
  <c r="X687" i="5"/>
  <c r="X690" i="5" s="1"/>
  <c r="W687" i="5"/>
  <c r="W690" i="5" s="1"/>
  <c r="T687" i="5"/>
  <c r="Y687" i="5" s="1"/>
  <c r="N687" i="5"/>
  <c r="M687" i="5"/>
  <c r="H687" i="5"/>
  <c r="H690" i="5" s="1"/>
  <c r="B687" i="5"/>
  <c r="AY684" i="5"/>
  <c r="AS684" i="5"/>
  <c r="AM684" i="5"/>
  <c r="AI684" i="5"/>
  <c r="AH684" i="5"/>
  <c r="AG684" i="5"/>
  <c r="AG685" i="5" s="1"/>
  <c r="AY682" i="5"/>
  <c r="AS682" i="5"/>
  <c r="AM682" i="5"/>
  <c r="AG682" i="5"/>
  <c r="X682" i="5"/>
  <c r="W682" i="5"/>
  <c r="U682" i="5"/>
  <c r="R682" i="5"/>
  <c r="P682" i="5"/>
  <c r="O682" i="5"/>
  <c r="H682" i="5"/>
  <c r="BA681" i="5"/>
  <c r="AZ681" i="5"/>
  <c r="AZ685" i="5" s="1"/>
  <c r="AY681" i="5"/>
  <c r="AS681" i="5"/>
  <c r="AM681" i="5"/>
  <c r="AG681" i="5"/>
  <c r="T681" i="5"/>
  <c r="N681" i="5"/>
  <c r="H681" i="5"/>
  <c r="D681" i="5"/>
  <c r="C681" i="5"/>
  <c r="B681" i="5"/>
  <c r="T680" i="5"/>
  <c r="N680" i="5"/>
  <c r="H680" i="5"/>
  <c r="B680" i="5"/>
  <c r="B682" i="5" s="1"/>
  <c r="V679" i="5"/>
  <c r="U679" i="5"/>
  <c r="T679" i="5"/>
  <c r="T682" i="5" s="1"/>
  <c r="N679" i="5"/>
  <c r="H679" i="5"/>
  <c r="B679" i="5"/>
  <c r="BC675" i="5"/>
  <c r="AZ675" i="5"/>
  <c r="AJ675" i="5"/>
  <c r="AK674" i="5"/>
  <c r="AK675" i="5" s="1"/>
  <c r="AJ674" i="5"/>
  <c r="AI674" i="5"/>
  <c r="AI675" i="5" s="1"/>
  <c r="AH674" i="5"/>
  <c r="AG674" i="5"/>
  <c r="X673" i="5"/>
  <c r="T673" i="5"/>
  <c r="E673" i="5"/>
  <c r="Y672" i="5"/>
  <c r="M672" i="5"/>
  <c r="F672" i="5"/>
  <c r="F673" i="5" s="1"/>
  <c r="E672" i="5"/>
  <c r="D672" i="5"/>
  <c r="D673" i="5" s="1"/>
  <c r="C672" i="5"/>
  <c r="B672" i="5"/>
  <c r="BC671" i="5"/>
  <c r="BB671" i="5"/>
  <c r="BB675" i="5" s="1"/>
  <c r="BA671" i="5"/>
  <c r="BA675" i="5" s="1"/>
  <c r="AZ671" i="5"/>
  <c r="AY671" i="5"/>
  <c r="AL671" i="5"/>
  <c r="Y670" i="5"/>
  <c r="X670" i="5"/>
  <c r="W670" i="5"/>
  <c r="V670" i="5"/>
  <c r="V673" i="5" s="1"/>
  <c r="U670" i="5"/>
  <c r="U673" i="5" s="1"/>
  <c r="T670" i="5"/>
  <c r="M670" i="5"/>
  <c r="G670" i="5"/>
  <c r="AY665" i="5"/>
  <c r="AS665" i="5"/>
  <c r="AM665" i="5"/>
  <c r="AK665" i="5"/>
  <c r="AJ665" i="5"/>
  <c r="AG665" i="5"/>
  <c r="AG664" i="5"/>
  <c r="AL664" i="5" s="1"/>
  <c r="T664" i="5"/>
  <c r="N664" i="5"/>
  <c r="H664" i="5"/>
  <c r="F664" i="5"/>
  <c r="E664" i="5"/>
  <c r="B664" i="5"/>
  <c r="AY663" i="5"/>
  <c r="AS663" i="5"/>
  <c r="AM663" i="5"/>
  <c r="AG663" i="5"/>
  <c r="T663" i="5"/>
  <c r="N663" i="5"/>
  <c r="H663" i="5"/>
  <c r="B663" i="5"/>
  <c r="BC662" i="5"/>
  <c r="BB662" i="5"/>
  <c r="AY662" i="5"/>
  <c r="AS662" i="5"/>
  <c r="AM662" i="5"/>
  <c r="AG662" i="5"/>
  <c r="X662" i="5"/>
  <c r="W662" i="5"/>
  <c r="T662" i="5"/>
  <c r="N662" i="5"/>
  <c r="H662" i="5"/>
  <c r="B662" i="5"/>
  <c r="AR691" i="5"/>
  <c r="AM694" i="5"/>
  <c r="AY685" i="5"/>
  <c r="BC767" i="5"/>
  <c r="BB767" i="5"/>
  <c r="AW767" i="5"/>
  <c r="AV767" i="5"/>
  <c r="AU767" i="5"/>
  <c r="AT767" i="5"/>
  <c r="AQ767" i="5"/>
  <c r="AP767" i="5"/>
  <c r="AO767" i="5"/>
  <c r="AN767" i="5"/>
  <c r="AK767" i="5"/>
  <c r="AJ767" i="5"/>
  <c r="AI767" i="5"/>
  <c r="AH767" i="5"/>
  <c r="BC765" i="5"/>
  <c r="BB765" i="5"/>
  <c r="BB768" i="5" s="1"/>
  <c r="BA765" i="5"/>
  <c r="BA768" i="5" s="1"/>
  <c r="AZ765" i="5"/>
  <c r="AZ768" i="5" s="1"/>
  <c r="AW765" i="5"/>
  <c r="AV765" i="5"/>
  <c r="AQ765" i="5"/>
  <c r="AP765" i="5"/>
  <c r="AO765" i="5"/>
  <c r="AN765" i="5"/>
  <c r="AK765" i="5"/>
  <c r="AJ765" i="5"/>
  <c r="AI765" i="5"/>
  <c r="AH765" i="5"/>
  <c r="BC764" i="5"/>
  <c r="BB764" i="5"/>
  <c r="BA764" i="5"/>
  <c r="AZ764" i="5"/>
  <c r="AW764" i="5"/>
  <c r="AV764" i="5"/>
  <c r="AU764" i="5"/>
  <c r="AT764" i="5"/>
  <c r="AQ764" i="5"/>
  <c r="AP764" i="5"/>
  <c r="AK764" i="5"/>
  <c r="AJ764" i="5"/>
  <c r="AI764" i="5"/>
  <c r="AH764" i="5"/>
  <c r="AW758" i="5"/>
  <c r="AV758" i="5"/>
  <c r="AU758" i="5"/>
  <c r="AT758" i="5"/>
  <c r="AS758" i="5"/>
  <c r="AQ758" i="5"/>
  <c r="AP758" i="5"/>
  <c r="AO758" i="5"/>
  <c r="AN758" i="5"/>
  <c r="AM758" i="5"/>
  <c r="AK758" i="5"/>
  <c r="AJ758" i="5"/>
  <c r="AI758" i="5"/>
  <c r="AH758" i="5"/>
  <c r="AG758" i="5"/>
  <c r="BC756" i="5"/>
  <c r="BB756" i="5"/>
  <c r="BA756" i="5"/>
  <c r="AZ756" i="5"/>
  <c r="AY756" i="5"/>
  <c r="AQ756" i="5"/>
  <c r="AP756" i="5"/>
  <c r="AO756" i="5"/>
  <c r="AN756" i="5"/>
  <c r="AM756" i="5"/>
  <c r="AK756" i="5"/>
  <c r="AJ756" i="5"/>
  <c r="AI756" i="5"/>
  <c r="AH756" i="5"/>
  <c r="AG756" i="5"/>
  <c r="BC755" i="5"/>
  <c r="BB755" i="5"/>
  <c r="BA755" i="5"/>
  <c r="AZ755" i="5"/>
  <c r="AY755" i="5"/>
  <c r="AW755" i="5"/>
  <c r="AV755" i="5"/>
  <c r="AU755" i="5"/>
  <c r="AT755" i="5"/>
  <c r="AS755" i="5"/>
  <c r="AK755" i="5"/>
  <c r="AJ755" i="5"/>
  <c r="AI755" i="5"/>
  <c r="AH755" i="5"/>
  <c r="AG755" i="5"/>
  <c r="BA749" i="5"/>
  <c r="AZ749" i="5"/>
  <c r="AV749" i="5"/>
  <c r="AU749" i="5"/>
  <c r="AT749" i="5"/>
  <c r="AQ749" i="5"/>
  <c r="AP749" i="5"/>
  <c r="AO749" i="5"/>
  <c r="AN749" i="5"/>
  <c r="AK749" i="5"/>
  <c r="AJ749" i="5"/>
  <c r="AI749" i="5"/>
  <c r="AH749" i="5"/>
  <c r="BC747" i="5"/>
  <c r="BB747" i="5"/>
  <c r="BA747" i="5"/>
  <c r="AZ747" i="5"/>
  <c r="AU747" i="5"/>
  <c r="AU750" i="5" s="1"/>
  <c r="AT747" i="5"/>
  <c r="AT750" i="5" s="1"/>
  <c r="AQ747" i="5"/>
  <c r="AP747" i="5"/>
  <c r="AO747" i="5"/>
  <c r="AN747" i="5"/>
  <c r="AK747" i="5"/>
  <c r="AJ747" i="5"/>
  <c r="AJ750" i="5" s="1"/>
  <c r="AI747" i="5"/>
  <c r="AH747" i="5"/>
  <c r="BC746" i="5"/>
  <c r="BB746" i="5"/>
  <c r="BA746" i="5"/>
  <c r="AZ746" i="5"/>
  <c r="AV746" i="5"/>
  <c r="AU746" i="5"/>
  <c r="AT746" i="5"/>
  <c r="AO746" i="5"/>
  <c r="AN746" i="5"/>
  <c r="AK746" i="5"/>
  <c r="AJ746" i="5"/>
  <c r="AI746" i="5"/>
  <c r="AH746" i="5"/>
  <c r="BC740" i="5"/>
  <c r="BB740" i="5"/>
  <c r="AW740" i="5"/>
  <c r="AV740" i="5"/>
  <c r="AU740" i="5"/>
  <c r="AT740" i="5"/>
  <c r="AT741" i="5" s="1"/>
  <c r="AQ740" i="5"/>
  <c r="AP740" i="5"/>
  <c r="AO740" i="5"/>
  <c r="AN740" i="5"/>
  <c r="AK740" i="5"/>
  <c r="AJ740" i="5"/>
  <c r="AI740" i="5"/>
  <c r="AH740" i="5"/>
  <c r="BC738" i="5"/>
  <c r="BB738" i="5"/>
  <c r="BB741" i="5" s="1"/>
  <c r="BA738" i="5"/>
  <c r="BA741" i="5" s="1"/>
  <c r="AZ738" i="5"/>
  <c r="AW738" i="5"/>
  <c r="AV738" i="5"/>
  <c r="AQ738" i="5"/>
  <c r="AP738" i="5"/>
  <c r="AO738" i="5"/>
  <c r="AN738" i="5"/>
  <c r="AN741" i="5" s="1"/>
  <c r="AK738" i="5"/>
  <c r="AJ738" i="5"/>
  <c r="AI738" i="5"/>
  <c r="AH738" i="5"/>
  <c r="BC737" i="5"/>
  <c r="BB737" i="5"/>
  <c r="BA737" i="5"/>
  <c r="AZ737" i="5"/>
  <c r="AW737" i="5"/>
  <c r="AV737" i="5"/>
  <c r="AU737" i="5"/>
  <c r="AT737" i="5"/>
  <c r="AQ737" i="5"/>
  <c r="AP737" i="5"/>
  <c r="AK737" i="5"/>
  <c r="AJ737" i="5"/>
  <c r="AJ741" i="5" s="1"/>
  <c r="AI737" i="5"/>
  <c r="AI741" i="5" s="1"/>
  <c r="BG741" i="5" s="1"/>
  <c r="AH737" i="5"/>
  <c r="AW731" i="5"/>
  <c r="AV731" i="5"/>
  <c r="AU731" i="5"/>
  <c r="AT731" i="5"/>
  <c r="AS731" i="5"/>
  <c r="AQ731" i="5"/>
  <c r="AP731" i="5"/>
  <c r="AO731" i="5"/>
  <c r="AN731" i="5"/>
  <c r="AM731" i="5"/>
  <c r="AK731" i="5"/>
  <c r="AJ731" i="5"/>
  <c r="AI731" i="5"/>
  <c r="AH731" i="5"/>
  <c r="AG731" i="5"/>
  <c r="BC729" i="5"/>
  <c r="BB729" i="5"/>
  <c r="BA729" i="5"/>
  <c r="AZ729" i="5"/>
  <c r="AY729" i="5"/>
  <c r="AQ729" i="5"/>
  <c r="AP729" i="5"/>
  <c r="AO729" i="5"/>
  <c r="AN729" i="5"/>
  <c r="AM729" i="5"/>
  <c r="AK729" i="5"/>
  <c r="AJ729" i="5"/>
  <c r="AJ732" i="5" s="1"/>
  <c r="AI729" i="5"/>
  <c r="AI732" i="5" s="1"/>
  <c r="AH729" i="5"/>
  <c r="AG729" i="5"/>
  <c r="BC728" i="5"/>
  <c r="BB728" i="5"/>
  <c r="BA728" i="5"/>
  <c r="AZ728" i="5"/>
  <c r="AY728" i="5"/>
  <c r="AW728" i="5"/>
  <c r="AW732" i="5" s="1"/>
  <c r="AV728" i="5"/>
  <c r="AV732" i="5" s="1"/>
  <c r="AU728" i="5"/>
  <c r="AU732" i="5" s="1"/>
  <c r="AT728" i="5"/>
  <c r="AS728" i="5"/>
  <c r="AS732" i="5" s="1"/>
  <c r="AK728" i="5"/>
  <c r="AJ728" i="5"/>
  <c r="AI728" i="5"/>
  <c r="AH728" i="5"/>
  <c r="AG728" i="5"/>
  <c r="BA722" i="5"/>
  <c r="BA723" i="5" s="1"/>
  <c r="AZ722" i="5"/>
  <c r="AZ723" i="5" s="1"/>
  <c r="AW722" i="5"/>
  <c r="AV722" i="5"/>
  <c r="AU722" i="5"/>
  <c r="AT722" i="5"/>
  <c r="AQ722" i="5"/>
  <c r="AP722" i="5"/>
  <c r="AO722" i="5"/>
  <c r="AN722" i="5"/>
  <c r="AK722" i="5"/>
  <c r="AJ722" i="5"/>
  <c r="AI722" i="5"/>
  <c r="AI723" i="5" s="1"/>
  <c r="AH722" i="5"/>
  <c r="BC720" i="5"/>
  <c r="BB720" i="5"/>
  <c r="BA720" i="5"/>
  <c r="AZ720" i="5"/>
  <c r="AU720" i="5"/>
  <c r="AT720" i="5"/>
  <c r="AQ720" i="5"/>
  <c r="AP720" i="5"/>
  <c r="AP723" i="5" s="1"/>
  <c r="AO720" i="5"/>
  <c r="AN720" i="5"/>
  <c r="AK720" i="5"/>
  <c r="AJ720" i="5"/>
  <c r="AI720" i="5"/>
  <c r="AH720" i="5"/>
  <c r="BC719" i="5"/>
  <c r="BB719" i="5"/>
  <c r="BA719" i="5"/>
  <c r="AZ719" i="5"/>
  <c r="AW719" i="5"/>
  <c r="AV719" i="5"/>
  <c r="AU719" i="5"/>
  <c r="AT719" i="5"/>
  <c r="AO719" i="5"/>
  <c r="AN719" i="5"/>
  <c r="AN723" i="5" s="1"/>
  <c r="AK719" i="5"/>
  <c r="AJ719" i="5"/>
  <c r="AJ723" i="5" s="1"/>
  <c r="AI719" i="5"/>
  <c r="AH719" i="5"/>
  <c r="AH723" i="5" s="1"/>
  <c r="BC711" i="5"/>
  <c r="BB711" i="5"/>
  <c r="BA711" i="5"/>
  <c r="AZ711" i="5"/>
  <c r="AW711" i="5"/>
  <c r="AV711" i="5"/>
  <c r="AU711" i="5"/>
  <c r="AT711" i="5"/>
  <c r="AQ711" i="5"/>
  <c r="AP711" i="5"/>
  <c r="AO711" i="5"/>
  <c r="AN711" i="5"/>
  <c r="AK711" i="5"/>
  <c r="AJ711" i="5"/>
  <c r="BC709" i="5"/>
  <c r="BB709" i="5"/>
  <c r="BA709" i="5"/>
  <c r="AZ709" i="5"/>
  <c r="AW709" i="5"/>
  <c r="AV709" i="5"/>
  <c r="AU709" i="5"/>
  <c r="AT709" i="5"/>
  <c r="AQ709" i="5"/>
  <c r="AP709" i="5"/>
  <c r="AO709" i="5"/>
  <c r="AN709" i="5"/>
  <c r="AK709" i="5"/>
  <c r="AJ709" i="5"/>
  <c r="AI709" i="5"/>
  <c r="AH709" i="5"/>
  <c r="BC708" i="5"/>
  <c r="BB708" i="5"/>
  <c r="AW708" i="5"/>
  <c r="AV708" i="5"/>
  <c r="AV712" i="5" s="1"/>
  <c r="AU708" i="5"/>
  <c r="AT708" i="5"/>
  <c r="AT712" i="5" s="1"/>
  <c r="AQ708" i="5"/>
  <c r="AP708" i="5"/>
  <c r="AO708" i="5"/>
  <c r="AN708" i="5"/>
  <c r="AK708" i="5"/>
  <c r="AJ708" i="5"/>
  <c r="AJ712" i="5" s="1"/>
  <c r="AI708" i="5"/>
  <c r="AH708" i="5"/>
  <c r="BC702" i="5"/>
  <c r="BB702" i="5"/>
  <c r="BA702" i="5"/>
  <c r="AZ702" i="5"/>
  <c r="AY702" i="5"/>
  <c r="AW702" i="5"/>
  <c r="AV702" i="5"/>
  <c r="AU702" i="5"/>
  <c r="AT702" i="5"/>
  <c r="AS702" i="5"/>
  <c r="AQ702" i="5"/>
  <c r="AP702" i="5"/>
  <c r="AO702" i="5"/>
  <c r="AN702" i="5"/>
  <c r="AM702" i="5"/>
  <c r="BC700" i="5"/>
  <c r="BB700" i="5"/>
  <c r="BA700" i="5"/>
  <c r="AZ700" i="5"/>
  <c r="AY700" i="5"/>
  <c r="AW700" i="5"/>
  <c r="AV700" i="5"/>
  <c r="AU700" i="5"/>
  <c r="AT700" i="5"/>
  <c r="AT703" i="5" s="1"/>
  <c r="AS700" i="5"/>
  <c r="AX700" i="5" s="1"/>
  <c r="AQ700" i="5"/>
  <c r="AP700" i="5"/>
  <c r="AO700" i="5"/>
  <c r="AN700" i="5"/>
  <c r="AM700" i="5"/>
  <c r="AK700" i="5"/>
  <c r="AJ700" i="5"/>
  <c r="AI700" i="5"/>
  <c r="AH700" i="5"/>
  <c r="AG700" i="5"/>
  <c r="BD699" i="5"/>
  <c r="AW699" i="5"/>
  <c r="AV699" i="5"/>
  <c r="AU699" i="5"/>
  <c r="AT699" i="5"/>
  <c r="AS699" i="5"/>
  <c r="AS703" i="5" s="1"/>
  <c r="AR699" i="5"/>
  <c r="AQ699" i="5"/>
  <c r="AP699" i="5"/>
  <c r="AO699" i="5"/>
  <c r="AN699" i="5"/>
  <c r="AM699" i="5"/>
  <c r="AK699" i="5"/>
  <c r="AJ699" i="5"/>
  <c r="AI699" i="5"/>
  <c r="AH699" i="5"/>
  <c r="AG699" i="5"/>
  <c r="AG703" i="5" s="1"/>
  <c r="BC693" i="5"/>
  <c r="BB693" i="5"/>
  <c r="BA693" i="5"/>
  <c r="AZ693" i="5"/>
  <c r="AW693" i="5"/>
  <c r="AW694" i="5" s="1"/>
  <c r="AV693" i="5"/>
  <c r="AU693" i="5"/>
  <c r="AT693" i="5"/>
  <c r="AQ693" i="5"/>
  <c r="AP693" i="5"/>
  <c r="AO693" i="5"/>
  <c r="AN693" i="5"/>
  <c r="AR693" i="5"/>
  <c r="AL693" i="5"/>
  <c r="AI693" i="5"/>
  <c r="AH693" i="5"/>
  <c r="BC691" i="5"/>
  <c r="BB691" i="5"/>
  <c r="BA691" i="5"/>
  <c r="AZ691" i="5"/>
  <c r="BD691" i="5"/>
  <c r="AW691" i="5"/>
  <c r="AV691" i="5"/>
  <c r="AU691" i="5"/>
  <c r="AT691" i="5"/>
  <c r="AX691" i="5"/>
  <c r="AQ691" i="5"/>
  <c r="AP691" i="5"/>
  <c r="AO691" i="5"/>
  <c r="AN691" i="5"/>
  <c r="AK691" i="5"/>
  <c r="AJ691" i="5"/>
  <c r="AI691" i="5"/>
  <c r="AH691" i="5"/>
  <c r="AL691" i="5" s="1"/>
  <c r="BC694" i="5"/>
  <c r="BB694" i="5"/>
  <c r="BA690" i="5"/>
  <c r="AZ690" i="5"/>
  <c r="AW690" i="5"/>
  <c r="AV690" i="5"/>
  <c r="AU690" i="5"/>
  <c r="AT690" i="5"/>
  <c r="AT694" i="5" s="1"/>
  <c r="AS694" i="5"/>
  <c r="AQ690" i="5"/>
  <c r="AP690" i="5"/>
  <c r="AO690" i="5"/>
  <c r="AO694" i="5" s="1"/>
  <c r="AN690" i="5"/>
  <c r="AK690" i="5"/>
  <c r="AJ690" i="5"/>
  <c r="AI690" i="5"/>
  <c r="AH690" i="5"/>
  <c r="BA685" i="5"/>
  <c r="AW685" i="5"/>
  <c r="BC684" i="5"/>
  <c r="BB684" i="5"/>
  <c r="BA684" i="5"/>
  <c r="AZ684" i="5"/>
  <c r="AV684" i="5"/>
  <c r="AU684" i="5"/>
  <c r="AT684" i="5"/>
  <c r="AQ684" i="5"/>
  <c r="AP684" i="5"/>
  <c r="AO684" i="5"/>
  <c r="AN684" i="5"/>
  <c r="AK684" i="5"/>
  <c r="AJ684" i="5"/>
  <c r="BC682" i="5"/>
  <c r="BB682" i="5"/>
  <c r="BA682" i="5"/>
  <c r="AZ682" i="5"/>
  <c r="AW682" i="5"/>
  <c r="AV682" i="5"/>
  <c r="AU682" i="5"/>
  <c r="AT682" i="5"/>
  <c r="AQ682" i="5"/>
  <c r="AP682" i="5"/>
  <c r="AO682" i="5"/>
  <c r="AN682" i="5"/>
  <c r="AK682" i="5"/>
  <c r="AJ682" i="5"/>
  <c r="AI682" i="5"/>
  <c r="AH682" i="5"/>
  <c r="BC681" i="5"/>
  <c r="BC685" i="5" s="1"/>
  <c r="BB681" i="5"/>
  <c r="AW681" i="5"/>
  <c r="AV681" i="5"/>
  <c r="AV685" i="5" s="1"/>
  <c r="AU681" i="5"/>
  <c r="AU685" i="5" s="1"/>
  <c r="AT681" i="5"/>
  <c r="AQ681" i="5"/>
  <c r="AQ685" i="5" s="1"/>
  <c r="AP681" i="5"/>
  <c r="AO681" i="5"/>
  <c r="AN681" i="5"/>
  <c r="AM685" i="5"/>
  <c r="AK681" i="5"/>
  <c r="AK685" i="5" s="1"/>
  <c r="AJ681" i="5"/>
  <c r="AI681" i="5"/>
  <c r="AI685" i="5" s="1"/>
  <c r="AH681" i="5"/>
  <c r="AH685" i="5" s="1"/>
  <c r="BC674" i="5"/>
  <c r="BB674" i="5"/>
  <c r="BA674" i="5"/>
  <c r="AZ674" i="5"/>
  <c r="AY674" i="5"/>
  <c r="AW674" i="5"/>
  <c r="AV674" i="5"/>
  <c r="AU674" i="5"/>
  <c r="AT674" i="5"/>
  <c r="AS674" i="5"/>
  <c r="AQ674" i="5"/>
  <c r="AP674" i="5"/>
  <c r="AO674" i="5"/>
  <c r="AN674" i="5"/>
  <c r="AM674" i="5"/>
  <c r="BC672" i="5"/>
  <c r="BB672" i="5"/>
  <c r="BA672" i="5"/>
  <c r="AZ672" i="5"/>
  <c r="AY672" i="5"/>
  <c r="AW672" i="5"/>
  <c r="AV672" i="5"/>
  <c r="AV675" i="5" s="1"/>
  <c r="AU672" i="5"/>
  <c r="AU675" i="5" s="1"/>
  <c r="AT672" i="5"/>
  <c r="AT675" i="5" s="1"/>
  <c r="AS672" i="5"/>
  <c r="AQ672" i="5"/>
  <c r="AP672" i="5"/>
  <c r="AO672" i="5"/>
  <c r="AO675" i="5" s="1"/>
  <c r="AN672" i="5"/>
  <c r="AN675" i="5" s="1"/>
  <c r="AK672" i="5"/>
  <c r="AJ672" i="5"/>
  <c r="AI672" i="5"/>
  <c r="AH672" i="5"/>
  <c r="AH675" i="5" s="1"/>
  <c r="AG672" i="5"/>
  <c r="AW671" i="5"/>
  <c r="AV671" i="5"/>
  <c r="AU671" i="5"/>
  <c r="AT671" i="5"/>
  <c r="AS671" i="5"/>
  <c r="AQ671" i="5"/>
  <c r="AP671" i="5"/>
  <c r="AO671" i="5"/>
  <c r="AN671" i="5"/>
  <c r="AM671" i="5"/>
  <c r="AK671" i="5"/>
  <c r="AJ671" i="5"/>
  <c r="AI671" i="5"/>
  <c r="AH671" i="5"/>
  <c r="AG671" i="5"/>
  <c r="AQ666" i="5"/>
  <c r="BC665" i="5"/>
  <c r="BB665" i="5"/>
  <c r="BA665" i="5"/>
  <c r="AZ665" i="5"/>
  <c r="AW665" i="5"/>
  <c r="AV665" i="5"/>
  <c r="AU665" i="5"/>
  <c r="AT665" i="5"/>
  <c r="AQ665" i="5"/>
  <c r="AP665" i="5"/>
  <c r="AO665" i="5"/>
  <c r="AN665" i="5"/>
  <c r="AI665" i="5"/>
  <c r="AH665" i="5"/>
  <c r="BC663" i="5"/>
  <c r="BB663" i="5"/>
  <c r="BA663" i="5"/>
  <c r="BA666" i="5" s="1"/>
  <c r="AZ663" i="5"/>
  <c r="AW663" i="5"/>
  <c r="AV663" i="5"/>
  <c r="AU663" i="5"/>
  <c r="AT663" i="5"/>
  <c r="AQ663" i="5"/>
  <c r="AP663" i="5"/>
  <c r="AO663" i="5"/>
  <c r="AN663" i="5"/>
  <c r="AK663" i="5"/>
  <c r="AJ663" i="5"/>
  <c r="AI663" i="5"/>
  <c r="AH663" i="5"/>
  <c r="BA662" i="5"/>
  <c r="AZ662" i="5"/>
  <c r="AW662" i="5"/>
  <c r="AW666" i="5" s="1"/>
  <c r="AV662" i="5"/>
  <c r="AU662" i="5"/>
  <c r="AT662" i="5"/>
  <c r="AQ662" i="5"/>
  <c r="AP662" i="5"/>
  <c r="AP666" i="5" s="1"/>
  <c r="AO662" i="5"/>
  <c r="AO666" i="5" s="1"/>
  <c r="AN662" i="5"/>
  <c r="AK662" i="5"/>
  <c r="AJ662" i="5"/>
  <c r="AI662" i="5"/>
  <c r="AH662" i="5"/>
  <c r="AH666" i="5" s="1"/>
  <c r="AH621" i="6" a="1"/>
  <c r="AH621" i="6" s="1"/>
  <c r="AX618" i="6"/>
  <c r="AY770" i="2" a="1"/>
  <c r="AY770" i="2" s="1"/>
  <c r="AY618" i="6" a="1"/>
  <c r="AY618" i="6" s="1"/>
  <c r="AU622" i="6"/>
  <c r="AT622" i="6"/>
  <c r="AQ770" i="2"/>
  <c r="AS770" i="2"/>
  <c r="AT775" i="2"/>
  <c r="AT770" i="2"/>
  <c r="AT774" i="2" s="1"/>
  <c r="AU770" i="2"/>
  <c r="AV770" i="2"/>
  <c r="AW770" i="2"/>
  <c r="AT771" i="2"/>
  <c r="AX771" i="2" s="1"/>
  <c r="AU771" i="2"/>
  <c r="AU775" i="2" s="1"/>
  <c r="AV771" i="2"/>
  <c r="AW771" i="2"/>
  <c r="AT772" i="2"/>
  <c r="AU772" i="2"/>
  <c r="AV772" i="2"/>
  <c r="AW772" i="2"/>
  <c r="AS772" i="2"/>
  <c r="AU776" i="2" s="1"/>
  <c r="AS771" i="2"/>
  <c r="AX772" i="2"/>
  <c r="AQ772" i="2"/>
  <c r="AQ771" i="2"/>
  <c r="AQ786" i="2" a="1"/>
  <c r="AQ786" i="2" s="1"/>
  <c r="AX620" i="6"/>
  <c r="AX619" i="6"/>
  <c r="AT618" i="6"/>
  <c r="AU618" i="6"/>
  <c r="AV618" i="6"/>
  <c r="AW618" i="6"/>
  <c r="AT619" i="6"/>
  <c r="AT623" i="6" s="1"/>
  <c r="AU619" i="6"/>
  <c r="AV619" i="6"/>
  <c r="AW619" i="6"/>
  <c r="AT620" i="6"/>
  <c r="AU620" i="6"/>
  <c r="AV620" i="6"/>
  <c r="AW620" i="6"/>
  <c r="AH626" i="6" a="1"/>
  <c r="AH626" i="6" s="1"/>
  <c r="AS619" i="6"/>
  <c r="AS618" i="6"/>
  <c r="AQ618" i="6"/>
  <c r="AQ619" i="6"/>
  <c r="AH477" i="6"/>
  <c r="AH478" i="6"/>
  <c r="AG478" i="6"/>
  <c r="AG477" i="6"/>
  <c r="B621" i="6"/>
  <c r="B619" i="6"/>
  <c r="AO625" i="6"/>
  <c r="AO624" i="6"/>
  <c r="AN625" i="6"/>
  <c r="AN624" i="6"/>
  <c r="AM624" i="6"/>
  <c r="AH625" i="6" a="1"/>
  <c r="AH625" i="6" s="1"/>
  <c r="AH624" i="6" a="1"/>
  <c r="AH624" i="6" s="1"/>
  <c r="AH623" i="6" a="1"/>
  <c r="AH623" i="6" s="1"/>
  <c r="AL643" i="2"/>
  <c r="AL644" i="2"/>
  <c r="AL642" i="2"/>
  <c r="AK642" i="2"/>
  <c r="AK644" i="2"/>
  <c r="AK643" i="2"/>
  <c r="AH638" i="2"/>
  <c r="AJ638" i="2" s="1"/>
  <c r="AF641" i="2"/>
  <c r="AA641" i="2"/>
  <c r="AA480" i="6" l="1"/>
  <c r="AG476" i="6"/>
  <c r="AX766" i="5"/>
  <c r="AW768" i="5"/>
  <c r="AO768" i="5"/>
  <c r="BH768" i="5"/>
  <c r="BI768" i="5"/>
  <c r="AV759" i="5"/>
  <c r="AX757" i="5"/>
  <c r="AG759" i="5"/>
  <c r="AW759" i="5"/>
  <c r="AY759" i="5"/>
  <c r="AZ759" i="5"/>
  <c r="AP750" i="5"/>
  <c r="AZ750" i="5"/>
  <c r="BH750" i="5"/>
  <c r="AW750" i="5"/>
  <c r="AO750" i="5"/>
  <c r="BD739" i="5"/>
  <c r="AZ741" i="5"/>
  <c r="BH741" i="5"/>
  <c r="AT732" i="5"/>
  <c r="AN732" i="5"/>
  <c r="BE732" i="5"/>
  <c r="BI732" i="5"/>
  <c r="AH732" i="5"/>
  <c r="BI750" i="5"/>
  <c r="AW723" i="5"/>
  <c r="BF723" i="5"/>
  <c r="BI723" i="5"/>
  <c r="AZ712" i="5"/>
  <c r="AH712" i="5"/>
  <c r="BF712" i="5" s="1"/>
  <c r="AO712" i="5"/>
  <c r="AK712" i="5"/>
  <c r="AW712" i="5"/>
  <c r="BA712" i="5"/>
  <c r="AR701" i="5"/>
  <c r="AU703" i="5"/>
  <c r="AW703" i="5"/>
  <c r="BI703" i="5" s="1"/>
  <c r="BA703" i="5"/>
  <c r="BG703" i="5" s="1"/>
  <c r="AY703" i="5"/>
  <c r="AZ703" i="5"/>
  <c r="AH703" i="5"/>
  <c r="BF703" i="5" s="1"/>
  <c r="AP694" i="5"/>
  <c r="BA694" i="5"/>
  <c r="AI694" i="5"/>
  <c r="AY694" i="5"/>
  <c r="AZ694" i="5"/>
  <c r="AU666" i="5"/>
  <c r="AM666" i="5"/>
  <c r="BD673" i="5"/>
  <c r="AV666" i="5"/>
  <c r="AY675" i="5"/>
  <c r="AQ675" i="5"/>
  <c r="BB666" i="5"/>
  <c r="AT666" i="5"/>
  <c r="BE703" i="5"/>
  <c r="AV694" i="5"/>
  <c r="AX693" i="5"/>
  <c r="AS759" i="5"/>
  <c r="BE759" i="5" s="1"/>
  <c r="BH675" i="5"/>
  <c r="N690" i="5"/>
  <c r="S730" i="5"/>
  <c r="BF732" i="5"/>
  <c r="AQ759" i="5"/>
  <c r="AG768" i="5"/>
  <c r="BH723" i="5"/>
  <c r="AK741" i="5"/>
  <c r="BI741" i="5" s="1"/>
  <c r="AL702" i="5"/>
  <c r="B706" i="5"/>
  <c r="Z706" i="5" s="1"/>
  <c r="W475" i="5" s="1"/>
  <c r="AS712" i="5"/>
  <c r="N716" i="5"/>
  <c r="S715" i="5"/>
  <c r="AG741" i="5"/>
  <c r="AD740" i="5"/>
  <c r="AK587" i="5" s="1"/>
  <c r="BF750" i="5"/>
  <c r="AM768" i="5"/>
  <c r="BG732" i="5"/>
  <c r="BG675" i="5"/>
  <c r="AM675" i="5"/>
  <c r="AX708" i="5"/>
  <c r="H740" i="5"/>
  <c r="AY712" i="5"/>
  <c r="BD708" i="5"/>
  <c r="S729" i="5"/>
  <c r="N732" i="5"/>
  <c r="B740" i="5"/>
  <c r="Z740" i="5" s="1"/>
  <c r="AG587" i="5" s="1"/>
  <c r="G737" i="5"/>
  <c r="AM741" i="5"/>
  <c r="AT768" i="5"/>
  <c r="BF768" i="5" s="1"/>
  <c r="S679" i="5"/>
  <c r="N682" i="5"/>
  <c r="T732" i="5"/>
  <c r="Z732" i="5" s="1"/>
  <c r="AG584" i="5" s="1"/>
  <c r="Y729" i="5"/>
  <c r="AL672" i="5"/>
  <c r="AG675" i="5"/>
  <c r="AL674" i="5"/>
  <c r="T706" i="5"/>
  <c r="Y713" i="5"/>
  <c r="T716" i="5"/>
  <c r="AS723" i="5"/>
  <c r="M721" i="5"/>
  <c r="BF741" i="5"/>
  <c r="S746" i="5"/>
  <c r="AY750" i="5"/>
  <c r="BG750" i="5"/>
  <c r="H756" i="5"/>
  <c r="M753" i="5"/>
  <c r="AD756" i="5"/>
  <c r="AK589" i="5" s="1"/>
  <c r="BC666" i="5"/>
  <c r="AW675" i="5"/>
  <c r="BI675" i="5" s="1"/>
  <c r="BH732" i="5"/>
  <c r="BF675" i="5"/>
  <c r="AG666" i="5"/>
  <c r="AY723" i="5"/>
  <c r="M745" i="5"/>
  <c r="T756" i="5"/>
  <c r="BG768" i="5"/>
  <c r="BH759" i="5"/>
  <c r="AG712" i="5"/>
  <c r="AL665" i="5"/>
  <c r="AJ694" i="5"/>
  <c r="BH694" i="5" s="1"/>
  <c r="AO723" i="5"/>
  <c r="BG723" i="5"/>
  <c r="BH703" i="5"/>
  <c r="AL708" i="5"/>
  <c r="AL709" i="5"/>
  <c r="B716" i="5"/>
  <c r="G672" i="5"/>
  <c r="AJ666" i="5"/>
  <c r="AK694" i="5"/>
  <c r="BI694" i="5" s="1"/>
  <c r="BH712" i="5"/>
  <c r="AM712" i="5"/>
  <c r="S737" i="5"/>
  <c r="AM750" i="5"/>
  <c r="AN759" i="5"/>
  <c r="AY768" i="5"/>
  <c r="AS768" i="5"/>
  <c r="AK666" i="5"/>
  <c r="AS675" i="5"/>
  <c r="Y703" i="5"/>
  <c r="AR711" i="5"/>
  <c r="Y723" i="5"/>
  <c r="T740" i="5"/>
  <c r="Y737" i="5"/>
  <c r="Y747" i="5"/>
  <c r="AG750" i="5"/>
  <c r="N756" i="5"/>
  <c r="Z756" i="5" s="1"/>
  <c r="AG589" i="5" s="1"/>
  <c r="AO759" i="5"/>
  <c r="BG759" i="5" s="1"/>
  <c r="Y679" i="5"/>
  <c r="AL690" i="5"/>
  <c r="AU694" i="5"/>
  <c r="BG694" i="5" s="1"/>
  <c r="AN685" i="5"/>
  <c r="AP685" i="5"/>
  <c r="AG694" i="5"/>
  <c r="BE694" i="5" s="1"/>
  <c r="AY666" i="5"/>
  <c r="AH694" i="5"/>
  <c r="AI666" i="5"/>
  <c r="BG666" i="5" s="1"/>
  <c r="AJ685" i="5"/>
  <c r="AL699" i="5"/>
  <c r="AO685" i="5"/>
  <c r="BE685" i="5"/>
  <c r="BI685" i="5"/>
  <c r="BE666" i="5"/>
  <c r="BB685" i="5"/>
  <c r="AX690" i="5"/>
  <c r="AL662" i="5"/>
  <c r="AT685" i="5"/>
  <c r="AX699" i="5"/>
  <c r="AN666" i="5"/>
  <c r="BF666" i="5" s="1"/>
  <c r="AR690" i="5"/>
  <c r="BD690" i="5"/>
  <c r="AU774" i="2"/>
  <c r="AX770" i="2"/>
  <c r="AT776" i="2"/>
  <c r="AU623" i="6"/>
  <c r="AO626" i="6"/>
  <c r="AN626" i="6"/>
  <c r="AQ620" i="6"/>
  <c r="AS620" i="6" s="1"/>
  <c r="BI759" i="5" l="1"/>
  <c r="BF759" i="5"/>
  <c r="BE741" i="5"/>
  <c r="BE723" i="5"/>
  <c r="BI712" i="5"/>
  <c r="BG712" i="5"/>
  <c r="BF694" i="5"/>
  <c r="BI666" i="5"/>
  <c r="BH666" i="5"/>
  <c r="BF685" i="5"/>
  <c r="BE750" i="5"/>
  <c r="BE768" i="5"/>
  <c r="Z716" i="5"/>
  <c r="BH685" i="5"/>
  <c r="BE712" i="5"/>
  <c r="BE675" i="5"/>
  <c r="BG685" i="5"/>
  <c r="AU624" i="6"/>
  <c r="AT624" i="6"/>
  <c r="AH622" i="6" l="1" a="1"/>
  <c r="AH622" i="6" s="1"/>
  <c r="AH618" i="6" a="1"/>
  <c r="AH618" i="6" s="1"/>
  <c r="AH617" i="6" a="1"/>
  <c r="AH617" i="6" s="1"/>
  <c r="AH616" i="6" a="1"/>
  <c r="AH616" i="6" s="1"/>
  <c r="AK629" i="6"/>
  <c r="AI630" i="6"/>
  <c r="AK628" i="6"/>
  <c r="AJ629" i="6"/>
  <c r="AI629" i="6"/>
  <c r="AQ781" i="2" a="1"/>
  <c r="AQ781" i="2" s="1"/>
  <c r="AK638" i="2"/>
  <c r="AO638" i="2" s="1"/>
  <c r="AL638" i="2"/>
  <c r="AM638" i="2"/>
  <c r="AK639" i="2"/>
  <c r="AL639" i="2"/>
  <c r="AM639" i="2"/>
  <c r="AK640" i="2"/>
  <c r="AO640" i="2" s="1"/>
  <c r="AL640" i="2"/>
  <c r="AM640" i="2"/>
  <c r="AJ640" i="2"/>
  <c r="AJ639" i="2"/>
  <c r="AH640" i="2"/>
  <c r="AO639" i="2"/>
  <c r="AH639" i="2"/>
  <c r="AM472" i="6"/>
  <c r="AN472" i="6"/>
  <c r="AO472" i="6"/>
  <c r="AM471" i="6"/>
  <c r="AN471" i="6"/>
  <c r="AO471" i="6"/>
  <c r="AM470" i="6"/>
  <c r="AM474" i="6" s="1"/>
  <c r="AN470" i="6"/>
  <c r="AO470" i="6"/>
  <c r="AL472" i="6"/>
  <c r="AL471" i="6"/>
  <c r="AJ471" i="6"/>
  <c r="AJ472" i="6"/>
  <c r="AF476" i="6"/>
  <c r="AC641" i="2"/>
  <c r="AA642" i="2"/>
  <c r="AB642" i="2"/>
  <c r="AC642" i="2"/>
  <c r="AD642" i="2"/>
  <c r="AA643" i="2"/>
  <c r="AB643" i="2"/>
  <c r="AC643" i="2"/>
  <c r="AD643" i="2"/>
  <c r="AB641" i="2"/>
  <c r="AD641" i="2"/>
  <c r="AE641" i="2"/>
  <c r="AE642" i="2"/>
  <c r="AE643" i="2"/>
  <c r="AB480" i="6"/>
  <c r="AC480" i="6"/>
  <c r="AD480" i="6"/>
  <c r="AE480" i="6"/>
  <c r="AB481" i="6"/>
  <c r="AC481" i="6"/>
  <c r="AD481" i="6"/>
  <c r="AE481" i="6"/>
  <c r="AB482" i="6"/>
  <c r="AC482" i="6"/>
  <c r="AD482" i="6"/>
  <c r="AE482" i="6"/>
  <c r="AA481" i="6"/>
  <c r="AA482" i="6"/>
  <c r="AA474" i="6" a="1"/>
  <c r="AA474" i="6" s="1"/>
  <c r="AF478" i="6"/>
  <c r="AF477" i="6"/>
  <c r="AF473" i="6"/>
  <c r="AA478" i="6" a="1"/>
  <c r="AA478" i="6" s="1"/>
  <c r="AA477" i="6" a="1"/>
  <c r="AA477" i="6" s="1"/>
  <c r="AA475" i="6" a="1"/>
  <c r="AA475" i="6" s="1"/>
  <c r="AA473" i="6" a="1"/>
  <c r="AA473" i="6" s="1"/>
  <c r="AA470" i="6" a="1"/>
  <c r="AA470" i="6" s="1"/>
  <c r="AA469" i="6" a="1"/>
  <c r="AA469" i="6" s="1"/>
  <c r="AA468" i="6" a="1"/>
  <c r="AA468" i="6" s="1"/>
  <c r="H627" i="6"/>
  <c r="V529" i="6"/>
  <c r="W553" i="6"/>
  <c r="B630" i="6"/>
  <c r="B622" i="6"/>
  <c r="B614" i="6"/>
  <c r="B606" i="6"/>
  <c r="B598" i="6"/>
  <c r="B590" i="6"/>
  <c r="B582" i="6"/>
  <c r="B574" i="6"/>
  <c r="B566" i="6"/>
  <c r="B556" i="6"/>
  <c r="B548" i="6"/>
  <c r="B540" i="6"/>
  <c r="B532" i="6"/>
  <c r="B524" i="6"/>
  <c r="B516" i="6"/>
  <c r="B508" i="6"/>
  <c r="B499" i="6"/>
  <c r="H790" i="2"/>
  <c r="H799" i="2"/>
  <c r="H808" i="2"/>
  <c r="F808" i="2"/>
  <c r="B808" i="2"/>
  <c r="B799" i="2"/>
  <c r="B790" i="2"/>
  <c r="B781" i="2"/>
  <c r="B772" i="2"/>
  <c r="B763" i="2"/>
  <c r="B754" i="2"/>
  <c r="B745" i="2"/>
  <c r="B736" i="2"/>
  <c r="B725" i="2"/>
  <c r="B716" i="2"/>
  <c r="B707" i="2"/>
  <c r="B689" i="2"/>
  <c r="B680" i="2"/>
  <c r="B671" i="2"/>
  <c r="B662" i="2"/>
  <c r="B653" i="2"/>
  <c r="C653" i="2"/>
  <c r="B665" i="5"/>
  <c r="E582" i="4"/>
  <c r="D582" i="4"/>
  <c r="C582" i="4"/>
  <c r="N582" i="4"/>
  <c r="H582" i="4"/>
  <c r="B558" i="4"/>
  <c r="B566" i="4"/>
  <c r="B574" i="4"/>
  <c r="B582" i="4"/>
  <c r="B550" i="4"/>
  <c r="B542" i="4"/>
  <c r="B532" i="4"/>
  <c r="B524" i="4"/>
  <c r="H532" i="4"/>
  <c r="H524" i="4"/>
  <c r="C524" i="4"/>
  <c r="B516" i="4"/>
  <c r="B508" i="4"/>
  <c r="B499" i="4"/>
  <c r="B491" i="4"/>
  <c r="C491" i="4"/>
  <c r="R508" i="6"/>
  <c r="Q508" i="6"/>
  <c r="P508" i="6"/>
  <c r="O508" i="6"/>
  <c r="N508" i="6"/>
  <c r="L508" i="6"/>
  <c r="K508" i="6"/>
  <c r="J508" i="6"/>
  <c r="I508" i="6"/>
  <c r="H508" i="6"/>
  <c r="F508" i="6"/>
  <c r="E508" i="6"/>
  <c r="D508" i="6"/>
  <c r="C508" i="6"/>
  <c r="X499" i="6"/>
  <c r="W499" i="6"/>
  <c r="V499" i="6"/>
  <c r="U499" i="6"/>
  <c r="T499" i="6"/>
  <c r="R499" i="6"/>
  <c r="Q499" i="6"/>
  <c r="P499" i="6"/>
  <c r="O499" i="6"/>
  <c r="N499" i="6"/>
  <c r="L499" i="6"/>
  <c r="K499" i="6"/>
  <c r="J499" i="6"/>
  <c r="I499" i="6"/>
  <c r="H499" i="6"/>
  <c r="F499" i="6"/>
  <c r="E499" i="6"/>
  <c r="D499" i="6"/>
  <c r="C499" i="6"/>
  <c r="X491" i="6"/>
  <c r="W491" i="6"/>
  <c r="V491" i="6"/>
  <c r="U491" i="6"/>
  <c r="T491" i="6"/>
  <c r="R491" i="6"/>
  <c r="Q491" i="6"/>
  <c r="P491" i="6"/>
  <c r="O491" i="6"/>
  <c r="N491" i="6"/>
  <c r="L491" i="6"/>
  <c r="K491" i="6"/>
  <c r="J491" i="6"/>
  <c r="I491" i="6"/>
  <c r="H491" i="6"/>
  <c r="C491" i="6"/>
  <c r="D491" i="6"/>
  <c r="E491" i="6"/>
  <c r="F491" i="6"/>
  <c r="B491" i="6"/>
  <c r="X629" i="6"/>
  <c r="W629" i="6"/>
  <c r="V629" i="6"/>
  <c r="U629" i="6"/>
  <c r="T629" i="6"/>
  <c r="X628" i="6"/>
  <c r="W628" i="6"/>
  <c r="V628" i="6"/>
  <c r="U628" i="6"/>
  <c r="T628" i="6"/>
  <c r="X627" i="6"/>
  <c r="W627" i="6"/>
  <c r="V627" i="6"/>
  <c r="U627" i="6"/>
  <c r="T627" i="6"/>
  <c r="X621" i="6"/>
  <c r="W621" i="6"/>
  <c r="V621" i="6"/>
  <c r="U621" i="6"/>
  <c r="T621" i="6"/>
  <c r="X620" i="6"/>
  <c r="W620" i="6"/>
  <c r="V620" i="6"/>
  <c r="U620" i="6"/>
  <c r="T620" i="6"/>
  <c r="X619" i="6"/>
  <c r="W619" i="6"/>
  <c r="V619" i="6"/>
  <c r="U619" i="6"/>
  <c r="T619" i="6"/>
  <c r="X613" i="6"/>
  <c r="W613" i="6"/>
  <c r="V613" i="6"/>
  <c r="U613" i="6"/>
  <c r="T613" i="6"/>
  <c r="X612" i="6"/>
  <c r="W612" i="6"/>
  <c r="V612" i="6"/>
  <c r="U612" i="6"/>
  <c r="T612" i="6"/>
  <c r="X611" i="6"/>
  <c r="W611" i="6"/>
  <c r="V611" i="6"/>
  <c r="U611" i="6"/>
  <c r="T611" i="6"/>
  <c r="R629" i="6"/>
  <c r="Q629" i="6"/>
  <c r="P629" i="6"/>
  <c r="O629" i="6"/>
  <c r="N629" i="6"/>
  <c r="R628" i="6"/>
  <c r="Q628" i="6"/>
  <c r="P628" i="6"/>
  <c r="O628" i="6"/>
  <c r="N628" i="6"/>
  <c r="R627" i="6"/>
  <c r="Q627" i="6"/>
  <c r="P627" i="6"/>
  <c r="O627" i="6"/>
  <c r="N627" i="6"/>
  <c r="R621" i="6"/>
  <c r="Q621" i="6"/>
  <c r="P621" i="6"/>
  <c r="O621" i="6"/>
  <c r="N621" i="6"/>
  <c r="R620" i="6"/>
  <c r="Q620" i="6"/>
  <c r="P620" i="6"/>
  <c r="O620" i="6"/>
  <c r="N620" i="6"/>
  <c r="R619" i="6"/>
  <c r="Q619" i="6"/>
  <c r="P619" i="6"/>
  <c r="O619" i="6"/>
  <c r="N619" i="6"/>
  <c r="R613" i="6"/>
  <c r="Q613" i="6"/>
  <c r="P613" i="6"/>
  <c r="O613" i="6"/>
  <c r="N613" i="6"/>
  <c r="R612" i="6"/>
  <c r="Q612" i="6"/>
  <c r="P612" i="6"/>
  <c r="O612" i="6"/>
  <c r="N612" i="6"/>
  <c r="R611" i="6"/>
  <c r="Q611" i="6"/>
  <c r="P611" i="6"/>
  <c r="O611" i="6"/>
  <c r="N611" i="6"/>
  <c r="L629" i="6"/>
  <c r="K629" i="6"/>
  <c r="J629" i="6"/>
  <c r="I629" i="6"/>
  <c r="H629" i="6"/>
  <c r="L628" i="6"/>
  <c r="K628" i="6"/>
  <c r="J628" i="6"/>
  <c r="I628" i="6"/>
  <c r="H628" i="6"/>
  <c r="L627" i="6"/>
  <c r="K627" i="6"/>
  <c r="J627" i="6"/>
  <c r="I627" i="6"/>
  <c r="L621" i="6"/>
  <c r="K621" i="6"/>
  <c r="J621" i="6"/>
  <c r="I621" i="6"/>
  <c r="H621" i="6"/>
  <c r="L620" i="6"/>
  <c r="K620" i="6"/>
  <c r="J620" i="6"/>
  <c r="I620" i="6"/>
  <c r="H620" i="6"/>
  <c r="L619" i="6"/>
  <c r="K619" i="6"/>
  <c r="J619" i="6"/>
  <c r="I619" i="6"/>
  <c r="H619" i="6"/>
  <c r="L613" i="6"/>
  <c r="K613" i="6"/>
  <c r="J613" i="6"/>
  <c r="I613" i="6"/>
  <c r="H613" i="6"/>
  <c r="L612" i="6"/>
  <c r="K612" i="6"/>
  <c r="J612" i="6"/>
  <c r="I612" i="6"/>
  <c r="H612" i="6"/>
  <c r="L611" i="6"/>
  <c r="K611" i="6"/>
  <c r="J611" i="6"/>
  <c r="I611" i="6"/>
  <c r="H611" i="6"/>
  <c r="F629" i="6"/>
  <c r="E629" i="6"/>
  <c r="D629" i="6"/>
  <c r="C629" i="6"/>
  <c r="B629" i="6"/>
  <c r="F628" i="6"/>
  <c r="E628" i="6"/>
  <c r="D628" i="6"/>
  <c r="C628" i="6"/>
  <c r="B628" i="6"/>
  <c r="F627" i="6"/>
  <c r="E627" i="6"/>
  <c r="D627" i="6"/>
  <c r="C627" i="6"/>
  <c r="B627" i="6"/>
  <c r="F621" i="6"/>
  <c r="E621" i="6"/>
  <c r="D621" i="6"/>
  <c r="C621" i="6"/>
  <c r="F620" i="6"/>
  <c r="E620" i="6"/>
  <c r="D620" i="6"/>
  <c r="C620" i="6"/>
  <c r="B620" i="6"/>
  <c r="F619" i="6"/>
  <c r="E619" i="6"/>
  <c r="D619" i="6"/>
  <c r="C619" i="6"/>
  <c r="F613" i="6"/>
  <c r="E613" i="6"/>
  <c r="D613" i="6"/>
  <c r="C613" i="6"/>
  <c r="B613" i="6"/>
  <c r="F612" i="6"/>
  <c r="E612" i="6"/>
  <c r="D612" i="6"/>
  <c r="C612" i="6"/>
  <c r="B612" i="6"/>
  <c r="F611" i="6"/>
  <c r="E611" i="6"/>
  <c r="D611" i="6"/>
  <c r="C611" i="6"/>
  <c r="B611" i="6"/>
  <c r="Y629" i="6"/>
  <c r="S629" i="6"/>
  <c r="M629" i="6"/>
  <c r="G629" i="6"/>
  <c r="Y628" i="6"/>
  <c r="S628" i="6"/>
  <c r="M628" i="6"/>
  <c r="G628" i="6"/>
  <c r="X630" i="6"/>
  <c r="W630" i="6"/>
  <c r="V630" i="6"/>
  <c r="U630" i="6"/>
  <c r="T630" i="6"/>
  <c r="R630" i="6"/>
  <c r="Q630" i="6"/>
  <c r="P630" i="6"/>
  <c r="O630" i="6"/>
  <c r="N630" i="6"/>
  <c r="M627" i="6"/>
  <c r="L630" i="6"/>
  <c r="K630" i="6"/>
  <c r="J630" i="6"/>
  <c r="I630" i="6"/>
  <c r="H630" i="6"/>
  <c r="F630" i="6"/>
  <c r="G627" i="6"/>
  <c r="D630" i="6"/>
  <c r="C630" i="6"/>
  <c r="AA630" i="6" s="1"/>
  <c r="U622" i="6"/>
  <c r="T622" i="6"/>
  <c r="Q622" i="6"/>
  <c r="P622" i="6"/>
  <c r="L622" i="6"/>
  <c r="K622" i="6"/>
  <c r="I622" i="6"/>
  <c r="H622" i="6"/>
  <c r="Y621" i="6"/>
  <c r="S621" i="6"/>
  <c r="M621" i="6"/>
  <c r="G621" i="6"/>
  <c r="Y620" i="6"/>
  <c r="S620" i="6"/>
  <c r="M620" i="6"/>
  <c r="G620" i="6"/>
  <c r="X622" i="6"/>
  <c r="W622" i="6"/>
  <c r="V622" i="6"/>
  <c r="R622" i="6"/>
  <c r="O622" i="6"/>
  <c r="S619" i="6"/>
  <c r="J622" i="6"/>
  <c r="M619" i="6"/>
  <c r="G619" i="6"/>
  <c r="F622" i="6"/>
  <c r="E622" i="6"/>
  <c r="AC622" i="6" s="1"/>
  <c r="D622" i="6"/>
  <c r="C622" i="6"/>
  <c r="AA622" i="6" s="1"/>
  <c r="V614" i="6"/>
  <c r="U614" i="6"/>
  <c r="T614" i="6"/>
  <c r="R614" i="6"/>
  <c r="Q614" i="6"/>
  <c r="N614" i="6"/>
  <c r="L614" i="6"/>
  <c r="J614" i="6"/>
  <c r="I614" i="6"/>
  <c r="Y613" i="6"/>
  <c r="S613" i="6"/>
  <c r="M613" i="6"/>
  <c r="G613" i="6"/>
  <c r="Y612" i="6"/>
  <c r="S612" i="6"/>
  <c r="M612" i="6"/>
  <c r="G612" i="6"/>
  <c r="X614" i="6"/>
  <c r="W614" i="6"/>
  <c r="P614" i="6"/>
  <c r="S611" i="6"/>
  <c r="K614" i="6"/>
  <c r="H614" i="6"/>
  <c r="G611" i="6"/>
  <c r="F614" i="6"/>
  <c r="E614" i="6"/>
  <c r="AC614" i="6" s="1"/>
  <c r="D614" i="6"/>
  <c r="C614" i="6"/>
  <c r="X555" i="6"/>
  <c r="W555" i="6"/>
  <c r="V555" i="6"/>
  <c r="U555" i="6"/>
  <c r="T555" i="6"/>
  <c r="X554" i="6"/>
  <c r="W554" i="6"/>
  <c r="V554" i="6"/>
  <c r="U554" i="6"/>
  <c r="T554" i="6"/>
  <c r="X553" i="6"/>
  <c r="V553" i="6"/>
  <c r="U553" i="6"/>
  <c r="T553" i="6"/>
  <c r="R555" i="6"/>
  <c r="Q555" i="6"/>
  <c r="P555" i="6"/>
  <c r="O555" i="6"/>
  <c r="N555" i="6"/>
  <c r="R554" i="6"/>
  <c r="Q554" i="6"/>
  <c r="P554" i="6"/>
  <c r="O554" i="6"/>
  <c r="N554" i="6"/>
  <c r="R553" i="6"/>
  <c r="Q553" i="6"/>
  <c r="P553" i="6"/>
  <c r="O553" i="6"/>
  <c r="N553" i="6"/>
  <c r="X547" i="6"/>
  <c r="W547" i="6"/>
  <c r="V547" i="6"/>
  <c r="U547" i="6"/>
  <c r="T547" i="6"/>
  <c r="X546" i="6"/>
  <c r="W546" i="6"/>
  <c r="V546" i="6"/>
  <c r="U546" i="6"/>
  <c r="T546" i="6"/>
  <c r="X545" i="6"/>
  <c r="W545" i="6"/>
  <c r="V545" i="6"/>
  <c r="U545" i="6"/>
  <c r="T545" i="6"/>
  <c r="R547" i="6"/>
  <c r="Q547" i="6"/>
  <c r="P547" i="6"/>
  <c r="O547" i="6"/>
  <c r="N547" i="6"/>
  <c r="R546" i="6"/>
  <c r="Q546" i="6"/>
  <c r="P546" i="6"/>
  <c r="O546" i="6"/>
  <c r="N546" i="6"/>
  <c r="R545" i="6"/>
  <c r="Q545" i="6"/>
  <c r="P545" i="6"/>
  <c r="O545" i="6"/>
  <c r="N545" i="6"/>
  <c r="X539" i="6"/>
  <c r="W539" i="6"/>
  <c r="V539" i="6"/>
  <c r="U539" i="6"/>
  <c r="T539" i="6"/>
  <c r="X538" i="6"/>
  <c r="W538" i="6"/>
  <c r="V538" i="6"/>
  <c r="U538" i="6"/>
  <c r="T538" i="6"/>
  <c r="X537" i="6"/>
  <c r="W537" i="6"/>
  <c r="V537" i="6"/>
  <c r="U537" i="6"/>
  <c r="T537" i="6"/>
  <c r="R539" i="6"/>
  <c r="Q539" i="6"/>
  <c r="P539" i="6"/>
  <c r="O539" i="6"/>
  <c r="N539" i="6"/>
  <c r="R538" i="6"/>
  <c r="Q538" i="6"/>
  <c r="P538" i="6"/>
  <c r="O538" i="6"/>
  <c r="N538" i="6"/>
  <c r="R537" i="6"/>
  <c r="Q537" i="6"/>
  <c r="P537" i="6"/>
  <c r="O537" i="6"/>
  <c r="N537" i="6"/>
  <c r="L555" i="6"/>
  <c r="K555" i="6"/>
  <c r="J555" i="6"/>
  <c r="I555" i="6"/>
  <c r="H555" i="6"/>
  <c r="L554" i="6"/>
  <c r="K554" i="6"/>
  <c r="J554" i="6"/>
  <c r="I554" i="6"/>
  <c r="H554" i="6"/>
  <c r="L553" i="6"/>
  <c r="K553" i="6"/>
  <c r="J553" i="6"/>
  <c r="I553" i="6"/>
  <c r="H553" i="6"/>
  <c r="L547" i="6"/>
  <c r="K547" i="6"/>
  <c r="J547" i="6"/>
  <c r="I547" i="6"/>
  <c r="H547" i="6"/>
  <c r="L546" i="6"/>
  <c r="K546" i="6"/>
  <c r="J546" i="6"/>
  <c r="I546" i="6"/>
  <c r="H546" i="6"/>
  <c r="L545" i="6"/>
  <c r="K545" i="6"/>
  <c r="J545" i="6"/>
  <c r="I545" i="6"/>
  <c r="H545" i="6"/>
  <c r="L539" i="6"/>
  <c r="K539" i="6"/>
  <c r="J539" i="6"/>
  <c r="I539" i="6"/>
  <c r="H539" i="6"/>
  <c r="L538" i="6"/>
  <c r="K538" i="6"/>
  <c r="J538" i="6"/>
  <c r="I538" i="6"/>
  <c r="H538" i="6"/>
  <c r="L537" i="6"/>
  <c r="K537" i="6"/>
  <c r="J537" i="6"/>
  <c r="I537" i="6"/>
  <c r="H537" i="6"/>
  <c r="F555" i="6"/>
  <c r="E555" i="6"/>
  <c r="D555" i="6"/>
  <c r="C555" i="6"/>
  <c r="B555" i="6"/>
  <c r="F554" i="6"/>
  <c r="E554" i="6"/>
  <c r="D554" i="6"/>
  <c r="C554" i="6"/>
  <c r="B554" i="6"/>
  <c r="F553" i="6"/>
  <c r="E553" i="6"/>
  <c r="D553" i="6"/>
  <c r="C553" i="6"/>
  <c r="B553" i="6"/>
  <c r="F547" i="6"/>
  <c r="E547" i="6"/>
  <c r="D547" i="6"/>
  <c r="C547" i="6"/>
  <c r="B547" i="6"/>
  <c r="F546" i="6"/>
  <c r="E546" i="6"/>
  <c r="D546" i="6"/>
  <c r="C546" i="6"/>
  <c r="B546" i="6"/>
  <c r="F545" i="6"/>
  <c r="E545" i="6"/>
  <c r="D545" i="6"/>
  <c r="C545" i="6"/>
  <c r="B545" i="6"/>
  <c r="F539" i="6"/>
  <c r="E539" i="6"/>
  <c r="D539" i="6"/>
  <c r="C539" i="6"/>
  <c r="B539" i="6"/>
  <c r="F538" i="6"/>
  <c r="E538" i="6"/>
  <c r="D538" i="6"/>
  <c r="C538" i="6"/>
  <c r="B538" i="6"/>
  <c r="F537" i="6"/>
  <c r="E537" i="6"/>
  <c r="D537" i="6"/>
  <c r="C537" i="6"/>
  <c r="B537" i="6"/>
  <c r="Y555" i="6"/>
  <c r="S555" i="6"/>
  <c r="M555" i="6"/>
  <c r="G555" i="6"/>
  <c r="Y554" i="6"/>
  <c r="S554" i="6"/>
  <c r="M554" i="6"/>
  <c r="G554" i="6"/>
  <c r="X556" i="6"/>
  <c r="W556" i="6"/>
  <c r="V556" i="6"/>
  <c r="U556" i="6"/>
  <c r="T556" i="6"/>
  <c r="S553" i="6"/>
  <c r="R556" i="6"/>
  <c r="Q556" i="6"/>
  <c r="P556" i="6"/>
  <c r="O556" i="6"/>
  <c r="N556" i="6"/>
  <c r="M553" i="6"/>
  <c r="L556" i="6"/>
  <c r="K556" i="6"/>
  <c r="J556" i="6"/>
  <c r="I556" i="6"/>
  <c r="H556" i="6"/>
  <c r="F556" i="6"/>
  <c r="E556" i="6"/>
  <c r="D556" i="6"/>
  <c r="G553" i="6"/>
  <c r="W548" i="6"/>
  <c r="P548" i="6"/>
  <c r="Y547" i="6"/>
  <c r="S547" i="6"/>
  <c r="M547" i="6"/>
  <c r="G547" i="6"/>
  <c r="Y546" i="6"/>
  <c r="S546" i="6"/>
  <c r="M546" i="6"/>
  <c r="G546" i="6"/>
  <c r="X548" i="6"/>
  <c r="V548" i="6"/>
  <c r="U548" i="6"/>
  <c r="T548" i="6"/>
  <c r="R548" i="6"/>
  <c r="Q548" i="6"/>
  <c r="O548" i="6"/>
  <c r="S545" i="6"/>
  <c r="L548" i="6"/>
  <c r="K548" i="6"/>
  <c r="J548" i="6"/>
  <c r="I548" i="6"/>
  <c r="H548" i="6"/>
  <c r="F548" i="6"/>
  <c r="E548" i="6"/>
  <c r="D548" i="6"/>
  <c r="C548" i="6"/>
  <c r="X540" i="6"/>
  <c r="Q540" i="6"/>
  <c r="P540" i="6"/>
  <c r="K540" i="6"/>
  <c r="H540" i="6"/>
  <c r="Y539" i="6"/>
  <c r="S539" i="6"/>
  <c r="M539" i="6"/>
  <c r="G539" i="6"/>
  <c r="Y538" i="6"/>
  <c r="S538" i="6"/>
  <c r="M538" i="6"/>
  <c r="G538" i="6"/>
  <c r="W540" i="6"/>
  <c r="V540" i="6"/>
  <c r="U540" i="6"/>
  <c r="T540" i="6"/>
  <c r="R540" i="6"/>
  <c r="O540" i="6"/>
  <c r="N540" i="6"/>
  <c r="M537" i="6"/>
  <c r="L540" i="6"/>
  <c r="J540" i="6"/>
  <c r="I540" i="6"/>
  <c r="G537" i="6"/>
  <c r="F540" i="6"/>
  <c r="E540" i="6"/>
  <c r="D540" i="6"/>
  <c r="C540" i="6"/>
  <c r="AA540" i="6" s="1"/>
  <c r="B488" i="6"/>
  <c r="T606" i="6"/>
  <c r="P606" i="6"/>
  <c r="L606" i="6"/>
  <c r="J606" i="6"/>
  <c r="H606" i="6"/>
  <c r="Y605" i="6"/>
  <c r="X605" i="6"/>
  <c r="W605" i="6"/>
  <c r="V605" i="6"/>
  <c r="U605" i="6"/>
  <c r="T605" i="6"/>
  <c r="R605" i="6"/>
  <c r="Q605" i="6"/>
  <c r="S605" i="6" s="1"/>
  <c r="P605" i="6"/>
  <c r="O605" i="6"/>
  <c r="N605" i="6"/>
  <c r="L605" i="6"/>
  <c r="K605" i="6"/>
  <c r="J605" i="6"/>
  <c r="I605" i="6"/>
  <c r="M605" i="6" s="1"/>
  <c r="H605" i="6"/>
  <c r="G605" i="6"/>
  <c r="F605" i="6"/>
  <c r="E605" i="6"/>
  <c r="D605" i="6"/>
  <c r="C605" i="6"/>
  <c r="B605" i="6"/>
  <c r="Y604" i="6"/>
  <c r="X604" i="6"/>
  <c r="W604" i="6"/>
  <c r="V604" i="6"/>
  <c r="U604" i="6"/>
  <c r="T604" i="6"/>
  <c r="R604" i="6"/>
  <c r="Q604" i="6"/>
  <c r="P604" i="6"/>
  <c r="O604" i="6"/>
  <c r="S604" i="6" s="1"/>
  <c r="N604" i="6"/>
  <c r="L604" i="6"/>
  <c r="K604" i="6"/>
  <c r="J604" i="6"/>
  <c r="I604" i="6"/>
  <c r="M604" i="6" s="1"/>
  <c r="H604" i="6"/>
  <c r="G604" i="6"/>
  <c r="F604" i="6"/>
  <c r="E604" i="6"/>
  <c r="D604" i="6"/>
  <c r="C604" i="6"/>
  <c r="B604" i="6"/>
  <c r="Y603" i="6"/>
  <c r="X603" i="6"/>
  <c r="X606" i="6" s="1"/>
  <c r="W603" i="6"/>
  <c r="W606" i="6" s="1"/>
  <c r="V603" i="6"/>
  <c r="V606" i="6" s="1"/>
  <c r="U603" i="6"/>
  <c r="U606" i="6" s="1"/>
  <c r="T603" i="6"/>
  <c r="R603" i="6"/>
  <c r="R606" i="6" s="1"/>
  <c r="Q603" i="6"/>
  <c r="Q606" i="6" s="1"/>
  <c r="P603" i="6"/>
  <c r="O603" i="6"/>
  <c r="O606" i="6" s="1"/>
  <c r="N603" i="6"/>
  <c r="N606" i="6" s="1"/>
  <c r="L603" i="6"/>
  <c r="K603" i="6"/>
  <c r="K606" i="6" s="1"/>
  <c r="J603" i="6"/>
  <c r="I603" i="6"/>
  <c r="I606" i="6" s="1"/>
  <c r="H603" i="6"/>
  <c r="G603" i="6"/>
  <c r="F603" i="6"/>
  <c r="F606" i="6" s="1"/>
  <c r="E603" i="6"/>
  <c r="E606" i="6" s="1"/>
  <c r="D603" i="6"/>
  <c r="D606" i="6" s="1"/>
  <c r="AB606" i="6" s="1"/>
  <c r="C603" i="6"/>
  <c r="C606" i="6" s="1"/>
  <c r="B603" i="6"/>
  <c r="N598" i="6"/>
  <c r="K598" i="6"/>
  <c r="Y597" i="6"/>
  <c r="X597" i="6"/>
  <c r="W597" i="6"/>
  <c r="V597" i="6"/>
  <c r="U597" i="6"/>
  <c r="T597" i="6"/>
  <c r="R597" i="6"/>
  <c r="Q597" i="6"/>
  <c r="P597" i="6"/>
  <c r="S597" i="6" s="1"/>
  <c r="O597" i="6"/>
  <c r="N597" i="6"/>
  <c r="L597" i="6"/>
  <c r="K597" i="6"/>
  <c r="J597" i="6"/>
  <c r="I597" i="6"/>
  <c r="M597" i="6" s="1"/>
  <c r="H597" i="6"/>
  <c r="F597" i="6"/>
  <c r="E597" i="6"/>
  <c r="D597" i="6"/>
  <c r="C597" i="6"/>
  <c r="B597" i="6"/>
  <c r="G597" i="6" s="1"/>
  <c r="Y596" i="6"/>
  <c r="X596" i="6"/>
  <c r="W596" i="6"/>
  <c r="V596" i="6"/>
  <c r="U596" i="6"/>
  <c r="T596" i="6"/>
  <c r="R596" i="6"/>
  <c r="Q596" i="6"/>
  <c r="P596" i="6"/>
  <c r="S596" i="6" s="1"/>
  <c r="O596" i="6"/>
  <c r="N596" i="6"/>
  <c r="L596" i="6"/>
  <c r="K596" i="6"/>
  <c r="J596" i="6"/>
  <c r="I596" i="6"/>
  <c r="M596" i="6" s="1"/>
  <c r="H596" i="6"/>
  <c r="F596" i="6"/>
  <c r="E596" i="6"/>
  <c r="D596" i="6"/>
  <c r="C596" i="6"/>
  <c r="B596" i="6"/>
  <c r="G596" i="6" s="1"/>
  <c r="Y595" i="6"/>
  <c r="X595" i="6"/>
  <c r="X598" i="6" s="1"/>
  <c r="W595" i="6"/>
  <c r="W598" i="6" s="1"/>
  <c r="V595" i="6"/>
  <c r="V598" i="6" s="1"/>
  <c r="U595" i="6"/>
  <c r="U598" i="6" s="1"/>
  <c r="T595" i="6"/>
  <c r="T598" i="6" s="1"/>
  <c r="R595" i="6"/>
  <c r="R598" i="6" s="1"/>
  <c r="Q595" i="6"/>
  <c r="Q598" i="6" s="1"/>
  <c r="P595" i="6"/>
  <c r="S595" i="6" s="1"/>
  <c r="O595" i="6"/>
  <c r="O598" i="6" s="1"/>
  <c r="N595" i="6"/>
  <c r="L595" i="6"/>
  <c r="L598" i="6" s="1"/>
  <c r="K595" i="6"/>
  <c r="J595" i="6"/>
  <c r="J598" i="6" s="1"/>
  <c r="I595" i="6"/>
  <c r="I598" i="6" s="1"/>
  <c r="H595" i="6"/>
  <c r="H598" i="6" s="1"/>
  <c r="F595" i="6"/>
  <c r="F598" i="6" s="1"/>
  <c r="E595" i="6"/>
  <c r="E598" i="6" s="1"/>
  <c r="D595" i="6"/>
  <c r="D598" i="6" s="1"/>
  <c r="C595" i="6"/>
  <c r="C598" i="6" s="1"/>
  <c r="B595" i="6"/>
  <c r="Z598" i="6" s="1"/>
  <c r="W590" i="6"/>
  <c r="U590" i="6"/>
  <c r="T590" i="6"/>
  <c r="P590" i="6"/>
  <c r="L590" i="6"/>
  <c r="K590" i="6"/>
  <c r="X589" i="6"/>
  <c r="W589" i="6"/>
  <c r="V589" i="6"/>
  <c r="Y589" i="6" s="1"/>
  <c r="U589" i="6"/>
  <c r="T589" i="6"/>
  <c r="R589" i="6"/>
  <c r="Q589" i="6"/>
  <c r="P589" i="6"/>
  <c r="O589" i="6"/>
  <c r="N589" i="6"/>
  <c r="S589" i="6" s="1"/>
  <c r="L589" i="6"/>
  <c r="K589" i="6"/>
  <c r="J589" i="6"/>
  <c r="I589" i="6"/>
  <c r="H589" i="6"/>
  <c r="M589" i="6" s="1"/>
  <c r="F589" i="6"/>
  <c r="E589" i="6"/>
  <c r="D589" i="6"/>
  <c r="C589" i="6"/>
  <c r="B589" i="6"/>
  <c r="G589" i="6" s="1"/>
  <c r="X588" i="6"/>
  <c r="W588" i="6"/>
  <c r="V588" i="6"/>
  <c r="Y588" i="6" s="1"/>
  <c r="U588" i="6"/>
  <c r="T588" i="6"/>
  <c r="R588" i="6"/>
  <c r="Q588" i="6"/>
  <c r="P588" i="6"/>
  <c r="O588" i="6"/>
  <c r="N588" i="6"/>
  <c r="S588" i="6" s="1"/>
  <c r="L588" i="6"/>
  <c r="K588" i="6"/>
  <c r="J588" i="6"/>
  <c r="I588" i="6"/>
  <c r="H588" i="6"/>
  <c r="M588" i="6" s="1"/>
  <c r="F588" i="6"/>
  <c r="E588" i="6"/>
  <c r="D588" i="6"/>
  <c r="C588" i="6"/>
  <c r="B588" i="6"/>
  <c r="G588" i="6" s="1"/>
  <c r="X587" i="6"/>
  <c r="X590" i="6" s="1"/>
  <c r="W587" i="6"/>
  <c r="V587" i="6"/>
  <c r="V590" i="6" s="1"/>
  <c r="U587" i="6"/>
  <c r="T587" i="6"/>
  <c r="R587" i="6"/>
  <c r="R590" i="6" s="1"/>
  <c r="Q587" i="6"/>
  <c r="Q590" i="6" s="1"/>
  <c r="P587" i="6"/>
  <c r="O587" i="6"/>
  <c r="O590" i="6" s="1"/>
  <c r="N587" i="6"/>
  <c r="N590" i="6" s="1"/>
  <c r="L587" i="6"/>
  <c r="K587" i="6"/>
  <c r="J587" i="6"/>
  <c r="J590" i="6" s="1"/>
  <c r="I587" i="6"/>
  <c r="I590" i="6" s="1"/>
  <c r="H587" i="6"/>
  <c r="H590" i="6" s="1"/>
  <c r="F587" i="6"/>
  <c r="F590" i="6" s="1"/>
  <c r="E587" i="6"/>
  <c r="E590" i="6" s="1"/>
  <c r="D587" i="6"/>
  <c r="D590" i="6" s="1"/>
  <c r="C587" i="6"/>
  <c r="C590" i="6" s="1"/>
  <c r="B587" i="6"/>
  <c r="X582" i="6"/>
  <c r="V582" i="6"/>
  <c r="U582" i="6"/>
  <c r="Q582" i="6"/>
  <c r="N582" i="6"/>
  <c r="L582" i="6"/>
  <c r="H582" i="6"/>
  <c r="X581" i="6"/>
  <c r="W581" i="6"/>
  <c r="V581" i="6"/>
  <c r="U581" i="6"/>
  <c r="T581" i="6"/>
  <c r="Y581" i="6" s="1"/>
  <c r="S581" i="6"/>
  <c r="R581" i="6"/>
  <c r="Q581" i="6"/>
  <c r="P581" i="6"/>
  <c r="O581" i="6"/>
  <c r="N581" i="6"/>
  <c r="L581" i="6"/>
  <c r="K581" i="6"/>
  <c r="J581" i="6"/>
  <c r="I581" i="6"/>
  <c r="M581" i="6" s="1"/>
  <c r="H581" i="6"/>
  <c r="F581" i="6"/>
  <c r="E581" i="6"/>
  <c r="D581" i="6"/>
  <c r="C581" i="6"/>
  <c r="G581" i="6" s="1"/>
  <c r="B581" i="6"/>
  <c r="X580" i="6"/>
  <c r="W580" i="6"/>
  <c r="V580" i="6"/>
  <c r="U580" i="6"/>
  <c r="T580" i="6"/>
  <c r="Y580" i="6" s="1"/>
  <c r="S580" i="6"/>
  <c r="R580" i="6"/>
  <c r="Q580" i="6"/>
  <c r="P580" i="6"/>
  <c r="O580" i="6"/>
  <c r="N580" i="6"/>
  <c r="L580" i="6"/>
  <c r="K580" i="6"/>
  <c r="J580" i="6"/>
  <c r="M580" i="6" s="1"/>
  <c r="I580" i="6"/>
  <c r="H580" i="6"/>
  <c r="F580" i="6"/>
  <c r="E580" i="6"/>
  <c r="D580" i="6"/>
  <c r="C580" i="6"/>
  <c r="G580" i="6" s="1"/>
  <c r="B580" i="6"/>
  <c r="X579" i="6"/>
  <c r="W579" i="6"/>
  <c r="W582" i="6" s="1"/>
  <c r="V579" i="6"/>
  <c r="U579" i="6"/>
  <c r="T579" i="6"/>
  <c r="T582" i="6" s="1"/>
  <c r="S579" i="6"/>
  <c r="R579" i="6"/>
  <c r="R582" i="6" s="1"/>
  <c r="Q579" i="6"/>
  <c r="P579" i="6"/>
  <c r="P582" i="6" s="1"/>
  <c r="O579" i="6"/>
  <c r="O582" i="6" s="1"/>
  <c r="N579" i="6"/>
  <c r="L579" i="6"/>
  <c r="K579" i="6"/>
  <c r="K582" i="6" s="1"/>
  <c r="J579" i="6"/>
  <c r="M579" i="6" s="1"/>
  <c r="I579" i="6"/>
  <c r="I582" i="6" s="1"/>
  <c r="H579" i="6"/>
  <c r="F579" i="6"/>
  <c r="F582" i="6" s="1"/>
  <c r="E579" i="6"/>
  <c r="E582" i="6" s="1"/>
  <c r="D579" i="6"/>
  <c r="D582" i="6" s="1"/>
  <c r="C579" i="6"/>
  <c r="C582" i="6" s="1"/>
  <c r="B579" i="6"/>
  <c r="Z582" i="6" s="1"/>
  <c r="W574" i="6"/>
  <c r="V574" i="6"/>
  <c r="R574" i="6"/>
  <c r="O574" i="6"/>
  <c r="N574" i="6"/>
  <c r="I574" i="6"/>
  <c r="X573" i="6"/>
  <c r="W573" i="6"/>
  <c r="V573" i="6"/>
  <c r="U573" i="6"/>
  <c r="T573" i="6"/>
  <c r="Y573" i="6" s="1"/>
  <c r="S573" i="6"/>
  <c r="R573" i="6"/>
  <c r="Q573" i="6"/>
  <c r="P573" i="6"/>
  <c r="O573" i="6"/>
  <c r="N573" i="6"/>
  <c r="L573" i="6"/>
  <c r="K573" i="6"/>
  <c r="M573" i="6" s="1"/>
  <c r="J573" i="6"/>
  <c r="I573" i="6"/>
  <c r="H573" i="6"/>
  <c r="F573" i="6"/>
  <c r="E573" i="6"/>
  <c r="D573" i="6"/>
  <c r="C573" i="6"/>
  <c r="B573" i="6"/>
  <c r="G573" i="6" s="1"/>
  <c r="X572" i="6"/>
  <c r="W572" i="6"/>
  <c r="V572" i="6"/>
  <c r="U572" i="6"/>
  <c r="T572" i="6"/>
  <c r="Y572" i="6" s="1"/>
  <c r="S572" i="6"/>
  <c r="R572" i="6"/>
  <c r="Q572" i="6"/>
  <c r="P572" i="6"/>
  <c r="O572" i="6"/>
  <c r="N572" i="6"/>
  <c r="L572" i="6"/>
  <c r="K572" i="6"/>
  <c r="M572" i="6" s="1"/>
  <c r="J572" i="6"/>
  <c r="I572" i="6"/>
  <c r="H572" i="6"/>
  <c r="F572" i="6"/>
  <c r="E572" i="6"/>
  <c r="D572" i="6"/>
  <c r="C572" i="6"/>
  <c r="B572" i="6"/>
  <c r="G572" i="6" s="1"/>
  <c r="X571" i="6"/>
  <c r="X574" i="6" s="1"/>
  <c r="W571" i="6"/>
  <c r="V571" i="6"/>
  <c r="U571" i="6"/>
  <c r="U574" i="6" s="1"/>
  <c r="T571" i="6"/>
  <c r="T574" i="6" s="1"/>
  <c r="S571" i="6"/>
  <c r="R571" i="6"/>
  <c r="Q571" i="6"/>
  <c r="Q574" i="6" s="1"/>
  <c r="P571" i="6"/>
  <c r="P574" i="6" s="1"/>
  <c r="O571" i="6"/>
  <c r="N571" i="6"/>
  <c r="L571" i="6"/>
  <c r="L574" i="6" s="1"/>
  <c r="K571" i="6"/>
  <c r="M571" i="6" s="1"/>
  <c r="J571" i="6"/>
  <c r="J574" i="6" s="1"/>
  <c r="I571" i="6"/>
  <c r="H571" i="6"/>
  <c r="H574" i="6" s="1"/>
  <c r="F571" i="6"/>
  <c r="F574" i="6" s="1"/>
  <c r="E571" i="6"/>
  <c r="E574" i="6" s="1"/>
  <c r="D571" i="6"/>
  <c r="D574" i="6" s="1"/>
  <c r="C571" i="6"/>
  <c r="C574" i="6" s="1"/>
  <c r="B571" i="6"/>
  <c r="Z574" i="6" s="1"/>
  <c r="X566" i="6"/>
  <c r="W566" i="6"/>
  <c r="P566" i="6"/>
  <c r="O566" i="6"/>
  <c r="J566" i="6"/>
  <c r="H566" i="6"/>
  <c r="X565" i="6"/>
  <c r="W565" i="6"/>
  <c r="V565" i="6"/>
  <c r="U565" i="6"/>
  <c r="T565" i="6"/>
  <c r="Y565" i="6" s="1"/>
  <c r="R565" i="6"/>
  <c r="Q565" i="6"/>
  <c r="P565" i="6"/>
  <c r="O565" i="6"/>
  <c r="N565" i="6"/>
  <c r="S565" i="6" s="1"/>
  <c r="L565" i="6"/>
  <c r="M565" i="6" s="1"/>
  <c r="K565" i="6"/>
  <c r="J565" i="6"/>
  <c r="I565" i="6"/>
  <c r="H565" i="6"/>
  <c r="F565" i="6"/>
  <c r="E565" i="6"/>
  <c r="D565" i="6"/>
  <c r="C565" i="6"/>
  <c r="G565" i="6" s="1"/>
  <c r="B565" i="6"/>
  <c r="X564" i="6"/>
  <c r="W564" i="6"/>
  <c r="V564" i="6"/>
  <c r="U564" i="6"/>
  <c r="T564" i="6"/>
  <c r="Y564" i="6" s="1"/>
  <c r="R564" i="6"/>
  <c r="Q564" i="6"/>
  <c r="P564" i="6"/>
  <c r="O564" i="6"/>
  <c r="N564" i="6"/>
  <c r="S564" i="6" s="1"/>
  <c r="L564" i="6"/>
  <c r="M564" i="6" s="1"/>
  <c r="K564" i="6"/>
  <c r="J564" i="6"/>
  <c r="I564" i="6"/>
  <c r="H564" i="6"/>
  <c r="F564" i="6"/>
  <c r="E564" i="6"/>
  <c r="D564" i="6"/>
  <c r="G564" i="6" s="1"/>
  <c r="C564" i="6"/>
  <c r="B564" i="6"/>
  <c r="X563" i="6"/>
  <c r="W563" i="6"/>
  <c r="V563" i="6"/>
  <c r="V566" i="6" s="1"/>
  <c r="U563" i="6"/>
  <c r="U566" i="6" s="1"/>
  <c r="T563" i="6"/>
  <c r="T566" i="6" s="1"/>
  <c r="R563" i="6"/>
  <c r="R566" i="6" s="1"/>
  <c r="Q563" i="6"/>
  <c r="Q566" i="6" s="1"/>
  <c r="P563" i="6"/>
  <c r="O563" i="6"/>
  <c r="N563" i="6"/>
  <c r="N566" i="6" s="1"/>
  <c r="L563" i="6"/>
  <c r="M563" i="6" s="1"/>
  <c r="K563" i="6"/>
  <c r="K566" i="6" s="1"/>
  <c r="J563" i="6"/>
  <c r="I563" i="6"/>
  <c r="I566" i="6" s="1"/>
  <c r="H563" i="6"/>
  <c r="F563" i="6"/>
  <c r="F566" i="6" s="1"/>
  <c r="E563" i="6"/>
  <c r="E566" i="6" s="1"/>
  <c r="AC566" i="6" s="1"/>
  <c r="D563" i="6"/>
  <c r="G563" i="6" s="1"/>
  <c r="C563" i="6"/>
  <c r="C566" i="6" s="1"/>
  <c r="B563" i="6"/>
  <c r="X532" i="6"/>
  <c r="Q532" i="6"/>
  <c r="K532" i="6"/>
  <c r="I532" i="6"/>
  <c r="H532" i="6"/>
  <c r="X531" i="6"/>
  <c r="W531" i="6"/>
  <c r="V531" i="6"/>
  <c r="U531" i="6"/>
  <c r="T531" i="6"/>
  <c r="Y531" i="6" s="1"/>
  <c r="R531" i="6"/>
  <c r="Q531" i="6"/>
  <c r="P531" i="6"/>
  <c r="O531" i="6"/>
  <c r="N531" i="6"/>
  <c r="S531" i="6" s="1"/>
  <c r="M531" i="6"/>
  <c r="L531" i="6"/>
  <c r="K531" i="6"/>
  <c r="J531" i="6"/>
  <c r="I531" i="6"/>
  <c r="H531" i="6"/>
  <c r="F531" i="6"/>
  <c r="E531" i="6"/>
  <c r="G531" i="6" s="1"/>
  <c r="D531" i="6"/>
  <c r="C531" i="6"/>
  <c r="B531" i="6"/>
  <c r="X530" i="6"/>
  <c r="W530" i="6"/>
  <c r="V530" i="6"/>
  <c r="U530" i="6"/>
  <c r="T530" i="6"/>
  <c r="Y530" i="6" s="1"/>
  <c r="R530" i="6"/>
  <c r="Q530" i="6"/>
  <c r="P530" i="6"/>
  <c r="O530" i="6"/>
  <c r="N530" i="6"/>
  <c r="S530" i="6" s="1"/>
  <c r="M530" i="6"/>
  <c r="L530" i="6"/>
  <c r="K530" i="6"/>
  <c r="J530" i="6"/>
  <c r="I530" i="6"/>
  <c r="H530" i="6"/>
  <c r="F530" i="6"/>
  <c r="E530" i="6"/>
  <c r="G530" i="6" s="1"/>
  <c r="D530" i="6"/>
  <c r="C530" i="6"/>
  <c r="B530" i="6"/>
  <c r="X529" i="6"/>
  <c r="W529" i="6"/>
  <c r="W532" i="6" s="1"/>
  <c r="V532" i="6"/>
  <c r="U529" i="6"/>
  <c r="U532" i="6" s="1"/>
  <c r="T529" i="6"/>
  <c r="T532" i="6" s="1"/>
  <c r="R529" i="6"/>
  <c r="R532" i="6" s="1"/>
  <c r="Q529" i="6"/>
  <c r="P529" i="6"/>
  <c r="P532" i="6" s="1"/>
  <c r="O529" i="6"/>
  <c r="O532" i="6" s="1"/>
  <c r="N529" i="6"/>
  <c r="N532" i="6" s="1"/>
  <c r="M529" i="6"/>
  <c r="L529" i="6"/>
  <c r="L532" i="6" s="1"/>
  <c r="K529" i="6"/>
  <c r="J529" i="6"/>
  <c r="J532" i="6" s="1"/>
  <c r="I529" i="6"/>
  <c r="H529" i="6"/>
  <c r="F529" i="6"/>
  <c r="F532" i="6" s="1"/>
  <c r="E529" i="6"/>
  <c r="G529" i="6" s="1"/>
  <c r="D529" i="6"/>
  <c r="D532" i="6" s="1"/>
  <c r="C529" i="6"/>
  <c r="C532" i="6" s="1"/>
  <c r="AA532" i="6" s="1"/>
  <c r="B529" i="6"/>
  <c r="X523" i="6"/>
  <c r="W523" i="6"/>
  <c r="V523" i="6"/>
  <c r="U523" i="6"/>
  <c r="Y523" i="6" s="1"/>
  <c r="T523" i="6"/>
  <c r="R523" i="6"/>
  <c r="Q523" i="6"/>
  <c r="P523" i="6"/>
  <c r="O523" i="6"/>
  <c r="N523" i="6"/>
  <c r="S523" i="6" s="1"/>
  <c r="L523" i="6"/>
  <c r="K523" i="6"/>
  <c r="J523" i="6"/>
  <c r="I523" i="6"/>
  <c r="H523" i="6"/>
  <c r="M523" i="6" s="1"/>
  <c r="F523" i="6"/>
  <c r="E523" i="6"/>
  <c r="D523" i="6"/>
  <c r="C523" i="6"/>
  <c r="B523" i="6"/>
  <c r="G523" i="6" s="1"/>
  <c r="X522" i="6"/>
  <c r="W522" i="6"/>
  <c r="V522" i="6"/>
  <c r="U522" i="6"/>
  <c r="T522" i="6"/>
  <c r="Y522" i="6" s="1"/>
  <c r="R522" i="6"/>
  <c r="Q522" i="6"/>
  <c r="P522" i="6"/>
  <c r="O522" i="6"/>
  <c r="N522" i="6"/>
  <c r="S522" i="6" s="1"/>
  <c r="L522" i="6"/>
  <c r="K522" i="6"/>
  <c r="J522" i="6"/>
  <c r="M522" i="6" s="1"/>
  <c r="I522" i="6"/>
  <c r="H522" i="6"/>
  <c r="F522" i="6"/>
  <c r="E522" i="6"/>
  <c r="D522" i="6"/>
  <c r="C522" i="6"/>
  <c r="B522" i="6"/>
  <c r="G522" i="6" s="1"/>
  <c r="X521" i="6"/>
  <c r="X524" i="6" s="1"/>
  <c r="W521" i="6"/>
  <c r="W524" i="6" s="1"/>
  <c r="V521" i="6"/>
  <c r="V524" i="6" s="1"/>
  <c r="U521" i="6"/>
  <c r="U524" i="6" s="1"/>
  <c r="T521" i="6"/>
  <c r="T524" i="6" s="1"/>
  <c r="R521" i="6"/>
  <c r="R524" i="6" s="1"/>
  <c r="Q521" i="6"/>
  <c r="Q524" i="6" s="1"/>
  <c r="P521" i="6"/>
  <c r="P524" i="6" s="1"/>
  <c r="O521" i="6"/>
  <c r="O524" i="6" s="1"/>
  <c r="N521" i="6"/>
  <c r="N524" i="6" s="1"/>
  <c r="L521" i="6"/>
  <c r="L524" i="6" s="1"/>
  <c r="K521" i="6"/>
  <c r="K524" i="6" s="1"/>
  <c r="J521" i="6"/>
  <c r="J524" i="6" s="1"/>
  <c r="I521" i="6"/>
  <c r="I524" i="6" s="1"/>
  <c r="H521" i="6"/>
  <c r="H524" i="6" s="1"/>
  <c r="F521" i="6"/>
  <c r="F524" i="6" s="1"/>
  <c r="E521" i="6"/>
  <c r="E524" i="6" s="1"/>
  <c r="D521" i="6"/>
  <c r="D524" i="6" s="1"/>
  <c r="AB524" i="6" s="1"/>
  <c r="C521" i="6"/>
  <c r="C524" i="6" s="1"/>
  <c r="B521" i="6"/>
  <c r="G521" i="6" s="1"/>
  <c r="X516" i="6"/>
  <c r="V516" i="6"/>
  <c r="Q516" i="6"/>
  <c r="O516" i="6"/>
  <c r="L516" i="6"/>
  <c r="I516" i="6"/>
  <c r="E516" i="6"/>
  <c r="X515" i="6"/>
  <c r="W515" i="6"/>
  <c r="V515" i="6"/>
  <c r="U515" i="6"/>
  <c r="Y515" i="6" s="1"/>
  <c r="T515" i="6"/>
  <c r="S515" i="6"/>
  <c r="R515" i="6"/>
  <c r="Q515" i="6"/>
  <c r="P515" i="6"/>
  <c r="O515" i="6"/>
  <c r="N515" i="6"/>
  <c r="M515" i="6"/>
  <c r="L515" i="6"/>
  <c r="K515" i="6"/>
  <c r="J515" i="6"/>
  <c r="I515" i="6"/>
  <c r="H515" i="6"/>
  <c r="F515" i="6"/>
  <c r="E515" i="6"/>
  <c r="D515" i="6"/>
  <c r="C515" i="6"/>
  <c r="G515" i="6" s="1"/>
  <c r="B515" i="6"/>
  <c r="X514" i="6"/>
  <c r="W514" i="6"/>
  <c r="V514" i="6"/>
  <c r="U514" i="6"/>
  <c r="Y514" i="6" s="1"/>
  <c r="T514" i="6"/>
  <c r="S514" i="6"/>
  <c r="R514" i="6"/>
  <c r="Q514" i="6"/>
  <c r="P514" i="6"/>
  <c r="O514" i="6"/>
  <c r="N514" i="6"/>
  <c r="M514" i="6"/>
  <c r="L514" i="6"/>
  <c r="K514" i="6"/>
  <c r="J514" i="6"/>
  <c r="I514" i="6"/>
  <c r="H514" i="6"/>
  <c r="F514" i="6"/>
  <c r="E514" i="6"/>
  <c r="D514" i="6"/>
  <c r="C514" i="6"/>
  <c r="G514" i="6" s="1"/>
  <c r="B514" i="6"/>
  <c r="X513" i="6"/>
  <c r="W513" i="6"/>
  <c r="W516" i="6" s="1"/>
  <c r="V513" i="6"/>
  <c r="U513" i="6"/>
  <c r="U516" i="6" s="1"/>
  <c r="T513" i="6"/>
  <c r="T516" i="6" s="1"/>
  <c r="S513" i="6"/>
  <c r="R513" i="6"/>
  <c r="R516" i="6" s="1"/>
  <c r="Q513" i="6"/>
  <c r="P513" i="6"/>
  <c r="P516" i="6" s="1"/>
  <c r="O513" i="6"/>
  <c r="N513" i="6"/>
  <c r="N516" i="6" s="1"/>
  <c r="M513" i="6"/>
  <c r="L513" i="6"/>
  <c r="K513" i="6"/>
  <c r="K516" i="6" s="1"/>
  <c r="J513" i="6"/>
  <c r="J516" i="6" s="1"/>
  <c r="I513" i="6"/>
  <c r="H513" i="6"/>
  <c r="H516" i="6" s="1"/>
  <c r="F513" i="6"/>
  <c r="F516" i="6" s="1"/>
  <c r="AD516" i="6" s="1"/>
  <c r="E513" i="6"/>
  <c r="D513" i="6"/>
  <c r="D516" i="6" s="1"/>
  <c r="C513" i="6"/>
  <c r="G513" i="6" s="1"/>
  <c r="B513" i="6"/>
  <c r="W508" i="6"/>
  <c r="X507" i="6"/>
  <c r="W507" i="6"/>
  <c r="V507" i="6"/>
  <c r="U507" i="6"/>
  <c r="T507" i="6"/>
  <c r="Y507" i="6" s="1"/>
  <c r="R507" i="6"/>
  <c r="Q507" i="6"/>
  <c r="P507" i="6"/>
  <c r="O507" i="6"/>
  <c r="N507" i="6"/>
  <c r="S507" i="6" s="1"/>
  <c r="L507" i="6"/>
  <c r="K507" i="6"/>
  <c r="J507" i="6"/>
  <c r="I507" i="6"/>
  <c r="H507" i="6"/>
  <c r="M507" i="6" s="1"/>
  <c r="F507" i="6"/>
  <c r="E507" i="6"/>
  <c r="D507" i="6"/>
  <c r="G507" i="6" s="1"/>
  <c r="C507" i="6"/>
  <c r="B507" i="6"/>
  <c r="X506" i="6"/>
  <c r="W506" i="6"/>
  <c r="V506" i="6"/>
  <c r="U506" i="6"/>
  <c r="T506" i="6"/>
  <c r="Y506" i="6" s="1"/>
  <c r="R506" i="6"/>
  <c r="Q506" i="6"/>
  <c r="P506" i="6"/>
  <c r="O506" i="6"/>
  <c r="N506" i="6"/>
  <c r="S506" i="6" s="1"/>
  <c r="L506" i="6"/>
  <c r="K506" i="6"/>
  <c r="J506" i="6"/>
  <c r="I506" i="6"/>
  <c r="H506" i="6"/>
  <c r="M506" i="6" s="1"/>
  <c r="F506" i="6"/>
  <c r="E506" i="6"/>
  <c r="D506" i="6"/>
  <c r="G506" i="6" s="1"/>
  <c r="C506" i="6"/>
  <c r="B506" i="6"/>
  <c r="X505" i="6"/>
  <c r="X508" i="6" s="1"/>
  <c r="W505" i="6"/>
  <c r="V505" i="6"/>
  <c r="V508" i="6" s="1"/>
  <c r="U505" i="6"/>
  <c r="U508" i="6" s="1"/>
  <c r="T505" i="6"/>
  <c r="T508" i="6" s="1"/>
  <c r="R505" i="6"/>
  <c r="Q505" i="6"/>
  <c r="P505" i="6"/>
  <c r="O505" i="6"/>
  <c r="N505" i="6"/>
  <c r="S505" i="6" s="1"/>
  <c r="L505" i="6"/>
  <c r="K505" i="6"/>
  <c r="J505" i="6"/>
  <c r="I505" i="6"/>
  <c r="H505" i="6"/>
  <c r="F505" i="6"/>
  <c r="E505" i="6"/>
  <c r="AC508" i="6" s="1"/>
  <c r="D505" i="6"/>
  <c r="G505" i="6" s="1"/>
  <c r="C505" i="6"/>
  <c r="B505" i="6"/>
  <c r="X498" i="6"/>
  <c r="W498" i="6"/>
  <c r="V498" i="6"/>
  <c r="U498" i="6"/>
  <c r="T498" i="6"/>
  <c r="Y498" i="6" s="1"/>
  <c r="R498" i="6"/>
  <c r="Q498" i="6"/>
  <c r="P498" i="6"/>
  <c r="O498" i="6"/>
  <c r="N498" i="6"/>
  <c r="S498" i="6" s="1"/>
  <c r="M498" i="6"/>
  <c r="L498" i="6"/>
  <c r="K498" i="6"/>
  <c r="J498" i="6"/>
  <c r="I498" i="6"/>
  <c r="H498" i="6"/>
  <c r="G498" i="6"/>
  <c r="F498" i="6"/>
  <c r="E498" i="6"/>
  <c r="D498" i="6"/>
  <c r="C498" i="6"/>
  <c r="B498" i="6"/>
  <c r="X497" i="6"/>
  <c r="W497" i="6"/>
  <c r="V497" i="6"/>
  <c r="U497" i="6"/>
  <c r="T497" i="6"/>
  <c r="Y497" i="6" s="1"/>
  <c r="R497" i="6"/>
  <c r="Q497" i="6"/>
  <c r="P497" i="6"/>
  <c r="O497" i="6"/>
  <c r="N497" i="6"/>
  <c r="S497" i="6" s="1"/>
  <c r="M497" i="6"/>
  <c r="L497" i="6"/>
  <c r="K497" i="6"/>
  <c r="J497" i="6"/>
  <c r="I497" i="6"/>
  <c r="H497" i="6"/>
  <c r="G497" i="6"/>
  <c r="F497" i="6"/>
  <c r="E497" i="6"/>
  <c r="D497" i="6"/>
  <c r="C497" i="6"/>
  <c r="B497" i="6"/>
  <c r="X496" i="6"/>
  <c r="W496" i="6"/>
  <c r="V496" i="6"/>
  <c r="U496" i="6"/>
  <c r="T496" i="6"/>
  <c r="R496" i="6"/>
  <c r="Q496" i="6"/>
  <c r="P496" i="6"/>
  <c r="O496" i="6"/>
  <c r="N496" i="6"/>
  <c r="S496" i="6" s="1"/>
  <c r="M496" i="6"/>
  <c r="L496" i="6"/>
  <c r="K496" i="6"/>
  <c r="J496" i="6"/>
  <c r="I496" i="6"/>
  <c r="H496" i="6"/>
  <c r="G496" i="6"/>
  <c r="F496" i="6"/>
  <c r="E496" i="6"/>
  <c r="AC499" i="6" s="1"/>
  <c r="D496" i="6"/>
  <c r="AB499" i="6" s="1"/>
  <c r="C496" i="6"/>
  <c r="B496" i="6"/>
  <c r="X490" i="6"/>
  <c r="W490" i="6"/>
  <c r="V490" i="6"/>
  <c r="U490" i="6"/>
  <c r="Y490" i="6" s="1"/>
  <c r="T490" i="6"/>
  <c r="R490" i="6"/>
  <c r="Q490" i="6"/>
  <c r="P490" i="6"/>
  <c r="O490" i="6"/>
  <c r="N490" i="6"/>
  <c r="S490" i="6" s="1"/>
  <c r="L490" i="6"/>
  <c r="K490" i="6"/>
  <c r="J490" i="6"/>
  <c r="I490" i="6"/>
  <c r="H490" i="6"/>
  <c r="M490" i="6" s="1"/>
  <c r="F490" i="6"/>
  <c r="E490" i="6"/>
  <c r="D490" i="6"/>
  <c r="C490" i="6"/>
  <c r="B490" i="6"/>
  <c r="G490" i="6" s="1"/>
  <c r="X489" i="6"/>
  <c r="W489" i="6"/>
  <c r="V489" i="6"/>
  <c r="U489" i="6"/>
  <c r="Y489" i="6" s="1"/>
  <c r="T489" i="6"/>
  <c r="R489" i="6"/>
  <c r="Q489" i="6"/>
  <c r="P489" i="6"/>
  <c r="O489" i="6"/>
  <c r="N489" i="6"/>
  <c r="S489" i="6" s="1"/>
  <c r="L489" i="6"/>
  <c r="K489" i="6"/>
  <c r="J489" i="6"/>
  <c r="I489" i="6"/>
  <c r="H489" i="6"/>
  <c r="M489" i="6" s="1"/>
  <c r="F489" i="6"/>
  <c r="E489" i="6"/>
  <c r="D489" i="6"/>
  <c r="C489" i="6"/>
  <c r="B489" i="6"/>
  <c r="G489" i="6" s="1"/>
  <c r="X488" i="6"/>
  <c r="W488" i="6"/>
  <c r="V488" i="6"/>
  <c r="U488" i="6"/>
  <c r="T488" i="6"/>
  <c r="R488" i="6"/>
  <c r="Q488" i="6"/>
  <c r="P488" i="6"/>
  <c r="O488" i="6"/>
  <c r="N488" i="6"/>
  <c r="L488" i="6"/>
  <c r="K488" i="6"/>
  <c r="J488" i="6"/>
  <c r="I488" i="6"/>
  <c r="H488" i="6"/>
  <c r="M488" i="6" s="1"/>
  <c r="F488" i="6"/>
  <c r="E488" i="6"/>
  <c r="D488" i="6"/>
  <c r="C488" i="6"/>
  <c r="B496" i="4"/>
  <c r="B721" i="5"/>
  <c r="AF637" i="2"/>
  <c r="AG637" i="2"/>
  <c r="AA476" i="4"/>
  <c r="Z476" i="4"/>
  <c r="Y476" i="4"/>
  <c r="Y471" i="4"/>
  <c r="Z471" i="4"/>
  <c r="AA471" i="4"/>
  <c r="AK812" i="2"/>
  <c r="AK809" i="2"/>
  <c r="AK810" i="2"/>
  <c r="AK811" i="2"/>
  <c r="AK808" i="2"/>
  <c r="AP812" i="2"/>
  <c r="AM810" i="2"/>
  <c r="AG808" i="2"/>
  <c r="AO811" i="2"/>
  <c r="AN811" i="2"/>
  <c r="AM811" i="2"/>
  <c r="AL811" i="2"/>
  <c r="AO810" i="2"/>
  <c r="AN810" i="2"/>
  <c r="AL810" i="2"/>
  <c r="AO809" i="2"/>
  <c r="AN809" i="2"/>
  <c r="AM809" i="2"/>
  <c r="AL809" i="2"/>
  <c r="AO808" i="2"/>
  <c r="AN808" i="2"/>
  <c r="AM808" i="2"/>
  <c r="AL808" i="2"/>
  <c r="AO806" i="2"/>
  <c r="AN806" i="2"/>
  <c r="AM806" i="2"/>
  <c r="AL806" i="2"/>
  <c r="AO805" i="2"/>
  <c r="AN805" i="2"/>
  <c r="AM805" i="2"/>
  <c r="AL805" i="2"/>
  <c r="AO804" i="2"/>
  <c r="AN804" i="2"/>
  <c r="AM804" i="2"/>
  <c r="AL804" i="2"/>
  <c r="AO803" i="2"/>
  <c r="AN803" i="2"/>
  <c r="AM803" i="2"/>
  <c r="AL803" i="2"/>
  <c r="AO800" i="2"/>
  <c r="AN800" i="2"/>
  <c r="AM800" i="2"/>
  <c r="AL800" i="2"/>
  <c r="AO799" i="2"/>
  <c r="AN799" i="2"/>
  <c r="AM799" i="2"/>
  <c r="AL799" i="2"/>
  <c r="AO798" i="2"/>
  <c r="AN798" i="2"/>
  <c r="AM798" i="2"/>
  <c r="AL798" i="2"/>
  <c r="AO797" i="2"/>
  <c r="AN797" i="2"/>
  <c r="AM797" i="2"/>
  <c r="AL797" i="2"/>
  <c r="AA808" i="2"/>
  <c r="AG809" i="2"/>
  <c r="AH809" i="2"/>
  <c r="AI809" i="2"/>
  <c r="AJ809" i="2"/>
  <c r="AG810" i="2"/>
  <c r="AH810" i="2"/>
  <c r="AI810" i="2"/>
  <c r="AJ810" i="2"/>
  <c r="AG811" i="2"/>
  <c r="AH811" i="2"/>
  <c r="AI811" i="2"/>
  <c r="AJ811" i="2"/>
  <c r="AH808" i="2"/>
  <c r="AI808" i="2"/>
  <c r="AJ808" i="2"/>
  <c r="AJ806" i="2"/>
  <c r="AI806" i="2"/>
  <c r="AH806" i="2"/>
  <c r="AG806" i="2"/>
  <c r="AJ805" i="2"/>
  <c r="AI805" i="2"/>
  <c r="AH805" i="2"/>
  <c r="AG805" i="2"/>
  <c r="AJ804" i="2"/>
  <c r="AI804" i="2"/>
  <c r="AH804" i="2"/>
  <c r="AG804" i="2"/>
  <c r="AJ803" i="2"/>
  <c r="AI803" i="2"/>
  <c r="AH803" i="2"/>
  <c r="AG803" i="2"/>
  <c r="AJ800" i="2"/>
  <c r="AJ799" i="2"/>
  <c r="AJ798" i="2"/>
  <c r="AJ797" i="2"/>
  <c r="AI800" i="2"/>
  <c r="AI799" i="2"/>
  <c r="AI798" i="2"/>
  <c r="AI797" i="2"/>
  <c r="AH800" i="2"/>
  <c r="AH799" i="2"/>
  <c r="AH798" i="2"/>
  <c r="AH797" i="2"/>
  <c r="AG800" i="2"/>
  <c r="AG799" i="2"/>
  <c r="AG798" i="2"/>
  <c r="AG797" i="2"/>
  <c r="AI774" i="2"/>
  <c r="AJ774" i="2"/>
  <c r="AK774" i="2"/>
  <c r="AL774" i="2"/>
  <c r="AI773" i="2"/>
  <c r="AJ773" i="2"/>
  <c r="AK773" i="2"/>
  <c r="AL773" i="2"/>
  <c r="Z786" i="2"/>
  <c r="AH788" i="2" s="1"/>
  <c r="AK789" i="2"/>
  <c r="AK790" i="2"/>
  <c r="AK791" i="2"/>
  <c r="AJ789" i="2"/>
  <c r="AJ790" i="2"/>
  <c r="AJ791" i="2"/>
  <c r="AJ788" i="2"/>
  <c r="AI789" i="2"/>
  <c r="AI790" i="2"/>
  <c r="AI791" i="2"/>
  <c r="AI788" i="2"/>
  <c r="AH789" i="2"/>
  <c r="AH790" i="2"/>
  <c r="AH791" i="2"/>
  <c r="Z762" i="2"/>
  <c r="Z761" i="2"/>
  <c r="Z760" i="2"/>
  <c r="Z759" i="2"/>
  <c r="Z771" i="2"/>
  <c r="Z770" i="2"/>
  <c r="Z769" i="2"/>
  <c r="Z768" i="2"/>
  <c r="Z780" i="2"/>
  <c r="Z779" i="2"/>
  <c r="Z778" i="2"/>
  <c r="Z777" i="2"/>
  <c r="Z807" i="2"/>
  <c r="Z806" i="2"/>
  <c r="Z805" i="2"/>
  <c r="Z804" i="2"/>
  <c r="Z798" i="2"/>
  <c r="Z797" i="2"/>
  <c r="Z796" i="2"/>
  <c r="Z795" i="2"/>
  <c r="Z788" i="2"/>
  <c r="Z787" i="2"/>
  <c r="Z789" i="2"/>
  <c r="X782" i="2"/>
  <c r="W782" i="2"/>
  <c r="V782" i="2"/>
  <c r="U782" i="2"/>
  <c r="T782" i="2"/>
  <c r="X791" i="2"/>
  <c r="W791" i="2"/>
  <c r="V791" i="2"/>
  <c r="U791" i="2"/>
  <c r="T791" i="2"/>
  <c r="X800" i="2"/>
  <c r="W800" i="2"/>
  <c r="V800" i="2"/>
  <c r="U800" i="2"/>
  <c r="T800" i="2"/>
  <c r="R800" i="2"/>
  <c r="Q800" i="2"/>
  <c r="P800" i="2"/>
  <c r="O800" i="2"/>
  <c r="N800" i="2"/>
  <c r="R791" i="2"/>
  <c r="Q791" i="2"/>
  <c r="P791" i="2"/>
  <c r="O791" i="2"/>
  <c r="AA791" i="2" s="1"/>
  <c r="N791" i="2"/>
  <c r="R782" i="2"/>
  <c r="Q782" i="2"/>
  <c r="P782" i="2"/>
  <c r="AB782" i="2" s="1"/>
  <c r="O782" i="2"/>
  <c r="N782" i="2"/>
  <c r="L800" i="2"/>
  <c r="K800" i="2"/>
  <c r="J800" i="2"/>
  <c r="I800" i="2"/>
  <c r="H800" i="2"/>
  <c r="L791" i="2"/>
  <c r="K791" i="2"/>
  <c r="J791" i="2"/>
  <c r="I791" i="2"/>
  <c r="H791" i="2"/>
  <c r="L782" i="2"/>
  <c r="K782" i="2"/>
  <c r="J782" i="2"/>
  <c r="I782" i="2"/>
  <c r="H782" i="2"/>
  <c r="X809" i="2"/>
  <c r="W809" i="2"/>
  <c r="V809" i="2"/>
  <c r="U809" i="2"/>
  <c r="T809" i="2"/>
  <c r="R809" i="2"/>
  <c r="Q809" i="2"/>
  <c r="P809" i="2"/>
  <c r="O809" i="2"/>
  <c r="N809" i="2"/>
  <c r="L809" i="2"/>
  <c r="K809" i="2"/>
  <c r="J809" i="2"/>
  <c r="AB809" i="2" s="1"/>
  <c r="I809" i="2"/>
  <c r="H809" i="2"/>
  <c r="B809" i="2"/>
  <c r="B804" i="2"/>
  <c r="F809" i="2"/>
  <c r="E809" i="2"/>
  <c r="D809" i="2"/>
  <c r="C809" i="2"/>
  <c r="F800" i="2"/>
  <c r="E800" i="2"/>
  <c r="D800" i="2"/>
  <c r="C800" i="2"/>
  <c r="B800" i="2"/>
  <c r="F791" i="2"/>
  <c r="E791" i="2"/>
  <c r="D791" i="2"/>
  <c r="C791" i="2"/>
  <c r="B791" i="2"/>
  <c r="B782" i="2"/>
  <c r="H746" i="2"/>
  <c r="T746" i="2"/>
  <c r="T755" i="2"/>
  <c r="N755" i="2"/>
  <c r="H755" i="2"/>
  <c r="B755" i="2"/>
  <c r="B764" i="2"/>
  <c r="L764" i="2"/>
  <c r="K764" i="2"/>
  <c r="J764" i="2"/>
  <c r="I764" i="2"/>
  <c r="H764" i="2"/>
  <c r="R764" i="2"/>
  <c r="Q764" i="2"/>
  <c r="P764" i="2"/>
  <c r="O764" i="2"/>
  <c r="N764" i="2"/>
  <c r="X764" i="2"/>
  <c r="W764" i="2"/>
  <c r="V764" i="2"/>
  <c r="U764" i="2"/>
  <c r="T764" i="2"/>
  <c r="T773" i="2"/>
  <c r="X773" i="2"/>
  <c r="W773" i="2"/>
  <c r="V773" i="2"/>
  <c r="U773" i="2"/>
  <c r="R773" i="2"/>
  <c r="Q773" i="2"/>
  <c r="P773" i="2"/>
  <c r="O773" i="2"/>
  <c r="N773" i="2"/>
  <c r="L773" i="2"/>
  <c r="K773" i="2"/>
  <c r="J773" i="2"/>
  <c r="I773" i="2"/>
  <c r="H773" i="2"/>
  <c r="F782" i="2"/>
  <c r="E782" i="2"/>
  <c r="D782" i="2"/>
  <c r="C782" i="2"/>
  <c r="AC809" i="2"/>
  <c r="AD809" i="2"/>
  <c r="AB800" i="2"/>
  <c r="AC800" i="2"/>
  <c r="AD800" i="2"/>
  <c r="AC791" i="2"/>
  <c r="AD791" i="2"/>
  <c r="B752" i="2"/>
  <c r="W245" i="1" a="1"/>
  <c r="W245" i="1" s="1"/>
  <c r="W244" i="1" a="1"/>
  <c r="W244" i="1" s="1"/>
  <c r="W243" i="1" a="1"/>
  <c r="W243" i="1" s="1"/>
  <c r="W240" i="1" a="1"/>
  <c r="W240" i="1" s="1"/>
  <c r="W239" i="1" a="1"/>
  <c r="W239" i="1" s="1"/>
  <c r="W238" i="1" a="1"/>
  <c r="W238" i="1" s="1"/>
  <c r="X755" i="5"/>
  <c r="W755" i="5"/>
  <c r="R755" i="5"/>
  <c r="Q755" i="5"/>
  <c r="P755" i="5"/>
  <c r="O755" i="5"/>
  <c r="L755" i="5"/>
  <c r="K755" i="5"/>
  <c r="J755" i="5"/>
  <c r="I755" i="5"/>
  <c r="F755" i="5"/>
  <c r="E755" i="5"/>
  <c r="D755" i="5"/>
  <c r="C755" i="5"/>
  <c r="X754" i="5"/>
  <c r="W754" i="5"/>
  <c r="W756" i="5" s="1"/>
  <c r="AC756" i="5" s="1"/>
  <c r="AJ589" i="5" s="1"/>
  <c r="V754" i="5"/>
  <c r="V756" i="5" s="1"/>
  <c r="AB756" i="5" s="1"/>
  <c r="AI589" i="5" s="1"/>
  <c r="U754" i="5"/>
  <c r="R754" i="5"/>
  <c r="Q754" i="5"/>
  <c r="L754" i="5"/>
  <c r="K754" i="5"/>
  <c r="J754" i="5"/>
  <c r="I754" i="5"/>
  <c r="F754" i="5"/>
  <c r="E754" i="5"/>
  <c r="D754" i="5"/>
  <c r="C754" i="5"/>
  <c r="X753" i="5"/>
  <c r="W753" i="5"/>
  <c r="V753" i="5"/>
  <c r="U753" i="5"/>
  <c r="R753" i="5"/>
  <c r="Q753" i="5"/>
  <c r="P753" i="5"/>
  <c r="O753" i="5"/>
  <c r="L753" i="5"/>
  <c r="K753" i="5"/>
  <c r="F753" i="5"/>
  <c r="E753" i="5"/>
  <c r="D753" i="5"/>
  <c r="C753" i="5"/>
  <c r="R747" i="5"/>
  <c r="Q747" i="5"/>
  <c r="P747" i="5"/>
  <c r="O747" i="5"/>
  <c r="N747" i="5"/>
  <c r="L747" i="5"/>
  <c r="K747" i="5"/>
  <c r="J747" i="5"/>
  <c r="I747" i="5"/>
  <c r="H747" i="5"/>
  <c r="F747" i="5"/>
  <c r="E747" i="5"/>
  <c r="D747" i="5"/>
  <c r="C747" i="5"/>
  <c r="B747" i="5"/>
  <c r="X746" i="5"/>
  <c r="W746" i="5"/>
  <c r="V746" i="5"/>
  <c r="U746" i="5"/>
  <c r="T746" i="5"/>
  <c r="L746" i="5"/>
  <c r="L748" i="5" s="1"/>
  <c r="AD748" i="5" s="1"/>
  <c r="AK588" i="5" s="1"/>
  <c r="K746" i="5"/>
  <c r="K748" i="5" s="1"/>
  <c r="J746" i="5"/>
  <c r="J748" i="5" s="1"/>
  <c r="AB748" i="5" s="1"/>
  <c r="AI588" i="5" s="1"/>
  <c r="I746" i="5"/>
  <c r="I748" i="5" s="1"/>
  <c r="AA748" i="5" s="1"/>
  <c r="AH588" i="5" s="1"/>
  <c r="H746" i="5"/>
  <c r="F746" i="5"/>
  <c r="E746" i="5"/>
  <c r="D746" i="5"/>
  <c r="C746" i="5"/>
  <c r="B746" i="5"/>
  <c r="X745" i="5"/>
  <c r="W745" i="5"/>
  <c r="V745" i="5"/>
  <c r="U745" i="5"/>
  <c r="T745" i="5"/>
  <c r="R745" i="5"/>
  <c r="Q745" i="5"/>
  <c r="P745" i="5"/>
  <c r="O745" i="5"/>
  <c r="N745" i="5"/>
  <c r="F745" i="5"/>
  <c r="E745" i="5"/>
  <c r="D745" i="5"/>
  <c r="C745" i="5"/>
  <c r="B745" i="5"/>
  <c r="V739" i="5"/>
  <c r="U739" i="5"/>
  <c r="R739" i="5"/>
  <c r="Q739" i="5"/>
  <c r="P739" i="5"/>
  <c r="O739" i="5"/>
  <c r="L739" i="5"/>
  <c r="K739" i="5"/>
  <c r="J739" i="5"/>
  <c r="I739" i="5"/>
  <c r="F739" i="5"/>
  <c r="E739" i="5"/>
  <c r="D739" i="5"/>
  <c r="C739" i="5"/>
  <c r="X738" i="5"/>
  <c r="W738" i="5"/>
  <c r="V738" i="5"/>
  <c r="U738" i="5"/>
  <c r="P738" i="5"/>
  <c r="P740" i="5" s="1"/>
  <c r="AB740" i="5" s="1"/>
  <c r="AI587" i="5" s="1"/>
  <c r="O738" i="5"/>
  <c r="L738" i="5"/>
  <c r="K738" i="5"/>
  <c r="J738" i="5"/>
  <c r="I738" i="5"/>
  <c r="F738" i="5"/>
  <c r="E738" i="5"/>
  <c r="D738" i="5"/>
  <c r="C738" i="5"/>
  <c r="X737" i="5"/>
  <c r="W737" i="5"/>
  <c r="V737" i="5"/>
  <c r="U737" i="5"/>
  <c r="R737" i="5"/>
  <c r="Q737" i="5"/>
  <c r="P737" i="5"/>
  <c r="O737" i="5"/>
  <c r="J737" i="5"/>
  <c r="I737" i="5"/>
  <c r="F737" i="5"/>
  <c r="E737" i="5"/>
  <c r="D737" i="5"/>
  <c r="C737" i="5"/>
  <c r="X731" i="5"/>
  <c r="W731" i="5"/>
  <c r="R731" i="5"/>
  <c r="Q731" i="5"/>
  <c r="P731" i="5"/>
  <c r="O731" i="5"/>
  <c r="L731" i="5"/>
  <c r="K731" i="5"/>
  <c r="J731" i="5"/>
  <c r="I731" i="5"/>
  <c r="F731" i="5"/>
  <c r="E731" i="5"/>
  <c r="D731" i="5"/>
  <c r="C731" i="5"/>
  <c r="X730" i="5"/>
  <c r="W730" i="5"/>
  <c r="W732" i="5" s="1"/>
  <c r="V730" i="5"/>
  <c r="V732" i="5" s="1"/>
  <c r="U730" i="5"/>
  <c r="R730" i="5"/>
  <c r="Q730" i="5"/>
  <c r="L730" i="5"/>
  <c r="K730" i="5"/>
  <c r="J730" i="5"/>
  <c r="I730" i="5"/>
  <c r="F730" i="5"/>
  <c r="E730" i="5"/>
  <c r="D730" i="5"/>
  <c r="C730" i="5"/>
  <c r="X729" i="5"/>
  <c r="W729" i="5"/>
  <c r="V729" i="5"/>
  <c r="U729" i="5"/>
  <c r="R729" i="5"/>
  <c r="Q729" i="5"/>
  <c r="P729" i="5"/>
  <c r="O729" i="5"/>
  <c r="L729" i="5"/>
  <c r="K729" i="5"/>
  <c r="F729" i="5"/>
  <c r="F732" i="5" s="1"/>
  <c r="AD732" i="5" s="1"/>
  <c r="AK584" i="5" s="1"/>
  <c r="E729" i="5"/>
  <c r="D729" i="5"/>
  <c r="D732" i="5" s="1"/>
  <c r="AB732" i="5" s="1"/>
  <c r="AI584" i="5" s="1"/>
  <c r="C729" i="5"/>
  <c r="R723" i="5"/>
  <c r="Q723" i="5"/>
  <c r="P723" i="5"/>
  <c r="O723" i="5"/>
  <c r="N723" i="5"/>
  <c r="L723" i="5"/>
  <c r="K723" i="5"/>
  <c r="J723" i="5"/>
  <c r="I723" i="5"/>
  <c r="H723" i="5"/>
  <c r="F723" i="5"/>
  <c r="E723" i="5"/>
  <c r="D723" i="5"/>
  <c r="C723" i="5"/>
  <c r="B723" i="5"/>
  <c r="X722" i="5"/>
  <c r="W722" i="5"/>
  <c r="V722" i="5"/>
  <c r="U722" i="5"/>
  <c r="T722" i="5"/>
  <c r="L722" i="5"/>
  <c r="K722" i="5"/>
  <c r="J722" i="5"/>
  <c r="I722" i="5"/>
  <c r="H722" i="5"/>
  <c r="F722" i="5"/>
  <c r="F724" i="5" s="1"/>
  <c r="E722" i="5"/>
  <c r="E724" i="5" s="1"/>
  <c r="D722" i="5"/>
  <c r="D724" i="5" s="1"/>
  <c r="AB724" i="5" s="1"/>
  <c r="AI583" i="5" s="1"/>
  <c r="C722" i="5"/>
  <c r="C724" i="5" s="1"/>
  <c r="AA724" i="5" s="1"/>
  <c r="AH583" i="5" s="1"/>
  <c r="B722" i="5"/>
  <c r="X721" i="5"/>
  <c r="W721" i="5"/>
  <c r="V721" i="5"/>
  <c r="U721" i="5"/>
  <c r="T721" i="5"/>
  <c r="R721" i="5"/>
  <c r="R724" i="5" s="1"/>
  <c r="Q721" i="5"/>
  <c r="Q724" i="5" s="1"/>
  <c r="P721" i="5"/>
  <c r="P724" i="5" s="1"/>
  <c r="O721" i="5"/>
  <c r="O724" i="5" s="1"/>
  <c r="N721" i="5"/>
  <c r="F721" i="5"/>
  <c r="E721" i="5"/>
  <c r="D721" i="5"/>
  <c r="C721" i="5"/>
  <c r="V715" i="5"/>
  <c r="V716" i="5" s="1"/>
  <c r="U715" i="5"/>
  <c r="R715" i="5"/>
  <c r="Q715" i="5"/>
  <c r="P715" i="5"/>
  <c r="O715" i="5"/>
  <c r="L715" i="5"/>
  <c r="K715" i="5"/>
  <c r="J715" i="5"/>
  <c r="I715" i="5"/>
  <c r="F715" i="5"/>
  <c r="E715" i="5"/>
  <c r="D715" i="5"/>
  <c r="C715" i="5"/>
  <c r="X714" i="5"/>
  <c r="W714" i="5"/>
  <c r="V714" i="5"/>
  <c r="U714" i="5"/>
  <c r="P714" i="5"/>
  <c r="O714" i="5"/>
  <c r="L714" i="5"/>
  <c r="L716" i="5" s="1"/>
  <c r="AD716" i="5" s="1"/>
  <c r="AK582" i="5" s="1"/>
  <c r="K714" i="5"/>
  <c r="K716" i="5" s="1"/>
  <c r="J714" i="5"/>
  <c r="I714" i="5"/>
  <c r="M714" i="5" s="1"/>
  <c r="F714" i="5"/>
  <c r="E714" i="5"/>
  <c r="D714" i="5"/>
  <c r="C714" i="5"/>
  <c r="G714" i="5" s="1"/>
  <c r="X713" i="5"/>
  <c r="W713" i="5"/>
  <c r="V713" i="5"/>
  <c r="U713" i="5"/>
  <c r="R713" i="5"/>
  <c r="Q713" i="5"/>
  <c r="P713" i="5"/>
  <c r="O713" i="5"/>
  <c r="J713" i="5"/>
  <c r="J716" i="5" s="1"/>
  <c r="I713" i="5"/>
  <c r="F713" i="5"/>
  <c r="E713" i="5"/>
  <c r="E716" i="5" s="1"/>
  <c r="AC716" i="5" s="1"/>
  <c r="AJ582" i="5" s="1"/>
  <c r="D713" i="5"/>
  <c r="C713" i="5"/>
  <c r="X705" i="5"/>
  <c r="W705" i="5"/>
  <c r="V705" i="5"/>
  <c r="U705" i="5"/>
  <c r="R705" i="5"/>
  <c r="Q705" i="5"/>
  <c r="P705" i="5"/>
  <c r="O705" i="5"/>
  <c r="L705" i="5"/>
  <c r="K705" i="5"/>
  <c r="J705" i="5"/>
  <c r="I705" i="5"/>
  <c r="F705" i="5"/>
  <c r="E705" i="5"/>
  <c r="X704" i="5"/>
  <c r="W704" i="5"/>
  <c r="V704" i="5"/>
  <c r="U704" i="5"/>
  <c r="R704" i="5"/>
  <c r="Q704" i="5"/>
  <c r="P704" i="5"/>
  <c r="O704" i="5"/>
  <c r="L704" i="5"/>
  <c r="K704" i="5"/>
  <c r="J704" i="5"/>
  <c r="I704" i="5"/>
  <c r="F704" i="5"/>
  <c r="E704" i="5"/>
  <c r="D704" i="5"/>
  <c r="C704" i="5"/>
  <c r="G704" i="5" s="1"/>
  <c r="X703" i="5"/>
  <c r="W703" i="5"/>
  <c r="R703" i="5"/>
  <c r="R706" i="5" s="1"/>
  <c r="Q703" i="5"/>
  <c r="Q706" i="5" s="1"/>
  <c r="P703" i="5"/>
  <c r="P706" i="5" s="1"/>
  <c r="O703" i="5"/>
  <c r="L703" i="5"/>
  <c r="K703" i="5"/>
  <c r="J703" i="5"/>
  <c r="I703" i="5"/>
  <c r="F703" i="5"/>
  <c r="F706" i="5" s="1"/>
  <c r="E703" i="5"/>
  <c r="E706" i="5" s="1"/>
  <c r="AC706" i="5" s="1"/>
  <c r="Z475" i="5" s="1"/>
  <c r="D703" i="5"/>
  <c r="D706" i="5" s="1"/>
  <c r="C703" i="5"/>
  <c r="X697" i="5"/>
  <c r="W697" i="5"/>
  <c r="V697" i="5"/>
  <c r="U697" i="5"/>
  <c r="T697" i="5"/>
  <c r="R697" i="5"/>
  <c r="Q697" i="5"/>
  <c r="P697" i="5"/>
  <c r="O697" i="5"/>
  <c r="N697" i="5"/>
  <c r="L697" i="5"/>
  <c r="K697" i="5"/>
  <c r="J697" i="5"/>
  <c r="I697" i="5"/>
  <c r="H697" i="5"/>
  <c r="X696" i="5"/>
  <c r="W696" i="5"/>
  <c r="V696" i="5"/>
  <c r="U696" i="5"/>
  <c r="Y696" i="5" s="1"/>
  <c r="T696" i="5"/>
  <c r="R696" i="5"/>
  <c r="R698" i="5" s="1"/>
  <c r="Q696" i="5"/>
  <c r="Q698" i="5" s="1"/>
  <c r="P696" i="5"/>
  <c r="P698" i="5" s="1"/>
  <c r="O696" i="5"/>
  <c r="O698" i="5" s="1"/>
  <c r="N696" i="5"/>
  <c r="M696" i="5"/>
  <c r="L696" i="5"/>
  <c r="K696" i="5"/>
  <c r="J696" i="5"/>
  <c r="I696" i="5"/>
  <c r="H696" i="5"/>
  <c r="G696" i="5"/>
  <c r="F696" i="5"/>
  <c r="E696" i="5"/>
  <c r="D696" i="5"/>
  <c r="C696" i="5"/>
  <c r="B696" i="5"/>
  <c r="Y695" i="5"/>
  <c r="R695" i="5"/>
  <c r="Q695" i="5"/>
  <c r="P695" i="5"/>
  <c r="O695" i="5"/>
  <c r="N695" i="5"/>
  <c r="N698" i="5" s="1"/>
  <c r="M695" i="5"/>
  <c r="L695" i="5"/>
  <c r="K695" i="5"/>
  <c r="J695" i="5"/>
  <c r="I695" i="5"/>
  <c r="H695" i="5"/>
  <c r="G695" i="5"/>
  <c r="F695" i="5"/>
  <c r="E695" i="5"/>
  <c r="D695" i="5"/>
  <c r="C695" i="5"/>
  <c r="B695" i="5"/>
  <c r="B698" i="5" s="1"/>
  <c r="X689" i="5"/>
  <c r="W689" i="5"/>
  <c r="V689" i="5"/>
  <c r="U689" i="5"/>
  <c r="Y689" i="5"/>
  <c r="R689" i="5"/>
  <c r="R690" i="5" s="1"/>
  <c r="Q689" i="5"/>
  <c r="P689" i="5"/>
  <c r="P690" i="5" s="1"/>
  <c r="O689" i="5"/>
  <c r="L689" i="5"/>
  <c r="K689" i="5"/>
  <c r="J689" i="5"/>
  <c r="I689" i="5"/>
  <c r="M689" i="5"/>
  <c r="D689" i="5"/>
  <c r="C689" i="5"/>
  <c r="X688" i="5"/>
  <c r="W688" i="5"/>
  <c r="V688" i="5"/>
  <c r="U688" i="5"/>
  <c r="Y688" i="5"/>
  <c r="R688" i="5"/>
  <c r="Q688" i="5"/>
  <c r="P688" i="5"/>
  <c r="O688" i="5"/>
  <c r="S688" i="5"/>
  <c r="L688" i="5"/>
  <c r="K688" i="5"/>
  <c r="J688" i="5"/>
  <c r="I688" i="5"/>
  <c r="M688" i="5"/>
  <c r="F688" i="5"/>
  <c r="E688" i="5"/>
  <c r="D688" i="5"/>
  <c r="C688" i="5"/>
  <c r="G688" i="5"/>
  <c r="V687" i="5"/>
  <c r="U687" i="5"/>
  <c r="R687" i="5"/>
  <c r="Q687" i="5"/>
  <c r="P687" i="5"/>
  <c r="O687" i="5"/>
  <c r="L687" i="5"/>
  <c r="K687" i="5"/>
  <c r="J687" i="5"/>
  <c r="I687" i="5"/>
  <c r="F687" i="5"/>
  <c r="F690" i="5" s="1"/>
  <c r="E687" i="5"/>
  <c r="E690" i="5" s="1"/>
  <c r="D687" i="5"/>
  <c r="C687" i="5"/>
  <c r="X681" i="5"/>
  <c r="W681" i="5"/>
  <c r="V681" i="5"/>
  <c r="U681" i="5"/>
  <c r="R681" i="5"/>
  <c r="Q681" i="5"/>
  <c r="Q682" i="5" s="1"/>
  <c r="P681" i="5"/>
  <c r="O681" i="5"/>
  <c r="L681" i="5"/>
  <c r="K681" i="5"/>
  <c r="J681" i="5"/>
  <c r="I681" i="5"/>
  <c r="F681" i="5"/>
  <c r="E681" i="5"/>
  <c r="G681" i="5"/>
  <c r="X680" i="5"/>
  <c r="W680" i="5"/>
  <c r="V680" i="5"/>
  <c r="V682" i="5" s="1"/>
  <c r="U680" i="5"/>
  <c r="R680" i="5"/>
  <c r="Q680" i="5"/>
  <c r="P680" i="5"/>
  <c r="S680" i="5" s="1"/>
  <c r="O680" i="5"/>
  <c r="M680" i="5"/>
  <c r="L680" i="5"/>
  <c r="K680" i="5"/>
  <c r="J680" i="5"/>
  <c r="I680" i="5"/>
  <c r="F680" i="5"/>
  <c r="E680" i="5"/>
  <c r="D680" i="5"/>
  <c r="C680" i="5"/>
  <c r="G680" i="5"/>
  <c r="X679" i="5"/>
  <c r="W679" i="5"/>
  <c r="R679" i="5"/>
  <c r="Q679" i="5"/>
  <c r="P679" i="5"/>
  <c r="O679" i="5"/>
  <c r="L679" i="5"/>
  <c r="L682" i="5" s="1"/>
  <c r="K679" i="5"/>
  <c r="J679" i="5"/>
  <c r="J682" i="5" s="1"/>
  <c r="I679" i="5"/>
  <c r="F679" i="5"/>
  <c r="F682" i="5" s="1"/>
  <c r="E679" i="5"/>
  <c r="D679" i="5"/>
  <c r="D682" i="5" s="1"/>
  <c r="C679" i="5"/>
  <c r="X672" i="5"/>
  <c r="W672" i="5"/>
  <c r="V672" i="5"/>
  <c r="U672" i="5"/>
  <c r="T672" i="5"/>
  <c r="R672" i="5"/>
  <c r="Q672" i="5"/>
  <c r="P672" i="5"/>
  <c r="O672" i="5"/>
  <c r="N672" i="5"/>
  <c r="S672" i="5" s="1"/>
  <c r="L672" i="5"/>
  <c r="K672" i="5"/>
  <c r="J672" i="5"/>
  <c r="I672" i="5"/>
  <c r="H672" i="5"/>
  <c r="X671" i="5"/>
  <c r="W671" i="5"/>
  <c r="V671" i="5"/>
  <c r="U671" i="5"/>
  <c r="T671" i="5"/>
  <c r="R671" i="5"/>
  <c r="R673" i="5" s="1"/>
  <c r="Q671" i="5"/>
  <c r="P671" i="5"/>
  <c r="P673" i="5" s="1"/>
  <c r="O671" i="5"/>
  <c r="O673" i="5" s="1"/>
  <c r="N671" i="5"/>
  <c r="L671" i="5"/>
  <c r="L673" i="5" s="1"/>
  <c r="AD673" i="5" s="1"/>
  <c r="AA469" i="5" s="1"/>
  <c r="K671" i="5"/>
  <c r="K673" i="5" s="1"/>
  <c r="J671" i="5"/>
  <c r="J673" i="5" s="1"/>
  <c r="I671" i="5"/>
  <c r="I673" i="5" s="1"/>
  <c r="H671" i="5"/>
  <c r="F671" i="5"/>
  <c r="E671" i="5"/>
  <c r="D671" i="5"/>
  <c r="C671" i="5"/>
  <c r="C673" i="5" s="1"/>
  <c r="AA673" i="5" s="1"/>
  <c r="X469" i="5" s="1"/>
  <c r="B671" i="5"/>
  <c r="R670" i="5"/>
  <c r="Q670" i="5"/>
  <c r="P670" i="5"/>
  <c r="O670" i="5"/>
  <c r="N670" i="5"/>
  <c r="L670" i="5"/>
  <c r="K670" i="5"/>
  <c r="J670" i="5"/>
  <c r="I670" i="5"/>
  <c r="H670" i="5"/>
  <c r="F670" i="5"/>
  <c r="E670" i="5"/>
  <c r="D670" i="5"/>
  <c r="C670" i="5"/>
  <c r="B670" i="5"/>
  <c r="T665" i="5"/>
  <c r="Q665" i="5"/>
  <c r="L665" i="5"/>
  <c r="K665" i="5"/>
  <c r="H665" i="5"/>
  <c r="X664" i="5"/>
  <c r="W664" i="5"/>
  <c r="V664" i="5"/>
  <c r="U664" i="5"/>
  <c r="Y664" i="5" s="1"/>
  <c r="R664" i="5"/>
  <c r="Q664" i="5"/>
  <c r="P664" i="5"/>
  <c r="O664" i="5"/>
  <c r="S664" i="5" s="1"/>
  <c r="L664" i="5"/>
  <c r="K664" i="5"/>
  <c r="J664" i="5"/>
  <c r="M664" i="5" s="1"/>
  <c r="I664" i="5"/>
  <c r="D664" i="5"/>
  <c r="C664" i="5"/>
  <c r="G664" i="5" s="1"/>
  <c r="X663" i="5"/>
  <c r="W663" i="5"/>
  <c r="W665" i="5" s="1"/>
  <c r="V663" i="5"/>
  <c r="U663" i="5"/>
  <c r="R663" i="5"/>
  <c r="Q663" i="5"/>
  <c r="P663" i="5"/>
  <c r="O663" i="5"/>
  <c r="S663" i="5" s="1"/>
  <c r="L663" i="5"/>
  <c r="K663" i="5"/>
  <c r="J663" i="5"/>
  <c r="M663" i="5" s="1"/>
  <c r="I663" i="5"/>
  <c r="I665" i="5" s="1"/>
  <c r="G663" i="5"/>
  <c r="F663" i="5"/>
  <c r="E663" i="5"/>
  <c r="D663" i="5"/>
  <c r="C663" i="5"/>
  <c r="V662" i="5"/>
  <c r="U662" i="5"/>
  <c r="R662" i="5"/>
  <c r="R665" i="5" s="1"/>
  <c r="Q662" i="5"/>
  <c r="P662" i="5"/>
  <c r="P665" i="5" s="1"/>
  <c r="O662" i="5"/>
  <c r="S662" i="5" s="1"/>
  <c r="N665" i="5"/>
  <c r="L662" i="5"/>
  <c r="K662" i="5"/>
  <c r="J662" i="5"/>
  <c r="J665" i="5" s="1"/>
  <c r="I662" i="5"/>
  <c r="F662" i="5"/>
  <c r="F665" i="5" s="1"/>
  <c r="E662" i="5"/>
  <c r="E665" i="5" s="1"/>
  <c r="D662" i="5"/>
  <c r="D665" i="5" s="1"/>
  <c r="C662" i="5"/>
  <c r="C665" i="5" s="1"/>
  <c r="T555" i="4"/>
  <c r="X581" i="4"/>
  <c r="W581" i="4"/>
  <c r="V581" i="4"/>
  <c r="U581" i="4"/>
  <c r="Y581" i="4"/>
  <c r="R581" i="4"/>
  <c r="Q581" i="4"/>
  <c r="P581" i="4"/>
  <c r="S581" i="4" s="1"/>
  <c r="O581" i="4"/>
  <c r="L581" i="4"/>
  <c r="K581" i="4"/>
  <c r="J581" i="4"/>
  <c r="I581" i="4"/>
  <c r="M581" i="4" s="1"/>
  <c r="F581" i="4"/>
  <c r="E581" i="4"/>
  <c r="D581" i="4"/>
  <c r="C581" i="4"/>
  <c r="X580" i="4"/>
  <c r="W580" i="4"/>
  <c r="V580" i="4"/>
  <c r="U580" i="4"/>
  <c r="R580" i="4"/>
  <c r="Q580" i="4"/>
  <c r="P580" i="4"/>
  <c r="O580" i="4"/>
  <c r="O582" i="4" s="1"/>
  <c r="S580" i="4"/>
  <c r="L580" i="4"/>
  <c r="K580" i="4"/>
  <c r="M580" i="4" s="1"/>
  <c r="J580" i="4"/>
  <c r="I580" i="4"/>
  <c r="F580" i="4"/>
  <c r="E580" i="4"/>
  <c r="G580" i="4" s="1"/>
  <c r="D580" i="4"/>
  <c r="C580" i="4"/>
  <c r="X579" i="4"/>
  <c r="W579" i="4"/>
  <c r="V579" i="4"/>
  <c r="U579" i="4"/>
  <c r="R579" i="4"/>
  <c r="Q579" i="4"/>
  <c r="P579" i="4"/>
  <c r="O579" i="4"/>
  <c r="S579" i="4"/>
  <c r="L579" i="4"/>
  <c r="K579" i="4"/>
  <c r="J579" i="4"/>
  <c r="J582" i="4" s="1"/>
  <c r="I579" i="4"/>
  <c r="M579" i="4" s="1"/>
  <c r="F579" i="4"/>
  <c r="E579" i="4"/>
  <c r="D579" i="4"/>
  <c r="C579" i="4"/>
  <c r="Y580" i="4"/>
  <c r="U582" i="4"/>
  <c r="L582" i="4"/>
  <c r="X557" i="4"/>
  <c r="X556" i="4"/>
  <c r="X555" i="4"/>
  <c r="W557" i="4"/>
  <c r="W556" i="4"/>
  <c r="W555" i="4"/>
  <c r="Y555" i="4" s="1"/>
  <c r="V557" i="4"/>
  <c r="V556" i="4"/>
  <c r="V558" i="4" s="1"/>
  <c r="V555" i="4"/>
  <c r="U557" i="4"/>
  <c r="U556" i="4"/>
  <c r="U558" i="4" s="1"/>
  <c r="U555" i="4"/>
  <c r="T557" i="4"/>
  <c r="T558" i="4" s="1"/>
  <c r="T556" i="4"/>
  <c r="N555" i="4"/>
  <c r="R557" i="4"/>
  <c r="R556" i="4"/>
  <c r="R555" i="4"/>
  <c r="Q557" i="4"/>
  <c r="Q556" i="4"/>
  <c r="Q555" i="4"/>
  <c r="Q558" i="4" s="1"/>
  <c r="N557" i="4"/>
  <c r="N556" i="4"/>
  <c r="N558" i="4" s="1"/>
  <c r="O555" i="4"/>
  <c r="O557" i="4"/>
  <c r="O556" i="4"/>
  <c r="P557" i="4"/>
  <c r="P573" i="4"/>
  <c r="J572" i="4"/>
  <c r="D571" i="4"/>
  <c r="H550" i="4"/>
  <c r="P549" i="4"/>
  <c r="J548" i="4"/>
  <c r="D547" i="4"/>
  <c r="D550" i="4" s="1"/>
  <c r="V522" i="4"/>
  <c r="P521" i="4"/>
  <c r="P524" i="4" s="1"/>
  <c r="V497" i="4"/>
  <c r="P496" i="4"/>
  <c r="P556" i="4"/>
  <c r="P555" i="4"/>
  <c r="P558" i="4" s="1"/>
  <c r="L557" i="4"/>
  <c r="L556" i="4"/>
  <c r="L555" i="4"/>
  <c r="K557" i="4"/>
  <c r="K556" i="4"/>
  <c r="M556" i="4" s="1"/>
  <c r="K555" i="4"/>
  <c r="J557" i="4"/>
  <c r="J556" i="4"/>
  <c r="J558" i="4" s="1"/>
  <c r="J555" i="4"/>
  <c r="I557" i="4"/>
  <c r="I556" i="4"/>
  <c r="I555" i="4"/>
  <c r="B555" i="4"/>
  <c r="H555" i="4"/>
  <c r="M555" i="4" s="1"/>
  <c r="H557" i="4"/>
  <c r="M557" i="4" s="1"/>
  <c r="H556" i="4"/>
  <c r="F557" i="4"/>
  <c r="F556" i="4"/>
  <c r="F555" i="4"/>
  <c r="F558" i="4" s="1"/>
  <c r="E557" i="4"/>
  <c r="E556" i="4"/>
  <c r="E555" i="4"/>
  <c r="E558" i="4" s="1"/>
  <c r="D557" i="4"/>
  <c r="D556" i="4"/>
  <c r="D555" i="4"/>
  <c r="C557" i="4"/>
  <c r="C556" i="4"/>
  <c r="C558" i="4" s="1"/>
  <c r="C555" i="4"/>
  <c r="G557" i="4"/>
  <c r="N573" i="4"/>
  <c r="H572" i="4"/>
  <c r="B571" i="4"/>
  <c r="N549" i="4"/>
  <c r="H548" i="4"/>
  <c r="B547" i="4"/>
  <c r="T522" i="4"/>
  <c r="N521" i="4"/>
  <c r="T497" i="4"/>
  <c r="N496" i="4"/>
  <c r="B557" i="4"/>
  <c r="B556" i="4"/>
  <c r="G556" i="4" s="1"/>
  <c r="X573" i="4"/>
  <c r="W573" i="4"/>
  <c r="V573" i="4"/>
  <c r="U573" i="4"/>
  <c r="T573" i="4"/>
  <c r="R573" i="4"/>
  <c r="Q573" i="4"/>
  <c r="O573" i="4"/>
  <c r="L573" i="4"/>
  <c r="K573" i="4"/>
  <c r="J573" i="4"/>
  <c r="I573" i="4"/>
  <c r="I574" i="4" s="1"/>
  <c r="H573" i="4"/>
  <c r="M573" i="4" s="1"/>
  <c r="F573" i="4"/>
  <c r="E573" i="4"/>
  <c r="E574" i="4" s="1"/>
  <c r="D573" i="4"/>
  <c r="C573" i="4"/>
  <c r="B573" i="4"/>
  <c r="X572" i="4"/>
  <c r="W572" i="4"/>
  <c r="V572" i="4"/>
  <c r="U572" i="4"/>
  <c r="T572" i="4"/>
  <c r="R572" i="4"/>
  <c r="Q572" i="4"/>
  <c r="P572" i="4"/>
  <c r="O572" i="4"/>
  <c r="N572" i="4"/>
  <c r="L572" i="4"/>
  <c r="K572" i="4"/>
  <c r="M572" i="4"/>
  <c r="I572" i="4"/>
  <c r="F572" i="4"/>
  <c r="E572" i="4"/>
  <c r="D572" i="4"/>
  <c r="C572" i="4"/>
  <c r="B572" i="4"/>
  <c r="X571" i="4"/>
  <c r="W571" i="4"/>
  <c r="V571" i="4"/>
  <c r="U571" i="4"/>
  <c r="T571" i="4"/>
  <c r="R571" i="4"/>
  <c r="Q571" i="4"/>
  <c r="P571" i="4"/>
  <c r="P574" i="4" s="1"/>
  <c r="O571" i="4"/>
  <c r="N571" i="4"/>
  <c r="L571" i="4"/>
  <c r="K571" i="4"/>
  <c r="J571" i="4"/>
  <c r="I571" i="4"/>
  <c r="H571" i="4"/>
  <c r="F571" i="4"/>
  <c r="E571" i="4"/>
  <c r="C571" i="4"/>
  <c r="T549" i="4"/>
  <c r="Y549" i="4" s="1"/>
  <c r="T548" i="4"/>
  <c r="Y548" i="4" s="1"/>
  <c r="T547" i="4"/>
  <c r="Y547" i="4" s="1"/>
  <c r="U549" i="4"/>
  <c r="U548" i="4"/>
  <c r="U547" i="4"/>
  <c r="U550" i="4" s="1"/>
  <c r="V549" i="4"/>
  <c r="V548" i="4"/>
  <c r="V547" i="4"/>
  <c r="V550" i="4" s="1"/>
  <c r="X549" i="4"/>
  <c r="X550" i="4" s="1"/>
  <c r="X548" i="4"/>
  <c r="X547" i="4"/>
  <c r="W549" i="4"/>
  <c r="W548" i="4"/>
  <c r="W550" i="4" s="1"/>
  <c r="W547" i="4"/>
  <c r="N548" i="4"/>
  <c r="N550" i="4" s="1"/>
  <c r="N547" i="4"/>
  <c r="O549" i="4"/>
  <c r="O550" i="4" s="1"/>
  <c r="O548" i="4"/>
  <c r="O547" i="4"/>
  <c r="P548" i="4"/>
  <c r="P547" i="4"/>
  <c r="S547" i="4" s="1"/>
  <c r="Q549" i="4"/>
  <c r="Q548" i="4"/>
  <c r="Q547" i="4"/>
  <c r="Q550" i="4" s="1"/>
  <c r="R549" i="4"/>
  <c r="R550" i="4" s="1"/>
  <c r="R548" i="4"/>
  <c r="R547" i="4"/>
  <c r="H547" i="4"/>
  <c r="M547" i="4" s="1"/>
  <c r="H549" i="4"/>
  <c r="M549" i="4" s="1"/>
  <c r="I549" i="4"/>
  <c r="I548" i="4"/>
  <c r="I547" i="4"/>
  <c r="I550" i="4" s="1"/>
  <c r="J549" i="4"/>
  <c r="J547" i="4"/>
  <c r="L548" i="4"/>
  <c r="L549" i="4"/>
  <c r="L547" i="4"/>
  <c r="L550" i="4" s="1"/>
  <c r="K547" i="4"/>
  <c r="K548" i="4"/>
  <c r="K550" i="4" s="1"/>
  <c r="K549" i="4"/>
  <c r="B549" i="4"/>
  <c r="G549" i="4" s="1"/>
  <c r="B548" i="4"/>
  <c r="C549" i="4"/>
  <c r="C548" i="4"/>
  <c r="C550" i="4" s="1"/>
  <c r="C547" i="4"/>
  <c r="D549" i="4"/>
  <c r="D548" i="4"/>
  <c r="F547" i="4"/>
  <c r="F550" i="4" s="1"/>
  <c r="X558" i="4"/>
  <c r="O558" i="4"/>
  <c r="L558" i="4"/>
  <c r="I558" i="4"/>
  <c r="E547" i="4"/>
  <c r="E550" i="4" s="1"/>
  <c r="W522" i="4"/>
  <c r="W524" i="4" s="1"/>
  <c r="Q521" i="4"/>
  <c r="Q524" i="4" s="1"/>
  <c r="W497" i="4"/>
  <c r="Q496" i="4"/>
  <c r="F549" i="4"/>
  <c r="F548" i="4"/>
  <c r="E549" i="4"/>
  <c r="E548" i="4"/>
  <c r="X565" i="4"/>
  <c r="W565" i="4"/>
  <c r="V565" i="4"/>
  <c r="U565" i="4"/>
  <c r="T565" i="4"/>
  <c r="R565" i="4"/>
  <c r="Q565" i="4"/>
  <c r="P565" i="4"/>
  <c r="O565" i="4"/>
  <c r="N565" i="4"/>
  <c r="L565" i="4"/>
  <c r="K565" i="4"/>
  <c r="J565" i="4"/>
  <c r="I565" i="4"/>
  <c r="H565" i="4"/>
  <c r="F565" i="4"/>
  <c r="E565" i="4"/>
  <c r="D565" i="4"/>
  <c r="C565" i="4"/>
  <c r="B565" i="4"/>
  <c r="X564" i="4"/>
  <c r="W564" i="4"/>
  <c r="V564" i="4"/>
  <c r="U564" i="4"/>
  <c r="T564" i="4"/>
  <c r="R564" i="4"/>
  <c r="Q564" i="4"/>
  <c r="P564" i="4"/>
  <c r="P566" i="4" s="1"/>
  <c r="O564" i="4"/>
  <c r="N564" i="4"/>
  <c r="L564" i="4"/>
  <c r="K564" i="4"/>
  <c r="J564" i="4"/>
  <c r="I564" i="4"/>
  <c r="H564" i="4"/>
  <c r="F564" i="4"/>
  <c r="G564" i="4" s="1"/>
  <c r="E564" i="4"/>
  <c r="D564" i="4"/>
  <c r="C564" i="4"/>
  <c r="B564" i="4"/>
  <c r="X563" i="4"/>
  <c r="W563" i="4"/>
  <c r="V563" i="4"/>
  <c r="U563" i="4"/>
  <c r="T563" i="4"/>
  <c r="R563" i="4"/>
  <c r="Q563" i="4"/>
  <c r="P563" i="4"/>
  <c r="O563" i="4"/>
  <c r="O566" i="4" s="1"/>
  <c r="N563" i="4"/>
  <c r="L563" i="4"/>
  <c r="K563" i="4"/>
  <c r="K566" i="4" s="1"/>
  <c r="J563" i="4"/>
  <c r="I563" i="4"/>
  <c r="H563" i="4"/>
  <c r="F563" i="4"/>
  <c r="E563" i="4"/>
  <c r="E566" i="4" s="1"/>
  <c r="D563" i="4"/>
  <c r="C563" i="4"/>
  <c r="B563" i="4"/>
  <c r="X541" i="4"/>
  <c r="X540" i="4"/>
  <c r="X539" i="4"/>
  <c r="X542" i="4" s="1"/>
  <c r="W541" i="4"/>
  <c r="W540" i="4"/>
  <c r="W539" i="4"/>
  <c r="W542" i="4" s="1"/>
  <c r="V541" i="4"/>
  <c r="V540" i="4"/>
  <c r="V542" i="4" s="1"/>
  <c r="V539" i="4"/>
  <c r="Y539" i="4" s="1"/>
  <c r="U541" i="4"/>
  <c r="U540" i="4"/>
  <c r="U542" i="4" s="1"/>
  <c r="U539" i="4"/>
  <c r="T541" i="4"/>
  <c r="Y541" i="4" s="1"/>
  <c r="T540" i="4"/>
  <c r="Y540" i="4" s="1"/>
  <c r="T539" i="4"/>
  <c r="T542" i="4" s="1"/>
  <c r="R541" i="4"/>
  <c r="R540" i="4"/>
  <c r="R542" i="4" s="1"/>
  <c r="R539" i="4"/>
  <c r="Q541" i="4"/>
  <c r="Q540" i="4"/>
  <c r="Q539" i="4"/>
  <c r="Q542" i="4" s="1"/>
  <c r="P541" i="4"/>
  <c r="P540" i="4"/>
  <c r="P539" i="4"/>
  <c r="P542" i="4" s="1"/>
  <c r="O541" i="4"/>
  <c r="O540" i="4"/>
  <c r="O539" i="4"/>
  <c r="O542" i="4" s="1"/>
  <c r="N539" i="4"/>
  <c r="N542" i="4" s="1"/>
  <c r="N541" i="4"/>
  <c r="S541" i="4" s="1"/>
  <c r="N540" i="4"/>
  <c r="S540" i="4" s="1"/>
  <c r="L541" i="4"/>
  <c r="L540" i="4"/>
  <c r="L542" i="4" s="1"/>
  <c r="L539" i="4"/>
  <c r="K541" i="4"/>
  <c r="K540" i="4"/>
  <c r="K542" i="4" s="1"/>
  <c r="K539" i="4"/>
  <c r="J541" i="4"/>
  <c r="J540" i="4"/>
  <c r="J539" i="4"/>
  <c r="J542" i="4" s="1"/>
  <c r="I541" i="4"/>
  <c r="I540" i="4"/>
  <c r="I542" i="4" s="1"/>
  <c r="I539" i="4"/>
  <c r="H539" i="4"/>
  <c r="M539" i="4" s="1"/>
  <c r="H541" i="4"/>
  <c r="M541" i="4" s="1"/>
  <c r="H540" i="4"/>
  <c r="M540" i="4" s="1"/>
  <c r="B541" i="4"/>
  <c r="F541" i="4"/>
  <c r="F540" i="4"/>
  <c r="F542" i="4" s="1"/>
  <c r="F539" i="4"/>
  <c r="E541" i="4"/>
  <c r="E540" i="4"/>
  <c r="E539" i="4"/>
  <c r="E542" i="4" s="1"/>
  <c r="D541" i="4"/>
  <c r="D540" i="4"/>
  <c r="D539" i="4"/>
  <c r="D542" i="4" s="1"/>
  <c r="C541" i="4"/>
  <c r="C542" i="4" s="1"/>
  <c r="C540" i="4"/>
  <c r="C539" i="4"/>
  <c r="B540" i="4"/>
  <c r="B539" i="4"/>
  <c r="X530" i="4"/>
  <c r="X531" i="4"/>
  <c r="W531" i="4"/>
  <c r="V531" i="4"/>
  <c r="U531" i="4"/>
  <c r="T531" i="4"/>
  <c r="R531" i="4"/>
  <c r="Q531" i="4"/>
  <c r="P531" i="4"/>
  <c r="O531" i="4"/>
  <c r="N531" i="4"/>
  <c r="L531" i="4"/>
  <c r="K531" i="4"/>
  <c r="J531" i="4"/>
  <c r="I531" i="4"/>
  <c r="H531" i="4"/>
  <c r="F531" i="4"/>
  <c r="E531" i="4"/>
  <c r="D531" i="4"/>
  <c r="C531" i="4"/>
  <c r="B531" i="4"/>
  <c r="W530" i="4"/>
  <c r="V530" i="4"/>
  <c r="U530" i="4"/>
  <c r="T530" i="4"/>
  <c r="R530" i="4"/>
  <c r="Q530" i="4"/>
  <c r="P530" i="4"/>
  <c r="P532" i="4" s="1"/>
  <c r="O530" i="4"/>
  <c r="N530" i="4"/>
  <c r="L530" i="4"/>
  <c r="K530" i="4"/>
  <c r="J530" i="4"/>
  <c r="I530" i="4"/>
  <c r="H530" i="4"/>
  <c r="F530" i="4"/>
  <c r="F532" i="4" s="1"/>
  <c r="E530" i="4"/>
  <c r="D530" i="4"/>
  <c r="C530" i="4"/>
  <c r="B530" i="4"/>
  <c r="X529" i="4"/>
  <c r="X532" i="4" s="1"/>
  <c r="W529" i="4"/>
  <c r="W532" i="4" s="1"/>
  <c r="V529" i="4"/>
  <c r="U529" i="4"/>
  <c r="U532" i="4" s="1"/>
  <c r="T529" i="4"/>
  <c r="R529" i="4"/>
  <c r="Q529" i="4"/>
  <c r="Q532" i="4" s="1"/>
  <c r="P529" i="4"/>
  <c r="O529" i="4"/>
  <c r="O532" i="4" s="1"/>
  <c r="N529" i="4"/>
  <c r="N532" i="4" s="1"/>
  <c r="L529" i="4"/>
  <c r="K529" i="4"/>
  <c r="K532" i="4" s="1"/>
  <c r="J529" i="4"/>
  <c r="I529" i="4"/>
  <c r="H529" i="4"/>
  <c r="F529" i="4"/>
  <c r="E529" i="4"/>
  <c r="E532" i="4" s="1"/>
  <c r="D529" i="4"/>
  <c r="D532" i="4" s="1"/>
  <c r="C529" i="4"/>
  <c r="B529" i="4"/>
  <c r="X507" i="4"/>
  <c r="X506" i="4"/>
  <c r="X505" i="4"/>
  <c r="W507" i="4"/>
  <c r="W506" i="4"/>
  <c r="W505" i="4"/>
  <c r="T507" i="4"/>
  <c r="T506" i="4"/>
  <c r="T508" i="4" s="1"/>
  <c r="T505" i="4"/>
  <c r="U507" i="4"/>
  <c r="U506" i="4"/>
  <c r="U505" i="4"/>
  <c r="V507" i="4"/>
  <c r="V506" i="4"/>
  <c r="V505" i="4"/>
  <c r="R507" i="4"/>
  <c r="R506" i="4"/>
  <c r="R505" i="4"/>
  <c r="R508" i="4" s="1"/>
  <c r="Q507" i="4"/>
  <c r="Q506" i="4"/>
  <c r="Q508" i="4" s="1"/>
  <c r="Q505" i="4"/>
  <c r="P507" i="4"/>
  <c r="P506" i="4"/>
  <c r="P505" i="4"/>
  <c r="N507" i="4"/>
  <c r="S507" i="4" s="1"/>
  <c r="N506" i="4"/>
  <c r="N505" i="4"/>
  <c r="O506" i="4"/>
  <c r="O507" i="4"/>
  <c r="O505" i="4"/>
  <c r="H507" i="4"/>
  <c r="M507" i="4" s="1"/>
  <c r="H506" i="4"/>
  <c r="H505" i="4"/>
  <c r="M505" i="4" s="1"/>
  <c r="L507" i="4"/>
  <c r="L506" i="4"/>
  <c r="L505" i="4"/>
  <c r="L508" i="4" s="1"/>
  <c r="K505" i="4"/>
  <c r="K506" i="4"/>
  <c r="K507" i="4"/>
  <c r="J507" i="4"/>
  <c r="J506" i="4"/>
  <c r="J508" i="4" s="1"/>
  <c r="J505" i="4"/>
  <c r="I507" i="4"/>
  <c r="I506" i="4"/>
  <c r="I505" i="4"/>
  <c r="F506" i="4"/>
  <c r="F505" i="4"/>
  <c r="F507" i="4"/>
  <c r="E505" i="4"/>
  <c r="E506" i="4"/>
  <c r="E507" i="4"/>
  <c r="D507" i="4"/>
  <c r="C507" i="4"/>
  <c r="B507" i="4"/>
  <c r="D506" i="4"/>
  <c r="D508" i="4" s="1"/>
  <c r="D505" i="4"/>
  <c r="C506" i="4"/>
  <c r="C505" i="4"/>
  <c r="B506" i="4"/>
  <c r="B505" i="4"/>
  <c r="X523" i="4"/>
  <c r="W523" i="4"/>
  <c r="V523" i="4"/>
  <c r="U523" i="4"/>
  <c r="U524" i="4" s="1"/>
  <c r="T523" i="4"/>
  <c r="R523" i="4"/>
  <c r="Q523" i="4"/>
  <c r="P523" i="4"/>
  <c r="O523" i="4"/>
  <c r="S523" i="4" s="1"/>
  <c r="N523" i="4"/>
  <c r="L523" i="4"/>
  <c r="K523" i="4"/>
  <c r="J523" i="4"/>
  <c r="I523" i="4"/>
  <c r="H523" i="4"/>
  <c r="F523" i="4"/>
  <c r="E523" i="4"/>
  <c r="D523" i="4"/>
  <c r="C523" i="4"/>
  <c r="B523" i="4"/>
  <c r="G523" i="4" s="1"/>
  <c r="X522" i="4"/>
  <c r="U522" i="4"/>
  <c r="Y522" i="4" s="1"/>
  <c r="R522" i="4"/>
  <c r="Q522" i="4"/>
  <c r="P522" i="4"/>
  <c r="O522" i="4"/>
  <c r="N522" i="4"/>
  <c r="L522" i="4"/>
  <c r="K522" i="4"/>
  <c r="J522" i="4"/>
  <c r="I522" i="4"/>
  <c r="H522" i="4"/>
  <c r="M522" i="4" s="1"/>
  <c r="F522" i="4"/>
  <c r="F524" i="4" s="1"/>
  <c r="E522" i="4"/>
  <c r="D522" i="4"/>
  <c r="C522" i="4"/>
  <c r="B522" i="4"/>
  <c r="X521" i="4"/>
  <c r="W521" i="4"/>
  <c r="V521" i="4"/>
  <c r="V524" i="4" s="1"/>
  <c r="U521" i="4"/>
  <c r="T521" i="4"/>
  <c r="R521" i="4"/>
  <c r="R524" i="4" s="1"/>
  <c r="O521" i="4"/>
  <c r="L521" i="4"/>
  <c r="K521" i="4"/>
  <c r="J521" i="4"/>
  <c r="I521" i="4"/>
  <c r="H521" i="4"/>
  <c r="F521" i="4"/>
  <c r="E521" i="4"/>
  <c r="E524" i="4" s="1"/>
  <c r="D521" i="4"/>
  <c r="C521" i="4"/>
  <c r="B521" i="4"/>
  <c r="T498" i="4"/>
  <c r="T496" i="4"/>
  <c r="U498" i="4"/>
  <c r="U497" i="4"/>
  <c r="U496" i="4"/>
  <c r="V498" i="4"/>
  <c r="V496" i="4"/>
  <c r="X497" i="4"/>
  <c r="X498" i="4"/>
  <c r="X496" i="4"/>
  <c r="X499" i="4" s="1"/>
  <c r="W498" i="4"/>
  <c r="W496" i="4"/>
  <c r="N498" i="4"/>
  <c r="N497" i="4"/>
  <c r="O498" i="4"/>
  <c r="O497" i="4"/>
  <c r="O496" i="4"/>
  <c r="O499" i="4" s="1"/>
  <c r="P498" i="4"/>
  <c r="P497" i="4"/>
  <c r="R496" i="4"/>
  <c r="R498" i="4"/>
  <c r="R497" i="4"/>
  <c r="Q498" i="4"/>
  <c r="Q497" i="4"/>
  <c r="H496" i="4"/>
  <c r="H498" i="4"/>
  <c r="H497" i="4"/>
  <c r="I498" i="4"/>
  <c r="I497" i="4"/>
  <c r="I496" i="4"/>
  <c r="J498" i="4"/>
  <c r="J497" i="4"/>
  <c r="J496" i="4"/>
  <c r="L498" i="4"/>
  <c r="L497" i="4"/>
  <c r="L496" i="4"/>
  <c r="K498" i="4"/>
  <c r="K497" i="4"/>
  <c r="K496" i="4"/>
  <c r="B498" i="4"/>
  <c r="B497" i="4"/>
  <c r="C498" i="4"/>
  <c r="G498" i="4" s="1"/>
  <c r="C497" i="4"/>
  <c r="C496" i="4"/>
  <c r="C499" i="4" s="1"/>
  <c r="D498" i="4"/>
  <c r="D497" i="4"/>
  <c r="D496" i="4"/>
  <c r="D499" i="4" s="1"/>
  <c r="F498" i="4"/>
  <c r="F497" i="4"/>
  <c r="F496" i="4"/>
  <c r="E498" i="4"/>
  <c r="E497" i="4"/>
  <c r="E496" i="4"/>
  <c r="E499" i="4" s="1"/>
  <c r="X490" i="4"/>
  <c r="X489" i="4"/>
  <c r="X488" i="4"/>
  <c r="X491" i="4" s="1"/>
  <c r="X515" i="4"/>
  <c r="X514" i="4"/>
  <c r="X513" i="4"/>
  <c r="W515" i="4"/>
  <c r="W490" i="4"/>
  <c r="W514" i="4"/>
  <c r="W489" i="4"/>
  <c r="W513" i="4"/>
  <c r="W488" i="4"/>
  <c r="V515" i="4"/>
  <c r="V514" i="4"/>
  <c r="V513" i="4"/>
  <c r="V516" i="4" s="1"/>
  <c r="V490" i="4"/>
  <c r="V489" i="4"/>
  <c r="V488" i="4"/>
  <c r="V491" i="4" s="1"/>
  <c r="U515" i="4"/>
  <c r="U514" i="4"/>
  <c r="Y514" i="4" s="1"/>
  <c r="U513" i="4"/>
  <c r="U490" i="4"/>
  <c r="U489" i="4"/>
  <c r="U488" i="4"/>
  <c r="T515" i="4"/>
  <c r="T490" i="4"/>
  <c r="T514" i="4"/>
  <c r="T489" i="4"/>
  <c r="T513" i="4"/>
  <c r="T488" i="4"/>
  <c r="R490" i="4"/>
  <c r="R489" i="4"/>
  <c r="R488" i="4"/>
  <c r="R491" i="4" s="1"/>
  <c r="R515" i="4"/>
  <c r="R514" i="4"/>
  <c r="R513" i="4"/>
  <c r="F514" i="4"/>
  <c r="E514" i="4"/>
  <c r="D514" i="4"/>
  <c r="C514" i="4"/>
  <c r="G514" i="4" s="1"/>
  <c r="F513" i="4"/>
  <c r="E513" i="4"/>
  <c r="D513" i="4"/>
  <c r="C513" i="4"/>
  <c r="F515" i="4"/>
  <c r="E515" i="4"/>
  <c r="D515" i="4"/>
  <c r="C515" i="4"/>
  <c r="Q515" i="4"/>
  <c r="Q516" i="4" s="1"/>
  <c r="Q490" i="4"/>
  <c r="Q514" i="4"/>
  <c r="Q489" i="4"/>
  <c r="Q513" i="4"/>
  <c r="Q488" i="4"/>
  <c r="P515" i="4"/>
  <c r="P514" i="4"/>
  <c r="P513" i="4"/>
  <c r="P516" i="4" s="1"/>
  <c r="P490" i="4"/>
  <c r="P489" i="4"/>
  <c r="P488" i="4"/>
  <c r="O515" i="4"/>
  <c r="O514" i="4"/>
  <c r="O513" i="4"/>
  <c r="O490" i="4"/>
  <c r="O489" i="4"/>
  <c r="O491" i="4" s="1"/>
  <c r="O488" i="4"/>
  <c r="N490" i="4"/>
  <c r="N491" i="4" s="1"/>
  <c r="N515" i="4"/>
  <c r="N514" i="4"/>
  <c r="N489" i="4"/>
  <c r="N488" i="4"/>
  <c r="N513" i="4"/>
  <c r="N516" i="4" s="1"/>
  <c r="L515" i="4"/>
  <c r="L514" i="4"/>
  <c r="L513" i="4"/>
  <c r="L490" i="4"/>
  <c r="L489" i="4"/>
  <c r="L488" i="4"/>
  <c r="K490" i="4"/>
  <c r="K515" i="4"/>
  <c r="K514" i="4"/>
  <c r="K489" i="4"/>
  <c r="K513" i="4"/>
  <c r="K488" i="4"/>
  <c r="J515" i="4"/>
  <c r="J514" i="4"/>
  <c r="J513" i="4"/>
  <c r="J490" i="4"/>
  <c r="J489" i="4"/>
  <c r="J488" i="4"/>
  <c r="I515" i="4"/>
  <c r="I514" i="4"/>
  <c r="I513" i="4"/>
  <c r="I490" i="4"/>
  <c r="I489" i="4"/>
  <c r="I488" i="4"/>
  <c r="H513" i="4"/>
  <c r="H515" i="4"/>
  <c r="H514" i="4"/>
  <c r="H490" i="4"/>
  <c r="H489" i="4"/>
  <c r="H488" i="4"/>
  <c r="F490" i="4"/>
  <c r="F489" i="4"/>
  <c r="F488" i="4"/>
  <c r="F491" i="4" s="1"/>
  <c r="B490" i="4"/>
  <c r="E490" i="4"/>
  <c r="E489" i="4"/>
  <c r="E488" i="4"/>
  <c r="D490" i="4"/>
  <c r="D489" i="4"/>
  <c r="D488" i="4"/>
  <c r="C490" i="4"/>
  <c r="C489" i="4"/>
  <c r="C488" i="4"/>
  <c r="B515" i="4"/>
  <c r="B489" i="4"/>
  <c r="B514" i="4"/>
  <c r="B513" i="4"/>
  <c r="B488" i="4"/>
  <c r="Q491" i="4"/>
  <c r="W491" i="4"/>
  <c r="V499" i="4"/>
  <c r="O508" i="4"/>
  <c r="P508" i="4"/>
  <c r="S539" i="4"/>
  <c r="P582" i="4"/>
  <c r="Q582" i="4"/>
  <c r="T582" i="4"/>
  <c r="V582" i="4"/>
  <c r="X807" i="2"/>
  <c r="W807" i="2"/>
  <c r="V807" i="2"/>
  <c r="U807" i="2"/>
  <c r="Y807" i="2" s="1"/>
  <c r="T807" i="2"/>
  <c r="X806" i="2"/>
  <c r="W806" i="2"/>
  <c r="V806" i="2"/>
  <c r="U806" i="2"/>
  <c r="T806" i="2"/>
  <c r="X805" i="2"/>
  <c r="W805" i="2"/>
  <c r="V805" i="2"/>
  <c r="U805" i="2"/>
  <c r="T805" i="2"/>
  <c r="X804" i="2"/>
  <c r="W804" i="2"/>
  <c r="V804" i="2"/>
  <c r="U804" i="2"/>
  <c r="Y804" i="2" s="1"/>
  <c r="T804" i="2"/>
  <c r="R807" i="2"/>
  <c r="Q807" i="2"/>
  <c r="P807" i="2"/>
  <c r="O807" i="2"/>
  <c r="N807" i="2"/>
  <c r="R806" i="2"/>
  <c r="Q806" i="2"/>
  <c r="P806" i="2"/>
  <c r="P808" i="2" s="1"/>
  <c r="O806" i="2"/>
  <c r="N806" i="2"/>
  <c r="R805" i="2"/>
  <c r="Q805" i="2"/>
  <c r="P805" i="2"/>
  <c r="O805" i="2"/>
  <c r="N805" i="2"/>
  <c r="S805" i="2" s="1"/>
  <c r="R804" i="2"/>
  <c r="R808" i="2" s="1"/>
  <c r="Q804" i="2"/>
  <c r="P804" i="2"/>
  <c r="O804" i="2"/>
  <c r="N804" i="2"/>
  <c r="X798" i="2"/>
  <c r="W798" i="2"/>
  <c r="V798" i="2"/>
  <c r="U798" i="2"/>
  <c r="T798" i="2"/>
  <c r="X797" i="2"/>
  <c r="W797" i="2"/>
  <c r="V797" i="2"/>
  <c r="U797" i="2"/>
  <c r="T797" i="2"/>
  <c r="X796" i="2"/>
  <c r="Y796" i="2" s="1"/>
  <c r="W796" i="2"/>
  <c r="W799" i="2" s="1"/>
  <c r="V796" i="2"/>
  <c r="U796" i="2"/>
  <c r="T796" i="2"/>
  <c r="X795" i="2"/>
  <c r="W795" i="2"/>
  <c r="V795" i="2"/>
  <c r="U795" i="2"/>
  <c r="U799" i="2" s="1"/>
  <c r="T795" i="2"/>
  <c r="R798" i="2"/>
  <c r="Q798" i="2"/>
  <c r="P798" i="2"/>
  <c r="O798" i="2"/>
  <c r="N798" i="2"/>
  <c r="R797" i="2"/>
  <c r="Q797" i="2"/>
  <c r="Q799" i="2" s="1"/>
  <c r="P797" i="2"/>
  <c r="O797" i="2"/>
  <c r="N797" i="2"/>
  <c r="R796" i="2"/>
  <c r="Q796" i="2"/>
  <c r="P796" i="2"/>
  <c r="O796" i="2"/>
  <c r="N796" i="2"/>
  <c r="S796" i="2" s="1"/>
  <c r="R795" i="2"/>
  <c r="R799" i="2" s="1"/>
  <c r="Q795" i="2"/>
  <c r="P795" i="2"/>
  <c r="O795" i="2"/>
  <c r="O799" i="2" s="1"/>
  <c r="N795" i="2"/>
  <c r="X789" i="2"/>
  <c r="W789" i="2"/>
  <c r="V789" i="2"/>
  <c r="V790" i="2" s="1"/>
  <c r="U789" i="2"/>
  <c r="T789" i="2"/>
  <c r="X788" i="2"/>
  <c r="W788" i="2"/>
  <c r="V788" i="2"/>
  <c r="U788" i="2"/>
  <c r="T788" i="2"/>
  <c r="Y788" i="2" s="1"/>
  <c r="X787" i="2"/>
  <c r="X790" i="2" s="1"/>
  <c r="W787" i="2"/>
  <c r="V787" i="2"/>
  <c r="U787" i="2"/>
  <c r="T787" i="2"/>
  <c r="X786" i="2"/>
  <c r="W786" i="2"/>
  <c r="V786" i="2"/>
  <c r="U786" i="2"/>
  <c r="U790" i="2" s="1"/>
  <c r="T786" i="2"/>
  <c r="T790" i="2" s="1"/>
  <c r="R789" i="2"/>
  <c r="Q789" i="2"/>
  <c r="P789" i="2"/>
  <c r="O789" i="2"/>
  <c r="N789" i="2"/>
  <c r="R788" i="2"/>
  <c r="Q788" i="2"/>
  <c r="P788" i="2"/>
  <c r="O788" i="2"/>
  <c r="N788" i="2"/>
  <c r="R787" i="2"/>
  <c r="Q787" i="2"/>
  <c r="P787" i="2"/>
  <c r="O787" i="2"/>
  <c r="O790" i="2" s="1"/>
  <c r="N787" i="2"/>
  <c r="N790" i="2" s="1"/>
  <c r="R786" i="2"/>
  <c r="Q786" i="2"/>
  <c r="P786" i="2"/>
  <c r="O786" i="2"/>
  <c r="N786" i="2"/>
  <c r="Y806" i="2"/>
  <c r="Y805" i="2"/>
  <c r="V799" i="2"/>
  <c r="W790" i="2"/>
  <c r="L807" i="2"/>
  <c r="K807" i="2"/>
  <c r="J807" i="2"/>
  <c r="I807" i="2"/>
  <c r="H807" i="2"/>
  <c r="M807" i="2" s="1"/>
  <c r="L806" i="2"/>
  <c r="K806" i="2"/>
  <c r="J806" i="2"/>
  <c r="I806" i="2"/>
  <c r="H806" i="2"/>
  <c r="L805" i="2"/>
  <c r="K805" i="2"/>
  <c r="J805" i="2"/>
  <c r="I805" i="2"/>
  <c r="H805" i="2"/>
  <c r="L804" i="2"/>
  <c r="L808" i="2" s="1"/>
  <c r="K804" i="2"/>
  <c r="J804" i="2"/>
  <c r="I804" i="2"/>
  <c r="H804" i="2"/>
  <c r="L798" i="2"/>
  <c r="K798" i="2"/>
  <c r="J798" i="2"/>
  <c r="I798" i="2"/>
  <c r="M798" i="2" s="1"/>
  <c r="H798" i="2"/>
  <c r="L797" i="2"/>
  <c r="K797" i="2"/>
  <c r="J797" i="2"/>
  <c r="I797" i="2"/>
  <c r="H797" i="2"/>
  <c r="L796" i="2"/>
  <c r="K796" i="2"/>
  <c r="J796" i="2"/>
  <c r="I796" i="2"/>
  <c r="H796" i="2"/>
  <c r="L795" i="2"/>
  <c r="K795" i="2"/>
  <c r="J795" i="2"/>
  <c r="I795" i="2"/>
  <c r="H795" i="2"/>
  <c r="L789" i="2"/>
  <c r="K789" i="2"/>
  <c r="J789" i="2"/>
  <c r="I789" i="2"/>
  <c r="H789" i="2"/>
  <c r="L788" i="2"/>
  <c r="K788" i="2"/>
  <c r="J788" i="2"/>
  <c r="I788" i="2"/>
  <c r="H788" i="2"/>
  <c r="L787" i="2"/>
  <c r="K787" i="2"/>
  <c r="J787" i="2"/>
  <c r="I787" i="2"/>
  <c r="H787" i="2"/>
  <c r="M787" i="2" s="1"/>
  <c r="L786" i="2"/>
  <c r="K786" i="2"/>
  <c r="J786" i="2"/>
  <c r="I786" i="2"/>
  <c r="H786" i="2"/>
  <c r="F807" i="2"/>
  <c r="E807" i="2"/>
  <c r="D807" i="2"/>
  <c r="D808" i="2" s="1"/>
  <c r="C807" i="2"/>
  <c r="G807" i="2" s="1"/>
  <c r="B807" i="2"/>
  <c r="F806" i="2"/>
  <c r="E806" i="2"/>
  <c r="D806" i="2"/>
  <c r="C806" i="2"/>
  <c r="B806" i="2"/>
  <c r="F805" i="2"/>
  <c r="E805" i="2"/>
  <c r="D805" i="2"/>
  <c r="C805" i="2"/>
  <c r="B805" i="2"/>
  <c r="F804" i="2"/>
  <c r="E804" i="2"/>
  <c r="D804" i="2"/>
  <c r="C804" i="2"/>
  <c r="G804" i="2" s="1"/>
  <c r="F798" i="2"/>
  <c r="G798" i="2" s="1"/>
  <c r="E798" i="2"/>
  <c r="D798" i="2"/>
  <c r="C798" i="2"/>
  <c r="B798" i="2"/>
  <c r="F797" i="2"/>
  <c r="E797" i="2"/>
  <c r="D797" i="2"/>
  <c r="C797" i="2"/>
  <c r="B797" i="2"/>
  <c r="F796" i="2"/>
  <c r="E796" i="2"/>
  <c r="D796" i="2"/>
  <c r="C796" i="2"/>
  <c r="B796" i="2"/>
  <c r="F795" i="2"/>
  <c r="E795" i="2"/>
  <c r="D795" i="2"/>
  <c r="C795" i="2"/>
  <c r="B795" i="2"/>
  <c r="F789" i="2"/>
  <c r="E789" i="2"/>
  <c r="D789" i="2"/>
  <c r="C789" i="2"/>
  <c r="G789" i="2" s="1"/>
  <c r="B789" i="2"/>
  <c r="F788" i="2"/>
  <c r="E788" i="2"/>
  <c r="D788" i="2"/>
  <c r="C788" i="2"/>
  <c r="B788" i="2"/>
  <c r="G788" i="2" s="1"/>
  <c r="F787" i="2"/>
  <c r="E787" i="2"/>
  <c r="E790" i="2" s="1"/>
  <c r="D787" i="2"/>
  <c r="C787" i="2"/>
  <c r="B787" i="2"/>
  <c r="F786" i="2"/>
  <c r="E786" i="2"/>
  <c r="D786" i="2"/>
  <c r="D790" i="2" s="1"/>
  <c r="C786" i="2"/>
  <c r="B786" i="2"/>
  <c r="S807" i="2"/>
  <c r="U808" i="2"/>
  <c r="C808" i="2"/>
  <c r="S798" i="2"/>
  <c r="S795" i="2"/>
  <c r="C799" i="2"/>
  <c r="S789" i="2"/>
  <c r="B685" i="2"/>
  <c r="X724" i="2"/>
  <c r="W724" i="2"/>
  <c r="V724" i="2"/>
  <c r="U724" i="2"/>
  <c r="T724" i="2"/>
  <c r="X723" i="2"/>
  <c r="W723" i="2"/>
  <c r="V723" i="2"/>
  <c r="U723" i="2"/>
  <c r="T723" i="2"/>
  <c r="X722" i="2"/>
  <c r="W722" i="2"/>
  <c r="V722" i="2"/>
  <c r="U722" i="2"/>
  <c r="T722" i="2"/>
  <c r="X721" i="2"/>
  <c r="W721" i="2"/>
  <c r="V721" i="2"/>
  <c r="U721" i="2"/>
  <c r="T721" i="2"/>
  <c r="X715" i="2"/>
  <c r="W715" i="2"/>
  <c r="V715" i="2"/>
  <c r="U715" i="2"/>
  <c r="T715" i="2"/>
  <c r="X714" i="2"/>
  <c r="W714" i="2"/>
  <c r="V714" i="2"/>
  <c r="U714" i="2"/>
  <c r="T714" i="2"/>
  <c r="X713" i="2"/>
  <c r="W713" i="2"/>
  <c r="V713" i="2"/>
  <c r="U713" i="2"/>
  <c r="T713" i="2"/>
  <c r="X712" i="2"/>
  <c r="W712" i="2"/>
  <c r="V712" i="2"/>
  <c r="U712" i="2"/>
  <c r="T712" i="2"/>
  <c r="X706" i="2"/>
  <c r="W706" i="2"/>
  <c r="V706" i="2"/>
  <c r="U706" i="2"/>
  <c r="T706" i="2"/>
  <c r="X705" i="2"/>
  <c r="W705" i="2"/>
  <c r="V705" i="2"/>
  <c r="U705" i="2"/>
  <c r="T705" i="2"/>
  <c r="X704" i="2"/>
  <c r="W704" i="2"/>
  <c r="V704" i="2"/>
  <c r="U704" i="2"/>
  <c r="T704" i="2"/>
  <c r="X703" i="2"/>
  <c r="W703" i="2"/>
  <c r="V703" i="2"/>
  <c r="U703" i="2"/>
  <c r="T703" i="2"/>
  <c r="R724" i="2"/>
  <c r="Q724" i="2"/>
  <c r="P724" i="2"/>
  <c r="O724" i="2"/>
  <c r="N724" i="2"/>
  <c r="R723" i="2"/>
  <c r="Q723" i="2"/>
  <c r="P723" i="2"/>
  <c r="O723" i="2"/>
  <c r="N723" i="2"/>
  <c r="R722" i="2"/>
  <c r="Q722" i="2"/>
  <c r="P722" i="2"/>
  <c r="O722" i="2"/>
  <c r="N722" i="2"/>
  <c r="R721" i="2"/>
  <c r="Q721" i="2"/>
  <c r="P721" i="2"/>
  <c r="O721" i="2"/>
  <c r="N721" i="2"/>
  <c r="R715" i="2"/>
  <c r="Q715" i="2"/>
  <c r="P715" i="2"/>
  <c r="O715" i="2"/>
  <c r="N715" i="2"/>
  <c r="R714" i="2"/>
  <c r="Q714" i="2"/>
  <c r="P714" i="2"/>
  <c r="O714" i="2"/>
  <c r="N714" i="2"/>
  <c r="R713" i="2"/>
  <c r="Q713" i="2"/>
  <c r="P713" i="2"/>
  <c r="O713" i="2"/>
  <c r="N713" i="2"/>
  <c r="R712" i="2"/>
  <c r="Q712" i="2"/>
  <c r="P712" i="2"/>
  <c r="O712" i="2"/>
  <c r="N712" i="2"/>
  <c r="R706" i="2"/>
  <c r="Q706" i="2"/>
  <c r="P706" i="2"/>
  <c r="O706" i="2"/>
  <c r="N706" i="2"/>
  <c r="R705" i="2"/>
  <c r="Q705" i="2"/>
  <c r="P705" i="2"/>
  <c r="O705" i="2"/>
  <c r="N705" i="2"/>
  <c r="R704" i="2"/>
  <c r="Q704" i="2"/>
  <c r="P704" i="2"/>
  <c r="O704" i="2"/>
  <c r="N704" i="2"/>
  <c r="R703" i="2"/>
  <c r="Q703" i="2"/>
  <c r="P703" i="2"/>
  <c r="O703" i="2"/>
  <c r="N703" i="2"/>
  <c r="L724" i="2"/>
  <c r="K724" i="2"/>
  <c r="J724" i="2"/>
  <c r="I724" i="2"/>
  <c r="H724" i="2"/>
  <c r="L723" i="2"/>
  <c r="K723" i="2"/>
  <c r="J723" i="2"/>
  <c r="I723" i="2"/>
  <c r="H723" i="2"/>
  <c r="L722" i="2"/>
  <c r="K722" i="2"/>
  <c r="J722" i="2"/>
  <c r="I722" i="2"/>
  <c r="H722" i="2"/>
  <c r="L721" i="2"/>
  <c r="K721" i="2"/>
  <c r="J721" i="2"/>
  <c r="I721" i="2"/>
  <c r="H721" i="2"/>
  <c r="L715" i="2"/>
  <c r="K715" i="2"/>
  <c r="J715" i="2"/>
  <c r="I715" i="2"/>
  <c r="H715" i="2"/>
  <c r="L714" i="2"/>
  <c r="M714" i="2" s="1"/>
  <c r="K714" i="2"/>
  <c r="J714" i="2"/>
  <c r="I714" i="2"/>
  <c r="H714" i="2"/>
  <c r="L713" i="2"/>
  <c r="K713" i="2"/>
  <c r="J713" i="2"/>
  <c r="I713" i="2"/>
  <c r="H713" i="2"/>
  <c r="L712" i="2"/>
  <c r="K712" i="2"/>
  <c r="J712" i="2"/>
  <c r="I712" i="2"/>
  <c r="H712" i="2"/>
  <c r="L706" i="2"/>
  <c r="K706" i="2"/>
  <c r="J706" i="2"/>
  <c r="I706" i="2"/>
  <c r="H706" i="2"/>
  <c r="L705" i="2"/>
  <c r="K705" i="2"/>
  <c r="J705" i="2"/>
  <c r="I705" i="2"/>
  <c r="H705" i="2"/>
  <c r="L704" i="2"/>
  <c r="K704" i="2"/>
  <c r="J704" i="2"/>
  <c r="I704" i="2"/>
  <c r="H704" i="2"/>
  <c r="L703" i="2"/>
  <c r="K703" i="2"/>
  <c r="J703" i="2"/>
  <c r="I703" i="2"/>
  <c r="H703" i="2"/>
  <c r="F724" i="2"/>
  <c r="E724" i="2"/>
  <c r="D724" i="2"/>
  <c r="C724" i="2"/>
  <c r="B724" i="2"/>
  <c r="F723" i="2"/>
  <c r="E723" i="2"/>
  <c r="D723" i="2"/>
  <c r="C723" i="2"/>
  <c r="B723" i="2"/>
  <c r="F722" i="2"/>
  <c r="E722" i="2"/>
  <c r="D722" i="2"/>
  <c r="D725" i="2" s="1"/>
  <c r="C722" i="2"/>
  <c r="B722" i="2"/>
  <c r="F721" i="2"/>
  <c r="E721" i="2"/>
  <c r="D721" i="2"/>
  <c r="C721" i="2"/>
  <c r="B721" i="2"/>
  <c r="F715" i="2"/>
  <c r="E715" i="2"/>
  <c r="D715" i="2"/>
  <c r="C715" i="2"/>
  <c r="B715" i="2"/>
  <c r="F714" i="2"/>
  <c r="E714" i="2"/>
  <c r="D714" i="2"/>
  <c r="C714" i="2"/>
  <c r="B714" i="2"/>
  <c r="F713" i="2"/>
  <c r="E713" i="2"/>
  <c r="D713" i="2"/>
  <c r="C713" i="2"/>
  <c r="B713" i="2"/>
  <c r="F712" i="2"/>
  <c r="E712" i="2"/>
  <c r="D712" i="2"/>
  <c r="C712" i="2"/>
  <c r="B712" i="2"/>
  <c r="F706" i="2"/>
  <c r="E706" i="2"/>
  <c r="D706" i="2"/>
  <c r="C706" i="2"/>
  <c r="B706" i="2"/>
  <c r="F705" i="2"/>
  <c r="E705" i="2"/>
  <c r="D705" i="2"/>
  <c r="C705" i="2"/>
  <c r="B705" i="2"/>
  <c r="F704" i="2"/>
  <c r="E704" i="2"/>
  <c r="D704" i="2"/>
  <c r="C704" i="2"/>
  <c r="B704" i="2"/>
  <c r="F703" i="2"/>
  <c r="E703" i="2"/>
  <c r="D703" i="2"/>
  <c r="C703" i="2"/>
  <c r="B703" i="2"/>
  <c r="L780" i="2"/>
  <c r="H733" i="2"/>
  <c r="X780" i="2"/>
  <c r="W780" i="2"/>
  <c r="V780" i="2"/>
  <c r="U780" i="2"/>
  <c r="T780" i="2"/>
  <c r="X779" i="2"/>
  <c r="W779" i="2"/>
  <c r="Y779" i="2" s="1"/>
  <c r="V779" i="2"/>
  <c r="U779" i="2"/>
  <c r="T779" i="2"/>
  <c r="X778" i="2"/>
  <c r="W778" i="2"/>
  <c r="V778" i="2"/>
  <c r="U778" i="2"/>
  <c r="T778" i="2"/>
  <c r="W777" i="2"/>
  <c r="V777" i="2"/>
  <c r="U777" i="2"/>
  <c r="T777" i="2"/>
  <c r="X771" i="2"/>
  <c r="W771" i="2"/>
  <c r="V771" i="2"/>
  <c r="U771" i="2"/>
  <c r="T771" i="2"/>
  <c r="X770" i="2"/>
  <c r="W770" i="2"/>
  <c r="V770" i="2"/>
  <c r="U770" i="2"/>
  <c r="T770" i="2"/>
  <c r="X769" i="2"/>
  <c r="W769" i="2"/>
  <c r="V769" i="2"/>
  <c r="U769" i="2"/>
  <c r="T769" i="2"/>
  <c r="X768" i="2"/>
  <c r="W768" i="2"/>
  <c r="V768" i="2"/>
  <c r="U768" i="2"/>
  <c r="T768" i="2"/>
  <c r="X762" i="2"/>
  <c r="W762" i="2"/>
  <c r="V762" i="2"/>
  <c r="U762" i="2"/>
  <c r="T762" i="2"/>
  <c r="X761" i="2"/>
  <c r="W761" i="2"/>
  <c r="V761" i="2"/>
  <c r="U761" i="2"/>
  <c r="T761" i="2"/>
  <c r="X760" i="2"/>
  <c r="W760" i="2"/>
  <c r="V760" i="2"/>
  <c r="U760" i="2"/>
  <c r="T760" i="2"/>
  <c r="X759" i="2"/>
  <c r="X763" i="2" s="1"/>
  <c r="W759" i="2"/>
  <c r="V759" i="2"/>
  <c r="U759" i="2"/>
  <c r="T759" i="2"/>
  <c r="R780" i="2"/>
  <c r="Q780" i="2"/>
  <c r="P780" i="2"/>
  <c r="O780" i="2"/>
  <c r="N780" i="2"/>
  <c r="R779" i="2"/>
  <c r="Q779" i="2"/>
  <c r="P779" i="2"/>
  <c r="O779" i="2"/>
  <c r="N779" i="2"/>
  <c r="Q778" i="2"/>
  <c r="P778" i="2"/>
  <c r="O778" i="2"/>
  <c r="N778" i="2"/>
  <c r="R777" i="2"/>
  <c r="Q777" i="2"/>
  <c r="P777" i="2"/>
  <c r="O777" i="2"/>
  <c r="N777" i="2"/>
  <c r="R771" i="2"/>
  <c r="Q771" i="2"/>
  <c r="P771" i="2"/>
  <c r="O771" i="2"/>
  <c r="N771" i="2"/>
  <c r="R770" i="2"/>
  <c r="Q770" i="2"/>
  <c r="P770" i="2"/>
  <c r="O770" i="2"/>
  <c r="N770" i="2"/>
  <c r="R769" i="2"/>
  <c r="Q769" i="2"/>
  <c r="P769" i="2"/>
  <c r="O769" i="2"/>
  <c r="N769" i="2"/>
  <c r="R768" i="2"/>
  <c r="Q768" i="2"/>
  <c r="P768" i="2"/>
  <c r="O768" i="2"/>
  <c r="N768" i="2"/>
  <c r="R762" i="2"/>
  <c r="Q762" i="2"/>
  <c r="P762" i="2"/>
  <c r="O762" i="2"/>
  <c r="N762" i="2"/>
  <c r="R761" i="2"/>
  <c r="Q761" i="2"/>
  <c r="P761" i="2"/>
  <c r="O761" i="2"/>
  <c r="N761" i="2"/>
  <c r="R760" i="2"/>
  <c r="Q760" i="2"/>
  <c r="P760" i="2"/>
  <c r="O760" i="2"/>
  <c r="N760" i="2"/>
  <c r="R759" i="2"/>
  <c r="Q759" i="2"/>
  <c r="P759" i="2"/>
  <c r="O759" i="2"/>
  <c r="N759" i="2"/>
  <c r="K780" i="2"/>
  <c r="J780" i="2"/>
  <c r="I780" i="2"/>
  <c r="H780" i="2"/>
  <c r="L779" i="2"/>
  <c r="K779" i="2"/>
  <c r="J779" i="2"/>
  <c r="I779" i="2"/>
  <c r="H779" i="2"/>
  <c r="L778" i="2"/>
  <c r="K778" i="2"/>
  <c r="J778" i="2"/>
  <c r="I778" i="2"/>
  <c r="H778" i="2"/>
  <c r="L777" i="2"/>
  <c r="K777" i="2"/>
  <c r="J777" i="2"/>
  <c r="I777" i="2"/>
  <c r="H777" i="2"/>
  <c r="L771" i="2"/>
  <c r="K771" i="2"/>
  <c r="J771" i="2"/>
  <c r="I771" i="2"/>
  <c r="H771" i="2"/>
  <c r="L770" i="2"/>
  <c r="K770" i="2"/>
  <c r="J770" i="2"/>
  <c r="I770" i="2"/>
  <c r="H770" i="2"/>
  <c r="L769" i="2"/>
  <c r="K769" i="2"/>
  <c r="J769" i="2"/>
  <c r="I769" i="2"/>
  <c r="H769" i="2"/>
  <c r="L768" i="2"/>
  <c r="K768" i="2"/>
  <c r="J768" i="2"/>
  <c r="I768" i="2"/>
  <c r="H768" i="2"/>
  <c r="L762" i="2"/>
  <c r="K762" i="2"/>
  <c r="J762" i="2"/>
  <c r="I762" i="2"/>
  <c r="H762" i="2"/>
  <c r="L761" i="2"/>
  <c r="K761" i="2"/>
  <c r="J761" i="2"/>
  <c r="I761" i="2"/>
  <c r="H761" i="2"/>
  <c r="L760" i="2"/>
  <c r="K760" i="2"/>
  <c r="J760" i="2"/>
  <c r="I760" i="2"/>
  <c r="H760" i="2"/>
  <c r="L759" i="2"/>
  <c r="K759" i="2"/>
  <c r="J759" i="2"/>
  <c r="I759" i="2"/>
  <c r="H759" i="2"/>
  <c r="F780" i="2"/>
  <c r="F779" i="2"/>
  <c r="F778" i="2"/>
  <c r="F777" i="2"/>
  <c r="E780" i="2"/>
  <c r="D780" i="2"/>
  <c r="C780" i="2"/>
  <c r="B780" i="2"/>
  <c r="E779" i="2"/>
  <c r="D779" i="2"/>
  <c r="C779" i="2"/>
  <c r="B779" i="2"/>
  <c r="G779" i="2" s="1"/>
  <c r="E778" i="2"/>
  <c r="E781" i="2" s="1"/>
  <c r="D778" i="2"/>
  <c r="D781" i="2" s="1"/>
  <c r="C778" i="2"/>
  <c r="B778" i="2"/>
  <c r="E777" i="2"/>
  <c r="D777" i="2"/>
  <c r="C777" i="2"/>
  <c r="B777" i="2"/>
  <c r="F771" i="2"/>
  <c r="E771" i="2"/>
  <c r="D771" i="2"/>
  <c r="C771" i="2"/>
  <c r="B771" i="2"/>
  <c r="F770" i="2"/>
  <c r="E770" i="2"/>
  <c r="D770" i="2"/>
  <c r="C770" i="2"/>
  <c r="B770" i="2"/>
  <c r="F769" i="2"/>
  <c r="E769" i="2"/>
  <c r="D769" i="2"/>
  <c r="C769" i="2"/>
  <c r="B769" i="2"/>
  <c r="F768" i="2"/>
  <c r="F773" i="2" s="1"/>
  <c r="AD773" i="2" s="1"/>
  <c r="E768" i="2"/>
  <c r="E773" i="2" s="1"/>
  <c r="AC773" i="2" s="1"/>
  <c r="D768" i="2"/>
  <c r="D773" i="2" s="1"/>
  <c r="AB773" i="2" s="1"/>
  <c r="C768" i="2"/>
  <c r="C773" i="2" s="1"/>
  <c r="B768" i="2"/>
  <c r="B773" i="2" s="1"/>
  <c r="F762" i="2"/>
  <c r="E762" i="2"/>
  <c r="D762" i="2"/>
  <c r="C762" i="2"/>
  <c r="B762" i="2"/>
  <c r="F761" i="2"/>
  <c r="E761" i="2"/>
  <c r="D761" i="2"/>
  <c r="C761" i="2"/>
  <c r="B761" i="2"/>
  <c r="F760" i="2"/>
  <c r="E760" i="2"/>
  <c r="D760" i="2"/>
  <c r="C760" i="2"/>
  <c r="B760" i="2"/>
  <c r="F759" i="2"/>
  <c r="F764" i="2" s="1"/>
  <c r="AD764" i="2" s="1"/>
  <c r="E759" i="2"/>
  <c r="E764" i="2" s="1"/>
  <c r="AC764" i="2" s="1"/>
  <c r="D759" i="2"/>
  <c r="D764" i="2" s="1"/>
  <c r="C759" i="2"/>
  <c r="C764" i="2" s="1"/>
  <c r="B759" i="2"/>
  <c r="Z764" i="2" s="1"/>
  <c r="X777" i="2"/>
  <c r="R778" i="2"/>
  <c r="T750" i="2"/>
  <c r="X753" i="2"/>
  <c r="X752" i="2"/>
  <c r="X751" i="2"/>
  <c r="X750" i="2"/>
  <c r="X754" i="2" s="1"/>
  <c r="W750" i="2"/>
  <c r="W754" i="2" s="1"/>
  <c r="W752" i="2"/>
  <c r="W751" i="2"/>
  <c r="W753" i="2"/>
  <c r="V753" i="2"/>
  <c r="V752" i="2"/>
  <c r="V751" i="2"/>
  <c r="V750" i="2"/>
  <c r="V755" i="2" s="1"/>
  <c r="U752" i="2"/>
  <c r="Y752" i="2" s="1"/>
  <c r="U751" i="2"/>
  <c r="U750" i="2"/>
  <c r="U755" i="2" s="1"/>
  <c r="U753" i="2"/>
  <c r="T753" i="2"/>
  <c r="Y753" i="2" s="1"/>
  <c r="T752" i="2"/>
  <c r="T751" i="2"/>
  <c r="T754" i="2"/>
  <c r="R753" i="2"/>
  <c r="R752" i="2"/>
  <c r="R751" i="2"/>
  <c r="R750" i="2"/>
  <c r="R755" i="2" s="1"/>
  <c r="Q750" i="2"/>
  <c r="Q755" i="2" s="1"/>
  <c r="Q752" i="2"/>
  <c r="Q751" i="2"/>
  <c r="Q753" i="2"/>
  <c r="Q754" i="2" s="1"/>
  <c r="P753" i="2"/>
  <c r="P752" i="2"/>
  <c r="P751" i="2"/>
  <c r="P750" i="2"/>
  <c r="P755" i="2" s="1"/>
  <c r="O753" i="2"/>
  <c r="O752" i="2"/>
  <c r="O751" i="2"/>
  <c r="O750" i="2"/>
  <c r="O754" i="2" s="1"/>
  <c r="N753" i="2"/>
  <c r="N754" i="2" s="1"/>
  <c r="N752" i="2"/>
  <c r="N751" i="2"/>
  <c r="N750" i="2"/>
  <c r="L753" i="2"/>
  <c r="L752" i="2"/>
  <c r="L751" i="2"/>
  <c r="L750" i="2"/>
  <c r="L755" i="2" s="1"/>
  <c r="K750" i="2"/>
  <c r="K755" i="2" s="1"/>
  <c r="K752" i="2"/>
  <c r="K751" i="2"/>
  <c r="K753" i="2"/>
  <c r="J753" i="2"/>
  <c r="J752" i="2"/>
  <c r="J751" i="2"/>
  <c r="J750" i="2"/>
  <c r="J755" i="2" s="1"/>
  <c r="I753" i="2"/>
  <c r="I752" i="2"/>
  <c r="I751" i="2"/>
  <c r="I750" i="2"/>
  <c r="I755" i="2" s="1"/>
  <c r="H753" i="2"/>
  <c r="H752" i="2"/>
  <c r="H751" i="2"/>
  <c r="H750" i="2"/>
  <c r="F753" i="2"/>
  <c r="F752" i="2"/>
  <c r="F751" i="2"/>
  <c r="F750" i="2"/>
  <c r="F755" i="2" s="1"/>
  <c r="E750" i="2"/>
  <c r="E755" i="2" s="1"/>
  <c r="E752" i="2"/>
  <c r="E751" i="2"/>
  <c r="E753" i="2"/>
  <c r="B750" i="2"/>
  <c r="Z755" i="2" s="1"/>
  <c r="AQ783" i="2" s="1" a="1"/>
  <c r="AQ783" i="2" s="1"/>
  <c r="D753" i="2"/>
  <c r="D752" i="2"/>
  <c r="D751" i="2"/>
  <c r="D750" i="2"/>
  <c r="D755" i="2" s="1"/>
  <c r="C750" i="2"/>
  <c r="C755" i="2" s="1"/>
  <c r="T697" i="2"/>
  <c r="N695" i="2"/>
  <c r="H694" i="2"/>
  <c r="T670" i="2"/>
  <c r="N668" i="2"/>
  <c r="H667" i="2"/>
  <c r="C753" i="2"/>
  <c r="C752" i="2"/>
  <c r="C751" i="2"/>
  <c r="B753" i="2"/>
  <c r="B751" i="2"/>
  <c r="X744" i="2"/>
  <c r="X743" i="2"/>
  <c r="X742" i="2"/>
  <c r="X741" i="2"/>
  <c r="W744" i="2"/>
  <c r="W743" i="2"/>
  <c r="W742" i="2"/>
  <c r="W741" i="2"/>
  <c r="W746" i="2" s="1"/>
  <c r="V744" i="2"/>
  <c r="V743" i="2"/>
  <c r="V742" i="2"/>
  <c r="V741" i="2"/>
  <c r="U744" i="2"/>
  <c r="U743" i="2"/>
  <c r="U742" i="2"/>
  <c r="U741" i="2"/>
  <c r="U746" i="2" s="1"/>
  <c r="T743" i="2"/>
  <c r="T741" i="2"/>
  <c r="T742" i="2"/>
  <c r="T744" i="2"/>
  <c r="R744" i="2"/>
  <c r="R743" i="2"/>
  <c r="R742" i="2"/>
  <c r="R741" i="2"/>
  <c r="R746" i="2" s="1"/>
  <c r="Q744" i="2"/>
  <c r="Q743" i="2"/>
  <c r="Q742" i="2"/>
  <c r="Q741" i="2"/>
  <c r="Q746" i="2" s="1"/>
  <c r="P744" i="2"/>
  <c r="P743" i="2"/>
  <c r="P742" i="2"/>
  <c r="P741" i="2"/>
  <c r="P746" i="2" s="1"/>
  <c r="O744" i="2"/>
  <c r="O743" i="2"/>
  <c r="O742" i="2"/>
  <c r="O741" i="2"/>
  <c r="N741" i="2"/>
  <c r="N746" i="2" s="1"/>
  <c r="N743" i="2"/>
  <c r="S743" i="2" s="1"/>
  <c r="N742" i="2"/>
  <c r="N744" i="2"/>
  <c r="L744" i="2"/>
  <c r="L742" i="2"/>
  <c r="L741" i="2"/>
  <c r="L745" i="2" s="1"/>
  <c r="K744" i="2"/>
  <c r="K742" i="2"/>
  <c r="K741" i="2"/>
  <c r="K746" i="2" s="1"/>
  <c r="J744" i="2"/>
  <c r="J742" i="2"/>
  <c r="J741" i="2"/>
  <c r="J746" i="2" s="1"/>
  <c r="I744" i="2"/>
  <c r="I742" i="2"/>
  <c r="I741" i="2"/>
  <c r="H741" i="2"/>
  <c r="H742" i="2"/>
  <c r="H744" i="2"/>
  <c r="F744" i="2"/>
  <c r="F743" i="2"/>
  <c r="F742" i="2"/>
  <c r="F741" i="2"/>
  <c r="E744" i="2"/>
  <c r="E743" i="2"/>
  <c r="E742" i="2"/>
  <c r="E741" i="2"/>
  <c r="E746" i="2" s="1"/>
  <c r="D744" i="2"/>
  <c r="D743" i="2"/>
  <c r="D742" i="2"/>
  <c r="D741" i="2"/>
  <c r="B741" i="2"/>
  <c r="C744" i="2"/>
  <c r="C743" i="2"/>
  <c r="C742" i="2"/>
  <c r="C741" i="2"/>
  <c r="B743" i="2"/>
  <c r="B742" i="2"/>
  <c r="B744" i="2"/>
  <c r="X735" i="2"/>
  <c r="X734" i="2"/>
  <c r="X733" i="2"/>
  <c r="X732" i="2"/>
  <c r="W732" i="2"/>
  <c r="W737" i="2" s="1"/>
  <c r="W734" i="2"/>
  <c r="W733" i="2"/>
  <c r="W735" i="2"/>
  <c r="V735" i="2"/>
  <c r="V734" i="2"/>
  <c r="V733" i="2"/>
  <c r="V732" i="2"/>
  <c r="V737" i="2" s="1"/>
  <c r="U735" i="2"/>
  <c r="U734" i="2"/>
  <c r="U733" i="2"/>
  <c r="U732" i="2"/>
  <c r="T732" i="2"/>
  <c r="T735" i="2"/>
  <c r="T733" i="2"/>
  <c r="T734" i="2"/>
  <c r="R735" i="2"/>
  <c r="R734" i="2"/>
  <c r="R733" i="2"/>
  <c r="R732" i="2"/>
  <c r="Q732" i="2"/>
  <c r="Q734" i="2"/>
  <c r="Q733" i="2"/>
  <c r="Q735" i="2"/>
  <c r="P735" i="2"/>
  <c r="P734" i="2"/>
  <c r="P733" i="2"/>
  <c r="P732" i="2"/>
  <c r="O735" i="2"/>
  <c r="O734" i="2"/>
  <c r="O733" i="2"/>
  <c r="O732" i="2"/>
  <c r="O737" i="2" s="1"/>
  <c r="N732" i="2"/>
  <c r="N737" i="2" s="1"/>
  <c r="N734" i="2"/>
  <c r="N733" i="2"/>
  <c r="N735" i="2"/>
  <c r="L735" i="2"/>
  <c r="L733" i="2"/>
  <c r="L732" i="2"/>
  <c r="L737" i="2" s="1"/>
  <c r="K732" i="2"/>
  <c r="K737" i="2" s="1"/>
  <c r="K733" i="2"/>
  <c r="K735" i="2"/>
  <c r="J735" i="2"/>
  <c r="J733" i="2"/>
  <c r="J732" i="2"/>
  <c r="I735" i="2"/>
  <c r="I733" i="2"/>
  <c r="I732" i="2"/>
  <c r="I737" i="2" s="1"/>
  <c r="H732" i="2"/>
  <c r="H737" i="2" s="1"/>
  <c r="H735" i="2"/>
  <c r="B732" i="2"/>
  <c r="F735" i="2"/>
  <c r="F734" i="2"/>
  <c r="F733" i="2"/>
  <c r="F732" i="2"/>
  <c r="F737" i="2" s="1"/>
  <c r="E732" i="2"/>
  <c r="E737" i="2" s="1"/>
  <c r="E734" i="2"/>
  <c r="E733" i="2"/>
  <c r="E735" i="2"/>
  <c r="D735" i="2"/>
  <c r="D734" i="2"/>
  <c r="D733" i="2"/>
  <c r="D732" i="2"/>
  <c r="D737" i="2" s="1"/>
  <c r="C735" i="2"/>
  <c r="C734" i="2"/>
  <c r="C733" i="2"/>
  <c r="C732" i="2"/>
  <c r="B735" i="2"/>
  <c r="B734" i="2"/>
  <c r="B733" i="2"/>
  <c r="J754" i="2"/>
  <c r="Y743" i="2"/>
  <c r="M743" i="2"/>
  <c r="M734" i="2"/>
  <c r="N676" i="2"/>
  <c r="X697" i="2"/>
  <c r="W697" i="2"/>
  <c r="V697" i="2"/>
  <c r="U697" i="2"/>
  <c r="X696" i="2"/>
  <c r="W696" i="2"/>
  <c r="V696" i="2"/>
  <c r="U696" i="2"/>
  <c r="T696" i="2"/>
  <c r="X695" i="2"/>
  <c r="W695" i="2"/>
  <c r="V695" i="2"/>
  <c r="U695" i="2"/>
  <c r="T695" i="2"/>
  <c r="X694" i="2"/>
  <c r="W694" i="2"/>
  <c r="V694" i="2"/>
  <c r="U694" i="2"/>
  <c r="T694" i="2"/>
  <c r="X688" i="2"/>
  <c r="W688" i="2"/>
  <c r="V688" i="2"/>
  <c r="U688" i="2"/>
  <c r="T688" i="2"/>
  <c r="X687" i="2"/>
  <c r="W687" i="2"/>
  <c r="V687" i="2"/>
  <c r="U687" i="2"/>
  <c r="T687" i="2"/>
  <c r="X686" i="2"/>
  <c r="W686" i="2"/>
  <c r="V686" i="2"/>
  <c r="U686" i="2"/>
  <c r="T686" i="2"/>
  <c r="X685" i="2"/>
  <c r="W685" i="2"/>
  <c r="V685" i="2"/>
  <c r="U685" i="2"/>
  <c r="T685" i="2"/>
  <c r="X679" i="2"/>
  <c r="W679" i="2"/>
  <c r="V679" i="2"/>
  <c r="U679" i="2"/>
  <c r="T679" i="2"/>
  <c r="X678" i="2"/>
  <c r="W678" i="2"/>
  <c r="V678" i="2"/>
  <c r="U678" i="2"/>
  <c r="T678" i="2"/>
  <c r="X677" i="2"/>
  <c r="W677" i="2"/>
  <c r="V677" i="2"/>
  <c r="U677" i="2"/>
  <c r="T677" i="2"/>
  <c r="X676" i="2"/>
  <c r="W676" i="2"/>
  <c r="V676" i="2"/>
  <c r="U676" i="2"/>
  <c r="T676" i="2"/>
  <c r="R697" i="2"/>
  <c r="Q697" i="2"/>
  <c r="P697" i="2"/>
  <c r="O697" i="2"/>
  <c r="N697" i="2"/>
  <c r="R696" i="2"/>
  <c r="Q696" i="2"/>
  <c r="P696" i="2"/>
  <c r="O696" i="2"/>
  <c r="N696" i="2"/>
  <c r="R695" i="2"/>
  <c r="Q695" i="2"/>
  <c r="P695" i="2"/>
  <c r="O695" i="2"/>
  <c r="R694" i="2"/>
  <c r="Q694" i="2"/>
  <c r="P694" i="2"/>
  <c r="O694" i="2"/>
  <c r="N694" i="2"/>
  <c r="R688" i="2"/>
  <c r="Q688" i="2"/>
  <c r="P688" i="2"/>
  <c r="O688" i="2"/>
  <c r="N688" i="2"/>
  <c r="R687" i="2"/>
  <c r="Q687" i="2"/>
  <c r="P687" i="2"/>
  <c r="O687" i="2"/>
  <c r="N687" i="2"/>
  <c r="R686" i="2"/>
  <c r="Q686" i="2"/>
  <c r="P686" i="2"/>
  <c r="O686" i="2"/>
  <c r="N686" i="2"/>
  <c r="R685" i="2"/>
  <c r="Q685" i="2"/>
  <c r="P685" i="2"/>
  <c r="O685" i="2"/>
  <c r="N685" i="2"/>
  <c r="R679" i="2"/>
  <c r="Q679" i="2"/>
  <c r="P679" i="2"/>
  <c r="O679" i="2"/>
  <c r="N679" i="2"/>
  <c r="R678" i="2"/>
  <c r="Q678" i="2"/>
  <c r="P678" i="2"/>
  <c r="O678" i="2"/>
  <c r="N678" i="2"/>
  <c r="R677" i="2"/>
  <c r="Q677" i="2"/>
  <c r="P677" i="2"/>
  <c r="O677" i="2"/>
  <c r="N677" i="2"/>
  <c r="R676" i="2"/>
  <c r="Q676" i="2"/>
  <c r="P676" i="2"/>
  <c r="P680" i="2" s="1"/>
  <c r="O676" i="2"/>
  <c r="L696" i="2"/>
  <c r="K696" i="2"/>
  <c r="J696" i="2"/>
  <c r="I696" i="2"/>
  <c r="H696" i="2"/>
  <c r="I687" i="2"/>
  <c r="F695" i="2"/>
  <c r="E695" i="2"/>
  <c r="H687" i="2"/>
  <c r="B686" i="2"/>
  <c r="D678" i="2"/>
  <c r="C678" i="2"/>
  <c r="B678" i="2"/>
  <c r="F668" i="2"/>
  <c r="E668" i="2"/>
  <c r="N661" i="2"/>
  <c r="B659" i="2"/>
  <c r="T658" i="2"/>
  <c r="D651" i="2"/>
  <c r="C651" i="2"/>
  <c r="B651" i="2"/>
  <c r="L687" i="2"/>
  <c r="K687" i="2"/>
  <c r="J687" i="2"/>
  <c r="L678" i="2"/>
  <c r="K678" i="2"/>
  <c r="J678" i="2"/>
  <c r="I678" i="2"/>
  <c r="H678" i="2"/>
  <c r="M678" i="2" s="1"/>
  <c r="L697" i="2"/>
  <c r="K697" i="2"/>
  <c r="J697" i="2"/>
  <c r="I697" i="2"/>
  <c r="H697" i="2"/>
  <c r="L695" i="2"/>
  <c r="K695" i="2"/>
  <c r="J695" i="2"/>
  <c r="I695" i="2"/>
  <c r="H695" i="2"/>
  <c r="L694" i="2"/>
  <c r="K694" i="2"/>
  <c r="J694" i="2"/>
  <c r="I694" i="2"/>
  <c r="L688" i="2"/>
  <c r="L686" i="2"/>
  <c r="L685" i="2"/>
  <c r="L679" i="2"/>
  <c r="L677" i="2"/>
  <c r="L676" i="2"/>
  <c r="K688" i="2"/>
  <c r="J688" i="2"/>
  <c r="I688" i="2"/>
  <c r="H688" i="2"/>
  <c r="K686" i="2"/>
  <c r="J686" i="2"/>
  <c r="I686" i="2"/>
  <c r="H686" i="2"/>
  <c r="K685" i="2"/>
  <c r="J685" i="2"/>
  <c r="I685" i="2"/>
  <c r="H685" i="2"/>
  <c r="K679" i="2"/>
  <c r="J679" i="2"/>
  <c r="I679" i="2"/>
  <c r="H679" i="2"/>
  <c r="K677" i="2"/>
  <c r="J677" i="2"/>
  <c r="I677" i="2"/>
  <c r="H677" i="2"/>
  <c r="K676" i="2"/>
  <c r="J676" i="2"/>
  <c r="J680" i="2" s="1"/>
  <c r="I676" i="2"/>
  <c r="H676" i="2"/>
  <c r="B676" i="2"/>
  <c r="F697" i="2"/>
  <c r="E697" i="2"/>
  <c r="D697" i="2"/>
  <c r="C697" i="2"/>
  <c r="B697" i="2"/>
  <c r="G697" i="2" s="1"/>
  <c r="F696" i="2"/>
  <c r="E696" i="2"/>
  <c r="D696" i="2"/>
  <c r="C696" i="2"/>
  <c r="B696" i="2"/>
  <c r="D695" i="2"/>
  <c r="D698" i="2" s="1"/>
  <c r="C695" i="2"/>
  <c r="B695" i="2"/>
  <c r="F694" i="2"/>
  <c r="E694" i="2"/>
  <c r="D694" i="2"/>
  <c r="C694" i="2"/>
  <c r="B694" i="2"/>
  <c r="F688" i="2"/>
  <c r="E688" i="2"/>
  <c r="D688" i="2"/>
  <c r="C688" i="2"/>
  <c r="B688" i="2"/>
  <c r="F687" i="2"/>
  <c r="E687" i="2"/>
  <c r="D687" i="2"/>
  <c r="C687" i="2"/>
  <c r="B687" i="2"/>
  <c r="G687" i="2" s="1"/>
  <c r="F686" i="2"/>
  <c r="E686" i="2"/>
  <c r="D686" i="2"/>
  <c r="C686" i="2"/>
  <c r="F685" i="2"/>
  <c r="E685" i="2"/>
  <c r="D685" i="2"/>
  <c r="C685" i="2"/>
  <c r="F679" i="2"/>
  <c r="E679" i="2"/>
  <c r="D679" i="2"/>
  <c r="C679" i="2"/>
  <c r="B679" i="2"/>
  <c r="F678" i="2"/>
  <c r="E678" i="2"/>
  <c r="F677" i="2"/>
  <c r="E677" i="2"/>
  <c r="D677" i="2"/>
  <c r="C677" i="2"/>
  <c r="B677" i="2"/>
  <c r="F676" i="2"/>
  <c r="E676" i="2"/>
  <c r="D676" i="2"/>
  <c r="C676" i="2"/>
  <c r="G676" i="2" s="1"/>
  <c r="Y694" i="2"/>
  <c r="X670" i="2"/>
  <c r="X669" i="2"/>
  <c r="X668" i="2"/>
  <c r="X667" i="2"/>
  <c r="W670" i="2"/>
  <c r="W669" i="2"/>
  <c r="W668" i="2"/>
  <c r="W667" i="2"/>
  <c r="W671" i="2" s="1"/>
  <c r="V670" i="2"/>
  <c r="V669" i="2"/>
  <c r="V668" i="2"/>
  <c r="V667" i="2"/>
  <c r="U670" i="2"/>
  <c r="U669" i="2"/>
  <c r="U668" i="2"/>
  <c r="U667" i="2"/>
  <c r="T669" i="2"/>
  <c r="T668" i="2"/>
  <c r="T667" i="2"/>
  <c r="R669" i="2"/>
  <c r="R670" i="2"/>
  <c r="R668" i="2"/>
  <c r="R667" i="2"/>
  <c r="Q670" i="2"/>
  <c r="Q669" i="2"/>
  <c r="Q668" i="2"/>
  <c r="P668" i="2"/>
  <c r="O668" i="2"/>
  <c r="Q667" i="2"/>
  <c r="P670" i="2"/>
  <c r="P669" i="2"/>
  <c r="P667" i="2"/>
  <c r="O670" i="2"/>
  <c r="O669" i="2"/>
  <c r="O667" i="2"/>
  <c r="N670" i="2"/>
  <c r="N669" i="2"/>
  <c r="N667" i="2"/>
  <c r="L670" i="2"/>
  <c r="L668" i="2"/>
  <c r="L667" i="2"/>
  <c r="K670" i="2"/>
  <c r="K668" i="2"/>
  <c r="K667" i="2"/>
  <c r="J670" i="2"/>
  <c r="J668" i="2"/>
  <c r="J667" i="2"/>
  <c r="I667" i="2"/>
  <c r="I670" i="2"/>
  <c r="I668" i="2"/>
  <c r="H670" i="2"/>
  <c r="H661" i="2"/>
  <c r="B660" i="2"/>
  <c r="T659" i="2"/>
  <c r="B669" i="2"/>
  <c r="H668" i="2"/>
  <c r="F667" i="2"/>
  <c r="F670" i="2"/>
  <c r="E670" i="2"/>
  <c r="D670" i="2"/>
  <c r="C670" i="2"/>
  <c r="B670" i="2"/>
  <c r="F669" i="2"/>
  <c r="E669" i="2"/>
  <c r="D669" i="2"/>
  <c r="C669" i="2"/>
  <c r="D668" i="2"/>
  <c r="C668" i="2"/>
  <c r="B668" i="2"/>
  <c r="E667" i="2"/>
  <c r="D667" i="2"/>
  <c r="C667" i="2"/>
  <c r="B667" i="2"/>
  <c r="X661" i="2"/>
  <c r="W661" i="2"/>
  <c r="V661" i="2"/>
  <c r="U661" i="2"/>
  <c r="T661" i="2"/>
  <c r="R661" i="2"/>
  <c r="Q661" i="2"/>
  <c r="P661" i="2"/>
  <c r="O661" i="2"/>
  <c r="L661" i="2"/>
  <c r="K661" i="2"/>
  <c r="J661" i="2"/>
  <c r="I661" i="2"/>
  <c r="F661" i="2"/>
  <c r="E661" i="2"/>
  <c r="D661" i="2"/>
  <c r="C661" i="2"/>
  <c r="B661" i="2"/>
  <c r="X660" i="2"/>
  <c r="W660" i="2"/>
  <c r="V660" i="2"/>
  <c r="U660" i="2"/>
  <c r="T660" i="2"/>
  <c r="R660" i="2"/>
  <c r="Q660" i="2"/>
  <c r="P660" i="2"/>
  <c r="O660" i="2"/>
  <c r="N660" i="2"/>
  <c r="F660" i="2"/>
  <c r="E660" i="2"/>
  <c r="D660" i="2"/>
  <c r="C660" i="2"/>
  <c r="X659" i="2"/>
  <c r="W659" i="2"/>
  <c r="V659" i="2"/>
  <c r="U659" i="2"/>
  <c r="R659" i="2"/>
  <c r="Q659" i="2"/>
  <c r="P659" i="2"/>
  <c r="O659" i="2"/>
  <c r="N659" i="2"/>
  <c r="L659" i="2"/>
  <c r="K659" i="2"/>
  <c r="J659" i="2"/>
  <c r="I659" i="2"/>
  <c r="H659" i="2"/>
  <c r="F659" i="2"/>
  <c r="E659" i="2"/>
  <c r="D659" i="2"/>
  <c r="C659" i="2"/>
  <c r="X658" i="2"/>
  <c r="W658" i="2"/>
  <c r="V658" i="2"/>
  <c r="V662" i="2" s="1"/>
  <c r="U658" i="2"/>
  <c r="R658" i="2"/>
  <c r="Q658" i="2"/>
  <c r="P658" i="2"/>
  <c r="O658" i="2"/>
  <c r="N658" i="2"/>
  <c r="L658" i="2"/>
  <c r="K658" i="2"/>
  <c r="J658" i="2"/>
  <c r="I658" i="2"/>
  <c r="H658" i="2"/>
  <c r="F658" i="2"/>
  <c r="E658" i="2"/>
  <c r="D658" i="2"/>
  <c r="C658" i="2"/>
  <c r="B658" i="2"/>
  <c r="X652" i="2"/>
  <c r="W652" i="2"/>
  <c r="V652" i="2"/>
  <c r="U652" i="2"/>
  <c r="T652" i="2"/>
  <c r="R652" i="2"/>
  <c r="Q652" i="2"/>
  <c r="P652" i="2"/>
  <c r="O652" i="2"/>
  <c r="N652" i="2"/>
  <c r="L652" i="2"/>
  <c r="K652" i="2"/>
  <c r="J652" i="2"/>
  <c r="I652" i="2"/>
  <c r="H652" i="2"/>
  <c r="F652" i="2"/>
  <c r="E652" i="2"/>
  <c r="D652" i="2"/>
  <c r="C652" i="2"/>
  <c r="B652" i="2"/>
  <c r="X651" i="2"/>
  <c r="W651" i="2"/>
  <c r="V651" i="2"/>
  <c r="U651" i="2"/>
  <c r="T651" i="2"/>
  <c r="R651" i="2"/>
  <c r="Q651" i="2"/>
  <c r="P651" i="2"/>
  <c r="O651" i="2"/>
  <c r="N651" i="2"/>
  <c r="F651" i="2"/>
  <c r="E651" i="2"/>
  <c r="X650" i="2"/>
  <c r="W650" i="2"/>
  <c r="V650" i="2"/>
  <c r="U650" i="2"/>
  <c r="T650" i="2"/>
  <c r="R650" i="2"/>
  <c r="Q650" i="2"/>
  <c r="P650" i="2"/>
  <c r="O650" i="2"/>
  <c r="N650" i="2"/>
  <c r="L650" i="2"/>
  <c r="K650" i="2"/>
  <c r="J650" i="2"/>
  <c r="I650" i="2"/>
  <c r="H650" i="2"/>
  <c r="F650" i="2"/>
  <c r="E650" i="2"/>
  <c r="D650" i="2"/>
  <c r="C650" i="2"/>
  <c r="B650" i="2"/>
  <c r="X649" i="2"/>
  <c r="W649" i="2"/>
  <c r="V649" i="2"/>
  <c r="U649" i="2"/>
  <c r="T649" i="2"/>
  <c r="R649" i="2"/>
  <c r="Q649" i="2"/>
  <c r="P649" i="2"/>
  <c r="O649" i="2"/>
  <c r="N649" i="2"/>
  <c r="L649" i="2"/>
  <c r="K649" i="2"/>
  <c r="J649" i="2"/>
  <c r="I649" i="2"/>
  <c r="H649" i="2"/>
  <c r="F649" i="2"/>
  <c r="E649" i="2"/>
  <c r="D649" i="2"/>
  <c r="C649" i="2"/>
  <c r="B649" i="2"/>
  <c r="W653" i="2"/>
  <c r="M669" i="2"/>
  <c r="AD218" i="1"/>
  <c r="M660" i="2"/>
  <c r="M651" i="2"/>
  <c r="B190" i="1"/>
  <c r="R216" i="1"/>
  <c r="O216" i="1"/>
  <c r="N231" i="1"/>
  <c r="N234" i="1" s="1"/>
  <c r="R231" i="1"/>
  <c r="X233" i="1"/>
  <c r="W233" i="1"/>
  <c r="V233" i="1"/>
  <c r="U233" i="1"/>
  <c r="T233" i="1"/>
  <c r="X232" i="1"/>
  <c r="W232" i="1"/>
  <c r="V232" i="1"/>
  <c r="U232" i="1"/>
  <c r="T232" i="1"/>
  <c r="Y232" i="1" s="1"/>
  <c r="X231" i="1"/>
  <c r="W231" i="1"/>
  <c r="V231" i="1"/>
  <c r="U231" i="1"/>
  <c r="T231" i="1"/>
  <c r="Y231" i="1" s="1"/>
  <c r="R233" i="1"/>
  <c r="Q233" i="1"/>
  <c r="P233" i="1"/>
  <c r="O233" i="1"/>
  <c r="N233" i="1"/>
  <c r="S233" i="1" s="1"/>
  <c r="R232" i="1"/>
  <c r="Q232" i="1"/>
  <c r="P232" i="1"/>
  <c r="O232" i="1"/>
  <c r="N232" i="1"/>
  <c r="Q231" i="1"/>
  <c r="P231" i="1"/>
  <c r="O231" i="1"/>
  <c r="O234" i="1" s="1"/>
  <c r="L233" i="1"/>
  <c r="K233" i="1"/>
  <c r="J233" i="1"/>
  <c r="I233" i="1"/>
  <c r="H233" i="1"/>
  <c r="L232" i="1"/>
  <c r="K232" i="1"/>
  <c r="J232" i="1"/>
  <c r="I232" i="1"/>
  <c r="H232" i="1"/>
  <c r="L231" i="1"/>
  <c r="K231" i="1"/>
  <c r="J231" i="1"/>
  <c r="I231" i="1"/>
  <c r="H231" i="1"/>
  <c r="F233" i="1"/>
  <c r="E233" i="1"/>
  <c r="D233" i="1"/>
  <c r="C233" i="1"/>
  <c r="B233" i="1"/>
  <c r="F232" i="1"/>
  <c r="E232" i="1"/>
  <c r="D232" i="1"/>
  <c r="D234" i="1" s="1"/>
  <c r="C232" i="1"/>
  <c r="B232" i="1"/>
  <c r="B234" i="1" s="1"/>
  <c r="F231" i="1"/>
  <c r="E231" i="1"/>
  <c r="D231" i="1"/>
  <c r="C231" i="1"/>
  <c r="B231" i="1"/>
  <c r="X225" i="1"/>
  <c r="W225" i="1"/>
  <c r="V225" i="1"/>
  <c r="U225" i="1"/>
  <c r="T225" i="1"/>
  <c r="Y225" i="1" s="1"/>
  <c r="X224" i="1"/>
  <c r="W224" i="1"/>
  <c r="V224" i="1"/>
  <c r="U224" i="1"/>
  <c r="T224" i="1"/>
  <c r="Y224" i="1" s="1"/>
  <c r="X223" i="1"/>
  <c r="W223" i="1"/>
  <c r="V223" i="1"/>
  <c r="U223" i="1"/>
  <c r="T223" i="1"/>
  <c r="Y223" i="1" s="1"/>
  <c r="R225" i="1"/>
  <c r="Q225" i="1"/>
  <c r="P225" i="1"/>
  <c r="O225" i="1"/>
  <c r="O226" i="1" s="1"/>
  <c r="N225" i="1"/>
  <c r="R224" i="1"/>
  <c r="Q224" i="1"/>
  <c r="P224" i="1"/>
  <c r="O224" i="1"/>
  <c r="N224" i="1"/>
  <c r="S224" i="1" s="1"/>
  <c r="R223" i="1"/>
  <c r="Q223" i="1"/>
  <c r="P223" i="1"/>
  <c r="O223" i="1"/>
  <c r="N223" i="1"/>
  <c r="L225" i="1"/>
  <c r="K225" i="1"/>
  <c r="J225" i="1"/>
  <c r="I225" i="1"/>
  <c r="H225" i="1"/>
  <c r="L224" i="1"/>
  <c r="K224" i="1"/>
  <c r="J224" i="1"/>
  <c r="I224" i="1"/>
  <c r="H224" i="1"/>
  <c r="L223" i="1"/>
  <c r="K223" i="1"/>
  <c r="J223" i="1"/>
  <c r="I223" i="1"/>
  <c r="H223" i="1"/>
  <c r="F225" i="1"/>
  <c r="F224" i="1"/>
  <c r="F223" i="1"/>
  <c r="E225" i="1"/>
  <c r="D225" i="1"/>
  <c r="C225" i="1"/>
  <c r="B225" i="1"/>
  <c r="E224" i="1"/>
  <c r="D224" i="1"/>
  <c r="C224" i="1"/>
  <c r="B224" i="1"/>
  <c r="E223" i="1"/>
  <c r="D223" i="1"/>
  <c r="C223" i="1"/>
  <c r="C226" i="1" s="1"/>
  <c r="B223" i="1"/>
  <c r="B226" i="1" s="1"/>
  <c r="X217" i="1"/>
  <c r="W217" i="1"/>
  <c r="V217" i="1"/>
  <c r="U217" i="1"/>
  <c r="T217" i="1"/>
  <c r="Y217" i="1" s="1"/>
  <c r="X216" i="1"/>
  <c r="W216" i="1"/>
  <c r="W218" i="1" s="1"/>
  <c r="V216" i="1"/>
  <c r="U216" i="1"/>
  <c r="T216" i="1"/>
  <c r="Y216" i="1" s="1"/>
  <c r="X215" i="1"/>
  <c r="W215" i="1"/>
  <c r="V215" i="1"/>
  <c r="U215" i="1"/>
  <c r="T215" i="1"/>
  <c r="Y215" i="1" s="1"/>
  <c r="R217" i="1"/>
  <c r="Q217" i="1"/>
  <c r="P217" i="1"/>
  <c r="O217" i="1"/>
  <c r="N217" i="1"/>
  <c r="Q216" i="1"/>
  <c r="P216" i="1"/>
  <c r="N216" i="1"/>
  <c r="R215" i="1"/>
  <c r="Q215" i="1"/>
  <c r="P215" i="1"/>
  <c r="O215" i="1"/>
  <c r="O218" i="1" s="1"/>
  <c r="N215" i="1"/>
  <c r="L217" i="1"/>
  <c r="K217" i="1"/>
  <c r="J217" i="1"/>
  <c r="I217" i="1"/>
  <c r="H217" i="1"/>
  <c r="L216" i="1"/>
  <c r="K216" i="1"/>
  <c r="J216" i="1"/>
  <c r="I216" i="1"/>
  <c r="H216" i="1"/>
  <c r="L215" i="1"/>
  <c r="K215" i="1"/>
  <c r="J215" i="1"/>
  <c r="I215" i="1"/>
  <c r="H215" i="1"/>
  <c r="F217" i="1"/>
  <c r="E217" i="1"/>
  <c r="D217" i="1"/>
  <c r="C217" i="1"/>
  <c r="B217" i="1"/>
  <c r="F216" i="1"/>
  <c r="E216" i="1"/>
  <c r="D216" i="1"/>
  <c r="C216" i="1"/>
  <c r="B216" i="1"/>
  <c r="F215" i="1"/>
  <c r="E215" i="1"/>
  <c r="D215" i="1"/>
  <c r="D218" i="1" s="1"/>
  <c r="C215" i="1"/>
  <c r="B215" i="1"/>
  <c r="X234" i="1"/>
  <c r="P234" i="1"/>
  <c r="P218" i="1"/>
  <c r="X206" i="1"/>
  <c r="X209" i="1" s="1"/>
  <c r="X207" i="1"/>
  <c r="X208" i="1"/>
  <c r="W208" i="1"/>
  <c r="W207" i="1"/>
  <c r="W206" i="1"/>
  <c r="V208" i="1"/>
  <c r="V207" i="1"/>
  <c r="V206" i="1"/>
  <c r="V209" i="1" s="1"/>
  <c r="U208" i="1"/>
  <c r="U207" i="1"/>
  <c r="U206" i="1"/>
  <c r="U209" i="1" s="1"/>
  <c r="T208" i="1"/>
  <c r="T207" i="1"/>
  <c r="T209" i="1" s="1"/>
  <c r="T206" i="1"/>
  <c r="R208" i="1"/>
  <c r="R209" i="1" s="1"/>
  <c r="R207" i="1"/>
  <c r="R206" i="1"/>
  <c r="Q208" i="1"/>
  <c r="Q207" i="1"/>
  <c r="Q206" i="1"/>
  <c r="P208" i="1"/>
  <c r="P207" i="1"/>
  <c r="P206" i="1"/>
  <c r="O208" i="1"/>
  <c r="O207" i="1"/>
  <c r="O206" i="1"/>
  <c r="N207" i="1"/>
  <c r="N208" i="1"/>
  <c r="N206" i="1"/>
  <c r="L207" i="1"/>
  <c r="L208" i="1"/>
  <c r="L206" i="1"/>
  <c r="K208" i="1"/>
  <c r="K207" i="1"/>
  <c r="K206" i="1"/>
  <c r="H206" i="1"/>
  <c r="F200" i="1"/>
  <c r="E200" i="1"/>
  <c r="D200" i="1"/>
  <c r="C200" i="1"/>
  <c r="B200" i="1"/>
  <c r="J208" i="1"/>
  <c r="J207" i="1"/>
  <c r="J206" i="1"/>
  <c r="I208" i="1"/>
  <c r="I207" i="1"/>
  <c r="I206" i="1"/>
  <c r="H198" i="1"/>
  <c r="F192" i="1"/>
  <c r="E192" i="1"/>
  <c r="D192" i="1"/>
  <c r="C192" i="1"/>
  <c r="B192" i="1"/>
  <c r="H207" i="1"/>
  <c r="H208" i="1"/>
  <c r="F208" i="1"/>
  <c r="F207" i="1"/>
  <c r="F206" i="1"/>
  <c r="E208" i="1"/>
  <c r="E207" i="1"/>
  <c r="E206" i="1"/>
  <c r="D208" i="1"/>
  <c r="D207" i="1"/>
  <c r="D206" i="1"/>
  <c r="C208" i="1"/>
  <c r="C207" i="1"/>
  <c r="C206" i="1"/>
  <c r="B208" i="1"/>
  <c r="B207" i="1"/>
  <c r="B206" i="1"/>
  <c r="X200" i="1"/>
  <c r="Y200" i="1" s="1"/>
  <c r="X199" i="1"/>
  <c r="X198" i="1"/>
  <c r="W200" i="1"/>
  <c r="W199" i="1"/>
  <c r="W198" i="1"/>
  <c r="W201" i="1" s="1"/>
  <c r="V200" i="1"/>
  <c r="V199" i="1"/>
  <c r="V198" i="1"/>
  <c r="U200" i="1"/>
  <c r="U199" i="1"/>
  <c r="U201" i="1" s="1"/>
  <c r="U198" i="1"/>
  <c r="T199" i="1"/>
  <c r="T200" i="1"/>
  <c r="T198" i="1"/>
  <c r="R198" i="1"/>
  <c r="R199" i="1"/>
  <c r="R200" i="1"/>
  <c r="Q200" i="1"/>
  <c r="Q199" i="1"/>
  <c r="Q198" i="1"/>
  <c r="P200" i="1"/>
  <c r="P199" i="1"/>
  <c r="P198" i="1"/>
  <c r="O200" i="1"/>
  <c r="O199" i="1"/>
  <c r="O198" i="1"/>
  <c r="N200" i="1"/>
  <c r="N199" i="1"/>
  <c r="N198" i="1"/>
  <c r="L200" i="1"/>
  <c r="L199" i="1"/>
  <c r="L201" i="1" s="1"/>
  <c r="L198" i="1"/>
  <c r="K200" i="1"/>
  <c r="K199" i="1"/>
  <c r="K198" i="1"/>
  <c r="J200" i="1"/>
  <c r="J199" i="1"/>
  <c r="J198" i="1"/>
  <c r="I198" i="1"/>
  <c r="I200" i="1"/>
  <c r="I199" i="1"/>
  <c r="H200" i="1"/>
  <c r="H199" i="1"/>
  <c r="F199" i="1"/>
  <c r="F198" i="1"/>
  <c r="E198" i="1"/>
  <c r="E191" i="1"/>
  <c r="E199" i="1"/>
  <c r="L191" i="1"/>
  <c r="K191" i="1"/>
  <c r="J191" i="1"/>
  <c r="I191" i="1"/>
  <c r="H191" i="1"/>
  <c r="D199" i="1"/>
  <c r="C199" i="1"/>
  <c r="D198" i="1"/>
  <c r="C198" i="1"/>
  <c r="B199" i="1"/>
  <c r="B198" i="1"/>
  <c r="I192" i="1"/>
  <c r="W190" i="1"/>
  <c r="U192" i="1"/>
  <c r="X192" i="1"/>
  <c r="X191" i="1"/>
  <c r="X190" i="1"/>
  <c r="T190" i="1"/>
  <c r="W192" i="1"/>
  <c r="W191" i="1"/>
  <c r="V192" i="1"/>
  <c r="V191" i="1"/>
  <c r="V190" i="1"/>
  <c r="U191" i="1"/>
  <c r="U190" i="1"/>
  <c r="T192" i="1"/>
  <c r="T191" i="1"/>
  <c r="N191" i="1"/>
  <c r="R192" i="1"/>
  <c r="R191" i="1"/>
  <c r="R190" i="1"/>
  <c r="Q192" i="1"/>
  <c r="Q191" i="1"/>
  <c r="Q190" i="1"/>
  <c r="P192" i="1"/>
  <c r="P191" i="1"/>
  <c r="P190" i="1"/>
  <c r="O192" i="1"/>
  <c r="O191" i="1"/>
  <c r="O190" i="1"/>
  <c r="N192" i="1"/>
  <c r="N190" i="1"/>
  <c r="B191" i="1"/>
  <c r="L192" i="1"/>
  <c r="L190" i="1"/>
  <c r="K192" i="1"/>
  <c r="K190" i="1"/>
  <c r="J192" i="1"/>
  <c r="J190" i="1"/>
  <c r="I190" i="1"/>
  <c r="H190" i="1"/>
  <c r="M190" i="1" s="1"/>
  <c r="H192" i="1"/>
  <c r="F190" i="1"/>
  <c r="E190" i="1"/>
  <c r="D190" i="1"/>
  <c r="C190" i="1"/>
  <c r="F191" i="1"/>
  <c r="D191" i="1"/>
  <c r="C191" i="1"/>
  <c r="K682" i="5" l="1"/>
  <c r="S731" i="5"/>
  <c r="O732" i="5"/>
  <c r="S671" i="5"/>
  <c r="Y671" i="5"/>
  <c r="W673" i="5"/>
  <c r="C690" i="5"/>
  <c r="AA690" i="5" s="1"/>
  <c r="X473" i="5" s="1"/>
  <c r="G687" i="5"/>
  <c r="AC724" i="5"/>
  <c r="AJ583" i="5" s="1"/>
  <c r="V665" i="5"/>
  <c r="X665" i="5"/>
  <c r="N673" i="5"/>
  <c r="S670" i="5"/>
  <c r="C682" i="5"/>
  <c r="G679" i="5"/>
  <c r="D690" i="5"/>
  <c r="S689" i="5"/>
  <c r="O690" i="5"/>
  <c r="C706" i="5"/>
  <c r="AA706" i="5" s="1"/>
  <c r="X475" i="5" s="1"/>
  <c r="G703" i="5"/>
  <c r="O706" i="5"/>
  <c r="S703" i="5"/>
  <c r="I716" i="5"/>
  <c r="M713" i="5"/>
  <c r="AD724" i="5"/>
  <c r="AK583" i="5" s="1"/>
  <c r="G730" i="5"/>
  <c r="G746" i="5"/>
  <c r="E748" i="5"/>
  <c r="AC748" i="5" s="1"/>
  <c r="AJ588" i="5" s="1"/>
  <c r="Q690" i="5"/>
  <c r="S687" i="5"/>
  <c r="AB706" i="5"/>
  <c r="Y475" i="5" s="1"/>
  <c r="V706" i="5"/>
  <c r="Y705" i="5"/>
  <c r="D716" i="5"/>
  <c r="AB716" i="5" s="1"/>
  <c r="AI582" i="5" s="1"/>
  <c r="G715" i="5"/>
  <c r="H673" i="5"/>
  <c r="M671" i="5"/>
  <c r="Q673" i="5"/>
  <c r="AC673" i="5" s="1"/>
  <c r="Z469" i="5" s="1"/>
  <c r="E682" i="5"/>
  <c r="S721" i="5"/>
  <c r="N724" i="5"/>
  <c r="C732" i="5"/>
  <c r="G729" i="5"/>
  <c r="U732" i="5"/>
  <c r="Y730" i="5"/>
  <c r="O740" i="5"/>
  <c r="AA740" i="5" s="1"/>
  <c r="AH587" i="5" s="1"/>
  <c r="S738" i="5"/>
  <c r="Q740" i="5"/>
  <c r="S739" i="5"/>
  <c r="M746" i="5"/>
  <c r="H748" i="5"/>
  <c r="Z748" i="5" s="1"/>
  <c r="AG588" i="5" s="1"/>
  <c r="M681" i="5"/>
  <c r="M705" i="5"/>
  <c r="L706" i="5"/>
  <c r="AD706" i="5" s="1"/>
  <c r="AA475" i="5" s="1"/>
  <c r="S745" i="5"/>
  <c r="N748" i="5"/>
  <c r="U756" i="5"/>
  <c r="AA756" i="5" s="1"/>
  <c r="AH589" i="5" s="1"/>
  <c r="Y754" i="5"/>
  <c r="B673" i="5"/>
  <c r="Z673" i="5" s="1"/>
  <c r="W469" i="5" s="1"/>
  <c r="G671" i="5"/>
  <c r="AB673" i="5"/>
  <c r="Y469" i="5" s="1"/>
  <c r="M679" i="5"/>
  <c r="I682" i="5"/>
  <c r="C716" i="5"/>
  <c r="G713" i="5"/>
  <c r="U716" i="5"/>
  <c r="Y715" i="5"/>
  <c r="B724" i="5"/>
  <c r="Z724" i="5" s="1"/>
  <c r="AG583" i="5" s="1"/>
  <c r="G722" i="5"/>
  <c r="E732" i="5"/>
  <c r="AC732" i="5" s="1"/>
  <c r="AJ584" i="5" s="1"/>
  <c r="I732" i="5"/>
  <c r="M730" i="5"/>
  <c r="E740" i="5"/>
  <c r="AC740" i="5" s="1"/>
  <c r="AJ587" i="5" s="1"/>
  <c r="G738" i="5"/>
  <c r="U665" i="5"/>
  <c r="AA665" i="5" s="1"/>
  <c r="X468" i="5" s="1"/>
  <c r="Y663" i="5"/>
  <c r="Y680" i="5"/>
  <c r="G689" i="5"/>
  <c r="S696" i="5"/>
  <c r="Z665" i="5"/>
  <c r="W468" i="5" s="1"/>
  <c r="S681" i="5"/>
  <c r="G662" i="5"/>
  <c r="Y681" i="5"/>
  <c r="Z690" i="5"/>
  <c r="W473" i="5" s="1"/>
  <c r="AC665" i="5"/>
  <c r="Z468" i="5" s="1"/>
  <c r="AN474" i="6"/>
  <c r="AN475" i="6"/>
  <c r="AM475" i="6"/>
  <c r="AN476" i="6"/>
  <c r="AM476" i="6"/>
  <c r="AQ470" i="6"/>
  <c r="AQ472" i="6"/>
  <c r="AQ471" i="6"/>
  <c r="AN623" i="6"/>
  <c r="AM623" i="6"/>
  <c r="AM622" i="6"/>
  <c r="AN622" i="6"/>
  <c r="AN621" i="6"/>
  <c r="AM621" i="6"/>
  <c r="AM618" i="6"/>
  <c r="AN618" i="6"/>
  <c r="AM616" i="6"/>
  <c r="AN616" i="6"/>
  <c r="AH629" i="6"/>
  <c r="AM629" i="6" s="1"/>
  <c r="AM625" i="6"/>
  <c r="AN617" i="6"/>
  <c r="AM617" i="6"/>
  <c r="AJ630" i="6"/>
  <c r="AK630" i="6"/>
  <c r="AK631" i="6" s="1"/>
  <c r="AH628" i="6"/>
  <c r="AI628" i="6"/>
  <c r="AI631" i="6" s="1"/>
  <c r="AJ628" i="6"/>
  <c r="AG474" i="6"/>
  <c r="AF474" i="6"/>
  <c r="AG470" i="6"/>
  <c r="AF470" i="6"/>
  <c r="AG468" i="6"/>
  <c r="AF468" i="6"/>
  <c r="AG469" i="6"/>
  <c r="AF469" i="6"/>
  <c r="AG475" i="6"/>
  <c r="AF475" i="6"/>
  <c r="AG473" i="6"/>
  <c r="AC491" i="6"/>
  <c r="Z499" i="6"/>
  <c r="AC582" i="6"/>
  <c r="AD582" i="6"/>
  <c r="AB574" i="6"/>
  <c r="AA574" i="6"/>
  <c r="AD614" i="6"/>
  <c r="AB614" i="6"/>
  <c r="Z630" i="6"/>
  <c r="AB630" i="6"/>
  <c r="AB622" i="6"/>
  <c r="Z614" i="6"/>
  <c r="AD622" i="6"/>
  <c r="AD630" i="6"/>
  <c r="M611" i="6"/>
  <c r="O614" i="6"/>
  <c r="AA614" i="6" s="1"/>
  <c r="N622" i="6"/>
  <c r="Z622" i="6" s="1"/>
  <c r="S627" i="6"/>
  <c r="E630" i="6"/>
  <c r="AC630" i="6" s="1"/>
  <c r="Y611" i="6"/>
  <c r="Y619" i="6"/>
  <c r="Y627" i="6"/>
  <c r="AD556" i="6"/>
  <c r="AB548" i="6"/>
  <c r="AC548" i="6"/>
  <c r="AB540" i="6"/>
  <c r="AC540" i="6"/>
  <c r="Z540" i="6"/>
  <c r="AA548" i="6"/>
  <c r="AC556" i="6"/>
  <c r="AD548" i="6"/>
  <c r="AD540" i="6"/>
  <c r="Z556" i="6"/>
  <c r="AB556" i="6"/>
  <c r="N548" i="6"/>
  <c r="Z548" i="6" s="1"/>
  <c r="C556" i="6"/>
  <c r="AA556" i="6" s="1"/>
  <c r="M545" i="6"/>
  <c r="G545" i="6"/>
  <c r="Y537" i="6"/>
  <c r="Y545" i="6"/>
  <c r="S537" i="6"/>
  <c r="Y553" i="6"/>
  <c r="AC598" i="6"/>
  <c r="AC606" i="6"/>
  <c r="AB590" i="6"/>
  <c r="Z516" i="6"/>
  <c r="AA491" i="6"/>
  <c r="AA508" i="6"/>
  <c r="AD532" i="6"/>
  <c r="Z566" i="6"/>
  <c r="AA582" i="6"/>
  <c r="AC590" i="6"/>
  <c r="AA598" i="6"/>
  <c r="Z606" i="6"/>
  <c r="AB491" i="6"/>
  <c r="AA499" i="6"/>
  <c r="AB516" i="6"/>
  <c r="AC516" i="6"/>
  <c r="AA524" i="6"/>
  <c r="AA566" i="6"/>
  <c r="AD590" i="6"/>
  <c r="AA606" i="6"/>
  <c r="AD491" i="6"/>
  <c r="AD508" i="6"/>
  <c r="AC524" i="6"/>
  <c r="AD598" i="6"/>
  <c r="AD524" i="6"/>
  <c r="Z532" i="6"/>
  <c r="AD606" i="6"/>
  <c r="AD499" i="6"/>
  <c r="Z590" i="6"/>
  <c r="AB532" i="6"/>
  <c r="AD574" i="6"/>
  <c r="AA590" i="6"/>
  <c r="AB508" i="6"/>
  <c r="Z508" i="6"/>
  <c r="C516" i="6"/>
  <c r="AA516" i="6" s="1"/>
  <c r="Z524" i="6"/>
  <c r="Y529" i="6"/>
  <c r="G571" i="6"/>
  <c r="M587" i="6"/>
  <c r="S603" i="6"/>
  <c r="G488" i="6"/>
  <c r="Z491" i="6"/>
  <c r="M505" i="6"/>
  <c r="S521" i="6"/>
  <c r="Y563" i="6"/>
  <c r="G579" i="6"/>
  <c r="M595" i="6"/>
  <c r="S529" i="6"/>
  <c r="Y571" i="6"/>
  <c r="G587" i="6"/>
  <c r="P598" i="6"/>
  <c r="AB598" i="6" s="1"/>
  <c r="M603" i="6"/>
  <c r="Y488" i="6"/>
  <c r="M521" i="6"/>
  <c r="S563" i="6"/>
  <c r="L566" i="6"/>
  <c r="AD566" i="6" s="1"/>
  <c r="K574" i="6"/>
  <c r="AC574" i="6" s="1"/>
  <c r="Y579" i="6"/>
  <c r="J582" i="6"/>
  <c r="AB582" i="6" s="1"/>
  <c r="G595" i="6"/>
  <c r="Y496" i="6"/>
  <c r="E532" i="6"/>
  <c r="AC532" i="6" s="1"/>
  <c r="D566" i="6"/>
  <c r="AB566" i="6" s="1"/>
  <c r="Y587" i="6"/>
  <c r="S488" i="6"/>
  <c r="Y505" i="6"/>
  <c r="Y513" i="6"/>
  <c r="S587" i="6"/>
  <c r="Y521" i="6"/>
  <c r="AA542" i="4"/>
  <c r="AH582" i="4" s="1"/>
  <c r="AD542" i="4"/>
  <c r="AK582" i="4" s="1"/>
  <c r="AB542" i="4"/>
  <c r="AI582" i="4" s="1"/>
  <c r="AC542" i="4"/>
  <c r="AJ582" i="4" s="1"/>
  <c r="Y563" i="4"/>
  <c r="S514" i="4"/>
  <c r="L524" i="4"/>
  <c r="K524" i="4"/>
  <c r="AC524" i="4" s="1"/>
  <c r="Z474" i="4" s="1"/>
  <c r="M523" i="4"/>
  <c r="V508" i="4"/>
  <c r="L566" i="4"/>
  <c r="V566" i="4"/>
  <c r="M564" i="4"/>
  <c r="Y573" i="4"/>
  <c r="K558" i="4"/>
  <c r="S548" i="4"/>
  <c r="P550" i="4"/>
  <c r="K582" i="4"/>
  <c r="F582" i="4"/>
  <c r="AD582" i="4" s="1"/>
  <c r="AK589" i="4" s="1"/>
  <c r="G581" i="4"/>
  <c r="W516" i="4"/>
  <c r="X524" i="4"/>
  <c r="K491" i="4"/>
  <c r="S515" i="4"/>
  <c r="P491" i="4"/>
  <c r="T516" i="4"/>
  <c r="Z516" i="4" s="1"/>
  <c r="W473" i="4" s="1"/>
  <c r="Y515" i="4"/>
  <c r="X516" i="4"/>
  <c r="I499" i="4"/>
  <c r="D524" i="4"/>
  <c r="AB524" i="4" s="1"/>
  <c r="Y474" i="4" s="1"/>
  <c r="O524" i="4"/>
  <c r="Y523" i="4"/>
  <c r="G505" i="4"/>
  <c r="W508" i="4"/>
  <c r="AC508" i="4" s="1"/>
  <c r="Z470" i="4" s="1"/>
  <c r="M530" i="4"/>
  <c r="R532" i="4"/>
  <c r="N566" i="4"/>
  <c r="H558" i="4"/>
  <c r="W558" i="4"/>
  <c r="AC558" i="4" s="1"/>
  <c r="AJ584" i="4" s="1"/>
  <c r="Y571" i="4"/>
  <c r="M521" i="4"/>
  <c r="Y557" i="4"/>
  <c r="W582" i="4"/>
  <c r="H516" i="4"/>
  <c r="K516" i="4"/>
  <c r="Y489" i="4"/>
  <c r="Y496" i="4"/>
  <c r="S522" i="4"/>
  <c r="G506" i="4"/>
  <c r="G541" i="4"/>
  <c r="G490" i="4"/>
  <c r="L499" i="4"/>
  <c r="Y521" i="4"/>
  <c r="N508" i="4"/>
  <c r="M531" i="4"/>
  <c r="S573" i="4"/>
  <c r="M529" i="4"/>
  <c r="H542" i="4"/>
  <c r="Z542" i="4" s="1"/>
  <c r="AG582" i="4" s="1"/>
  <c r="T550" i="4"/>
  <c r="X582" i="4"/>
  <c r="F499" i="4"/>
  <c r="F508" i="4"/>
  <c r="S506" i="4"/>
  <c r="L532" i="4"/>
  <c r="M563" i="4"/>
  <c r="M565" i="4"/>
  <c r="G555" i="4"/>
  <c r="Y572" i="4"/>
  <c r="D558" i="4"/>
  <c r="AB558" i="4" s="1"/>
  <c r="AI584" i="4" s="1"/>
  <c r="S549" i="4"/>
  <c r="AC582" i="4"/>
  <c r="AJ589" i="4" s="1"/>
  <c r="Q574" i="4"/>
  <c r="S555" i="4"/>
  <c r="M498" i="4"/>
  <c r="I491" i="4"/>
  <c r="J516" i="4"/>
  <c r="O516" i="4"/>
  <c r="J499" i="4"/>
  <c r="H499" i="4"/>
  <c r="Y498" i="4"/>
  <c r="J524" i="4"/>
  <c r="H508" i="4"/>
  <c r="Z508" i="4" s="1"/>
  <c r="W470" i="4" s="1"/>
  <c r="J532" i="4"/>
  <c r="T532" i="4"/>
  <c r="G540" i="4"/>
  <c r="G548" i="4"/>
  <c r="R558" i="4"/>
  <c r="R582" i="4"/>
  <c r="M571" i="4"/>
  <c r="S572" i="4"/>
  <c r="J550" i="4"/>
  <c r="AK788" i="2"/>
  <c r="AM791" i="2"/>
  <c r="Z782" i="2"/>
  <c r="AA782" i="2"/>
  <c r="AB791" i="2"/>
  <c r="AA800" i="2"/>
  <c r="AC782" i="2"/>
  <c r="Z800" i="2"/>
  <c r="AQ790" i="2" s="1" a="1"/>
  <c r="AQ790" i="2" s="1"/>
  <c r="Z791" i="2"/>
  <c r="AQ789" i="2" s="1" a="1"/>
  <c r="AQ789" i="2" s="1"/>
  <c r="AD782" i="2"/>
  <c r="AQ788" i="2" s="1" a="1"/>
  <c r="AA809" i="2"/>
  <c r="Z809" i="2"/>
  <c r="AQ791" i="2" s="1" a="1"/>
  <c r="AQ791" i="2" s="1"/>
  <c r="AA764" i="2"/>
  <c r="AB764" i="2"/>
  <c r="AA773" i="2"/>
  <c r="Z773" i="2"/>
  <c r="AQ787" i="2" s="1" a="1"/>
  <c r="AQ787" i="2" s="1"/>
  <c r="AB755" i="2"/>
  <c r="AC746" i="2"/>
  <c r="H745" i="2"/>
  <c r="E754" i="2"/>
  <c r="E653" i="2"/>
  <c r="E662" i="2"/>
  <c r="X671" i="2"/>
  <c r="G679" i="2"/>
  <c r="J737" i="2"/>
  <c r="Q737" i="2"/>
  <c r="T737" i="2"/>
  <c r="Z737" i="2" s="1"/>
  <c r="B746" i="2"/>
  <c r="Z746" i="2" s="1"/>
  <c r="I745" i="2"/>
  <c r="K745" i="2"/>
  <c r="Q745" i="2"/>
  <c r="U745" i="2"/>
  <c r="M752" i="2"/>
  <c r="N799" i="2"/>
  <c r="X799" i="2"/>
  <c r="N808" i="2"/>
  <c r="O736" i="2"/>
  <c r="R772" i="2"/>
  <c r="R671" i="2"/>
  <c r="E745" i="2"/>
  <c r="P653" i="2"/>
  <c r="G650" i="2"/>
  <c r="K653" i="2"/>
  <c r="U653" i="2"/>
  <c r="S659" i="2"/>
  <c r="Q671" i="2"/>
  <c r="B737" i="2"/>
  <c r="P737" i="2"/>
  <c r="R737" i="2"/>
  <c r="U737" i="2"/>
  <c r="D746" i="2"/>
  <c r="F746" i="2"/>
  <c r="AD746" i="2" s="1"/>
  <c r="O745" i="2"/>
  <c r="V745" i="2"/>
  <c r="X745" i="2"/>
  <c r="M753" i="2"/>
  <c r="M712" i="2"/>
  <c r="I725" i="2"/>
  <c r="R716" i="2"/>
  <c r="P725" i="2"/>
  <c r="U707" i="2"/>
  <c r="V716" i="2"/>
  <c r="T716" i="2"/>
  <c r="U725" i="2"/>
  <c r="F790" i="2"/>
  <c r="E799" i="2"/>
  <c r="AC799" i="2" s="1"/>
  <c r="G805" i="2"/>
  <c r="E808" i="2"/>
  <c r="I790" i="2"/>
  <c r="M789" i="2"/>
  <c r="M796" i="2"/>
  <c r="I808" i="2"/>
  <c r="M805" i="2"/>
  <c r="L746" i="2"/>
  <c r="V746" i="2"/>
  <c r="F736" i="2"/>
  <c r="H736" i="2"/>
  <c r="J736" i="2"/>
  <c r="S733" i="2"/>
  <c r="J707" i="2"/>
  <c r="K716" i="2"/>
  <c r="I716" i="2"/>
  <c r="J725" i="2"/>
  <c r="P716" i="2"/>
  <c r="Q725" i="2"/>
  <c r="V707" i="2"/>
  <c r="Y724" i="2"/>
  <c r="G787" i="2"/>
  <c r="F799" i="2"/>
  <c r="D799" i="2"/>
  <c r="J790" i="2"/>
  <c r="AB790" i="2" s="1"/>
  <c r="I799" i="2"/>
  <c r="M797" i="2"/>
  <c r="J808" i="2"/>
  <c r="M806" i="2"/>
  <c r="AB737" i="2"/>
  <c r="G743" i="2"/>
  <c r="L772" i="2"/>
  <c r="O772" i="2"/>
  <c r="V763" i="2"/>
  <c r="K725" i="2"/>
  <c r="Q716" i="2"/>
  <c r="W707" i="2"/>
  <c r="W725" i="2"/>
  <c r="C790" i="2"/>
  <c r="AA790" i="2" s="1"/>
  <c r="G797" i="2"/>
  <c r="K790" i="2"/>
  <c r="J799" i="2"/>
  <c r="K808" i="2"/>
  <c r="O746" i="2"/>
  <c r="X746" i="2"/>
  <c r="S677" i="2"/>
  <c r="Y679" i="2"/>
  <c r="AC737" i="2"/>
  <c r="C746" i="2"/>
  <c r="AA746" i="2" s="1"/>
  <c r="G761" i="2"/>
  <c r="F772" i="2"/>
  <c r="G771" i="2"/>
  <c r="G780" i="2"/>
  <c r="M762" i="2"/>
  <c r="M769" i="2"/>
  <c r="S778" i="2"/>
  <c r="Y759" i="2"/>
  <c r="Y769" i="2"/>
  <c r="L790" i="2"/>
  <c r="K799" i="2"/>
  <c r="R790" i="2"/>
  <c r="AD790" i="2" s="1"/>
  <c r="S788" i="2"/>
  <c r="Y787" i="2"/>
  <c r="Y789" i="2"/>
  <c r="S797" i="2"/>
  <c r="Y798" i="2"/>
  <c r="W755" i="2"/>
  <c r="AC755" i="2" s="1"/>
  <c r="V808" i="2"/>
  <c r="AB808" i="2" s="1"/>
  <c r="O755" i="2"/>
  <c r="AA755" i="2" s="1"/>
  <c r="X755" i="2"/>
  <c r="AD755" i="2" s="1"/>
  <c r="O808" i="2"/>
  <c r="I746" i="2"/>
  <c r="G733" i="2"/>
  <c r="X736" i="2"/>
  <c r="F754" i="2"/>
  <c r="S768" i="2"/>
  <c r="E763" i="2"/>
  <c r="D772" i="2"/>
  <c r="F781" i="2"/>
  <c r="L763" i="2"/>
  <c r="AD763" i="2" s="1"/>
  <c r="J763" i="2"/>
  <c r="H772" i="2"/>
  <c r="K772" i="2"/>
  <c r="J781" i="2"/>
  <c r="O763" i="2"/>
  <c r="R763" i="2"/>
  <c r="S769" i="2"/>
  <c r="Q772" i="2"/>
  <c r="O781" i="2"/>
  <c r="S779" i="2"/>
  <c r="S780" i="2"/>
  <c r="V772" i="2"/>
  <c r="Y770" i="2"/>
  <c r="V781" i="2"/>
  <c r="Y780" i="2"/>
  <c r="C707" i="2"/>
  <c r="G796" i="2"/>
  <c r="Q808" i="2"/>
  <c r="X808" i="2"/>
  <c r="P790" i="2"/>
  <c r="M696" i="2"/>
  <c r="O689" i="2"/>
  <c r="Y733" i="2"/>
  <c r="V754" i="2"/>
  <c r="C781" i="2"/>
  <c r="AA781" i="2" s="1"/>
  <c r="K763" i="2"/>
  <c r="H781" i="2"/>
  <c r="P763" i="2"/>
  <c r="R781" i="2"/>
  <c r="Y762" i="2"/>
  <c r="U781" i="2"/>
  <c r="C662" i="2"/>
  <c r="G660" i="2"/>
  <c r="M686" i="2"/>
  <c r="S679" i="2"/>
  <c r="S685" i="2"/>
  <c r="P689" i="2"/>
  <c r="S694" i="2"/>
  <c r="R698" i="2"/>
  <c r="T680" i="2"/>
  <c r="W680" i="2"/>
  <c r="U689" i="2"/>
  <c r="X689" i="2"/>
  <c r="W698" i="2"/>
  <c r="L736" i="2"/>
  <c r="Y735" i="2"/>
  <c r="J745" i="2"/>
  <c r="S742" i="2"/>
  <c r="P745" i="2"/>
  <c r="W745" i="2"/>
  <c r="G751" i="2"/>
  <c r="I754" i="2"/>
  <c r="J772" i="2"/>
  <c r="AB772" i="2" s="1"/>
  <c r="T763" i="2"/>
  <c r="F716" i="2"/>
  <c r="N707" i="2"/>
  <c r="S706" i="2"/>
  <c r="N725" i="2"/>
  <c r="Y705" i="2"/>
  <c r="Y712" i="2"/>
  <c r="Y723" i="2"/>
  <c r="S786" i="2"/>
  <c r="G806" i="2"/>
  <c r="G677" i="2"/>
  <c r="M735" i="2"/>
  <c r="Y744" i="2"/>
  <c r="M750" i="2"/>
  <c r="G705" i="2"/>
  <c r="L716" i="2"/>
  <c r="J716" i="2"/>
  <c r="AB716" i="2" s="1"/>
  <c r="H725" i="2"/>
  <c r="R707" i="2"/>
  <c r="R725" i="2"/>
  <c r="T725" i="2"/>
  <c r="M788" i="2"/>
  <c r="P799" i="2"/>
  <c r="T799" i="2"/>
  <c r="Z799" i="2" s="1"/>
  <c r="Y676" i="2"/>
  <c r="G734" i="2"/>
  <c r="G744" i="2"/>
  <c r="F763" i="2"/>
  <c r="M760" i="2"/>
  <c r="I772" i="2"/>
  <c r="S761" i="2"/>
  <c r="P781" i="2"/>
  <c r="AB781" i="2" s="1"/>
  <c r="W772" i="2"/>
  <c r="D662" i="2"/>
  <c r="S658" i="2"/>
  <c r="Y661" i="2"/>
  <c r="K671" i="2"/>
  <c r="I680" i="2"/>
  <c r="M687" i="2"/>
  <c r="S661" i="2"/>
  <c r="E698" i="2"/>
  <c r="S676" i="2"/>
  <c r="N689" i="2"/>
  <c r="Q689" i="2"/>
  <c r="S696" i="2"/>
  <c r="U680" i="2"/>
  <c r="Y687" i="2"/>
  <c r="C736" i="2"/>
  <c r="T736" i="2"/>
  <c r="G753" i="2"/>
  <c r="U716" i="2"/>
  <c r="Y722" i="2"/>
  <c r="L799" i="2"/>
  <c r="S705" i="2"/>
  <c r="Y714" i="2"/>
  <c r="Y715" i="2"/>
  <c r="X737" i="2"/>
  <c r="AD737" i="2" s="1"/>
  <c r="E671" i="2"/>
  <c r="F671" i="2"/>
  <c r="S744" i="2"/>
  <c r="C737" i="2"/>
  <c r="M667" i="2"/>
  <c r="P671" i="2"/>
  <c r="E680" i="2"/>
  <c r="AC680" i="2" s="1"/>
  <c r="F680" i="2"/>
  <c r="G696" i="2"/>
  <c r="D736" i="2"/>
  <c r="K736" i="2"/>
  <c r="W736" i="2"/>
  <c r="M751" i="2"/>
  <c r="X781" i="2"/>
  <c r="I707" i="2"/>
  <c r="L707" i="2"/>
  <c r="Y797" i="2"/>
  <c r="AV791" i="2"/>
  <c r="AB690" i="5"/>
  <c r="Y473" i="5" s="1"/>
  <c r="AC690" i="5"/>
  <c r="Z473" i="5" s="1"/>
  <c r="AB665" i="5"/>
  <c r="Y468" i="5" s="1"/>
  <c r="AD665" i="5"/>
  <c r="AA468" i="5" s="1"/>
  <c r="AD690" i="5"/>
  <c r="AA473" i="5" s="1"/>
  <c r="M662" i="5"/>
  <c r="O665" i="5"/>
  <c r="S695" i="5"/>
  <c r="Y662" i="5"/>
  <c r="AB582" i="4"/>
  <c r="AI589" i="4" s="1"/>
  <c r="G579" i="4"/>
  <c r="I582" i="4"/>
  <c r="Z582" i="4"/>
  <c r="Y579" i="4"/>
  <c r="Y556" i="4"/>
  <c r="S556" i="4"/>
  <c r="M548" i="4"/>
  <c r="G547" i="4"/>
  <c r="Y506" i="4"/>
  <c r="P499" i="4"/>
  <c r="AB499" i="4" s="1"/>
  <c r="Y469" i="4" s="1"/>
  <c r="S557" i="4"/>
  <c r="C532" i="4"/>
  <c r="AD558" i="4"/>
  <c r="AK584" i="4" s="1"/>
  <c r="AA558" i="4"/>
  <c r="AH584" i="4" s="1"/>
  <c r="Z558" i="4"/>
  <c r="AG584" i="4" s="1"/>
  <c r="AD524" i="4"/>
  <c r="AA474" i="4" s="1"/>
  <c r="L516" i="4"/>
  <c r="U499" i="4"/>
  <c r="E508" i="4"/>
  <c r="I524" i="4"/>
  <c r="AA524" i="4" s="1"/>
  <c r="X474" i="4" s="1"/>
  <c r="X476" i="4" s="1"/>
  <c r="Y529" i="4"/>
  <c r="G521" i="4"/>
  <c r="G565" i="4"/>
  <c r="O574" i="4"/>
  <c r="U566" i="4"/>
  <c r="J491" i="4"/>
  <c r="U516" i="4"/>
  <c r="U508" i="4"/>
  <c r="Y505" i="4"/>
  <c r="Y530" i="4"/>
  <c r="Q499" i="4"/>
  <c r="W574" i="4"/>
  <c r="M497" i="4"/>
  <c r="S497" i="4"/>
  <c r="G530" i="4"/>
  <c r="R574" i="4"/>
  <c r="G572" i="4"/>
  <c r="X574" i="4"/>
  <c r="G522" i="4"/>
  <c r="G529" i="4"/>
  <c r="S513" i="4"/>
  <c r="G563" i="4"/>
  <c r="S521" i="4"/>
  <c r="S529" i="4"/>
  <c r="I532" i="4"/>
  <c r="C508" i="4"/>
  <c r="V532" i="4"/>
  <c r="G513" i="4"/>
  <c r="S498" i="4"/>
  <c r="Y531" i="4"/>
  <c r="R566" i="4"/>
  <c r="K574" i="4"/>
  <c r="F574" i="4"/>
  <c r="N499" i="4"/>
  <c r="M514" i="4"/>
  <c r="F566" i="4"/>
  <c r="S530" i="4"/>
  <c r="Q566" i="4"/>
  <c r="Y564" i="4"/>
  <c r="T574" i="4"/>
  <c r="J574" i="4"/>
  <c r="G573" i="4"/>
  <c r="H491" i="4"/>
  <c r="I516" i="4"/>
  <c r="M515" i="4"/>
  <c r="R516" i="4"/>
  <c r="U491" i="4"/>
  <c r="G531" i="4"/>
  <c r="S531" i="4"/>
  <c r="X566" i="4"/>
  <c r="J566" i="4"/>
  <c r="Y565" i="4"/>
  <c r="AA550" i="4"/>
  <c r="AH583" i="4" s="1"/>
  <c r="C574" i="4"/>
  <c r="L574" i="4"/>
  <c r="V574" i="4"/>
  <c r="Y497" i="4"/>
  <c r="T524" i="4"/>
  <c r="N524" i="4"/>
  <c r="Z550" i="4"/>
  <c r="AG583" i="4" s="1"/>
  <c r="T499" i="4"/>
  <c r="D574" i="4"/>
  <c r="S571" i="4"/>
  <c r="AD574" i="4"/>
  <c r="AK588" i="4" s="1"/>
  <c r="U574" i="4"/>
  <c r="AA574" i="4" s="1"/>
  <c r="G571" i="4"/>
  <c r="N574" i="4"/>
  <c r="H574" i="4"/>
  <c r="AB550" i="4"/>
  <c r="AI583" i="4" s="1"/>
  <c r="AC550" i="4"/>
  <c r="AJ583" i="4" s="1"/>
  <c r="AD550" i="4"/>
  <c r="AK583" i="4" s="1"/>
  <c r="S564" i="4"/>
  <c r="T566" i="4"/>
  <c r="S565" i="4"/>
  <c r="I566" i="4"/>
  <c r="H566" i="4"/>
  <c r="S563" i="4"/>
  <c r="W566" i="4"/>
  <c r="AC566" i="4" s="1"/>
  <c r="AJ587" i="4" s="1"/>
  <c r="X508" i="4"/>
  <c r="AD508" i="4" s="1"/>
  <c r="AA470" i="4" s="1"/>
  <c r="Y507" i="4"/>
  <c r="S505" i="4"/>
  <c r="K508" i="4"/>
  <c r="I508" i="4"/>
  <c r="M506" i="4"/>
  <c r="AB508" i="4"/>
  <c r="Y470" i="4" s="1"/>
  <c r="G507" i="4"/>
  <c r="G489" i="4"/>
  <c r="W499" i="4"/>
  <c r="S496" i="4"/>
  <c r="R499" i="4"/>
  <c r="AD499" i="4" s="1"/>
  <c r="AA469" i="4" s="1"/>
  <c r="AA499" i="4"/>
  <c r="X469" i="4" s="1"/>
  <c r="M496" i="4"/>
  <c r="K499" i="4"/>
  <c r="G497" i="4"/>
  <c r="G496" i="4"/>
  <c r="Y490" i="4"/>
  <c r="Y488" i="4"/>
  <c r="Y513" i="4"/>
  <c r="T491" i="4"/>
  <c r="C516" i="4"/>
  <c r="D516" i="4"/>
  <c r="AB516" i="4" s="1"/>
  <c r="Y473" i="4" s="1"/>
  <c r="S488" i="4"/>
  <c r="S490" i="4"/>
  <c r="S489" i="4"/>
  <c r="D566" i="4"/>
  <c r="L491" i="4"/>
  <c r="C566" i="4"/>
  <c r="E516" i="4"/>
  <c r="AC516" i="4" s="1"/>
  <c r="Z473" i="4" s="1"/>
  <c r="E491" i="4"/>
  <c r="AC491" i="4" s="1"/>
  <c r="Z468" i="4" s="1"/>
  <c r="G539" i="4"/>
  <c r="M488" i="4"/>
  <c r="M490" i="4"/>
  <c r="M513" i="4"/>
  <c r="M489" i="4"/>
  <c r="F516" i="4"/>
  <c r="AD516" i="4" s="1"/>
  <c r="AA473" i="4" s="1"/>
  <c r="G515" i="4"/>
  <c r="G488" i="4"/>
  <c r="AD491" i="4"/>
  <c r="AA468" i="4" s="1"/>
  <c r="D491" i="4"/>
  <c r="S787" i="2"/>
  <c r="T808" i="2"/>
  <c r="S806" i="2"/>
  <c r="Y786" i="2"/>
  <c r="AA799" i="2"/>
  <c r="Z790" i="2"/>
  <c r="AH776" i="2" s="1" a="1"/>
  <c r="AH776" i="2" s="1"/>
  <c r="AM776" i="2" s="1"/>
  <c r="AD799" i="2"/>
  <c r="Y795" i="2"/>
  <c r="M786" i="2"/>
  <c r="M795" i="2"/>
  <c r="W808" i="2"/>
  <c r="S804" i="2"/>
  <c r="G786" i="2"/>
  <c r="Q790" i="2"/>
  <c r="AC790" i="2" s="1"/>
  <c r="M804" i="2"/>
  <c r="G795" i="2"/>
  <c r="S704" i="2"/>
  <c r="G752" i="2"/>
  <c r="U662" i="2"/>
  <c r="E736" i="2"/>
  <c r="G760" i="2"/>
  <c r="C772" i="2"/>
  <c r="G769" i="2"/>
  <c r="G778" i="2"/>
  <c r="I763" i="2"/>
  <c r="M770" i="2"/>
  <c r="I781" i="2"/>
  <c r="S760" i="2"/>
  <c r="P772" i="2"/>
  <c r="S770" i="2"/>
  <c r="S771" i="2"/>
  <c r="W763" i="2"/>
  <c r="U763" i="2"/>
  <c r="Y771" i="2"/>
  <c r="Y777" i="2"/>
  <c r="Y704" i="2"/>
  <c r="D716" i="2"/>
  <c r="N716" i="2"/>
  <c r="M722" i="2"/>
  <c r="G723" i="2"/>
  <c r="X662" i="2"/>
  <c r="E689" i="2"/>
  <c r="B698" i="2"/>
  <c r="H680" i="2"/>
  <c r="P698" i="2"/>
  <c r="W689" i="2"/>
  <c r="V698" i="2"/>
  <c r="G732" i="2"/>
  <c r="E707" i="2"/>
  <c r="J662" i="2"/>
  <c r="M688" i="2"/>
  <c r="R745" i="2"/>
  <c r="C754" i="2"/>
  <c r="AA754" i="2" s="1"/>
  <c r="K662" i="2"/>
  <c r="G688" i="2"/>
  <c r="F698" i="2"/>
  <c r="Q736" i="2"/>
  <c r="Y742" i="2"/>
  <c r="R754" i="2"/>
  <c r="N763" i="2"/>
  <c r="W781" i="2"/>
  <c r="S703" i="2"/>
  <c r="M705" i="2"/>
  <c r="G706" i="2"/>
  <c r="Y706" i="2"/>
  <c r="E716" i="2"/>
  <c r="S712" i="2"/>
  <c r="X716" i="2"/>
  <c r="S714" i="2"/>
  <c r="E725" i="2"/>
  <c r="O725" i="2"/>
  <c r="X725" i="2"/>
  <c r="J671" i="2"/>
  <c r="G685" i="2"/>
  <c r="L689" i="2"/>
  <c r="L680" i="2"/>
  <c r="Q698" i="2"/>
  <c r="S697" i="2"/>
  <c r="Y678" i="2"/>
  <c r="Y685" i="2"/>
  <c r="Y686" i="2"/>
  <c r="Y688" i="2"/>
  <c r="X698" i="2"/>
  <c r="Y696" i="2"/>
  <c r="V736" i="2"/>
  <c r="F745" i="2"/>
  <c r="M677" i="2"/>
  <c r="D763" i="2"/>
  <c r="G762" i="2"/>
  <c r="E772" i="2"/>
  <c r="G770" i="2"/>
  <c r="M761" i="2"/>
  <c r="M771" i="2"/>
  <c r="K781" i="2"/>
  <c r="M779" i="2"/>
  <c r="Q763" i="2"/>
  <c r="S762" i="2"/>
  <c r="S777" i="2"/>
  <c r="Q781" i="2"/>
  <c r="Y760" i="2"/>
  <c r="U772" i="2"/>
  <c r="AA772" i="2" s="1"/>
  <c r="X772" i="2"/>
  <c r="Y778" i="2"/>
  <c r="K707" i="2"/>
  <c r="T707" i="2"/>
  <c r="G713" i="2"/>
  <c r="G715" i="2"/>
  <c r="F725" i="2"/>
  <c r="Y721" i="2"/>
  <c r="S723" i="2"/>
  <c r="M724" i="2"/>
  <c r="G742" i="2"/>
  <c r="S752" i="2"/>
  <c r="M721" i="2"/>
  <c r="G722" i="2"/>
  <c r="U754" i="2"/>
  <c r="C763" i="2"/>
  <c r="D707" i="2"/>
  <c r="Y713" i="2"/>
  <c r="O707" i="2"/>
  <c r="S713" i="2"/>
  <c r="S715" i="2"/>
  <c r="S722" i="2"/>
  <c r="M723" i="2"/>
  <c r="G724" i="2"/>
  <c r="H653" i="2"/>
  <c r="S688" i="2"/>
  <c r="U736" i="2"/>
  <c r="N781" i="2"/>
  <c r="F707" i="2"/>
  <c r="P707" i="2"/>
  <c r="X707" i="2"/>
  <c r="M706" i="2"/>
  <c r="G712" i="2"/>
  <c r="G714" i="2"/>
  <c r="H716" i="2"/>
  <c r="Z725" i="2"/>
  <c r="C689" i="2"/>
  <c r="V689" i="2"/>
  <c r="Y677" i="2"/>
  <c r="F662" i="2"/>
  <c r="Y660" i="2"/>
  <c r="G669" i="2"/>
  <c r="M668" i="2"/>
  <c r="S686" i="2"/>
  <c r="M695" i="2"/>
  <c r="G678" i="2"/>
  <c r="S668" i="2"/>
  <c r="Y697" i="2"/>
  <c r="H754" i="2"/>
  <c r="H763" i="2"/>
  <c r="Y761" i="2"/>
  <c r="G777" i="2"/>
  <c r="H707" i="2"/>
  <c r="Q707" i="2"/>
  <c r="C716" i="2"/>
  <c r="M713" i="2"/>
  <c r="M715" i="2"/>
  <c r="C725" i="2"/>
  <c r="L725" i="2"/>
  <c r="V725" i="2"/>
  <c r="S724" i="2"/>
  <c r="M703" i="2"/>
  <c r="M704" i="2"/>
  <c r="W716" i="2"/>
  <c r="S721" i="2"/>
  <c r="O716" i="2"/>
  <c r="G703" i="2"/>
  <c r="G704" i="2"/>
  <c r="G721" i="2"/>
  <c r="Y703" i="2"/>
  <c r="M780" i="2"/>
  <c r="M777" i="2"/>
  <c r="T772" i="2"/>
  <c r="M778" i="2"/>
  <c r="L781" i="2"/>
  <c r="AB763" i="2"/>
  <c r="M759" i="2"/>
  <c r="N772" i="2"/>
  <c r="G759" i="2"/>
  <c r="M768" i="2"/>
  <c r="G768" i="2"/>
  <c r="Y768" i="2"/>
  <c r="T781" i="2"/>
  <c r="Z781" i="2" s="1"/>
  <c r="AH775" i="2" s="1" a="1"/>
  <c r="AH775" i="2" s="1"/>
  <c r="S759" i="2"/>
  <c r="Y751" i="2"/>
  <c r="S750" i="2"/>
  <c r="S751" i="2"/>
  <c r="S753" i="2"/>
  <c r="L754" i="2"/>
  <c r="K754" i="2"/>
  <c r="D754" i="2"/>
  <c r="M694" i="2"/>
  <c r="T698" i="2"/>
  <c r="G750" i="2"/>
  <c r="Y741" i="2"/>
  <c r="S741" i="2"/>
  <c r="M742" i="2"/>
  <c r="M744" i="2"/>
  <c r="AC745" i="2"/>
  <c r="G741" i="2"/>
  <c r="C745" i="2"/>
  <c r="AA745" i="2" s="1"/>
  <c r="Y734" i="2"/>
  <c r="S732" i="2"/>
  <c r="S734" i="2"/>
  <c r="S735" i="2"/>
  <c r="R736" i="2"/>
  <c r="N736" i="2"/>
  <c r="M733" i="2"/>
  <c r="I736" i="2"/>
  <c r="M732" i="2"/>
  <c r="G735" i="2"/>
  <c r="T745" i="2"/>
  <c r="Y732" i="2"/>
  <c r="P736" i="2"/>
  <c r="M741" i="2"/>
  <c r="Y750" i="2"/>
  <c r="P754" i="2"/>
  <c r="N745" i="2"/>
  <c r="D745" i="2"/>
  <c r="AB745" i="2" s="1"/>
  <c r="Z754" i="2"/>
  <c r="R689" i="2"/>
  <c r="O698" i="2"/>
  <c r="S695" i="2"/>
  <c r="V680" i="2"/>
  <c r="X680" i="2"/>
  <c r="J698" i="2"/>
  <c r="K698" i="2"/>
  <c r="I698" i="2"/>
  <c r="U698" i="2"/>
  <c r="O680" i="2"/>
  <c r="G686" i="2"/>
  <c r="Q662" i="2"/>
  <c r="I671" i="2"/>
  <c r="Q680" i="2"/>
  <c r="N662" i="2"/>
  <c r="R680" i="2"/>
  <c r="S687" i="2"/>
  <c r="D680" i="2"/>
  <c r="D671" i="2"/>
  <c r="S660" i="2"/>
  <c r="M676" i="2"/>
  <c r="S678" i="2"/>
  <c r="Y695" i="2"/>
  <c r="H698" i="2"/>
  <c r="J689" i="2"/>
  <c r="K689" i="2"/>
  <c r="I689" i="2"/>
  <c r="K680" i="2"/>
  <c r="L698" i="2"/>
  <c r="M685" i="2"/>
  <c r="G694" i="2"/>
  <c r="D689" i="2"/>
  <c r="F689" i="2"/>
  <c r="G695" i="2"/>
  <c r="C680" i="2"/>
  <c r="H689" i="2"/>
  <c r="C698" i="2"/>
  <c r="N680" i="2"/>
  <c r="N698" i="2"/>
  <c r="M679" i="2"/>
  <c r="T689" i="2"/>
  <c r="M697" i="2"/>
  <c r="Y670" i="2"/>
  <c r="Y668" i="2"/>
  <c r="Y667" i="2"/>
  <c r="O671" i="2"/>
  <c r="S667" i="2"/>
  <c r="S669" i="2"/>
  <c r="M670" i="2"/>
  <c r="Y669" i="2"/>
  <c r="L671" i="2"/>
  <c r="AD671" i="2" s="1"/>
  <c r="Y659" i="2"/>
  <c r="S670" i="2"/>
  <c r="T671" i="2"/>
  <c r="U671" i="2"/>
  <c r="G668" i="2"/>
  <c r="G670" i="2"/>
  <c r="C671" i="2"/>
  <c r="AC671" i="2"/>
  <c r="V671" i="2"/>
  <c r="G667" i="2"/>
  <c r="N671" i="2"/>
  <c r="H671" i="2"/>
  <c r="W662" i="2"/>
  <c r="T662" i="2"/>
  <c r="P662" i="2"/>
  <c r="AB662" i="2" s="1"/>
  <c r="O662" i="2"/>
  <c r="M659" i="2"/>
  <c r="M661" i="2"/>
  <c r="L662" i="2"/>
  <c r="M658" i="2"/>
  <c r="I662" i="2"/>
  <c r="G659" i="2"/>
  <c r="G661" i="2"/>
  <c r="G658" i="2"/>
  <c r="Y658" i="2"/>
  <c r="H662" i="2"/>
  <c r="R662" i="2"/>
  <c r="V653" i="2"/>
  <c r="T653" i="2"/>
  <c r="J653" i="2"/>
  <c r="D653" i="2"/>
  <c r="Y652" i="2"/>
  <c r="S650" i="2"/>
  <c r="S651" i="2"/>
  <c r="Q653" i="2"/>
  <c r="AC653" i="2" s="1"/>
  <c r="X653" i="2"/>
  <c r="I653" i="2"/>
  <c r="M652" i="2"/>
  <c r="S652" i="2"/>
  <c r="M649" i="2"/>
  <c r="S649" i="2"/>
  <c r="R653" i="2"/>
  <c r="O653" i="2"/>
  <c r="N653" i="2"/>
  <c r="M650" i="2"/>
  <c r="L653" i="2"/>
  <c r="G652" i="2"/>
  <c r="Y651" i="2"/>
  <c r="G651" i="2"/>
  <c r="G649" i="2"/>
  <c r="Y650" i="2"/>
  <c r="F653" i="2"/>
  <c r="Y649" i="2"/>
  <c r="L193" i="1"/>
  <c r="G198" i="1"/>
  <c r="T201" i="1"/>
  <c r="L209" i="1"/>
  <c r="F226" i="1"/>
  <c r="Y208" i="1"/>
  <c r="K201" i="1"/>
  <c r="S207" i="1"/>
  <c r="U218" i="1"/>
  <c r="H226" i="1"/>
  <c r="E234" i="1"/>
  <c r="AC234" i="1" s="1"/>
  <c r="J193" i="1"/>
  <c r="U193" i="1"/>
  <c r="M200" i="1"/>
  <c r="O209" i="1"/>
  <c r="B218" i="1"/>
  <c r="L218" i="1"/>
  <c r="Q226" i="1"/>
  <c r="X226" i="1"/>
  <c r="M192" i="1"/>
  <c r="G190" i="1"/>
  <c r="E218" i="1"/>
  <c r="O193" i="1"/>
  <c r="R193" i="1"/>
  <c r="Y190" i="1"/>
  <c r="X193" i="1"/>
  <c r="D226" i="1"/>
  <c r="P226" i="1"/>
  <c r="F234" i="1"/>
  <c r="V234" i="1"/>
  <c r="T234" i="1"/>
  <c r="Y233" i="1"/>
  <c r="T193" i="1"/>
  <c r="X218" i="1"/>
  <c r="K226" i="1"/>
  <c r="F193" i="1"/>
  <c r="AD193" i="1" s="1"/>
  <c r="P193" i="1"/>
  <c r="B193" i="1"/>
  <c r="M199" i="1"/>
  <c r="N201" i="1"/>
  <c r="S200" i="1"/>
  <c r="T218" i="1"/>
  <c r="J226" i="1"/>
  <c r="AB226" i="1" s="1"/>
  <c r="W234" i="1"/>
  <c r="P201" i="1"/>
  <c r="V201" i="1"/>
  <c r="R226" i="1"/>
  <c r="T226" i="1"/>
  <c r="B201" i="1"/>
  <c r="B209" i="1"/>
  <c r="I209" i="1"/>
  <c r="S208" i="1"/>
  <c r="J218" i="1"/>
  <c r="N218" i="1"/>
  <c r="V226" i="1"/>
  <c r="I234" i="1"/>
  <c r="L234" i="1"/>
  <c r="G191" i="1"/>
  <c r="I193" i="1"/>
  <c r="S190" i="1"/>
  <c r="Q193" i="1"/>
  <c r="Y192" i="1"/>
  <c r="C193" i="1"/>
  <c r="F201" i="1"/>
  <c r="N209" i="1"/>
  <c r="I218" i="1"/>
  <c r="S232" i="1"/>
  <c r="R234" i="1"/>
  <c r="S192" i="1"/>
  <c r="H193" i="1"/>
  <c r="X201" i="1"/>
  <c r="W193" i="1"/>
  <c r="G199" i="1"/>
  <c r="O201" i="1"/>
  <c r="W209" i="1"/>
  <c r="W226" i="1"/>
  <c r="V193" i="1"/>
  <c r="F218" i="1"/>
  <c r="C209" i="1"/>
  <c r="G208" i="1"/>
  <c r="D193" i="1"/>
  <c r="P209" i="1"/>
  <c r="H218" i="1"/>
  <c r="K218" i="1"/>
  <c r="V218" i="1"/>
  <c r="L226" i="1"/>
  <c r="H234" i="1"/>
  <c r="K234" i="1"/>
  <c r="Y199" i="1"/>
  <c r="F209" i="1"/>
  <c r="J209" i="1"/>
  <c r="K193" i="1"/>
  <c r="J201" i="1"/>
  <c r="D209" i="1"/>
  <c r="G200" i="1"/>
  <c r="Q209" i="1"/>
  <c r="R218" i="1"/>
  <c r="N226" i="1"/>
  <c r="Z226" i="1" s="1"/>
  <c r="U226" i="1"/>
  <c r="S225" i="1"/>
  <c r="N193" i="1"/>
  <c r="Q201" i="1"/>
  <c r="E201" i="1"/>
  <c r="S223" i="1"/>
  <c r="J234" i="1"/>
  <c r="C218" i="1"/>
  <c r="AA218" i="1" s="1"/>
  <c r="C234" i="1"/>
  <c r="S231" i="1"/>
  <c r="I226" i="1"/>
  <c r="AA226" i="1" s="1"/>
  <c r="U234" i="1"/>
  <c r="Q234" i="1"/>
  <c r="Q218" i="1"/>
  <c r="E226" i="1"/>
  <c r="Y207" i="1"/>
  <c r="M208" i="1"/>
  <c r="K209" i="1"/>
  <c r="S206" i="1"/>
  <c r="C201" i="1"/>
  <c r="AA201" i="1" s="1"/>
  <c r="M207" i="1"/>
  <c r="M206" i="1"/>
  <c r="G192" i="1"/>
  <c r="D201" i="1"/>
  <c r="G206" i="1"/>
  <c r="G207" i="1"/>
  <c r="E209" i="1"/>
  <c r="H209" i="1"/>
  <c r="Y206" i="1"/>
  <c r="R201" i="1"/>
  <c r="S199" i="1"/>
  <c r="E193" i="1"/>
  <c r="M191" i="1"/>
  <c r="H201" i="1"/>
  <c r="I201" i="1"/>
  <c r="M198" i="1"/>
  <c r="Y198" i="1"/>
  <c r="S198" i="1"/>
  <c r="Y191" i="1"/>
  <c r="S191" i="1"/>
  <c r="AM587" i="5" l="1"/>
  <c r="AL587" i="5"/>
  <c r="AC473" i="5"/>
  <c r="AC475" i="5"/>
  <c r="AB475" i="5"/>
  <c r="AA716" i="5"/>
  <c r="AH582" i="5" s="1"/>
  <c r="AM582" i="5" s="1"/>
  <c r="AA732" i="5"/>
  <c r="AH584" i="5" s="1"/>
  <c r="AL588" i="5"/>
  <c r="AL584" i="5"/>
  <c r="AM584" i="5"/>
  <c r="AL589" i="5"/>
  <c r="AB468" i="5"/>
  <c r="AC468" i="5"/>
  <c r="AJ631" i="6"/>
  <c r="AM628" i="6"/>
  <c r="AH630" i="6"/>
  <c r="AM630" i="6" s="1"/>
  <c r="AM626" i="6"/>
  <c r="AN775" i="2"/>
  <c r="AM775" i="2"/>
  <c r="AM589" i="5"/>
  <c r="AM588" i="5"/>
  <c r="AM583" i="5"/>
  <c r="AL583" i="5"/>
  <c r="AC469" i="5"/>
  <c r="AM584" i="4"/>
  <c r="AL584" i="4"/>
  <c r="AL583" i="4"/>
  <c r="AM583" i="4"/>
  <c r="AM582" i="4"/>
  <c r="AL582" i="4"/>
  <c r="AC473" i="4"/>
  <c r="AB473" i="4"/>
  <c r="AB470" i="4"/>
  <c r="AC470" i="4"/>
  <c r="AC574" i="4"/>
  <c r="AJ588" i="4" s="1"/>
  <c r="AA582" i="4"/>
  <c r="AM589" i="4" s="1"/>
  <c r="AA508" i="4"/>
  <c r="X470" i="4" s="1"/>
  <c r="AA516" i="4"/>
  <c r="X473" i="4" s="1"/>
  <c r="AB566" i="4"/>
  <c r="AI587" i="4" s="1"/>
  <c r="AD566" i="4"/>
  <c r="AK587" i="4" s="1"/>
  <c r="AA491" i="4"/>
  <c r="X468" i="4" s="1"/>
  <c r="X471" i="4" s="1"/>
  <c r="AQ788" i="2"/>
  <c r="AQ795" i="2" s="1"/>
  <c r="AR795" i="2"/>
  <c r="AS795" i="2"/>
  <c r="AT795" i="2"/>
  <c r="AQ793" i="2"/>
  <c r="AS793" i="2"/>
  <c r="AT794" i="2"/>
  <c r="AR794" i="2"/>
  <c r="AS794" i="2"/>
  <c r="AD736" i="2"/>
  <c r="Z808" i="2"/>
  <c r="AB799" i="2"/>
  <c r="AB725" i="2"/>
  <c r="AC716" i="2"/>
  <c r="AD772" i="2"/>
  <c r="AC781" i="2"/>
  <c r="AD745" i="2"/>
  <c r="AC725" i="2"/>
  <c r="AB746" i="2"/>
  <c r="AQ782" i="2" s="1" a="1"/>
  <c r="AQ782" i="2" s="1"/>
  <c r="AA737" i="2"/>
  <c r="AB698" i="2"/>
  <c r="AA725" i="2"/>
  <c r="Z763" i="2"/>
  <c r="AH773" i="2" s="1"/>
  <c r="AA763" i="2"/>
  <c r="AC754" i="2"/>
  <c r="AD808" i="2"/>
  <c r="AH777" i="2" a="1"/>
  <c r="AD662" i="2"/>
  <c r="AB689" i="2"/>
  <c r="AB736" i="2"/>
  <c r="AA707" i="2"/>
  <c r="AC698" i="2"/>
  <c r="AD781" i="2"/>
  <c r="AC763" i="2"/>
  <c r="AD698" i="2"/>
  <c r="AD680" i="2"/>
  <c r="AD716" i="2"/>
  <c r="AA736" i="2"/>
  <c r="AA716" i="2"/>
  <c r="AD707" i="2"/>
  <c r="AC736" i="2"/>
  <c r="AC772" i="2"/>
  <c r="AC808" i="2"/>
  <c r="AH778" i="2" s="1" a="1"/>
  <c r="AQ794" i="2"/>
  <c r="AV790" i="2"/>
  <c r="AV789" i="2"/>
  <c r="Z499" i="4"/>
  <c r="W469" i="4" s="1"/>
  <c r="AB574" i="4"/>
  <c r="AB491" i="4"/>
  <c r="Y468" i="4" s="1"/>
  <c r="AA566" i="4"/>
  <c r="AH587" i="4" s="1"/>
  <c r="Z524" i="4"/>
  <c r="W474" i="4" s="1"/>
  <c r="Z574" i="4"/>
  <c r="Z566" i="4"/>
  <c r="AG587" i="4" s="1"/>
  <c r="AC499" i="4"/>
  <c r="Z469" i="4" s="1"/>
  <c r="AC707" i="2"/>
  <c r="AD725" i="2"/>
  <c r="AA640" i="2" s="1" a="1"/>
  <c r="AD754" i="2"/>
  <c r="AA689" i="2"/>
  <c r="AB707" i="2"/>
  <c r="AD689" i="2"/>
  <c r="AC689" i="2"/>
  <c r="Z716" i="2"/>
  <c r="Z707" i="2"/>
  <c r="Z680" i="2"/>
  <c r="Z736" i="2"/>
  <c r="Z745" i="2"/>
  <c r="AH769" i="2" s="1" a="1"/>
  <c r="AH769" i="2" s="1"/>
  <c r="AB754" i="2"/>
  <c r="Z772" i="2"/>
  <c r="AH774" i="2" s="1"/>
  <c r="AB680" i="2"/>
  <c r="Z698" i="2"/>
  <c r="AA698" i="2"/>
  <c r="AA680" i="2"/>
  <c r="AC662" i="2"/>
  <c r="AB671" i="2"/>
  <c r="AA662" i="2"/>
  <c r="Z689" i="2"/>
  <c r="Z671" i="2"/>
  <c r="AA671" i="2"/>
  <c r="AB653" i="2"/>
  <c r="Z662" i="2"/>
  <c r="Z653" i="2"/>
  <c r="AA653" i="2"/>
  <c r="AD653" i="2"/>
  <c r="AC201" i="1"/>
  <c r="Z234" i="1"/>
  <c r="AA209" i="1"/>
  <c r="AA193" i="1"/>
  <c r="AD226" i="1"/>
  <c r="AB218" i="1"/>
  <c r="AB201" i="1"/>
  <c r="AD209" i="1"/>
  <c r="AA234" i="1"/>
  <c r="AB234" i="1"/>
  <c r="AB193" i="1"/>
  <c r="AD234" i="1"/>
  <c r="AC218" i="1"/>
  <c r="Z218" i="1"/>
  <c r="Z201" i="1"/>
  <c r="AC209" i="1"/>
  <c r="AC226" i="1"/>
  <c r="Z193" i="1"/>
  <c r="AC193" i="1"/>
  <c r="AB209" i="1"/>
  <c r="AD201" i="1"/>
  <c r="Z209" i="1"/>
  <c r="AL582" i="5" l="1"/>
  <c r="AE468" i="5"/>
  <c r="AM631" i="6"/>
  <c r="AH631" i="6"/>
  <c r="AN774" i="2"/>
  <c r="AM774" i="2"/>
  <c r="AH780" i="2"/>
  <c r="AN773" i="2"/>
  <c r="AM773" i="2"/>
  <c r="AM769" i="2"/>
  <c r="AN769" i="2"/>
  <c r="AL589" i="4"/>
  <c r="AM588" i="4"/>
  <c r="AM587" i="4"/>
  <c r="AL587" i="4"/>
  <c r="AC474" i="4"/>
  <c r="AB474" i="4"/>
  <c r="AB469" i="4"/>
  <c r="AC469" i="4"/>
  <c r="AV795" i="2"/>
  <c r="AV794" i="2"/>
  <c r="AR793" i="2"/>
  <c r="AT793" i="2"/>
  <c r="AW795" i="2" s="1"/>
  <c r="AH768" i="2" a="1"/>
  <c r="AH768" i="2" s="1"/>
  <c r="AH770" i="2" a="1"/>
  <c r="AH770" i="2" s="1"/>
  <c r="AJ782" i="2"/>
  <c r="AI782" i="2"/>
  <c r="AA640" i="2"/>
  <c r="AH778" i="2"/>
  <c r="AA635" i="2" a="1"/>
  <c r="AA635" i="2" s="1"/>
  <c r="AA636" i="2" a="1"/>
  <c r="AA636" i="2" s="1"/>
  <c r="AA638" i="2" a="1"/>
  <c r="AA639" i="2" a="1"/>
  <c r="AI780" i="2"/>
  <c r="AJ780" i="2"/>
  <c r="AK780" i="2"/>
  <c r="AA631" i="2" a="1"/>
  <c r="AA631" i="2" s="1"/>
  <c r="AA637" i="2" a="1"/>
  <c r="AA637" i="2" s="1"/>
  <c r="AH777" i="2"/>
  <c r="AI781" i="2"/>
  <c r="AK781" i="2"/>
  <c r="AJ781" i="2"/>
  <c r="AA632" i="2" a="1"/>
  <c r="AA632" i="2" s="1"/>
  <c r="AA630" i="2" a="1"/>
  <c r="AA630" i="2" s="1"/>
  <c r="AM770" i="2" l="1"/>
  <c r="AN770" i="2"/>
  <c r="AN768" i="2"/>
  <c r="AM768" i="2"/>
  <c r="AF636" i="2"/>
  <c r="AG636" i="2"/>
  <c r="AF635" i="2"/>
  <c r="AG635" i="2"/>
  <c r="AG632" i="2"/>
  <c r="AF632" i="2"/>
  <c r="AG631" i="2"/>
  <c r="AF631" i="2"/>
  <c r="AF630" i="2"/>
  <c r="AJ629" i="2" s="1"/>
  <c r="X631" i="2"/>
  <c r="AG630" i="2"/>
  <c r="AJ783" i="2"/>
  <c r="AI783" i="2"/>
  <c r="AM780" i="2"/>
  <c r="AV793" i="2"/>
  <c r="AH782" i="2"/>
  <c r="AK782" i="2"/>
  <c r="AK783" i="2" s="1"/>
  <c r="AM777" i="2"/>
  <c r="AH781" i="2"/>
  <c r="AA638" i="2"/>
  <c r="AF638" i="2" s="1"/>
  <c r="AF640" i="2"/>
  <c r="AM778" i="2"/>
  <c r="AA639" i="2"/>
  <c r="AC532" i="4"/>
  <c r="Z475" i="4" s="1"/>
  <c r="AD532" i="4"/>
  <c r="AA475" i="4" s="1"/>
  <c r="Z532" i="4"/>
  <c r="W475" i="4" s="1"/>
  <c r="AA532" i="4"/>
  <c r="X475" i="4" s="1"/>
  <c r="AB532" i="4"/>
  <c r="Y475" i="4" s="1"/>
  <c r="AM782" i="2" l="1"/>
  <c r="AC475" i="4"/>
  <c r="AB475" i="4"/>
  <c r="W476" i="4"/>
  <c r="AM781" i="2"/>
  <c r="AM783" i="2" s="1"/>
  <c r="AH783" i="2"/>
  <c r="AF642" i="2"/>
  <c r="AF639" i="2"/>
  <c r="AF643" i="2"/>
  <c r="AA645" i="2" l="1"/>
  <c r="Z491" i="4"/>
  <c r="W468" i="4" s="1"/>
  <c r="AB468" i="4" l="1"/>
  <c r="W471" i="4"/>
  <c r="AC468" i="4"/>
  <c r="Z682" i="5"/>
  <c r="W470" i="5" s="1"/>
  <c r="AD682" i="5"/>
  <c r="AA470" i="5" s="1"/>
  <c r="AA471" i="5" s="1"/>
  <c r="X470" i="5"/>
  <c r="X471" i="5" s="1"/>
  <c r="AA682" i="5"/>
  <c r="AB682" i="5"/>
  <c r="Y470" i="5" s="1"/>
  <c r="Y471" i="5" s="1"/>
  <c r="AC682" i="5"/>
  <c r="Z470" i="5" s="1"/>
  <c r="Z471" i="5" s="1"/>
  <c r="AB698" i="5"/>
  <c r="Y474" i="5" s="1"/>
  <c r="Y476" i="5" s="1"/>
  <c r="X474" i="5"/>
  <c r="X476" i="5" s="1"/>
  <c r="AA698" i="5"/>
  <c r="AD698" i="5"/>
  <c r="AA474" i="5" s="1"/>
  <c r="AA476" i="5" s="1"/>
  <c r="Z698" i="5"/>
  <c r="W474" i="5" s="1"/>
  <c r="AC698" i="5"/>
  <c r="Z474" i="5" s="1"/>
  <c r="Z476" i="5" s="1"/>
  <c r="AB474" i="5" l="1"/>
  <c r="AE473" i="5" s="1"/>
  <c r="AC474" i="5"/>
  <c r="W476" i="5"/>
  <c r="AC470" i="5"/>
  <c r="AB470" i="5"/>
  <c r="W471" i="5"/>
  <c r="AF468" i="5" l="1"/>
  <c r="AE469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<sst xmlns="http://schemas.openxmlformats.org/spreadsheetml/2006/main" count="19888" uniqueCount="239">
  <si>
    <t>Comparison</t>
  </si>
  <si>
    <t>Model</t>
  </si>
  <si>
    <t>System</t>
  </si>
  <si>
    <t>Share Mode</t>
  </si>
  <si>
    <t>Dataset</t>
  </si>
  <si>
    <t>Num Agents</t>
  </si>
  <si>
    <t>Malicious Agents</t>
  </si>
  <si>
    <t>Round</t>
  </si>
  <si>
    <t>Wrong→Correct Per Round</t>
  </si>
  <si>
    <t>Correct→Wrong Per Round</t>
  </si>
  <si>
    <t>Correct→Malicious Wrong Per Round</t>
  </si>
  <si>
    <t>Wrong→Correct Total</t>
  </si>
  <si>
    <t>Correct→Wrong Total</t>
  </si>
  <si>
    <t>Correct→Malicious Wrong Total</t>
  </si>
  <si>
    <t>Total Tasks</t>
  </si>
  <si>
    <t>Qwen, GSM8K, MAS</t>
  </si>
  <si>
    <t>Qwen2.5-3B-Instruct</t>
  </si>
  <si>
    <t>MAS</t>
  </si>
  <si>
    <t>openai/gsm8k: Both Share-mode</t>
  </si>
  <si>
    <t>[]</t>
  </si>
  <si>
    <t>Round 1</t>
  </si>
  <si>
    <t>Round 2</t>
  </si>
  <si>
    <t>Round 3</t>
  </si>
  <si>
    <t>Final Answer</t>
  </si>
  <si>
    <t>Unknown</t>
  </si>
  <si>
    <t>openai/gsm8k: Reasoning Share-mode</t>
  </si>
  <si>
    <t>openai/gsm8k: Answer Share-mode</t>
  </si>
  <si>
    <t>Qwen, MMLU, MAS</t>
  </si>
  <si>
    <t>cais/mmlu: Both Share-mode</t>
  </si>
  <si>
    <t>cais/mmlu: Reasoning Share-mode</t>
  </si>
  <si>
    <t>cais/mmlu: Answer Share-mode</t>
  </si>
  <si>
    <t>Qwen, StrategyQA, MAS</t>
  </si>
  <si>
    <t>ChilleD/StrategyQA: Both Share-mode</t>
  </si>
  <si>
    <t>ChilleD/StrategyQA: Reasoning Share-mode</t>
  </si>
  <si>
    <t>ChilleD/StrategyQA: Answer Share-mode</t>
  </si>
  <si>
    <t>Qwen, BigBench, MAS</t>
  </si>
  <si>
    <t>Olmo, GSM8K, MAS</t>
  </si>
  <si>
    <t>Olmo-3-7B-Instruct</t>
  </si>
  <si>
    <t>Olmo, MMLU, MAS</t>
  </si>
  <si>
    <t>Olmo, StrategyQA, MAS</t>
  </si>
  <si>
    <t>Olmo, BigBench, MAS</t>
  </si>
  <si>
    <t>tasksource/bigbench: Both Share-mode</t>
  </si>
  <si>
    <t>tasksource/bigbench: Reasoning Share-mode</t>
  </si>
  <si>
    <t>tasksource/bigbench: Answer Share-mode</t>
  </si>
  <si>
    <t>Llama, GSM8K, MAS</t>
  </si>
  <si>
    <t>Llama-3.2-3B-Instruct</t>
  </si>
  <si>
    <t>Llama, MMLU, MAS</t>
  </si>
  <si>
    <t>Llama, StrategyQA, MAS</t>
  </si>
  <si>
    <t>Llama, BigBench, MAS</t>
  </si>
  <si>
    <t>Answer</t>
  </si>
  <si>
    <t>AVERAGE</t>
  </si>
  <si>
    <t>Reasoning</t>
  </si>
  <si>
    <t>Both</t>
  </si>
  <si>
    <t>GSM8K</t>
  </si>
  <si>
    <t>MMLU</t>
  </si>
  <si>
    <t xml:space="preserve">StrategyQA </t>
  </si>
  <si>
    <t>Sports</t>
  </si>
  <si>
    <t>Qwen2.5</t>
  </si>
  <si>
    <t>Olmo 3</t>
  </si>
  <si>
    <t>Llama 3.2</t>
  </si>
  <si>
    <t xml:space="preserve">Round 3 </t>
  </si>
  <si>
    <t>Final round</t>
  </si>
  <si>
    <t>UCR</t>
  </si>
  <si>
    <t>Both Share-Mode
Wrong→Correct</t>
  </si>
  <si>
    <t>SUM</t>
  </si>
  <si>
    <t>Answer Share-Mode
Wrong→Correct</t>
  </si>
  <si>
    <t>Reasoning Share-Mode
Wrong→Correct</t>
  </si>
  <si>
    <t>Both Share-Mode
Correct→Wrong</t>
  </si>
  <si>
    <t>tasksource/bigbench Both Share-mode</t>
  </si>
  <si>
    <t>tasksource/bigbench Reasoning Share-mode</t>
  </si>
  <si>
    <t>tasksource/bigbench Answer Share-mode</t>
  </si>
  <si>
    <t>Answer Share-Mode
Correct→Wrong</t>
  </si>
  <si>
    <t>Reasoning Share-Mode
Correct→Wrong</t>
  </si>
  <si>
    <t>[1, 2]</t>
  </si>
  <si>
    <t>ChilleD/StrategyQA: Mal Agent 2 &amp; 3</t>
  </si>
  <si>
    <t>both</t>
  </si>
  <si>
    <t>Qwen, StrategyQA, MAS, both</t>
  </si>
  <si>
    <t>[0, 2]</t>
  </si>
  <si>
    <t>ChilleD/StrategyQA: Mal Agent 1 &amp; 3</t>
  </si>
  <si>
    <t>[0, 1]</t>
  </si>
  <si>
    <t>ChilleD/StrategyQA: Mal Agent 1 &amp; 2</t>
  </si>
  <si>
    <t>ChilleD/StrategyQA: No Mal Agent</t>
  </si>
  <si>
    <t>ChilleD/StrategyQA: Mal Agent 2 &amp; 3 - both</t>
  </si>
  <si>
    <t>Olmo-3-7B-Think</t>
  </si>
  <si>
    <t>Olmo Think, StrategyQA, MAS, both</t>
  </si>
  <si>
    <t>ChilleD/StrategyQA: Mal Agent 1 &amp; 3 - both</t>
  </si>
  <si>
    <t>ChilleD/StrategyQA: Mal Agent 1 &amp; 2 - both</t>
  </si>
  <si>
    <t>ChilleD/StrategyQA: No Mal Agent - both</t>
  </si>
  <si>
    <t>Olmo, StrategyQA, MAS, both</t>
  </si>
  <si>
    <t>Llama, StrategyQA, MAS, both</t>
  </si>
  <si>
    <t>cais/mmlu: Mal Agent 2 &amp; 3</t>
  </si>
  <si>
    <t>Qwen, MMLU, MAS, both</t>
  </si>
  <si>
    <t>cais/mmlu: Mal Agent 1 &amp; 3</t>
  </si>
  <si>
    <t>cais/mmlu: Mal Agent 1 &amp; 2</t>
  </si>
  <si>
    <t>cais/mmlu: No Mal Agent</t>
  </si>
  <si>
    <t>cais/mmlu: Mal Agent 2 &amp; 3 - both</t>
  </si>
  <si>
    <t>Olmo Think, MMLU, MAS, both</t>
  </si>
  <si>
    <t>cais/mmlu: Mal Agent 1 &amp; 3 - both</t>
  </si>
  <si>
    <t>cais/mmlu: Mal Agent 1 &amp; 2 - both</t>
  </si>
  <si>
    <t>cais/mmlu: No Mal Agent - both</t>
  </si>
  <si>
    <t>Olmo, MMLU, MAS, both</t>
  </si>
  <si>
    <t>Llama, MMLU, MAS, both</t>
  </si>
  <si>
    <t>openai/gsm8k: Mal Agent 2 &amp; 3</t>
  </si>
  <si>
    <t>Qwen, GSM8K, MAS, both</t>
  </si>
  <si>
    <t>openai/gsm8k: Mal Agent 1 &amp; 3</t>
  </si>
  <si>
    <t>openai/gsm8k: Mal Agent 1 &amp; 2</t>
  </si>
  <si>
    <t>openai/gsm8k: No Mal Agent</t>
  </si>
  <si>
    <t>openai/gsm8k: Mal Agent 2 &amp; 3 - both</t>
  </si>
  <si>
    <t>Olmo Think, GSM8K, MAS, both</t>
  </si>
  <si>
    <t>openai/gsm8k: Mal Agent 1 &amp; 3 - both</t>
  </si>
  <si>
    <t>openai/gsm8k: Mal Agent 1 &amp; 2 - both</t>
  </si>
  <si>
    <t>openai/gsm8k: No Mal Agent - both</t>
  </si>
  <si>
    <t>Olmo, GSM8K, MAS, both</t>
  </si>
  <si>
    <t>Llama, GSM8K, MAS, both</t>
  </si>
  <si>
    <t>tasksource/bigbench: Mal Agent 2 &amp; 3</t>
  </si>
  <si>
    <t>Qwen, BigBench, MAS, both</t>
  </si>
  <si>
    <t>tasksource/bigbench: Mal Agent 1 &amp; 3</t>
  </si>
  <si>
    <t>tasksource/bigbench: Mal Agent 1 &amp; 2</t>
  </si>
  <si>
    <t>tasksource/bigbench: No Mal Agent</t>
  </si>
  <si>
    <t>tasksource/bigbench: Mal Agent 2 &amp; 3 - both</t>
  </si>
  <si>
    <t>Olmo Think, BigBench, MAS, both</t>
  </si>
  <si>
    <t>tasksource/bigbench: Mal Agent 1 &amp; 3 - both</t>
  </si>
  <si>
    <t>tasksource/bigbench: Mal Agent 1 &amp; 2 - both</t>
  </si>
  <si>
    <t>tasksource/bigbench: No Mal Agent - both</t>
  </si>
  <si>
    <t>Olmo, BigBench, MAS, both</t>
  </si>
  <si>
    <t>Llama, BigBench, MAS, both</t>
  </si>
  <si>
    <t>[2]</t>
  </si>
  <si>
    <t>ChilleD/StrategyQA: Mal Agent 3 - both</t>
  </si>
  <si>
    <t>[1]</t>
  </si>
  <si>
    <t>ChilleD/StrategyQA: Mal Agent 2 - both</t>
  </si>
  <si>
    <t>[0]</t>
  </si>
  <si>
    <t>ChilleD/StrategyQA: Mal Agent 1 - both</t>
  </si>
  <si>
    <t>cais/mmlu: Mal Agent 3 - both</t>
  </si>
  <si>
    <t>cais/mmlu: Mal Agent 2 - both</t>
  </si>
  <si>
    <t>cais/mmlu: Mal Agent 1 - both</t>
  </si>
  <si>
    <t>openai/gsm8k: Mal Agent 3 - both</t>
  </si>
  <si>
    <t>openai/gsm8k: Mal Agent 2 - both</t>
  </si>
  <si>
    <t>openai/gsm8k: Mal Agent 1 - both</t>
  </si>
  <si>
    <t>tasksource/bigbench: Mal Agent 3 - both</t>
  </si>
  <si>
    <t>tasksource/bigbench: Mal Agent 2 - both</t>
  </si>
  <si>
    <t>tasksource/bigbench: Mal Agent 1 - both</t>
  </si>
  <si>
    <t>Malicious Agent 1, Both
Wrong→Correct</t>
  </si>
  <si>
    <t>Olmo 3 Think</t>
  </si>
  <si>
    <t>Malicious Agent 2, Both
Wrong→Correct</t>
  </si>
  <si>
    <t>Malicious Agent 3, Both
Wrong→Correct</t>
  </si>
  <si>
    <t>Mal 1</t>
  </si>
  <si>
    <t>Mal 2</t>
  </si>
  <si>
    <t>Mal 3</t>
  </si>
  <si>
    <t>Malicious Agent 1, Both
Correct→Wrong</t>
  </si>
  <si>
    <t>Malicious Agent 2, Both
Correct→Wrong</t>
  </si>
  <si>
    <t>Recovery</t>
  </si>
  <si>
    <t>Propagation</t>
  </si>
  <si>
    <t>Malicious Agent 1 &amp; 2, Both
Wrong→Correct</t>
  </si>
  <si>
    <t>Malicious Agent 1 &amp; 3, Both
Wrong→Correct</t>
  </si>
  <si>
    <t>Malicious Agent 2 &amp; 3, Both
Wrong→Correct</t>
  </si>
  <si>
    <t>Malicious Agent 1 &amp; 2, Both
Correct→Wrong</t>
  </si>
  <si>
    <t>Malicious Agent 1 &amp; 3, Both
Correct→Wrong</t>
  </si>
  <si>
    <t>Malicious Agent 2 &amp; 3, Both
Correct→Wrong</t>
  </si>
  <si>
    <t>Mal 1 &amp; 2</t>
  </si>
  <si>
    <t>Mal 1 &amp; 3</t>
  </si>
  <si>
    <t>Mal 2 &amp; 3</t>
  </si>
  <si>
    <t>Malicious Agent 1, Both
Correct→ Mal Wrong</t>
  </si>
  <si>
    <t>Malicious Agent 2, Both
Correct→ Mal Wrong</t>
  </si>
  <si>
    <t>Malicious Agent 3, Both
Correct→ Mal Wrong</t>
  </si>
  <si>
    <t>Malicious Agent 3, Both
Correct→ Wrong</t>
  </si>
  <si>
    <t>Malicious Agent 1 &amp; 2, Both
Correct→ Mal Wrong</t>
  </si>
  <si>
    <t>Malicious Agent 1 &amp; 3, Both
Correct→ Mal Wrong</t>
  </si>
  <si>
    <t>Malicious Agent 2 &amp; 3, Both
Correct→ Mal Wrong</t>
  </si>
  <si>
    <t>Mal 1 &amp; 2 mal</t>
  </si>
  <si>
    <t>Mal 1 &amp; 3 mal</t>
  </si>
  <si>
    <t>Mal 2 &amp; 3 mal</t>
  </si>
  <si>
    <t>Mal 1 mal</t>
  </si>
  <si>
    <t>Mal 2 mal</t>
  </si>
  <si>
    <t>Mal 3 mal</t>
  </si>
  <si>
    <t>tasksource/bigbench: Mal Agent 3</t>
  </si>
  <si>
    <t>tasksource/bigbench: Mal Agent 2</t>
  </si>
  <si>
    <t>tasksource/bigbench: Mal Agent 1</t>
  </si>
  <si>
    <t>ChilleD/StrategyQA: Mal Agent 3</t>
  </si>
  <si>
    <t>ChilleD/StrategyQA: Mal Agent 2</t>
  </si>
  <si>
    <t>ChilleD/StrategyQA: Mal Agent 1</t>
  </si>
  <si>
    <t>cais/mmlu: Mal Agent 3</t>
  </si>
  <si>
    <t>cais/mmlu: Mal Agent 2</t>
  </si>
  <si>
    <t>cais/mmlu: Mal Agent 1</t>
  </si>
  <si>
    <t>openai/gsm8k: Mal Agent 3</t>
  </si>
  <si>
    <t>openai/gsm8k: Mal Agent 2</t>
  </si>
  <si>
    <t>openai/gsm8k: Mal Agent 1</t>
  </si>
  <si>
    <t>ES Agent 1, Both
Wrong→Correct</t>
  </si>
  <si>
    <t>ES Agent 2, Both
Wrong→Correct</t>
  </si>
  <si>
    <t>ES Agent 3, Both
Wrong→Correct</t>
  </si>
  <si>
    <t>ES Agent 1, Both
Correct→Wrong</t>
  </si>
  <si>
    <t>ES Agent 2, Both
Correct→Wrong</t>
  </si>
  <si>
    <t>ES Agent 3, Both
Correct→ Wrong</t>
  </si>
  <si>
    <t>ES Agent 1 &amp; 2, Both
Wrong→Correct</t>
  </si>
  <si>
    <t>ES Agent 1 &amp; 3, Both
Wrong→Correct</t>
  </si>
  <si>
    <t>ES Agent 2 &amp; 3, Both
Wrong→Correct</t>
  </si>
  <si>
    <t>ES Agent 1 &amp; 2, Both
Correct→Wrong</t>
  </si>
  <si>
    <t>ES Agent 1 &amp; 3, Both
Correct→Wrong</t>
  </si>
  <si>
    <t>ES Agent 2 &amp; 3, Both
Correct→Wrong</t>
  </si>
  <si>
    <t>percentage of malicious answers out of correct-&gt;wrong convergences</t>
  </si>
  <si>
    <t>Average</t>
  </si>
  <si>
    <t>SUM two rounds</t>
  </si>
  <si>
    <t>SUM three rounds</t>
  </si>
  <si>
    <t xml:space="preserve">ES 1 </t>
  </si>
  <si>
    <t>ES 2</t>
  </si>
  <si>
    <t>ES 3</t>
  </si>
  <si>
    <t xml:space="preserve">ES 1 &amp; 2 </t>
  </si>
  <si>
    <t>ES 1 &amp; 3</t>
  </si>
  <si>
    <t>ES 2 &amp; 3</t>
  </si>
  <si>
    <t xml:space="preserve">CR-IA 1 </t>
  </si>
  <si>
    <t>CR-IA 2</t>
  </si>
  <si>
    <t>CR-IA 3</t>
  </si>
  <si>
    <t>CR-IA Agent 1, Both
Wrong→Correct</t>
  </si>
  <si>
    <t>CR-IA Agent 2, Both
Wrong→Correct</t>
  </si>
  <si>
    <t>CR-IA Agent 3, Both
Wrong→Correct</t>
  </si>
  <si>
    <t>CR-IA Agent 1, Both
Correct→Wrong</t>
  </si>
  <si>
    <t>CR-IA Agent 2, Both
Correct→Wrong</t>
  </si>
  <si>
    <t>CR-IA Agent 3, Both
Correct→ Wrong</t>
  </si>
  <si>
    <t>CR-IA Agent 1 &amp; 2, Both
Wrong→Correct</t>
  </si>
  <si>
    <t>CR-IA Agent 1 &amp; 3, Both
Wrong→Correct</t>
  </si>
  <si>
    <t>CR-IA Agent 2 &amp; 3, Both
Wrong→Correct</t>
  </si>
  <si>
    <t>CR-IA Agent 1 &amp; 2, Both
Correct→Wrong</t>
  </si>
  <si>
    <t>CR-IA Agent 1 &amp; 3, Both
Correct→Wrong</t>
  </si>
  <si>
    <t>CR-IA Agent 2 &amp; 3, Both
Correct→Wrong</t>
  </si>
  <si>
    <t xml:space="preserve">CR-IA 1 &amp; 2 </t>
  </si>
  <si>
    <t>CR-IA 1 &amp; 3</t>
  </si>
  <si>
    <t>CR-IA 2 &amp; 3</t>
  </si>
  <si>
    <t>CR-IA Agent 1, Both
Correct→Mal Wrong</t>
  </si>
  <si>
    <t>CR-IA Agent 2, Both
Correct→ Mal Wrong</t>
  </si>
  <si>
    <t>CR-IA Agent 3, Both
Correct→ Mal Wrong</t>
  </si>
  <si>
    <t>CR-IA Agent 1 &amp; 2, Both
Correct→ Mal Wrong</t>
  </si>
  <si>
    <t>CR-IA Agent 1 &amp; 3, Both
Correct→Mal Wrong</t>
  </si>
  <si>
    <t>CR-IA Agent 2 &amp; 3, Both
Correct→Mal Wrong</t>
  </si>
  <si>
    <t>CR-IA 1</t>
  </si>
  <si>
    <t>CR-IA 1 mal</t>
  </si>
  <si>
    <t>CR-IA 2 mal</t>
  </si>
  <si>
    <t>CR-IA 3 mal</t>
  </si>
  <si>
    <t>AVG CR</t>
  </si>
  <si>
    <t>R1 + R2</t>
  </si>
  <si>
    <t>R1 + R2 + 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</si>
</sst>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indent="2"/>
    </xf>
    <xf numFmtId="164" fontId="3" fillId="0" borderId="0" xfId="0" applyNumberFormat="1" applyFont="1"/>
    <xf numFmtId="2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horizontal="left" indent="2"/>
    </xf>
    <xf numFmtId="0" fontId="3" fillId="3" borderId="0" xfId="0" applyFont="1" applyFill="1"/>
    <xf numFmtId="164" fontId="0" fillId="3" borderId="0" xfId="0" applyNumberFormat="1" applyFill="1"/>
    <xf numFmtId="2" fontId="0" fillId="3" borderId="0" xfId="0" applyNumberFormat="1" applyFill="1"/>
    <xf numFmtId="2" fontId="3" fillId="3" borderId="0" xfId="0" applyNumberFormat="1" applyFont="1" applyFill="1"/>
    <xf numFmtId="164" fontId="3" fillId="3" borderId="0" xfId="0" applyNumberFormat="1" applyFont="1" applyFill="1"/>
    <xf numFmtId="0" fontId="0" fillId="3" borderId="0" xfId="0" applyFill="1"/>
    <xf numFmtId="165" fontId="0" fillId="0" borderId="0" xfId="0" applyNumberFormat="1"/>
    <xf numFmtId="0" fontId="0" fillId="0" borderId="1" xfId="0" applyBorder="1"/>
    <xf numFmtId="0" fontId="3" fillId="0" borderId="0" xfId="0" applyFont="1"/>
    <xf numFmtId="0" fontId="3" fillId="0" borderId="2" xfId="0" applyFont="1" applyBorder="1"/>
    <xf numFmtId="164" fontId="0" fillId="0" borderId="2" xfId="0" applyNumberFormat="1" applyBorder="1"/>
    <xf numFmtId="2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166" fontId="0" fillId="0" borderId="0" xfId="1" applyNumberFormat="1" applyFont="1"/>
    <xf numFmtId="166" fontId="0" fillId="0" borderId="0" xfId="0" applyNumberFormat="1"/>
    <xf numFmtId="166" fontId="0" fillId="0" borderId="1" xfId="1" applyNumberFormat="1" applyFont="1" applyBorder="1"/>
    <xf numFmtId="0" fontId="3" fillId="0" borderId="0" xfId="0" applyFont="1" applyAlignment="1">
      <alignment horizontal="center"/>
    </xf>
    <xf numFmtId="10" fontId="0" fillId="0" borderId="0" xfId="1" applyNumberFormat="1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colors>
    <mruColors>
      <color rgb="FFD9D9D9"/>
      <color rgb="FFECECEC"/>
      <color rgb="FF77BA86"/>
      <color rgb="FFE49C76"/>
      <color rgb="FF708EBF"/>
      <color rgb="FFD07175"/>
      <color rgb="FFAEA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CR-IA Agent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('CR-IA'!$B$488:$F$488,'CR-IA'!$H$488:$L$488,'CR-IA'!$N$488:$R$488,'CR-IA'!$T$488:$X$488)</c:f>
              <c:numCache>
                <c:formatCode>0.0</c:formatCode>
                <c:ptCount val="20"/>
                <c:pt idx="0">
                  <c:v>85.355648535564853</c:v>
                </c:pt>
                <c:pt idx="1">
                  <c:v>7.9497907949790791</c:v>
                </c:pt>
                <c:pt idx="2">
                  <c:v>0.41841004184100417</c:v>
                </c:pt>
                <c:pt idx="3">
                  <c:v>6.2761506276150625</c:v>
                </c:pt>
                <c:pt idx="4">
                  <c:v>0</c:v>
                </c:pt>
                <c:pt idx="5">
                  <c:v>81.081081081081081</c:v>
                </c:pt>
                <c:pt idx="6">
                  <c:v>5.4054054054054053</c:v>
                </c:pt>
                <c:pt idx="7">
                  <c:v>8.1081081081081088</c:v>
                </c:pt>
                <c:pt idx="8">
                  <c:v>5.4054054054054053</c:v>
                </c:pt>
                <c:pt idx="9">
                  <c:v>0</c:v>
                </c:pt>
                <c:pt idx="10">
                  <c:v>86.231884057971016</c:v>
                </c:pt>
                <c:pt idx="11">
                  <c:v>7.9710144927536222</c:v>
                </c:pt>
                <c:pt idx="12">
                  <c:v>0</c:v>
                </c:pt>
                <c:pt idx="13">
                  <c:v>5.7971014492753623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E-164B-85CF-C6305714EA46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('CR-IA'!$B$489:$F$489,'CR-IA'!$H$489:$L$489,'CR-IA'!$N$489:$R$489,'CR-IA'!$T$489:$X$489)</c:f>
              <c:numCache>
                <c:formatCode>0.0</c:formatCode>
                <c:ptCount val="20"/>
                <c:pt idx="0">
                  <c:v>80.582524271844662</c:v>
                </c:pt>
                <c:pt idx="1">
                  <c:v>9.4660194174757279</c:v>
                </c:pt>
                <c:pt idx="2">
                  <c:v>2.912621359223301</c:v>
                </c:pt>
                <c:pt idx="3">
                  <c:v>7.0388349514563107</c:v>
                </c:pt>
                <c:pt idx="4">
                  <c:v>0</c:v>
                </c:pt>
                <c:pt idx="5">
                  <c:v>68.888888888888886</c:v>
                </c:pt>
                <c:pt idx="6">
                  <c:v>15.555555555555555</c:v>
                </c:pt>
                <c:pt idx="7">
                  <c:v>8.8888888888888893</c:v>
                </c:pt>
                <c:pt idx="8">
                  <c:v>6.666666666666667</c:v>
                </c:pt>
                <c:pt idx="9">
                  <c:v>0</c:v>
                </c:pt>
                <c:pt idx="10">
                  <c:v>69.642857142857139</c:v>
                </c:pt>
                <c:pt idx="11">
                  <c:v>14.285714285714285</c:v>
                </c:pt>
                <c:pt idx="12">
                  <c:v>12.5</c:v>
                </c:pt>
                <c:pt idx="13">
                  <c:v>3.5714285714285712</c:v>
                </c:pt>
                <c:pt idx="14">
                  <c:v>0</c:v>
                </c:pt>
                <c:pt idx="15">
                  <c:v>61.904761904761905</c:v>
                </c:pt>
                <c:pt idx="16">
                  <c:v>28.571428571428569</c:v>
                </c:pt>
                <c:pt idx="17">
                  <c:v>7.1428571428571423</c:v>
                </c:pt>
                <c:pt idx="18">
                  <c:v>2.3809523809523809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E-164B-85CF-C6305714EA46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('CR-IA'!$B$490:$F$490,'CR-IA'!$H$490:$L$490,'CR-IA'!$N$490:$R$490,'CR-IA'!$T$490:$X$490)</c:f>
              <c:numCache>
                <c:formatCode>0.0</c:formatCode>
                <c:ptCount val="20"/>
                <c:pt idx="0">
                  <c:v>49.504950495049506</c:v>
                </c:pt>
                <c:pt idx="1">
                  <c:v>24.752475247524753</c:v>
                </c:pt>
                <c:pt idx="2">
                  <c:v>17.82178217821782</c:v>
                </c:pt>
                <c:pt idx="3">
                  <c:v>7.9207920792079207</c:v>
                </c:pt>
                <c:pt idx="4">
                  <c:v>0</c:v>
                </c:pt>
                <c:pt idx="5">
                  <c:v>55.555555555555557</c:v>
                </c:pt>
                <c:pt idx="6">
                  <c:v>27.777777777777779</c:v>
                </c:pt>
                <c:pt idx="7">
                  <c:v>16.666666666666664</c:v>
                </c:pt>
                <c:pt idx="8">
                  <c:v>0</c:v>
                </c:pt>
                <c:pt idx="9">
                  <c:v>0</c:v>
                </c:pt>
                <c:pt idx="10">
                  <c:v>63.10679611650486</c:v>
                </c:pt>
                <c:pt idx="11">
                  <c:v>19.417475728155338</c:v>
                </c:pt>
                <c:pt idx="12">
                  <c:v>14.563106796116504</c:v>
                </c:pt>
                <c:pt idx="13">
                  <c:v>2.912621359223301</c:v>
                </c:pt>
                <c:pt idx="14">
                  <c:v>0</c:v>
                </c:pt>
                <c:pt idx="15">
                  <c:v>52</c:v>
                </c:pt>
                <c:pt idx="16">
                  <c:v>32</c:v>
                </c:pt>
                <c:pt idx="17">
                  <c:v>8</c:v>
                </c:pt>
                <c:pt idx="18">
                  <c:v>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8E-164B-85CF-C6305714E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('CR-IA'!$B$491:$F$491,'CR-IA'!$H$491:$L$491,'CR-IA'!$N$491:$R$491,'CR-IA'!$T$491:$X$491)</c:f>
              <c:numCache>
                <c:formatCode>0.0</c:formatCode>
                <c:ptCount val="20"/>
                <c:pt idx="0">
                  <c:v>71.814374434153009</c:v>
                </c:pt>
                <c:pt idx="1">
                  <c:v>14.056095153326519</c:v>
                </c:pt>
                <c:pt idx="2">
                  <c:v>7.0509378597607082</c:v>
                </c:pt>
                <c:pt idx="3">
                  <c:v>7.0785925527597646</c:v>
                </c:pt>
                <c:pt idx="4">
                  <c:v>0</c:v>
                </c:pt>
                <c:pt idx="5">
                  <c:v>68.508508508508498</c:v>
                </c:pt>
                <c:pt idx="6">
                  <c:v>16.246246246246248</c:v>
                </c:pt>
                <c:pt idx="7">
                  <c:v>11.221221221221221</c:v>
                </c:pt>
                <c:pt idx="8">
                  <c:v>4.0240240240240235</c:v>
                </c:pt>
                <c:pt idx="9">
                  <c:v>0</c:v>
                </c:pt>
                <c:pt idx="10">
                  <c:v>72.993845772444345</c:v>
                </c:pt>
                <c:pt idx="11">
                  <c:v>13.891401502207747</c:v>
                </c:pt>
                <c:pt idx="12">
                  <c:v>9.0210355987055006</c:v>
                </c:pt>
                <c:pt idx="13">
                  <c:v>4.0937171266424111</c:v>
                </c:pt>
                <c:pt idx="14">
                  <c:v>0</c:v>
                </c:pt>
                <c:pt idx="15">
                  <c:v>71.301587301587304</c:v>
                </c:pt>
                <c:pt idx="16">
                  <c:v>20.19047619047619</c:v>
                </c:pt>
                <c:pt idx="17">
                  <c:v>5.0476190476190474</c:v>
                </c:pt>
                <c:pt idx="18">
                  <c:v>3.4603174603174605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8E-164B-85CF-C6305714E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CR-IA Agent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('CR-IA'!$B$496:$F$496,'CR-IA'!$H$496:$L$496,'CR-IA'!$N$496:$R$496,'CR-IA'!$T$496:$X$496)</c:f>
              <c:numCache>
                <c:formatCode>0.0</c:formatCode>
                <c:ptCount val="20"/>
                <c:pt idx="0">
                  <c:v>72.058823529411768</c:v>
                </c:pt>
                <c:pt idx="1">
                  <c:v>12.745098039215685</c:v>
                </c:pt>
                <c:pt idx="2">
                  <c:v>1.4705882352941175</c:v>
                </c:pt>
                <c:pt idx="3">
                  <c:v>13.725490196078432</c:v>
                </c:pt>
                <c:pt idx="4">
                  <c:v>0</c:v>
                </c:pt>
                <c:pt idx="5">
                  <c:v>60.526315789473685</c:v>
                </c:pt>
                <c:pt idx="6">
                  <c:v>15.789473684210526</c:v>
                </c:pt>
                <c:pt idx="7">
                  <c:v>10.526315789473683</c:v>
                </c:pt>
                <c:pt idx="8">
                  <c:v>13.157894736842104</c:v>
                </c:pt>
                <c:pt idx="9">
                  <c:v>0</c:v>
                </c:pt>
                <c:pt idx="10">
                  <c:v>68.656716417910445</c:v>
                </c:pt>
                <c:pt idx="11">
                  <c:v>8.9552238805970141</c:v>
                </c:pt>
                <c:pt idx="12">
                  <c:v>3.7313432835820892</c:v>
                </c:pt>
                <c:pt idx="13">
                  <c:v>18.656716417910449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E-1642-ABD6-41D4C7C145EA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('CR-IA'!$B$497:$F$497,'CR-IA'!$H$497:$L$497,'CR-IA'!$N$497:$R$497,'CR-IA'!$T$497:$X$497)</c:f>
              <c:numCache>
                <c:formatCode>0.0</c:formatCode>
                <c:ptCount val="20"/>
                <c:pt idx="0">
                  <c:v>71.916010498687669</c:v>
                </c:pt>
                <c:pt idx="1">
                  <c:v>15.485564304461944</c:v>
                </c:pt>
                <c:pt idx="2">
                  <c:v>3.674540682414698</c:v>
                </c:pt>
                <c:pt idx="3">
                  <c:v>8.9238845144356951</c:v>
                </c:pt>
                <c:pt idx="4">
                  <c:v>0</c:v>
                </c:pt>
                <c:pt idx="5">
                  <c:v>52.631578947368418</c:v>
                </c:pt>
                <c:pt idx="6">
                  <c:v>26.315789473684209</c:v>
                </c:pt>
                <c:pt idx="7">
                  <c:v>10.526315789473683</c:v>
                </c:pt>
                <c:pt idx="8">
                  <c:v>10.526315789473683</c:v>
                </c:pt>
                <c:pt idx="9">
                  <c:v>0</c:v>
                </c:pt>
                <c:pt idx="10">
                  <c:v>76.19047619047619</c:v>
                </c:pt>
                <c:pt idx="11">
                  <c:v>11.904761904761903</c:v>
                </c:pt>
                <c:pt idx="12">
                  <c:v>7.1428571428571423</c:v>
                </c:pt>
                <c:pt idx="13">
                  <c:v>4.7619047619047619</c:v>
                </c:pt>
                <c:pt idx="14">
                  <c:v>0</c:v>
                </c:pt>
                <c:pt idx="15">
                  <c:v>33.333333333333329</c:v>
                </c:pt>
                <c:pt idx="16">
                  <c:v>29.629629629629626</c:v>
                </c:pt>
                <c:pt idx="17">
                  <c:v>29.629629629629626</c:v>
                </c:pt>
                <c:pt idx="18">
                  <c:v>7.4074074074074066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E-1642-ABD6-41D4C7C145EA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('CR-IA'!$B$498:$F$498,'CR-IA'!$H$498:$L$498,'CR-IA'!$N$498:$R$498,'CR-IA'!$T$498:$X$498)</c:f>
              <c:numCache>
                <c:formatCode>0.0</c:formatCode>
                <c:ptCount val="20"/>
                <c:pt idx="0">
                  <c:v>20.987654320987652</c:v>
                </c:pt>
                <c:pt idx="1">
                  <c:v>48.148148148148145</c:v>
                </c:pt>
                <c:pt idx="2">
                  <c:v>18.518518518518519</c:v>
                </c:pt>
                <c:pt idx="3">
                  <c:v>12.345679012345679</c:v>
                </c:pt>
                <c:pt idx="4">
                  <c:v>0</c:v>
                </c:pt>
                <c:pt idx="5">
                  <c:v>28.571428571428569</c:v>
                </c:pt>
                <c:pt idx="6">
                  <c:v>28.571428571428569</c:v>
                </c:pt>
                <c:pt idx="7">
                  <c:v>0</c:v>
                </c:pt>
                <c:pt idx="8">
                  <c:v>42.857142857142854</c:v>
                </c:pt>
                <c:pt idx="9">
                  <c:v>0</c:v>
                </c:pt>
                <c:pt idx="10">
                  <c:v>44.186046511627907</c:v>
                </c:pt>
                <c:pt idx="11">
                  <c:v>27.906976744186046</c:v>
                </c:pt>
                <c:pt idx="12">
                  <c:v>6.9767441860465116</c:v>
                </c:pt>
                <c:pt idx="13">
                  <c:v>20.930232558139537</c:v>
                </c:pt>
                <c:pt idx="14">
                  <c:v>0</c:v>
                </c:pt>
                <c:pt idx="15">
                  <c:v>50</c:v>
                </c:pt>
                <c:pt idx="16">
                  <c:v>20</c:v>
                </c:pt>
                <c:pt idx="17">
                  <c:v>0</c:v>
                </c:pt>
                <c:pt idx="18">
                  <c:v>30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1E-1642-ABD6-41D4C7C14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('CR-IA'!$B$499:$F$499,'CR-IA'!$H$499:$L$499,'CR-IA'!$N$499:$R$499,'CR-IA'!$T$499:$X$499)</c:f>
              <c:numCache>
                <c:formatCode>0.0</c:formatCode>
                <c:ptCount val="20"/>
                <c:pt idx="0">
                  <c:v>54.987496116362365</c:v>
                </c:pt>
                <c:pt idx="1">
                  <c:v>25.459603497275257</c:v>
                </c:pt>
                <c:pt idx="2">
                  <c:v>7.8878824787424451</c:v>
                </c:pt>
                <c:pt idx="3">
                  <c:v>11.665017907619935</c:v>
                </c:pt>
                <c:pt idx="4">
                  <c:v>0</c:v>
                </c:pt>
                <c:pt idx="5">
                  <c:v>47.243107769423567</c:v>
                </c:pt>
                <c:pt idx="6">
                  <c:v>23.558897243107765</c:v>
                </c:pt>
                <c:pt idx="7">
                  <c:v>7.0175438596491224</c:v>
                </c:pt>
                <c:pt idx="8">
                  <c:v>22.180451127819548</c:v>
                </c:pt>
                <c:pt idx="9">
                  <c:v>0</c:v>
                </c:pt>
                <c:pt idx="10">
                  <c:v>63.011079706671524</c:v>
                </c:pt>
                <c:pt idx="11">
                  <c:v>16.255654176514987</c:v>
                </c:pt>
                <c:pt idx="12">
                  <c:v>5.9503148708285805</c:v>
                </c:pt>
                <c:pt idx="13">
                  <c:v>14.782951245984917</c:v>
                </c:pt>
                <c:pt idx="14">
                  <c:v>0</c:v>
                </c:pt>
                <c:pt idx="15">
                  <c:v>61.111111111111107</c:v>
                </c:pt>
                <c:pt idx="16">
                  <c:v>16.543209876543209</c:v>
                </c:pt>
                <c:pt idx="17">
                  <c:v>9.8765432098765427</c:v>
                </c:pt>
                <c:pt idx="18">
                  <c:v>12.469135802469134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1E-1642-ABD6-41D4C7C14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CR-IA Agent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('CR-IA'!$B$505:$F$505,'CR-IA'!$H$505:$L$505,'CR-IA'!$N$505:$R$505,'CR-IA'!$T$505:$X$505)</c:f>
              <c:numCache>
                <c:formatCode>0.0</c:formatCode>
                <c:ptCount val="20"/>
                <c:pt idx="0">
                  <c:v>66.494845360824741</c:v>
                </c:pt>
                <c:pt idx="1">
                  <c:v>12.371134020618557</c:v>
                </c:pt>
                <c:pt idx="2">
                  <c:v>4.6391752577319592</c:v>
                </c:pt>
                <c:pt idx="3">
                  <c:v>16.494845360824741</c:v>
                </c:pt>
                <c:pt idx="4">
                  <c:v>0</c:v>
                </c:pt>
                <c:pt idx="5">
                  <c:v>67.857142857142861</c:v>
                </c:pt>
                <c:pt idx="6">
                  <c:v>7.1428571428571423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66.141732283464577</c:v>
                </c:pt>
                <c:pt idx="11">
                  <c:v>7.0866141732283463</c:v>
                </c:pt>
                <c:pt idx="12">
                  <c:v>4.7244094488188972</c:v>
                </c:pt>
                <c:pt idx="13">
                  <c:v>22.047244094488189</c:v>
                </c:pt>
                <c:pt idx="14">
                  <c:v>0</c:v>
                </c:pt>
                <c:pt idx="15">
                  <c:v>94.117647058823522</c:v>
                </c:pt>
                <c:pt idx="16">
                  <c:v>0</c:v>
                </c:pt>
                <c:pt idx="17">
                  <c:v>5.8823529411764701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5-CC4C-86A9-D06616326EB4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('CR-IA'!$B$506:$F$506,'CR-IA'!$H$506:$L$506,'CR-IA'!$N$506:$R$506,'CR-IA'!$T$506:$X$506)</c:f>
              <c:numCache>
                <c:formatCode>0.0</c:formatCode>
                <c:ptCount val="20"/>
                <c:pt idx="0">
                  <c:v>72.849462365591393</c:v>
                </c:pt>
                <c:pt idx="1">
                  <c:v>17.741935483870968</c:v>
                </c:pt>
                <c:pt idx="2">
                  <c:v>3.225806451612903</c:v>
                </c:pt>
                <c:pt idx="3">
                  <c:v>6.182795698924731</c:v>
                </c:pt>
                <c:pt idx="4">
                  <c:v>0</c:v>
                </c:pt>
                <c:pt idx="5">
                  <c:v>45.454545454545453</c:v>
                </c:pt>
                <c:pt idx="6">
                  <c:v>21.212121212121211</c:v>
                </c:pt>
                <c:pt idx="7">
                  <c:v>15.151515151515152</c:v>
                </c:pt>
                <c:pt idx="8">
                  <c:v>18.181818181818183</c:v>
                </c:pt>
                <c:pt idx="9">
                  <c:v>0</c:v>
                </c:pt>
                <c:pt idx="10">
                  <c:v>71.05263157894737</c:v>
                </c:pt>
                <c:pt idx="11">
                  <c:v>10.526315789473683</c:v>
                </c:pt>
                <c:pt idx="12">
                  <c:v>13.157894736842104</c:v>
                </c:pt>
                <c:pt idx="13">
                  <c:v>5.2631578947368416</c:v>
                </c:pt>
                <c:pt idx="14">
                  <c:v>0</c:v>
                </c:pt>
                <c:pt idx="15">
                  <c:v>59.574468085106382</c:v>
                </c:pt>
                <c:pt idx="16">
                  <c:v>19.148936170212767</c:v>
                </c:pt>
                <c:pt idx="17">
                  <c:v>19.148936170212767</c:v>
                </c:pt>
                <c:pt idx="18">
                  <c:v>2.1276595744680851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5-CC4C-86A9-D06616326EB4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('CR-IA'!$B$507:$F$507,'CR-IA'!$H$507:$L$507,'CR-IA'!$N$507:$R$507,'CR-IA'!$T$507:$X$507)</c:f>
              <c:numCache>
                <c:formatCode>0.0</c:formatCode>
                <c:ptCount val="20"/>
                <c:pt idx="0">
                  <c:v>15</c:v>
                </c:pt>
                <c:pt idx="1">
                  <c:v>43</c:v>
                </c:pt>
                <c:pt idx="2">
                  <c:v>24</c:v>
                </c:pt>
                <c:pt idx="3">
                  <c:v>18</c:v>
                </c:pt>
                <c:pt idx="4">
                  <c:v>0</c:v>
                </c:pt>
                <c:pt idx="5">
                  <c:v>33.333333333333329</c:v>
                </c:pt>
                <c:pt idx="6">
                  <c:v>22.222222222222221</c:v>
                </c:pt>
                <c:pt idx="7">
                  <c:v>22.222222222222221</c:v>
                </c:pt>
                <c:pt idx="8">
                  <c:v>22.222222222222221</c:v>
                </c:pt>
                <c:pt idx="9">
                  <c:v>0</c:v>
                </c:pt>
                <c:pt idx="10">
                  <c:v>33.333333333333329</c:v>
                </c:pt>
                <c:pt idx="11">
                  <c:v>38.461538461538467</c:v>
                </c:pt>
                <c:pt idx="12">
                  <c:v>17.948717948717949</c:v>
                </c:pt>
                <c:pt idx="13">
                  <c:v>10.256410256410255</c:v>
                </c:pt>
                <c:pt idx="14">
                  <c:v>0</c:v>
                </c:pt>
                <c:pt idx="15">
                  <c:v>29.411764705882355</c:v>
                </c:pt>
                <c:pt idx="16">
                  <c:v>47.058823529411761</c:v>
                </c:pt>
                <c:pt idx="17">
                  <c:v>11.76470588235294</c:v>
                </c:pt>
                <c:pt idx="18">
                  <c:v>11.76470588235294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5-CC4C-86A9-D0661632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('CR-IA'!$B$508:$F$508,'CR-IA'!$H$508:$L$508,'CR-IA'!$N$508:$R$508,'CR-IA'!$T$508:$X$508)</c:f>
              <c:numCache>
                <c:formatCode>0.0</c:formatCode>
                <c:ptCount val="20"/>
                <c:pt idx="0">
                  <c:v>51.448102575472042</c:v>
                </c:pt>
                <c:pt idx="1">
                  <c:v>24.371023168163173</c:v>
                </c:pt>
                <c:pt idx="2">
                  <c:v>10.62166056978162</c:v>
                </c:pt>
                <c:pt idx="3">
                  <c:v>13.559213686583158</c:v>
                </c:pt>
                <c:pt idx="4">
                  <c:v>0</c:v>
                </c:pt>
                <c:pt idx="5">
                  <c:v>48.881673881673883</c:v>
                </c:pt>
                <c:pt idx="6">
                  <c:v>16.859066859066857</c:v>
                </c:pt>
                <c:pt idx="7">
                  <c:v>12.457912457912457</c:v>
                </c:pt>
                <c:pt idx="8">
                  <c:v>21.801346801346806</c:v>
                </c:pt>
                <c:pt idx="9">
                  <c:v>0</c:v>
                </c:pt>
                <c:pt idx="10">
                  <c:v>56.84256573191508</c:v>
                </c:pt>
                <c:pt idx="11">
                  <c:v>18.691489474746831</c:v>
                </c:pt>
                <c:pt idx="12">
                  <c:v>11.943674044792985</c:v>
                </c:pt>
                <c:pt idx="13">
                  <c:v>12.522270748545097</c:v>
                </c:pt>
                <c:pt idx="14">
                  <c:v>0</c:v>
                </c:pt>
                <c:pt idx="15">
                  <c:v>61.034626616604079</c:v>
                </c:pt>
                <c:pt idx="16" formatCode="0.00">
                  <c:v>22.069253233208176</c:v>
                </c:pt>
                <c:pt idx="17">
                  <c:v>12.265331664580726</c:v>
                </c:pt>
                <c:pt idx="18">
                  <c:v>4.6307884856070087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55-CC4C-86A9-D0661632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CR-IA  Agent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('CR-IA'!$B$513:$F$513,'CR-IA'!$H$513:$L$513,'CR-IA'!$N$513:$R$513,'CR-IA'!$T$513:$X$513)</c:f>
              <c:numCache>
                <c:formatCode>0.0</c:formatCode>
                <c:ptCount val="20"/>
                <c:pt idx="0">
                  <c:v>73.643410852713174</c:v>
                </c:pt>
                <c:pt idx="1">
                  <c:v>17.054263565891471</c:v>
                </c:pt>
                <c:pt idx="2">
                  <c:v>3.8759689922480618</c:v>
                </c:pt>
                <c:pt idx="3">
                  <c:v>5.4263565891472867</c:v>
                </c:pt>
                <c:pt idx="4">
                  <c:v>0</c:v>
                </c:pt>
                <c:pt idx="5">
                  <c:v>63.829787234042556</c:v>
                </c:pt>
                <c:pt idx="6">
                  <c:v>29.787234042553191</c:v>
                </c:pt>
                <c:pt idx="7">
                  <c:v>6.3829787234042552</c:v>
                </c:pt>
                <c:pt idx="8">
                  <c:v>0</c:v>
                </c:pt>
                <c:pt idx="9">
                  <c:v>0</c:v>
                </c:pt>
                <c:pt idx="10">
                  <c:v>80.124223602484463</c:v>
                </c:pt>
                <c:pt idx="11">
                  <c:v>13.043478260869565</c:v>
                </c:pt>
                <c:pt idx="12">
                  <c:v>6.2111801242236027</c:v>
                </c:pt>
                <c:pt idx="13">
                  <c:v>0.6211180124223602</c:v>
                </c:pt>
                <c:pt idx="14">
                  <c:v>0</c:v>
                </c:pt>
                <c:pt idx="15">
                  <c:v>57.894736842105267</c:v>
                </c:pt>
                <c:pt idx="16">
                  <c:v>36.84210526315789</c:v>
                </c:pt>
                <c:pt idx="17">
                  <c:v>5.2631578947368416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4-744B-9A81-A175C0998007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('CR-IA'!$B$514:$F$514,'CR-IA'!$H$514:$L$514,'CR-IA'!$N$514:$R$514,'CR-IA'!$T$514:$X$514)</c:f>
              <c:numCache>
                <c:formatCode>0.0</c:formatCode>
                <c:ptCount val="20"/>
                <c:pt idx="0">
                  <c:v>46.835443037974684</c:v>
                </c:pt>
                <c:pt idx="1">
                  <c:v>18.9873417721519</c:v>
                </c:pt>
                <c:pt idx="2">
                  <c:v>21.518987341772153</c:v>
                </c:pt>
                <c:pt idx="3">
                  <c:v>12.658227848101266</c:v>
                </c:pt>
                <c:pt idx="4">
                  <c:v>0</c:v>
                </c:pt>
                <c:pt idx="5">
                  <c:v>80.555555555555557</c:v>
                </c:pt>
                <c:pt idx="6">
                  <c:v>5.5555555555555554</c:v>
                </c:pt>
                <c:pt idx="7">
                  <c:v>5.5555555555555554</c:v>
                </c:pt>
                <c:pt idx="8">
                  <c:v>8.3333333333333321</c:v>
                </c:pt>
                <c:pt idx="9">
                  <c:v>0</c:v>
                </c:pt>
                <c:pt idx="10">
                  <c:v>42.857142857142854</c:v>
                </c:pt>
                <c:pt idx="11">
                  <c:v>19.727891156462583</c:v>
                </c:pt>
                <c:pt idx="12">
                  <c:v>12.925170068027212</c:v>
                </c:pt>
                <c:pt idx="13">
                  <c:v>22.448979591836736</c:v>
                </c:pt>
                <c:pt idx="14">
                  <c:v>2.0408163265306123</c:v>
                </c:pt>
                <c:pt idx="15">
                  <c:v>58.333333333333336</c:v>
                </c:pt>
                <c:pt idx="16">
                  <c:v>8.3333333333333321</c:v>
                </c:pt>
                <c:pt idx="17">
                  <c:v>4.1666666666666661</c:v>
                </c:pt>
                <c:pt idx="18">
                  <c:v>29.166666666666668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4-744B-9A81-A175C0998007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('CR-IA'!$B$515:$F$515,'CR-IA'!$H$515:$L$515,'CR-IA'!$N$515:$R$515,'CR-IA'!$T$515:$X$515)</c:f>
              <c:numCache>
                <c:formatCode>0.0</c:formatCode>
                <c:ptCount val="20"/>
                <c:pt idx="0">
                  <c:v>36.898395721925134</c:v>
                </c:pt>
                <c:pt idx="1">
                  <c:v>21.390374331550802</c:v>
                </c:pt>
                <c:pt idx="2">
                  <c:v>36.363636363636367</c:v>
                </c:pt>
                <c:pt idx="3">
                  <c:v>5.3475935828877006</c:v>
                </c:pt>
                <c:pt idx="4">
                  <c:v>0</c:v>
                </c:pt>
                <c:pt idx="5">
                  <c:v>47.368421052631575</c:v>
                </c:pt>
                <c:pt idx="6">
                  <c:v>31.578947368421051</c:v>
                </c:pt>
                <c:pt idx="7">
                  <c:v>10.526315789473683</c:v>
                </c:pt>
                <c:pt idx="8">
                  <c:v>10.526315789473683</c:v>
                </c:pt>
                <c:pt idx="9">
                  <c:v>0</c:v>
                </c:pt>
                <c:pt idx="10">
                  <c:v>50</c:v>
                </c:pt>
                <c:pt idx="11">
                  <c:v>23.333333333333332</c:v>
                </c:pt>
                <c:pt idx="12">
                  <c:v>20</c:v>
                </c:pt>
                <c:pt idx="13">
                  <c:v>6.666666666666667</c:v>
                </c:pt>
                <c:pt idx="14">
                  <c:v>0</c:v>
                </c:pt>
                <c:pt idx="15">
                  <c:v>21.686746987951807</c:v>
                </c:pt>
                <c:pt idx="16">
                  <c:v>53.01204819277109</c:v>
                </c:pt>
                <c:pt idx="17">
                  <c:v>20.481927710843372</c:v>
                </c:pt>
                <c:pt idx="18">
                  <c:v>4.8192771084337354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4-744B-9A81-A175C0998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2"/>
          <c:order val="4"/>
          <c:tx>
            <c:strRef>
              <c:f>'CR-IA'!$A$537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('CR-IA'!$B$537:$F$537,'CR-IA'!$H$537:$L$537,'CR-IA'!$N$537:$R$537,'CR-IA'!$T$537:$X$537)</c:f>
              <c:numCache>
                <c:formatCode>0.0</c:formatCode>
                <c:ptCount val="20"/>
                <c:pt idx="0">
                  <c:v>42.63565891472868</c:v>
                </c:pt>
                <c:pt idx="1">
                  <c:v>10.077519379844961</c:v>
                </c:pt>
                <c:pt idx="2">
                  <c:v>3.8759689922480618</c:v>
                </c:pt>
                <c:pt idx="3">
                  <c:v>3.8759689922480618</c:v>
                </c:pt>
                <c:pt idx="4">
                  <c:v>0</c:v>
                </c:pt>
                <c:pt idx="5">
                  <c:v>48.936170212765958</c:v>
                </c:pt>
                <c:pt idx="6">
                  <c:v>25.531914893617021</c:v>
                </c:pt>
                <c:pt idx="7">
                  <c:v>2.1276595744680851</c:v>
                </c:pt>
                <c:pt idx="8">
                  <c:v>0</c:v>
                </c:pt>
                <c:pt idx="9">
                  <c:v>0</c:v>
                </c:pt>
                <c:pt idx="10">
                  <c:v>60.248447204968947</c:v>
                </c:pt>
                <c:pt idx="11">
                  <c:v>8.0745341614906838</c:v>
                </c:pt>
                <c:pt idx="12">
                  <c:v>4.3478260869565215</c:v>
                </c:pt>
                <c:pt idx="13">
                  <c:v>0</c:v>
                </c:pt>
                <c:pt idx="14">
                  <c:v>0</c:v>
                </c:pt>
                <c:pt idx="15">
                  <c:v>57.894736842105267</c:v>
                </c:pt>
                <c:pt idx="16">
                  <c:v>36.84210526315789</c:v>
                </c:pt>
                <c:pt idx="17">
                  <c:v>5.2631578947368416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94-744B-9A81-A175C0998007}"/>
            </c:ext>
          </c:extLst>
        </c:ser>
        <c:ser>
          <c:idx val="5"/>
          <c:order val="5"/>
          <c:tx>
            <c:strRef>
              <c:f>'CR-IA'!$A$538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('CR-IA'!$B$538:$F$538,'CR-IA'!$H$538:$L$538,'CR-IA'!$N$538:$R$538,'CR-IA'!$T$538:$X$538)</c:f>
              <c:numCache>
                <c:formatCode>0.0</c:formatCode>
                <c:ptCount val="20"/>
                <c:pt idx="0">
                  <c:v>16.455696202531644</c:v>
                </c:pt>
                <c:pt idx="1">
                  <c:v>7.59493670886076</c:v>
                </c:pt>
                <c:pt idx="2">
                  <c:v>10.126582278481013</c:v>
                </c:pt>
                <c:pt idx="3">
                  <c:v>7.59493670886076</c:v>
                </c:pt>
                <c:pt idx="4">
                  <c:v>0</c:v>
                </c:pt>
                <c:pt idx="5">
                  <c:v>52.777777777777779</c:v>
                </c:pt>
                <c:pt idx="6">
                  <c:v>0</c:v>
                </c:pt>
                <c:pt idx="7">
                  <c:v>5.5555555555555554</c:v>
                </c:pt>
                <c:pt idx="8">
                  <c:v>8.3333333333333321</c:v>
                </c:pt>
                <c:pt idx="9">
                  <c:v>0</c:v>
                </c:pt>
                <c:pt idx="10">
                  <c:v>32.653061224489797</c:v>
                </c:pt>
                <c:pt idx="11">
                  <c:v>7.4829931972789119</c:v>
                </c:pt>
                <c:pt idx="12">
                  <c:v>6.1224489795918364</c:v>
                </c:pt>
                <c:pt idx="13">
                  <c:v>5.4421768707482991</c:v>
                </c:pt>
                <c:pt idx="14">
                  <c:v>0</c:v>
                </c:pt>
                <c:pt idx="15">
                  <c:v>50</c:v>
                </c:pt>
                <c:pt idx="16">
                  <c:v>8.3333333333333321</c:v>
                </c:pt>
                <c:pt idx="17">
                  <c:v>4.1666666666666661</c:v>
                </c:pt>
                <c:pt idx="18">
                  <c:v>16.666666666666664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94-744B-9A81-A175C0998007}"/>
            </c:ext>
          </c:extLst>
        </c:ser>
        <c:ser>
          <c:idx val="6"/>
          <c:order val="6"/>
          <c:tx>
            <c:strRef>
              <c:f>'CR-IA'!$A$539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('CR-IA'!$B$539:$F$539,'CR-IA'!$H$539:$L$539,'CR-IA'!$N$539:$R$539,'CR-IA'!$T$539:$X$539)</c:f>
              <c:numCache>
                <c:formatCode>0.0</c:formatCode>
                <c:ptCount val="20"/>
                <c:pt idx="0">
                  <c:v>6.4171122994652414</c:v>
                </c:pt>
                <c:pt idx="1">
                  <c:v>2.6737967914438503</c:v>
                </c:pt>
                <c:pt idx="2">
                  <c:v>6.9518716577540109</c:v>
                </c:pt>
                <c:pt idx="3">
                  <c:v>0.53475935828876997</c:v>
                </c:pt>
                <c:pt idx="4">
                  <c:v>0</c:v>
                </c:pt>
                <c:pt idx="5">
                  <c:v>21.052631578947366</c:v>
                </c:pt>
                <c:pt idx="6">
                  <c:v>10.526315789473683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</c:v>
                </c:pt>
                <c:pt idx="11">
                  <c:v>19.166666666666668</c:v>
                </c:pt>
                <c:pt idx="12">
                  <c:v>15.833333333333332</c:v>
                </c:pt>
                <c:pt idx="13">
                  <c:v>4.1666666666666661</c:v>
                </c:pt>
                <c:pt idx="14">
                  <c:v>0</c:v>
                </c:pt>
                <c:pt idx="15">
                  <c:v>14.457831325301203</c:v>
                </c:pt>
                <c:pt idx="16">
                  <c:v>50.602409638554214</c:v>
                </c:pt>
                <c:pt idx="17">
                  <c:v>12.048192771084338</c:v>
                </c:pt>
                <c:pt idx="18">
                  <c:v>3.6144578313253009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C94-744B-9A81-A175C0998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0319040"/>
        <c:axId val="820328000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('CR-IA'!$B$516:$F$516,'CR-IA'!$H$516:$L$516,'CR-IA'!$N$516:$R$516,'CR-IA'!$T$516:$X$516)</c:f>
              <c:numCache>
                <c:formatCode>0.00</c:formatCode>
                <c:ptCount val="20"/>
                <c:pt idx="0" formatCode="0.0">
                  <c:v>52.459083204204326</c:v>
                </c:pt>
                <c:pt idx="1">
                  <c:v>19.143993223198056</c:v>
                </c:pt>
                <c:pt idx="2" formatCode="0.0">
                  <c:v>20.586197565885527</c:v>
                </c:pt>
                <c:pt idx="3" formatCode="0.0">
                  <c:v>7.8107260067120841</c:v>
                </c:pt>
                <c:pt idx="4" formatCode="0.0">
                  <c:v>0</c:v>
                </c:pt>
                <c:pt idx="5" formatCode="0.0">
                  <c:v>63.917921280743222</c:v>
                </c:pt>
                <c:pt idx="6">
                  <c:v>22.307245655509931</c:v>
                </c:pt>
                <c:pt idx="7" formatCode="0.0">
                  <c:v>7.488283356144497</c:v>
                </c:pt>
                <c:pt idx="8" formatCode="0.0">
                  <c:v>6.2865497076023376</c:v>
                </c:pt>
                <c:pt idx="9" formatCode="0.0">
                  <c:v>0</c:v>
                </c:pt>
                <c:pt idx="10" formatCode="0.0">
                  <c:v>57.660455486542439</c:v>
                </c:pt>
                <c:pt idx="11">
                  <c:v>18.70156758355516</c:v>
                </c:pt>
                <c:pt idx="12" formatCode="0.0">
                  <c:v>13.045450064083605</c:v>
                </c:pt>
                <c:pt idx="13" formatCode="0.0">
                  <c:v>9.9122547569752548</c:v>
                </c:pt>
                <c:pt idx="14" formatCode="0.0">
                  <c:v>0.68027210884353739</c:v>
                </c:pt>
                <c:pt idx="15" formatCode="0.0">
                  <c:v>45.971605721130139</c:v>
                </c:pt>
                <c:pt idx="16">
                  <c:v>32.729162263087439</c:v>
                </c:pt>
                <c:pt idx="17" formatCode="0.0">
                  <c:v>9.9705840907489591</c:v>
                </c:pt>
                <c:pt idx="18" formatCode="0.0">
                  <c:v>11.328647925033467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94-744B-9A81-A175C0998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820328000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20319040"/>
        <c:crosses val="max"/>
        <c:crossBetween val="between"/>
      </c:valAx>
      <c:catAx>
        <c:axId val="820319040"/>
        <c:scaling>
          <c:orientation val="minMax"/>
        </c:scaling>
        <c:delete val="1"/>
        <c:axPos val="b"/>
        <c:majorTickMark val="out"/>
        <c:minorTickMark val="none"/>
        <c:tickLblPos val="nextTo"/>
        <c:crossAx val="820328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CR-IA Agent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('CR-IA'!$B$521:$F$521,'CR-IA'!$H$521:$L$521,'CR-IA'!$N$521:$R$521,'CR-IA'!$T$521:$X$521)</c:f>
              <c:numCache>
                <c:formatCode>0.0</c:formatCode>
                <c:ptCount val="20"/>
                <c:pt idx="0">
                  <c:v>65.882352941176464</c:v>
                </c:pt>
                <c:pt idx="1">
                  <c:v>29.411764705882355</c:v>
                </c:pt>
                <c:pt idx="2">
                  <c:v>3.5294117647058822</c:v>
                </c:pt>
                <c:pt idx="3">
                  <c:v>1.1764705882352942</c:v>
                </c:pt>
                <c:pt idx="4">
                  <c:v>0</c:v>
                </c:pt>
                <c:pt idx="5">
                  <c:v>40</c:v>
                </c:pt>
                <c:pt idx="6">
                  <c:v>44</c:v>
                </c:pt>
                <c:pt idx="7">
                  <c:v>12</c:v>
                </c:pt>
                <c:pt idx="8">
                  <c:v>4</c:v>
                </c:pt>
                <c:pt idx="9">
                  <c:v>0</c:v>
                </c:pt>
                <c:pt idx="10">
                  <c:v>50.617283950617285</c:v>
                </c:pt>
                <c:pt idx="11">
                  <c:v>30.864197530864196</c:v>
                </c:pt>
                <c:pt idx="12">
                  <c:v>8.6419753086419746</c:v>
                </c:pt>
                <c:pt idx="13">
                  <c:v>9.8765432098765427</c:v>
                </c:pt>
                <c:pt idx="14">
                  <c:v>0</c:v>
                </c:pt>
                <c:pt idx="15">
                  <c:v>25</c:v>
                </c:pt>
                <c:pt idx="16">
                  <c:v>40</c:v>
                </c:pt>
                <c:pt idx="17">
                  <c:v>20</c:v>
                </c:pt>
                <c:pt idx="18">
                  <c:v>15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4-CD47-B8D6-3551EE4E0B51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('CR-IA'!$B$522:$F$522,'CR-IA'!$H$522:$L$522,'CR-IA'!$N$522:$R$522,'CR-IA'!$T$522:$X$522)</c:f>
              <c:numCache>
                <c:formatCode>0.0</c:formatCode>
                <c:ptCount val="20"/>
                <c:pt idx="0">
                  <c:v>33.82352941176471</c:v>
                </c:pt>
                <c:pt idx="1">
                  <c:v>25</c:v>
                </c:pt>
                <c:pt idx="2">
                  <c:v>10.294117647058822</c:v>
                </c:pt>
                <c:pt idx="3">
                  <c:v>30.882352941176471</c:v>
                </c:pt>
                <c:pt idx="4">
                  <c:v>0</c:v>
                </c:pt>
                <c:pt idx="5">
                  <c:v>55.555555555555557</c:v>
                </c:pt>
                <c:pt idx="6">
                  <c:v>22.222222222222221</c:v>
                </c:pt>
                <c:pt idx="7">
                  <c:v>22.222222222222221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29.473684210526311</c:v>
                </c:pt>
                <c:pt idx="12">
                  <c:v>22.105263157894736</c:v>
                </c:pt>
                <c:pt idx="13">
                  <c:v>27.368421052631582</c:v>
                </c:pt>
                <c:pt idx="14">
                  <c:v>1.0526315789473684</c:v>
                </c:pt>
                <c:pt idx="15">
                  <c:v>28.571428571428569</c:v>
                </c:pt>
                <c:pt idx="16">
                  <c:v>28.571428571428569</c:v>
                </c:pt>
                <c:pt idx="17">
                  <c:v>14.285714285714285</c:v>
                </c:pt>
                <c:pt idx="18">
                  <c:v>28.571428571428569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4-CD47-B8D6-3551EE4E0B51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('CR-IA'!$B$523:$F$523,'CR-IA'!$H$523:$L$523,'CR-IA'!$N$523:$R$523,'CR-IA'!$T$523:$X$523)</c:f>
              <c:numCache>
                <c:formatCode>0.0</c:formatCode>
                <c:ptCount val="20"/>
                <c:pt idx="0">
                  <c:v>28.063241106719367</c:v>
                </c:pt>
                <c:pt idx="1">
                  <c:v>35.968379446640313</c:v>
                </c:pt>
                <c:pt idx="2">
                  <c:v>26.086956521739129</c:v>
                </c:pt>
                <c:pt idx="3">
                  <c:v>9.8814229249011856</c:v>
                </c:pt>
                <c:pt idx="4">
                  <c:v>0</c:v>
                </c:pt>
                <c:pt idx="5">
                  <c:v>10.526315789473683</c:v>
                </c:pt>
                <c:pt idx="6">
                  <c:v>47.368421052631575</c:v>
                </c:pt>
                <c:pt idx="7">
                  <c:v>21.052631578947366</c:v>
                </c:pt>
                <c:pt idx="8">
                  <c:v>21.052631578947366</c:v>
                </c:pt>
                <c:pt idx="9">
                  <c:v>0</c:v>
                </c:pt>
                <c:pt idx="10">
                  <c:v>30.303030303030305</c:v>
                </c:pt>
                <c:pt idx="11">
                  <c:v>26.262626262626267</c:v>
                </c:pt>
                <c:pt idx="12">
                  <c:v>21.212121212121211</c:v>
                </c:pt>
                <c:pt idx="13">
                  <c:v>22.222222222222221</c:v>
                </c:pt>
                <c:pt idx="14">
                  <c:v>0</c:v>
                </c:pt>
                <c:pt idx="15">
                  <c:v>32.051282051282051</c:v>
                </c:pt>
                <c:pt idx="16">
                  <c:v>33.333333333333329</c:v>
                </c:pt>
                <c:pt idx="17">
                  <c:v>15.384615384615385</c:v>
                </c:pt>
                <c:pt idx="18">
                  <c:v>19.230769230769234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D4-CD47-B8D6-3551EE4E0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2"/>
          <c:order val="4"/>
          <c:tx>
            <c:strRef>
              <c:f>'CR-IA'!$A$545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('CR-IA'!$B$545:$F$545,'CR-IA'!$H$545:$L$545,'CR-IA'!$N$545:$R$545,'CR-IA'!$T$545:$X$545)</c:f>
              <c:numCache>
                <c:formatCode>0.0</c:formatCode>
                <c:ptCount val="20"/>
                <c:pt idx="0">
                  <c:v>16.470588235294116</c:v>
                </c:pt>
                <c:pt idx="1">
                  <c:v>16.470588235294116</c:v>
                </c:pt>
                <c:pt idx="2">
                  <c:v>2.3529411764705883</c:v>
                </c:pt>
                <c:pt idx="3">
                  <c:v>1.1764705882352942</c:v>
                </c:pt>
                <c:pt idx="4">
                  <c:v>0</c:v>
                </c:pt>
                <c:pt idx="5">
                  <c:v>20</c:v>
                </c:pt>
                <c:pt idx="6">
                  <c:v>32</c:v>
                </c:pt>
                <c:pt idx="7">
                  <c:v>12</c:v>
                </c:pt>
                <c:pt idx="8">
                  <c:v>4</c:v>
                </c:pt>
                <c:pt idx="9">
                  <c:v>0</c:v>
                </c:pt>
                <c:pt idx="10">
                  <c:v>35.802469135802468</c:v>
                </c:pt>
                <c:pt idx="11">
                  <c:v>29.629629629629626</c:v>
                </c:pt>
                <c:pt idx="12">
                  <c:v>8.6419753086419746</c:v>
                </c:pt>
                <c:pt idx="13">
                  <c:v>9.8765432098765427</c:v>
                </c:pt>
                <c:pt idx="14">
                  <c:v>0</c:v>
                </c:pt>
                <c:pt idx="15">
                  <c:v>25</c:v>
                </c:pt>
                <c:pt idx="16">
                  <c:v>40</c:v>
                </c:pt>
                <c:pt idx="17">
                  <c:v>20</c:v>
                </c:pt>
                <c:pt idx="18">
                  <c:v>15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D4-CD47-B8D6-3551EE4E0B51}"/>
            </c:ext>
          </c:extLst>
        </c:ser>
        <c:ser>
          <c:idx val="5"/>
          <c:order val="5"/>
          <c:tx>
            <c:strRef>
              <c:f>'CR-IA'!$A$546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('CR-IA'!$B$546:$F$546,'CR-IA'!$H$546:$L$546,'CR-IA'!$N$546:$R$546,'CR-IA'!$T$546:$X$546)</c:f>
              <c:numCache>
                <c:formatCode>0.0</c:formatCode>
                <c:ptCount val="20"/>
                <c:pt idx="0">
                  <c:v>10.294117647058822</c:v>
                </c:pt>
                <c:pt idx="1">
                  <c:v>10.294117647058822</c:v>
                </c:pt>
                <c:pt idx="2">
                  <c:v>4.4117647058823533</c:v>
                </c:pt>
                <c:pt idx="3">
                  <c:v>5.8823529411764701</c:v>
                </c:pt>
                <c:pt idx="4">
                  <c:v>0</c:v>
                </c:pt>
                <c:pt idx="5">
                  <c:v>22.222222222222221</c:v>
                </c:pt>
                <c:pt idx="6">
                  <c:v>5.5555555555555554</c:v>
                </c:pt>
                <c:pt idx="7">
                  <c:v>5.5555555555555554</c:v>
                </c:pt>
                <c:pt idx="8">
                  <c:v>0</c:v>
                </c:pt>
                <c:pt idx="9">
                  <c:v>0</c:v>
                </c:pt>
                <c:pt idx="10">
                  <c:v>4.2105263157894735</c:v>
                </c:pt>
                <c:pt idx="11">
                  <c:v>18.947368421052634</c:v>
                </c:pt>
                <c:pt idx="12">
                  <c:v>14.736842105263156</c:v>
                </c:pt>
                <c:pt idx="13">
                  <c:v>4.2105263157894735</c:v>
                </c:pt>
                <c:pt idx="14">
                  <c:v>0</c:v>
                </c:pt>
                <c:pt idx="15">
                  <c:v>14.285714285714285</c:v>
                </c:pt>
                <c:pt idx="16">
                  <c:v>28.571428571428569</c:v>
                </c:pt>
                <c:pt idx="17">
                  <c:v>14.285714285714285</c:v>
                </c:pt>
                <c:pt idx="18">
                  <c:v>28.571428571428569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D4-CD47-B8D6-3551EE4E0B51}"/>
            </c:ext>
          </c:extLst>
        </c:ser>
        <c:ser>
          <c:idx val="6"/>
          <c:order val="6"/>
          <c:tx>
            <c:strRef>
              <c:f>'CR-IA'!$A$547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('CR-IA'!$B$547:$F$547,'CR-IA'!$H$547:$L$547,'CR-IA'!$N$547:$R$547,'CR-IA'!$T$547:$X$547)</c:f>
              <c:numCache>
                <c:formatCode>0.0</c:formatCode>
                <c:ptCount val="20"/>
                <c:pt idx="0">
                  <c:v>0.39525691699604742</c:v>
                </c:pt>
                <c:pt idx="1">
                  <c:v>4.3478260869565215</c:v>
                </c:pt>
                <c:pt idx="2">
                  <c:v>4.3478260869565215</c:v>
                </c:pt>
                <c:pt idx="3">
                  <c:v>4.3478260869565215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10.526315789473683</c:v>
                </c:pt>
                <c:pt idx="8">
                  <c:v>10.526315789473683</c:v>
                </c:pt>
                <c:pt idx="9">
                  <c:v>0</c:v>
                </c:pt>
                <c:pt idx="10">
                  <c:v>12.121212121212121</c:v>
                </c:pt>
                <c:pt idx="11">
                  <c:v>23.232323232323232</c:v>
                </c:pt>
                <c:pt idx="12">
                  <c:v>20.202020202020201</c:v>
                </c:pt>
                <c:pt idx="13">
                  <c:v>17.171717171717169</c:v>
                </c:pt>
                <c:pt idx="14">
                  <c:v>0</c:v>
                </c:pt>
                <c:pt idx="15">
                  <c:v>17.948717948717949</c:v>
                </c:pt>
                <c:pt idx="16">
                  <c:v>23.076923076923077</c:v>
                </c:pt>
                <c:pt idx="17">
                  <c:v>8.9743589743589745</c:v>
                </c:pt>
                <c:pt idx="18">
                  <c:v>15.384615384615385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D4-CD47-B8D6-3551EE4E0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3721216"/>
        <c:axId val="913451520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('CR-IA'!$B$524:$F$524,'CR-IA'!$H$524:$L$524,'CR-IA'!$N$524:$R$524,'CR-IA'!$T$524:$X$524)</c:f>
              <c:numCache>
                <c:formatCode>0.00</c:formatCode>
                <c:ptCount val="20"/>
                <c:pt idx="0" formatCode="0.0">
                  <c:v>42.589707819886847</c:v>
                </c:pt>
                <c:pt idx="1">
                  <c:v>30.126714717507554</c:v>
                </c:pt>
                <c:pt idx="2" formatCode="0.0">
                  <c:v>13.303495311167945</c:v>
                </c:pt>
                <c:pt idx="3" formatCode="0.0">
                  <c:v>13.980082151437651</c:v>
                </c:pt>
                <c:pt idx="4" formatCode="0.0">
                  <c:v>0</c:v>
                </c:pt>
                <c:pt idx="5" formatCode="0.0">
                  <c:v>35.360623781676416</c:v>
                </c:pt>
                <c:pt idx="6">
                  <c:v>37.863547758284604</c:v>
                </c:pt>
                <c:pt idx="7" formatCode="0.0">
                  <c:v>18.424951267056528</c:v>
                </c:pt>
                <c:pt idx="8" formatCode="0.0">
                  <c:v>8.3508771929824555</c:v>
                </c:pt>
                <c:pt idx="9" formatCode="0.0">
                  <c:v>0</c:v>
                </c:pt>
                <c:pt idx="10" formatCode="0.0">
                  <c:v>33.640104751215866</c:v>
                </c:pt>
                <c:pt idx="11">
                  <c:v>28.866836001338925</c:v>
                </c:pt>
                <c:pt idx="12" formatCode="0.0">
                  <c:v>17.319786559552639</c:v>
                </c:pt>
                <c:pt idx="13" formatCode="0.0">
                  <c:v>19.822395494910115</c:v>
                </c:pt>
                <c:pt idx="14" formatCode="0.0">
                  <c:v>0.35087719298245612</c:v>
                </c:pt>
                <c:pt idx="15" formatCode="0.0">
                  <c:v>28.540903540903543</c:v>
                </c:pt>
                <c:pt idx="16">
                  <c:v>33.968253968253968</c:v>
                </c:pt>
                <c:pt idx="17" formatCode="0.0">
                  <c:v>16.556776556776558</c:v>
                </c:pt>
                <c:pt idx="18" formatCode="0.0">
                  <c:v>20.934065934065934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D4-CD47-B8D6-3551EE4E0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913451520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33721216"/>
        <c:crosses val="max"/>
        <c:crossBetween val="between"/>
      </c:valAx>
      <c:catAx>
        <c:axId val="933721216"/>
        <c:scaling>
          <c:orientation val="minMax"/>
        </c:scaling>
        <c:delete val="1"/>
        <c:axPos val="b"/>
        <c:majorTickMark val="out"/>
        <c:minorTickMark val="none"/>
        <c:tickLblPos val="nextTo"/>
        <c:crossAx val="913451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CR-IA Agent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('CR-IA'!$B$529:$F$529,'CR-IA'!$H$529:$L$529,'CR-IA'!$N$529:$R$529,'CR-IA'!$T$529:$X$529)</c:f>
              <c:numCache>
                <c:formatCode>0.0</c:formatCode>
                <c:ptCount val="20"/>
                <c:pt idx="0">
                  <c:v>50</c:v>
                </c:pt>
                <c:pt idx="1">
                  <c:v>23.611111111111111</c:v>
                </c:pt>
                <c:pt idx="2">
                  <c:v>15.277777777777779</c:v>
                </c:pt>
                <c:pt idx="3">
                  <c:v>11.111111111111111</c:v>
                </c:pt>
                <c:pt idx="4">
                  <c:v>0</c:v>
                </c:pt>
                <c:pt idx="5">
                  <c:v>18.181818181818183</c:v>
                </c:pt>
                <c:pt idx="6">
                  <c:v>27.27272727272727</c:v>
                </c:pt>
                <c:pt idx="7">
                  <c:v>36.363636363636367</c:v>
                </c:pt>
                <c:pt idx="8">
                  <c:v>18.181818181818183</c:v>
                </c:pt>
                <c:pt idx="9">
                  <c:v>0</c:v>
                </c:pt>
                <c:pt idx="10">
                  <c:v>37.333333333333336</c:v>
                </c:pt>
                <c:pt idx="11">
                  <c:v>42.666666666666671</c:v>
                </c:pt>
                <c:pt idx="12">
                  <c:v>12</c:v>
                </c:pt>
                <c:pt idx="13">
                  <c:v>8</c:v>
                </c:pt>
                <c:pt idx="14">
                  <c:v>0</c:v>
                </c:pt>
                <c:pt idx="15">
                  <c:v>6.666666666666667</c:v>
                </c:pt>
                <c:pt idx="16">
                  <c:v>26.666666666666668</c:v>
                </c:pt>
                <c:pt idx="17">
                  <c:v>46.666666666666664</c:v>
                </c:pt>
                <c:pt idx="18">
                  <c:v>20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8-D441-B9A8-1BB1B3509CA6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('CR-IA'!$B$530:$F$530,'CR-IA'!$H$530:$L$530,'CR-IA'!$N$530:$R$530,'CR-IA'!$T$530:$X$530)</c:f>
              <c:numCache>
                <c:formatCode>0.0</c:formatCode>
                <c:ptCount val="20"/>
                <c:pt idx="0">
                  <c:v>30.612244897959183</c:v>
                </c:pt>
                <c:pt idx="1">
                  <c:v>18.367346938775512</c:v>
                </c:pt>
                <c:pt idx="2">
                  <c:v>16.326530612244898</c:v>
                </c:pt>
                <c:pt idx="3">
                  <c:v>34.693877551020407</c:v>
                </c:pt>
                <c:pt idx="4">
                  <c:v>0</c:v>
                </c:pt>
                <c:pt idx="5">
                  <c:v>29.411764705882355</c:v>
                </c:pt>
                <c:pt idx="6">
                  <c:v>47.058823529411761</c:v>
                </c:pt>
                <c:pt idx="7">
                  <c:v>23.52941176470588</c:v>
                </c:pt>
                <c:pt idx="8">
                  <c:v>0</c:v>
                </c:pt>
                <c:pt idx="9">
                  <c:v>0</c:v>
                </c:pt>
                <c:pt idx="10">
                  <c:v>7.4074074074074066</c:v>
                </c:pt>
                <c:pt idx="11">
                  <c:v>25</c:v>
                </c:pt>
                <c:pt idx="12">
                  <c:v>14.814814814814813</c:v>
                </c:pt>
                <c:pt idx="13">
                  <c:v>51.851851851851848</c:v>
                </c:pt>
                <c:pt idx="14">
                  <c:v>0.92592592592592582</c:v>
                </c:pt>
                <c:pt idx="15">
                  <c:v>22.222222222222221</c:v>
                </c:pt>
                <c:pt idx="16">
                  <c:v>22.222222222222221</c:v>
                </c:pt>
                <c:pt idx="17">
                  <c:v>22.222222222222221</c:v>
                </c:pt>
                <c:pt idx="18">
                  <c:v>33.333333333333329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8-D441-B9A8-1BB1B3509CA6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('CR-IA'!$B$531:$F$531,'CR-IA'!$H$531:$L$531,'CR-IA'!$N$531:$R$531,'CR-IA'!$T$531:$X$531)</c:f>
              <c:numCache>
                <c:formatCode>0.0</c:formatCode>
                <c:ptCount val="20"/>
                <c:pt idx="0">
                  <c:v>28.645833333333332</c:v>
                </c:pt>
                <c:pt idx="1">
                  <c:v>28.645833333333332</c:v>
                </c:pt>
                <c:pt idx="2">
                  <c:v>22.395833333333336</c:v>
                </c:pt>
                <c:pt idx="3">
                  <c:v>20.3125</c:v>
                </c:pt>
                <c:pt idx="4">
                  <c:v>0</c:v>
                </c:pt>
                <c:pt idx="5">
                  <c:v>10.526315789473683</c:v>
                </c:pt>
                <c:pt idx="6">
                  <c:v>63.157894736842103</c:v>
                </c:pt>
                <c:pt idx="7">
                  <c:v>5.2631578947368416</c:v>
                </c:pt>
                <c:pt idx="8">
                  <c:v>21.052631578947366</c:v>
                </c:pt>
                <c:pt idx="9">
                  <c:v>0</c:v>
                </c:pt>
                <c:pt idx="10">
                  <c:v>13.274336283185843</c:v>
                </c:pt>
                <c:pt idx="11">
                  <c:v>39.823008849557525</c:v>
                </c:pt>
                <c:pt idx="12">
                  <c:v>8.8495575221238933</c:v>
                </c:pt>
                <c:pt idx="13">
                  <c:v>38.053097345132741</c:v>
                </c:pt>
                <c:pt idx="14">
                  <c:v>0</c:v>
                </c:pt>
                <c:pt idx="15">
                  <c:v>13.414634146341465</c:v>
                </c:pt>
                <c:pt idx="16">
                  <c:v>35.365853658536587</c:v>
                </c:pt>
                <c:pt idx="17">
                  <c:v>7.3170731707317067</c:v>
                </c:pt>
                <c:pt idx="18">
                  <c:v>43.902439024390247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88-D441-B9A8-1BB1B3509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2"/>
          <c:order val="4"/>
          <c:tx>
            <c:strRef>
              <c:f>'CR-IA'!$A$553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('CR-IA'!$B$553:$F$553,'CR-IA'!$H$553:$L$553,'CR-IA'!$N$553:$R$553,'CR-IA'!$T$553:$X$553)</c:f>
              <c:numCache>
                <c:formatCode>0.0</c:formatCode>
                <c:ptCount val="20"/>
                <c:pt idx="0">
                  <c:v>0</c:v>
                </c:pt>
                <c:pt idx="1">
                  <c:v>8.3333333333333321</c:v>
                </c:pt>
                <c:pt idx="2">
                  <c:v>5.5555555555555554</c:v>
                </c:pt>
                <c:pt idx="3">
                  <c:v>8.3333333333333321</c:v>
                </c:pt>
                <c:pt idx="4">
                  <c:v>0</c:v>
                </c:pt>
                <c:pt idx="5">
                  <c:v>0</c:v>
                </c:pt>
                <c:pt idx="6">
                  <c:v>18.181818181818183</c:v>
                </c:pt>
                <c:pt idx="7">
                  <c:v>31.818181818181817</c:v>
                </c:pt>
                <c:pt idx="8">
                  <c:v>13.636363636363635</c:v>
                </c:pt>
                <c:pt idx="9">
                  <c:v>0</c:v>
                </c:pt>
                <c:pt idx="10">
                  <c:v>13.333333333333334</c:v>
                </c:pt>
                <c:pt idx="11">
                  <c:v>37.333333333333336</c:v>
                </c:pt>
                <c:pt idx="12">
                  <c:v>9.3333333333333339</c:v>
                </c:pt>
                <c:pt idx="13">
                  <c:v>6.666666666666667</c:v>
                </c:pt>
                <c:pt idx="14">
                  <c:v>0</c:v>
                </c:pt>
                <c:pt idx="15">
                  <c:v>6.666666666666667</c:v>
                </c:pt>
                <c:pt idx="16">
                  <c:v>26.666666666666668</c:v>
                </c:pt>
                <c:pt idx="17">
                  <c:v>46.666666666666664</c:v>
                </c:pt>
                <c:pt idx="18">
                  <c:v>20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88-D441-B9A8-1BB1B3509CA6}"/>
            </c:ext>
          </c:extLst>
        </c:ser>
        <c:ser>
          <c:idx val="5"/>
          <c:order val="5"/>
          <c:tx>
            <c:strRef>
              <c:f>'CR-IA'!$A$554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('CR-IA'!$B$554:$F$554,'CR-IA'!$H$554:$L$554,'CR-IA'!$N$554:$R$554,'CR-IA'!$T$554:$X$554)</c:f>
              <c:numCache>
                <c:formatCode>0.0</c:formatCode>
                <c:ptCount val="20"/>
                <c:pt idx="0">
                  <c:v>2.0408163265306123</c:v>
                </c:pt>
                <c:pt idx="1">
                  <c:v>8.1632653061224492</c:v>
                </c:pt>
                <c:pt idx="2">
                  <c:v>2.0408163265306123</c:v>
                </c:pt>
                <c:pt idx="3">
                  <c:v>18.367346938775512</c:v>
                </c:pt>
                <c:pt idx="4">
                  <c:v>0</c:v>
                </c:pt>
                <c:pt idx="5">
                  <c:v>0</c:v>
                </c:pt>
                <c:pt idx="6">
                  <c:v>35.294117647058826</c:v>
                </c:pt>
                <c:pt idx="7">
                  <c:v>11.76470588235294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12.962962962962962</c:v>
                </c:pt>
                <c:pt idx="12">
                  <c:v>6.481481481481481</c:v>
                </c:pt>
                <c:pt idx="13">
                  <c:v>15.74074074074074</c:v>
                </c:pt>
                <c:pt idx="14">
                  <c:v>0</c:v>
                </c:pt>
                <c:pt idx="15">
                  <c:v>22.222222222222221</c:v>
                </c:pt>
                <c:pt idx="16">
                  <c:v>11.111111111111111</c:v>
                </c:pt>
                <c:pt idx="17">
                  <c:v>11.111111111111111</c:v>
                </c:pt>
                <c:pt idx="18">
                  <c:v>22.222222222222221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88-D441-B9A8-1BB1B3509CA6}"/>
            </c:ext>
          </c:extLst>
        </c:ser>
        <c:ser>
          <c:idx val="6"/>
          <c:order val="6"/>
          <c:tx>
            <c:strRef>
              <c:f>'CR-IA'!$A$555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('CR-IA'!$B$555:$F$555,'CR-IA'!$H$555:$L$555,'CR-IA'!$N$555:$R$555,'CR-IA'!$T$555:$X$555)</c:f>
              <c:numCache>
                <c:formatCode>0.0</c:formatCode>
                <c:ptCount val="20"/>
                <c:pt idx="0">
                  <c:v>0</c:v>
                </c:pt>
                <c:pt idx="1">
                  <c:v>3.125</c:v>
                </c:pt>
                <c:pt idx="2">
                  <c:v>3.125</c:v>
                </c:pt>
                <c:pt idx="3">
                  <c:v>5.7291666666666661</c:v>
                </c:pt>
                <c:pt idx="4">
                  <c:v>0</c:v>
                </c:pt>
                <c:pt idx="5">
                  <c:v>0</c:v>
                </c:pt>
                <c:pt idx="6">
                  <c:v>15.789473684210526</c:v>
                </c:pt>
                <c:pt idx="7">
                  <c:v>0</c:v>
                </c:pt>
                <c:pt idx="8">
                  <c:v>5.2631578947368416</c:v>
                </c:pt>
                <c:pt idx="9">
                  <c:v>0</c:v>
                </c:pt>
                <c:pt idx="10">
                  <c:v>1.7699115044247788</c:v>
                </c:pt>
                <c:pt idx="11">
                  <c:v>27.43362831858407</c:v>
                </c:pt>
                <c:pt idx="12">
                  <c:v>7.9646017699115044</c:v>
                </c:pt>
                <c:pt idx="13">
                  <c:v>35.398230088495573</c:v>
                </c:pt>
                <c:pt idx="14">
                  <c:v>0</c:v>
                </c:pt>
                <c:pt idx="15">
                  <c:v>2.4390243902439024</c:v>
                </c:pt>
                <c:pt idx="16">
                  <c:v>19.512195121951219</c:v>
                </c:pt>
                <c:pt idx="17">
                  <c:v>3.6585365853658534</c:v>
                </c:pt>
                <c:pt idx="18">
                  <c:v>37.804878048780488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88-D441-B9A8-1BB1B3509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0130048"/>
        <c:axId val="910122432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('CR-IA'!$B$532:$F$532,'CR-IA'!$H$532:$L$532,'CR-IA'!$N$532:$R$532,'CR-IA'!$T$532:$X$532)</c:f>
              <c:numCache>
                <c:formatCode>0.00</c:formatCode>
                <c:ptCount val="20"/>
                <c:pt idx="0" formatCode="0.0">
                  <c:v>36.419359410430836</c:v>
                </c:pt>
                <c:pt idx="1">
                  <c:v>23.541430461073318</c:v>
                </c:pt>
                <c:pt idx="2" formatCode="0.0">
                  <c:v>18.000047241118668</c:v>
                </c:pt>
                <c:pt idx="3" formatCode="0.0">
                  <c:v>22.039162887377174</c:v>
                </c:pt>
                <c:pt idx="4" formatCode="0.0">
                  <c:v>0</c:v>
                </c:pt>
                <c:pt idx="5" formatCode="0.0">
                  <c:v>19.373299559058072</c:v>
                </c:pt>
                <c:pt idx="6">
                  <c:v>45.829815179660379</c:v>
                </c:pt>
                <c:pt idx="7" formatCode="0.0">
                  <c:v>21.71873534102636</c:v>
                </c:pt>
                <c:pt idx="8" formatCode="0.0">
                  <c:v>13.078149920255184</c:v>
                </c:pt>
                <c:pt idx="9" formatCode="0.0">
                  <c:v>0</c:v>
                </c:pt>
                <c:pt idx="10" formatCode="0.0">
                  <c:v>19.338359007975527</c:v>
                </c:pt>
                <c:pt idx="11">
                  <c:v>35.829891838741396</c:v>
                </c:pt>
                <c:pt idx="12" formatCode="0.0">
                  <c:v>11.888124112312902</c:v>
                </c:pt>
                <c:pt idx="13" formatCode="0.0">
                  <c:v>32.63498306566153</c:v>
                </c:pt>
                <c:pt idx="14" formatCode="0.0">
                  <c:v>0.30864197530864196</c:v>
                </c:pt>
                <c:pt idx="15" formatCode="0.0">
                  <c:v>14.101174345076785</c:v>
                </c:pt>
                <c:pt idx="16">
                  <c:v>28.08491418247516</c:v>
                </c:pt>
                <c:pt idx="17" formatCode="0.0">
                  <c:v>25.401987353206863</c:v>
                </c:pt>
                <c:pt idx="18" formatCode="0.0">
                  <c:v>32.411924119241192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88-D441-B9A8-1BB1B3509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910122432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10130048"/>
        <c:crosses val="max"/>
        <c:crossBetween val="between"/>
      </c:valAx>
      <c:catAx>
        <c:axId val="910130048"/>
        <c:scaling>
          <c:orientation val="minMax"/>
        </c:scaling>
        <c:delete val="1"/>
        <c:axPos val="b"/>
        <c:majorTickMark val="out"/>
        <c:minorTickMark val="none"/>
        <c:tickLblPos val="nextTo"/>
        <c:crossAx val="910122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CR-IA Agents 1 &amp;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('CR-IA'!$B$563:$F$563,'CR-IA'!$H$563:$L$563,'CR-IA'!$N$563:$R$563,'CR-IA'!$T$563:$X$563)</c:f>
              <c:numCache>
                <c:formatCode>0.0</c:formatCode>
                <c:ptCount val="20"/>
                <c:pt idx="0">
                  <c:v>89.78102189781022</c:v>
                </c:pt>
                <c:pt idx="1">
                  <c:v>4.3795620437956204</c:v>
                </c:pt>
                <c:pt idx="2">
                  <c:v>0.72992700729927007</c:v>
                </c:pt>
                <c:pt idx="3">
                  <c:v>5.1094890510948909</c:v>
                </c:pt>
                <c:pt idx="4">
                  <c:v>0</c:v>
                </c:pt>
                <c:pt idx="5">
                  <c:v>60</c:v>
                </c:pt>
                <c:pt idx="6">
                  <c:v>10</c:v>
                </c:pt>
                <c:pt idx="7">
                  <c:v>5</c:v>
                </c:pt>
                <c:pt idx="8">
                  <c:v>25</c:v>
                </c:pt>
                <c:pt idx="9">
                  <c:v>0</c:v>
                </c:pt>
                <c:pt idx="10">
                  <c:v>66.666666666666657</c:v>
                </c:pt>
                <c:pt idx="11">
                  <c:v>21.212121212121211</c:v>
                </c:pt>
                <c:pt idx="12">
                  <c:v>0</c:v>
                </c:pt>
                <c:pt idx="13">
                  <c:v>12.121212121212121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3-F74E-97A9-70403F2AFDF5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('CR-IA'!$B$564:$F$564,'CR-IA'!$H$564:$L$564,'CR-IA'!$N$564:$R$564,'CR-IA'!$T$564:$X$564)</c:f>
              <c:numCache>
                <c:formatCode>0.0</c:formatCode>
                <c:ptCount val="20"/>
                <c:pt idx="0">
                  <c:v>82.8125</c:v>
                </c:pt>
                <c:pt idx="1">
                  <c:v>9.375</c:v>
                </c:pt>
                <c:pt idx="2">
                  <c:v>3.90625</c:v>
                </c:pt>
                <c:pt idx="3">
                  <c:v>3.90625</c:v>
                </c:pt>
                <c:pt idx="4">
                  <c:v>0</c:v>
                </c:pt>
                <c:pt idx="5">
                  <c:v>47.058823529411761</c:v>
                </c:pt>
                <c:pt idx="6">
                  <c:v>41.17647058823529</c:v>
                </c:pt>
                <c:pt idx="7">
                  <c:v>0</c:v>
                </c:pt>
                <c:pt idx="8">
                  <c:v>11.76470588235294</c:v>
                </c:pt>
                <c:pt idx="9">
                  <c:v>0</c:v>
                </c:pt>
                <c:pt idx="10">
                  <c:v>64.285714285714292</c:v>
                </c:pt>
                <c:pt idx="11">
                  <c:v>14.285714285714285</c:v>
                </c:pt>
                <c:pt idx="12">
                  <c:v>7.1428571428571423</c:v>
                </c:pt>
                <c:pt idx="13">
                  <c:v>14.285714285714285</c:v>
                </c:pt>
                <c:pt idx="14">
                  <c:v>0</c:v>
                </c:pt>
                <c:pt idx="15">
                  <c:v>61.53846153846154</c:v>
                </c:pt>
                <c:pt idx="16">
                  <c:v>30.76923076923077</c:v>
                </c:pt>
                <c:pt idx="17">
                  <c:v>7.6923076923076925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3-F74E-97A9-70403F2AFDF5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('CR-IA'!$B$565:$F$565,'CR-IA'!$H$565:$L$565,'CR-IA'!$N$565:$R$565,'CR-IA'!$T$565:$X$565)</c:f>
              <c:numCache>
                <c:formatCode>0.0</c:formatCode>
                <c:ptCount val="20"/>
                <c:pt idx="0">
                  <c:v>53.333333333333336</c:v>
                </c:pt>
                <c:pt idx="1">
                  <c:v>37.777777777777779</c:v>
                </c:pt>
                <c:pt idx="2">
                  <c:v>6.666666666666667</c:v>
                </c:pt>
                <c:pt idx="3">
                  <c:v>2.2222222222222223</c:v>
                </c:pt>
                <c:pt idx="4">
                  <c:v>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65.517241379310349</c:v>
                </c:pt>
                <c:pt idx="11">
                  <c:v>31.03448275862069</c:v>
                </c:pt>
                <c:pt idx="12">
                  <c:v>3.4482758620689653</c:v>
                </c:pt>
                <c:pt idx="13">
                  <c:v>0</c:v>
                </c:pt>
                <c:pt idx="14">
                  <c:v>0</c:v>
                </c:pt>
                <c:pt idx="15">
                  <c:v>50</c:v>
                </c:pt>
                <c:pt idx="16">
                  <c:v>50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13-F74E-97A9-70403F2AF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('CR-IA'!$B$566:$F$566,'CR-IA'!$H$566:$L$566,'CR-IA'!$N$566:$R$566,'CR-IA'!$T$566:$X$566)</c:f>
              <c:numCache>
                <c:formatCode>0.00</c:formatCode>
                <c:ptCount val="20"/>
                <c:pt idx="0" formatCode="0.0">
                  <c:v>75.308951743714516</c:v>
                </c:pt>
                <c:pt idx="1">
                  <c:v>17.177446607191133</c:v>
                </c:pt>
                <c:pt idx="2" formatCode="0.0">
                  <c:v>3.767614557988646</c:v>
                </c:pt>
                <c:pt idx="3" formatCode="0.0">
                  <c:v>3.7459870911057038</c:v>
                </c:pt>
                <c:pt idx="4" formatCode="0.0">
                  <c:v>0</c:v>
                </c:pt>
                <c:pt idx="5" formatCode="0.0">
                  <c:v>69.019607843137251</c:v>
                </c:pt>
                <c:pt idx="6">
                  <c:v>17.058823529411764</c:v>
                </c:pt>
                <c:pt idx="7" formatCode="0.0">
                  <c:v>1.6666666666666667</c:v>
                </c:pt>
                <c:pt idx="8" formatCode="0.0">
                  <c:v>12.254901960784315</c:v>
                </c:pt>
                <c:pt idx="9" formatCode="0.0">
                  <c:v>0</c:v>
                </c:pt>
                <c:pt idx="10" formatCode="0.0">
                  <c:v>65.489874110563775</c:v>
                </c:pt>
                <c:pt idx="11">
                  <c:v>22.177439418818732</c:v>
                </c:pt>
                <c:pt idx="12" formatCode="0.0">
                  <c:v>3.5303776683087023</c:v>
                </c:pt>
                <c:pt idx="13" formatCode="0.0">
                  <c:v>8.8023088023088025</c:v>
                </c:pt>
                <c:pt idx="14" formatCode="0.0">
                  <c:v>0</c:v>
                </c:pt>
                <c:pt idx="15" formatCode="0.0">
                  <c:v>70.512820512820511</c:v>
                </c:pt>
                <c:pt idx="16">
                  <c:v>26.923076923076923</c:v>
                </c:pt>
                <c:pt idx="17" formatCode="0.0">
                  <c:v>2.5641025641025643</c:v>
                </c:pt>
                <c:pt idx="18" formatCode="0.0">
                  <c:v>0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13-F74E-97A9-70403F2AF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CR-IA Agents 1 &amp;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('CR-IA'!$B$587:$F$587,'CR-IA'!$H$587:$L$587,'CR-IA'!$N$587:$R$587,'CR-IA'!$T$587:$X$587)</c:f>
              <c:numCache>
                <c:formatCode>0.0</c:formatCode>
                <c:ptCount val="20"/>
                <c:pt idx="0">
                  <c:v>79.710144927536234</c:v>
                </c:pt>
                <c:pt idx="1">
                  <c:v>18.840579710144929</c:v>
                </c:pt>
                <c:pt idx="2">
                  <c:v>0</c:v>
                </c:pt>
                <c:pt idx="3">
                  <c:v>1.4492753623188406</c:v>
                </c:pt>
                <c:pt idx="4">
                  <c:v>0</c:v>
                </c:pt>
                <c:pt idx="5">
                  <c:v>73.076923076923066</c:v>
                </c:pt>
                <c:pt idx="6">
                  <c:v>19.230769230769234</c:v>
                </c:pt>
                <c:pt idx="7">
                  <c:v>7.6923076923076925</c:v>
                </c:pt>
                <c:pt idx="8">
                  <c:v>0</c:v>
                </c:pt>
                <c:pt idx="9">
                  <c:v>0</c:v>
                </c:pt>
                <c:pt idx="10">
                  <c:v>86.440677966101703</c:v>
                </c:pt>
                <c:pt idx="11">
                  <c:v>6.7796610169491522</c:v>
                </c:pt>
                <c:pt idx="12">
                  <c:v>6.7796610169491522</c:v>
                </c:pt>
                <c:pt idx="13">
                  <c:v>0</c:v>
                </c:pt>
                <c:pt idx="14">
                  <c:v>0</c:v>
                </c:pt>
                <c:pt idx="15">
                  <c:v>54.54545454545454</c:v>
                </c:pt>
                <c:pt idx="16">
                  <c:v>36.363636363636367</c:v>
                </c:pt>
                <c:pt idx="17">
                  <c:v>9.0909090909090917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6-364B-A060-12017A3B4495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('CR-IA'!$B$588:$F$588,'CR-IA'!$H$588:$L$588,'CR-IA'!$N$588:$R$588,'CR-IA'!$T$588:$X$588)</c:f>
              <c:numCache>
                <c:formatCode>0.0</c:formatCode>
                <c:ptCount val="20"/>
                <c:pt idx="0">
                  <c:v>63.414634146341463</c:v>
                </c:pt>
                <c:pt idx="1">
                  <c:v>19.512195121951219</c:v>
                </c:pt>
                <c:pt idx="2">
                  <c:v>2.4390243902439024</c:v>
                </c:pt>
                <c:pt idx="3">
                  <c:v>14.634146341463413</c:v>
                </c:pt>
                <c:pt idx="4">
                  <c:v>0</c:v>
                </c:pt>
                <c:pt idx="5">
                  <c:v>61.111111111111114</c:v>
                </c:pt>
                <c:pt idx="6">
                  <c:v>16.666666666666664</c:v>
                </c:pt>
                <c:pt idx="7">
                  <c:v>11.111111111111111</c:v>
                </c:pt>
                <c:pt idx="8">
                  <c:v>11.111111111111111</c:v>
                </c:pt>
                <c:pt idx="9">
                  <c:v>0</c:v>
                </c:pt>
                <c:pt idx="10">
                  <c:v>54.901960784313729</c:v>
                </c:pt>
                <c:pt idx="11">
                  <c:v>15.686274509803921</c:v>
                </c:pt>
                <c:pt idx="12">
                  <c:v>9.8039215686274517</c:v>
                </c:pt>
                <c:pt idx="13">
                  <c:v>19.607843137254903</c:v>
                </c:pt>
                <c:pt idx="14">
                  <c:v>0</c:v>
                </c:pt>
                <c:pt idx="15">
                  <c:v>81.818181818181827</c:v>
                </c:pt>
                <c:pt idx="16">
                  <c:v>9.0909090909090917</c:v>
                </c:pt>
                <c:pt idx="17">
                  <c:v>9.0909090909090917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06-364B-A060-12017A3B4495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('CR-IA'!$B$589:$F$589,'CR-IA'!$H$589:$L$589,'CR-IA'!$N$589:$R$589,'CR-IA'!$T$589:$X$589)</c:f>
              <c:numCache>
                <c:formatCode>0.0</c:formatCode>
                <c:ptCount val="20"/>
                <c:pt idx="0">
                  <c:v>33.035714285714285</c:v>
                </c:pt>
                <c:pt idx="1">
                  <c:v>32.142857142857146</c:v>
                </c:pt>
                <c:pt idx="2">
                  <c:v>27.678571428571431</c:v>
                </c:pt>
                <c:pt idx="3">
                  <c:v>7.1428571428571423</c:v>
                </c:pt>
                <c:pt idx="4">
                  <c:v>0</c:v>
                </c:pt>
                <c:pt idx="5">
                  <c:v>50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56.000000000000007</c:v>
                </c:pt>
                <c:pt idx="11">
                  <c:v>28.000000000000004</c:v>
                </c:pt>
                <c:pt idx="12">
                  <c:v>12</c:v>
                </c:pt>
                <c:pt idx="13">
                  <c:v>4</c:v>
                </c:pt>
                <c:pt idx="14">
                  <c:v>0</c:v>
                </c:pt>
                <c:pt idx="15">
                  <c:v>41.304347826086953</c:v>
                </c:pt>
                <c:pt idx="16">
                  <c:v>36.95652173913043</c:v>
                </c:pt>
                <c:pt idx="17">
                  <c:v>15.217391304347828</c:v>
                </c:pt>
                <c:pt idx="18">
                  <c:v>6.5217391304347823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06-364B-A060-12017A3B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2"/>
          <c:order val="4"/>
          <c:tx>
            <c:strRef>
              <c:f>'CR-IA'!$A$537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('CR-IA'!$B$611:$F$611,'CR-IA'!$H$611:$L$611,'CR-IA'!$N$611:$R$611,'CR-IA'!$T$611:$X$611)</c:f>
              <c:numCache>
                <c:formatCode>0.0</c:formatCode>
                <c:ptCount val="20"/>
                <c:pt idx="0">
                  <c:v>49.275362318840585</c:v>
                </c:pt>
                <c:pt idx="1">
                  <c:v>14.492753623188406</c:v>
                </c:pt>
                <c:pt idx="2">
                  <c:v>0</c:v>
                </c:pt>
                <c:pt idx="3">
                  <c:v>1.4492753623188406</c:v>
                </c:pt>
                <c:pt idx="4">
                  <c:v>0</c:v>
                </c:pt>
                <c:pt idx="5">
                  <c:v>53.846153846153847</c:v>
                </c:pt>
                <c:pt idx="6">
                  <c:v>15.384615384615385</c:v>
                </c:pt>
                <c:pt idx="7">
                  <c:v>7.6923076923076925</c:v>
                </c:pt>
                <c:pt idx="8">
                  <c:v>0</c:v>
                </c:pt>
                <c:pt idx="9">
                  <c:v>0</c:v>
                </c:pt>
                <c:pt idx="10">
                  <c:v>79.66101694915254</c:v>
                </c:pt>
                <c:pt idx="11">
                  <c:v>6.7796610169491522</c:v>
                </c:pt>
                <c:pt idx="12">
                  <c:v>6.7796610169491522</c:v>
                </c:pt>
                <c:pt idx="13">
                  <c:v>0</c:v>
                </c:pt>
                <c:pt idx="14">
                  <c:v>0</c:v>
                </c:pt>
                <c:pt idx="15">
                  <c:v>54.54545454545454</c:v>
                </c:pt>
                <c:pt idx="16">
                  <c:v>36.363636363636367</c:v>
                </c:pt>
                <c:pt idx="17">
                  <c:v>9.0909090909090917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06-364B-A060-12017A3B4495}"/>
            </c:ext>
          </c:extLst>
        </c:ser>
        <c:ser>
          <c:idx val="5"/>
          <c:order val="5"/>
          <c:tx>
            <c:strRef>
              <c:f>'CR-IA'!$A$538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('CR-IA'!$B$612:$F$612,'CR-IA'!$H$612:$L$612,'CR-IA'!$N$612:$R$612,'CR-IA'!$T$612:$X$612)</c:f>
              <c:numCache>
                <c:formatCode>0.0</c:formatCode>
                <c:ptCount val="20"/>
                <c:pt idx="0">
                  <c:v>31.707317073170731</c:v>
                </c:pt>
                <c:pt idx="1">
                  <c:v>9.7560975609756095</c:v>
                </c:pt>
                <c:pt idx="2">
                  <c:v>2.4390243902439024</c:v>
                </c:pt>
                <c:pt idx="3">
                  <c:v>9.7560975609756095</c:v>
                </c:pt>
                <c:pt idx="4">
                  <c:v>0</c:v>
                </c:pt>
                <c:pt idx="5">
                  <c:v>55.555555555555557</c:v>
                </c:pt>
                <c:pt idx="6">
                  <c:v>5.5555555555555554</c:v>
                </c:pt>
                <c:pt idx="7">
                  <c:v>11.111111111111111</c:v>
                </c:pt>
                <c:pt idx="8">
                  <c:v>11.111111111111111</c:v>
                </c:pt>
                <c:pt idx="9">
                  <c:v>0</c:v>
                </c:pt>
                <c:pt idx="10">
                  <c:v>43.137254901960787</c:v>
                </c:pt>
                <c:pt idx="11">
                  <c:v>11.76470588235294</c:v>
                </c:pt>
                <c:pt idx="12">
                  <c:v>1.9607843137254901</c:v>
                </c:pt>
                <c:pt idx="13">
                  <c:v>11.76470588235294</c:v>
                </c:pt>
                <c:pt idx="14">
                  <c:v>0</c:v>
                </c:pt>
                <c:pt idx="15">
                  <c:v>81.818181818181827</c:v>
                </c:pt>
                <c:pt idx="16">
                  <c:v>9.0909090909090917</c:v>
                </c:pt>
                <c:pt idx="17">
                  <c:v>9.0909090909090917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06-364B-A060-12017A3B4495}"/>
            </c:ext>
          </c:extLst>
        </c:ser>
        <c:ser>
          <c:idx val="6"/>
          <c:order val="6"/>
          <c:tx>
            <c:strRef>
              <c:f>'CR-IA'!$A$539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('CR-IA'!$B$613:$F$613,'CR-IA'!$H$613:$L$613,'CR-IA'!$N$613:$R$613,'CR-IA'!$T$613:$X$613)</c:f>
              <c:numCache>
                <c:formatCode>0.0</c:formatCode>
                <c:ptCount val="20"/>
                <c:pt idx="0">
                  <c:v>10.714285714285714</c:v>
                </c:pt>
                <c:pt idx="1">
                  <c:v>4.4642857142857144</c:v>
                </c:pt>
                <c:pt idx="2">
                  <c:v>5.3571428571428568</c:v>
                </c:pt>
                <c:pt idx="3">
                  <c:v>1.7857142857142856</c:v>
                </c:pt>
                <c:pt idx="4">
                  <c:v>0</c:v>
                </c:pt>
                <c:pt idx="5">
                  <c:v>12.5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38</c:v>
                </c:pt>
                <c:pt idx="11">
                  <c:v>24</c:v>
                </c:pt>
                <c:pt idx="12">
                  <c:v>6</c:v>
                </c:pt>
                <c:pt idx="13">
                  <c:v>4</c:v>
                </c:pt>
                <c:pt idx="14">
                  <c:v>0</c:v>
                </c:pt>
                <c:pt idx="15">
                  <c:v>30.434782608695656</c:v>
                </c:pt>
                <c:pt idx="16">
                  <c:v>26.086956521739129</c:v>
                </c:pt>
                <c:pt idx="17">
                  <c:v>13.043478260869565</c:v>
                </c:pt>
                <c:pt idx="18">
                  <c:v>4.3478260869565215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06-364B-A060-12017A3B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0319040"/>
        <c:axId val="820328000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('CR-IA'!$B$590:$F$590,'CR-IA'!$H$590:$L$590,'CR-IA'!$N$590:$R$590,'CR-IA'!$T$590:$X$590)</c:f>
              <c:numCache>
                <c:formatCode>0.00</c:formatCode>
                <c:ptCount val="20"/>
                <c:pt idx="0" formatCode="0.0">
                  <c:v>58.720164453197327</c:v>
                </c:pt>
                <c:pt idx="1">
                  <c:v>23.498543991651093</c:v>
                </c:pt>
                <c:pt idx="2" formatCode="0.0">
                  <c:v>10.039198606271777</c:v>
                </c:pt>
                <c:pt idx="3" formatCode="0.0">
                  <c:v>7.7420929488797983</c:v>
                </c:pt>
                <c:pt idx="4" formatCode="0.0">
                  <c:v>0</c:v>
                </c:pt>
                <c:pt idx="5" formatCode="0.0">
                  <c:v>61.396011396011396</c:v>
                </c:pt>
                <c:pt idx="6">
                  <c:v>11.965811965811966</c:v>
                </c:pt>
                <c:pt idx="7" formatCode="0.0">
                  <c:v>22.934472934472936</c:v>
                </c:pt>
                <c:pt idx="8" formatCode="0.0">
                  <c:v>3.7037037037037037</c:v>
                </c:pt>
                <c:pt idx="9" formatCode="0.0">
                  <c:v>0</c:v>
                </c:pt>
                <c:pt idx="10" formatCode="0.0">
                  <c:v>65.780879583471815</c:v>
                </c:pt>
                <c:pt idx="11">
                  <c:v>16.821978508917692</c:v>
                </c:pt>
                <c:pt idx="12" formatCode="0.0">
                  <c:v>9.5278608618588674</c:v>
                </c:pt>
                <c:pt idx="13" formatCode="0.0">
                  <c:v>7.8692810457516345</c:v>
                </c:pt>
                <c:pt idx="14" formatCode="0.0">
                  <c:v>0</c:v>
                </c:pt>
                <c:pt idx="15" formatCode="0.0">
                  <c:v>59.222661396574438</c:v>
                </c:pt>
                <c:pt idx="16">
                  <c:v>27.470355731225297</c:v>
                </c:pt>
                <c:pt idx="17" formatCode="0.0">
                  <c:v>11.133069828722006</c:v>
                </c:pt>
                <c:pt idx="18" formatCode="0.0">
                  <c:v>2.1739130434782608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06-364B-A060-12017A3B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820328000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20319040"/>
        <c:crosses val="max"/>
        <c:crossBetween val="between"/>
      </c:valAx>
      <c:catAx>
        <c:axId val="820319040"/>
        <c:scaling>
          <c:orientation val="minMax"/>
        </c:scaling>
        <c:delete val="1"/>
        <c:axPos val="b"/>
        <c:majorTickMark val="out"/>
        <c:minorTickMark val="none"/>
        <c:tickLblPos val="nextTo"/>
        <c:crossAx val="820328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CR-IA Agents 1 &amp;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('CR-IA'!$B$571:$F$571,'CR-IA'!$H$571:$L$571,'CR-IA'!$N$571:$R$571,'CR-IA'!$T$571:$X$571)</c:f>
              <c:numCache>
                <c:formatCode>0.0</c:formatCode>
                <c:ptCount val="20"/>
                <c:pt idx="0">
                  <c:v>84.615384615384613</c:v>
                </c:pt>
                <c:pt idx="1">
                  <c:v>6.1538461538461542</c:v>
                </c:pt>
                <c:pt idx="2">
                  <c:v>2.3076923076923079</c:v>
                </c:pt>
                <c:pt idx="3">
                  <c:v>6.9230769230769234</c:v>
                </c:pt>
                <c:pt idx="4">
                  <c:v>0</c:v>
                </c:pt>
                <c:pt idx="5">
                  <c:v>78.571428571428569</c:v>
                </c:pt>
                <c:pt idx="6">
                  <c:v>7.1428571428571423</c:v>
                </c:pt>
                <c:pt idx="7">
                  <c:v>0</c:v>
                </c:pt>
                <c:pt idx="8">
                  <c:v>14.285714285714285</c:v>
                </c:pt>
                <c:pt idx="9">
                  <c:v>0</c:v>
                </c:pt>
                <c:pt idx="10">
                  <c:v>72.222222222222214</c:v>
                </c:pt>
                <c:pt idx="11">
                  <c:v>8.3333333333333321</c:v>
                </c:pt>
                <c:pt idx="12">
                  <c:v>5.5555555555555554</c:v>
                </c:pt>
                <c:pt idx="13">
                  <c:v>13.888888888888889</c:v>
                </c:pt>
                <c:pt idx="14">
                  <c:v>0</c:v>
                </c:pt>
                <c:pt idx="15">
                  <c:v>71.428571428571431</c:v>
                </c:pt>
                <c:pt idx="16">
                  <c:v>28.571428571428569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A-1844-85FB-EB45218DE995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('CR-IA'!$B$572:$F$572,'CR-IA'!$H$572:$L$572,'CR-IA'!$N$572:$R$572,'CR-IA'!$T$572:$X$572)</c:f>
              <c:numCache>
                <c:formatCode>0.0</c:formatCode>
                <c:ptCount val="20"/>
                <c:pt idx="0">
                  <c:v>81.889763779527556</c:v>
                </c:pt>
                <c:pt idx="1">
                  <c:v>10.236220472440944</c:v>
                </c:pt>
                <c:pt idx="2">
                  <c:v>2.3622047244094486</c:v>
                </c:pt>
                <c:pt idx="3">
                  <c:v>5.5118110236220472</c:v>
                </c:pt>
                <c:pt idx="4">
                  <c:v>0</c:v>
                </c:pt>
                <c:pt idx="5">
                  <c:v>57.142857142857139</c:v>
                </c:pt>
                <c:pt idx="6">
                  <c:v>21.428571428571427</c:v>
                </c:pt>
                <c:pt idx="7">
                  <c:v>0</c:v>
                </c:pt>
                <c:pt idx="8">
                  <c:v>21.428571428571427</c:v>
                </c:pt>
                <c:pt idx="9">
                  <c:v>0</c:v>
                </c:pt>
                <c:pt idx="10">
                  <c:v>77.777777777777786</c:v>
                </c:pt>
                <c:pt idx="11">
                  <c:v>16.666666666666664</c:v>
                </c:pt>
                <c:pt idx="12">
                  <c:v>5.5555555555555554</c:v>
                </c:pt>
                <c:pt idx="13">
                  <c:v>0</c:v>
                </c:pt>
                <c:pt idx="14">
                  <c:v>0</c:v>
                </c:pt>
                <c:pt idx="15">
                  <c:v>66.666666666666657</c:v>
                </c:pt>
                <c:pt idx="16">
                  <c:v>11.111111111111111</c:v>
                </c:pt>
                <c:pt idx="17">
                  <c:v>11.111111111111111</c:v>
                </c:pt>
                <c:pt idx="18">
                  <c:v>11.111111111111111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A-1844-85FB-EB45218DE995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('CR-IA'!$B$573:$F$573,'CR-IA'!$H$573:$L$573,'CR-IA'!$N$573:$R$573,'CR-IA'!$T$573:$X$573)</c:f>
              <c:numCache>
                <c:formatCode>0.0</c:formatCode>
                <c:ptCount val="20"/>
                <c:pt idx="0">
                  <c:v>51.351351351351347</c:v>
                </c:pt>
                <c:pt idx="1">
                  <c:v>37.837837837837839</c:v>
                </c:pt>
                <c:pt idx="2">
                  <c:v>5.4054054054054053</c:v>
                </c:pt>
                <c:pt idx="3">
                  <c:v>5.4054054054054053</c:v>
                </c:pt>
                <c:pt idx="4">
                  <c:v>0</c:v>
                </c:pt>
                <c:pt idx="5">
                  <c:v>20</c:v>
                </c:pt>
                <c:pt idx="6">
                  <c:v>60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70</c:v>
                </c:pt>
                <c:pt idx="11">
                  <c:v>20</c:v>
                </c:pt>
                <c:pt idx="12">
                  <c:v>3.3333333333333335</c:v>
                </c:pt>
                <c:pt idx="13">
                  <c:v>6.666666666666667</c:v>
                </c:pt>
                <c:pt idx="14">
                  <c:v>0</c:v>
                </c:pt>
                <c:pt idx="15">
                  <c:v>42.857142857142854</c:v>
                </c:pt>
                <c:pt idx="16">
                  <c:v>42.857142857142854</c:v>
                </c:pt>
                <c:pt idx="17">
                  <c:v>14.285714285714285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A-1844-85FB-EB45218DE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('CR-IA'!$B$574:$F$574,'CR-IA'!$H$574:$L$574,'CR-IA'!$N$574:$R$574,'CR-IA'!$T$574:$X$574)</c:f>
              <c:numCache>
                <c:formatCode>0.00</c:formatCode>
                <c:ptCount val="20"/>
                <c:pt idx="0" formatCode="0.0">
                  <c:v>72.618833248754513</c:v>
                </c:pt>
                <c:pt idx="1">
                  <c:v>18.07596815470831</c:v>
                </c:pt>
                <c:pt idx="2" formatCode="0.0">
                  <c:v>3.3584341458357208</c:v>
                </c:pt>
                <c:pt idx="3" formatCode="0.0">
                  <c:v>5.9467644507014583</c:v>
                </c:pt>
                <c:pt idx="4" formatCode="0.0">
                  <c:v>0</c:v>
                </c:pt>
                <c:pt idx="5" formatCode="0.0">
                  <c:v>51.904761904761905</c:v>
                </c:pt>
                <c:pt idx="6">
                  <c:v>29.523809523809522</c:v>
                </c:pt>
                <c:pt idx="7" formatCode="0.0">
                  <c:v>6.666666666666667</c:v>
                </c:pt>
                <c:pt idx="8" formatCode="0.0">
                  <c:v>11.904761904761903</c:v>
                </c:pt>
                <c:pt idx="9" formatCode="0.0">
                  <c:v>0</c:v>
                </c:pt>
                <c:pt idx="10" formatCode="0.0">
                  <c:v>73.333333333333329</c:v>
                </c:pt>
                <c:pt idx="11">
                  <c:v>15</c:v>
                </c:pt>
                <c:pt idx="12" formatCode="0.0">
                  <c:v>4.8148148148148149</c:v>
                </c:pt>
                <c:pt idx="13" formatCode="0.0">
                  <c:v>6.8518518518518521</c:v>
                </c:pt>
                <c:pt idx="14" formatCode="0.0">
                  <c:v>0</c:v>
                </c:pt>
                <c:pt idx="15" formatCode="0.0">
                  <c:v>60.317460317460309</c:v>
                </c:pt>
                <c:pt idx="16">
                  <c:v>27.513227513227509</c:v>
                </c:pt>
                <c:pt idx="17" formatCode="0.0">
                  <c:v>8.4656084656084651</c:v>
                </c:pt>
                <c:pt idx="18" formatCode="0.0">
                  <c:v>3.7037037037037037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7A-1844-85FB-EB45218DE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CR-IA Agents 2 &amp;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('CR-IA'!$B$579:$F$579,'CR-IA'!$H$579:$L$579,'CR-IA'!$N$579:$R$579,'CR-IA'!$T$579:$X$579)</c:f>
              <c:numCache>
                <c:formatCode>0.0</c:formatCode>
                <c:ptCount val="20"/>
                <c:pt idx="0">
                  <c:v>63.636363636363633</c:v>
                </c:pt>
                <c:pt idx="1">
                  <c:v>22.222222222222221</c:v>
                </c:pt>
                <c:pt idx="2">
                  <c:v>1.0101010101010102</c:v>
                </c:pt>
                <c:pt idx="3">
                  <c:v>13.131313131313133</c:v>
                </c:pt>
                <c:pt idx="4">
                  <c:v>0</c:v>
                </c:pt>
                <c:pt idx="5">
                  <c:v>72.727272727272734</c:v>
                </c:pt>
                <c:pt idx="6">
                  <c:v>0</c:v>
                </c:pt>
                <c:pt idx="7">
                  <c:v>0</c:v>
                </c:pt>
                <c:pt idx="8">
                  <c:v>27.27272727272727</c:v>
                </c:pt>
                <c:pt idx="9">
                  <c:v>0</c:v>
                </c:pt>
                <c:pt idx="10">
                  <c:v>57.142857142857139</c:v>
                </c:pt>
                <c:pt idx="11">
                  <c:v>11.904761904761903</c:v>
                </c:pt>
                <c:pt idx="12">
                  <c:v>2.3809523809523809</c:v>
                </c:pt>
                <c:pt idx="13">
                  <c:v>28.571428571428569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E-A949-BF65-BF02792CB60F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('CR-IA'!$B$580:$F$580,'CR-IA'!$H$580:$L$580,'CR-IA'!$N$580:$R$580,'CR-IA'!$T$580:$X$580)</c:f>
              <c:numCache>
                <c:formatCode>0.0</c:formatCode>
                <c:ptCount val="20"/>
                <c:pt idx="0">
                  <c:v>63.076923076923073</c:v>
                </c:pt>
                <c:pt idx="1">
                  <c:v>22.30769230769231</c:v>
                </c:pt>
                <c:pt idx="2">
                  <c:v>5.384615384615385</c:v>
                </c:pt>
                <c:pt idx="3">
                  <c:v>9.2307692307692317</c:v>
                </c:pt>
                <c:pt idx="4">
                  <c:v>0</c:v>
                </c:pt>
                <c:pt idx="5">
                  <c:v>36.363636363636367</c:v>
                </c:pt>
                <c:pt idx="6">
                  <c:v>45.454545454545453</c:v>
                </c:pt>
                <c:pt idx="7">
                  <c:v>9.0909090909090917</c:v>
                </c:pt>
                <c:pt idx="8">
                  <c:v>9.0909090909090917</c:v>
                </c:pt>
                <c:pt idx="9">
                  <c:v>0</c:v>
                </c:pt>
                <c:pt idx="10">
                  <c:v>86.666666666666671</c:v>
                </c:pt>
                <c:pt idx="11">
                  <c:v>6.666666666666667</c:v>
                </c:pt>
                <c:pt idx="12">
                  <c:v>6.666666666666667</c:v>
                </c:pt>
                <c:pt idx="13">
                  <c:v>0</c:v>
                </c:pt>
                <c:pt idx="14">
                  <c:v>0</c:v>
                </c:pt>
                <c:pt idx="15">
                  <c:v>20</c:v>
                </c:pt>
                <c:pt idx="16">
                  <c:v>0</c:v>
                </c:pt>
                <c:pt idx="17">
                  <c:v>40</c:v>
                </c:pt>
                <c:pt idx="18">
                  <c:v>40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E-A949-BF65-BF02792CB60F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('CR-IA'!$B$581:$F$581,'CR-IA'!$H$581:$L$581,'CR-IA'!$N$581:$R$581,'CR-IA'!$T$581:$X$581)</c:f>
              <c:numCache>
                <c:formatCode>0.0</c:formatCode>
                <c:ptCount val="20"/>
                <c:pt idx="0">
                  <c:v>10.526315789473683</c:v>
                </c:pt>
                <c:pt idx="1">
                  <c:v>55.26315789473685</c:v>
                </c:pt>
                <c:pt idx="2">
                  <c:v>10.526315789473683</c:v>
                </c:pt>
                <c:pt idx="3">
                  <c:v>23.684210526315788</c:v>
                </c:pt>
                <c:pt idx="4">
                  <c:v>0</c:v>
                </c:pt>
                <c:pt idx="5">
                  <c:v>50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15.789473684210526</c:v>
                </c:pt>
                <c:pt idx="11">
                  <c:v>52.631578947368418</c:v>
                </c:pt>
                <c:pt idx="12">
                  <c:v>15.789473684210526</c:v>
                </c:pt>
                <c:pt idx="13">
                  <c:v>15.789473684210526</c:v>
                </c:pt>
                <c:pt idx="14">
                  <c:v>0</c:v>
                </c:pt>
                <c:pt idx="15">
                  <c:v>25</c:v>
                </c:pt>
                <c:pt idx="16">
                  <c:v>25</c:v>
                </c:pt>
                <c:pt idx="17">
                  <c:v>12.5</c:v>
                </c:pt>
                <c:pt idx="18">
                  <c:v>37.5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8E-A949-BF65-BF02792CB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('CR-IA'!$B$582:$F$582,'CR-IA'!$H$582:$L$582,'CR-IA'!$N$582:$R$582,'CR-IA'!$T$582:$X$582)</c:f>
              <c:numCache>
                <c:formatCode>0.00</c:formatCode>
                <c:ptCount val="20"/>
                <c:pt idx="0" formatCode="0.0">
                  <c:v>45.746534167586795</c:v>
                </c:pt>
                <c:pt idx="1">
                  <c:v>33.264357474883795</c:v>
                </c:pt>
                <c:pt idx="2" formatCode="0.0">
                  <c:v>5.6403440613966929</c:v>
                </c:pt>
                <c:pt idx="3" formatCode="0.0">
                  <c:v>15.348764296132719</c:v>
                </c:pt>
                <c:pt idx="4" formatCode="0.0">
                  <c:v>0</c:v>
                </c:pt>
                <c:pt idx="5" formatCode="0.0">
                  <c:v>53.030303030303031</c:v>
                </c:pt>
                <c:pt idx="6">
                  <c:v>15.15151515151515</c:v>
                </c:pt>
                <c:pt idx="7" formatCode="0.0">
                  <c:v>19.696969696969699</c:v>
                </c:pt>
                <c:pt idx="8" formatCode="0.0">
                  <c:v>12.121212121212119</c:v>
                </c:pt>
                <c:pt idx="9" formatCode="0.0">
                  <c:v>0</c:v>
                </c:pt>
                <c:pt idx="10" formatCode="0.0">
                  <c:v>53.199665831244772</c:v>
                </c:pt>
                <c:pt idx="11">
                  <c:v>23.734335839598998</c:v>
                </c:pt>
                <c:pt idx="12" formatCode="0.0">
                  <c:v>8.2790309106098565</c:v>
                </c:pt>
                <c:pt idx="13" formatCode="0.0">
                  <c:v>14.786967418546366</c:v>
                </c:pt>
                <c:pt idx="14" formatCode="0.0">
                  <c:v>0</c:v>
                </c:pt>
                <c:pt idx="15" formatCode="0.0">
                  <c:v>48.333333333333336</c:v>
                </c:pt>
                <c:pt idx="16">
                  <c:v>8.3333333333333339</c:v>
                </c:pt>
                <c:pt idx="17" formatCode="0.0">
                  <c:v>17.5</c:v>
                </c:pt>
                <c:pt idx="18" formatCode="0.0">
                  <c:v>25.833333333333332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8E-A949-BF65-BF02792CB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CR-IA Agents 1 &amp;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('CR-IA'!$B$595:$F$595,'CR-IA'!$H$595:$L$595,'CR-IA'!$N$595:$R$595,'CR-IA'!$T$595:$X$595)</c:f>
              <c:numCache>
                <c:formatCode>0.0</c:formatCode>
                <c:ptCount val="20"/>
                <c:pt idx="0">
                  <c:v>73.214285714285708</c:v>
                </c:pt>
                <c:pt idx="1">
                  <c:v>10.714285714285714</c:v>
                </c:pt>
                <c:pt idx="2">
                  <c:v>10.714285714285714</c:v>
                </c:pt>
                <c:pt idx="3">
                  <c:v>5.3571428571428568</c:v>
                </c:pt>
                <c:pt idx="4">
                  <c:v>0</c:v>
                </c:pt>
                <c:pt idx="5">
                  <c:v>61.111111111111114</c:v>
                </c:pt>
                <c:pt idx="6">
                  <c:v>22.222222222222221</c:v>
                </c:pt>
                <c:pt idx="7">
                  <c:v>5.5555555555555554</c:v>
                </c:pt>
                <c:pt idx="8">
                  <c:v>11.111111111111111</c:v>
                </c:pt>
                <c:pt idx="9">
                  <c:v>0</c:v>
                </c:pt>
                <c:pt idx="10">
                  <c:v>83.050847457627114</c:v>
                </c:pt>
                <c:pt idx="11">
                  <c:v>6.7796610169491522</c:v>
                </c:pt>
                <c:pt idx="12">
                  <c:v>6.7796610169491522</c:v>
                </c:pt>
                <c:pt idx="13">
                  <c:v>3.3898305084745761</c:v>
                </c:pt>
                <c:pt idx="14">
                  <c:v>0</c:v>
                </c:pt>
                <c:pt idx="15">
                  <c:v>50</c:v>
                </c:pt>
                <c:pt idx="16">
                  <c:v>37.5</c:v>
                </c:pt>
                <c:pt idx="17">
                  <c:v>12.5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7-A142-8375-C3DCEE164D74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('CR-IA'!$B$596:$F$596,'CR-IA'!$H$596:$L$596,'CR-IA'!$N$596:$R$596,'CR-IA'!$T$596:$X$596)</c:f>
              <c:numCache>
                <c:formatCode>0.0</c:formatCode>
                <c:ptCount val="20"/>
                <c:pt idx="0">
                  <c:v>39.024390243902438</c:v>
                </c:pt>
                <c:pt idx="1">
                  <c:v>39.024390243902438</c:v>
                </c:pt>
                <c:pt idx="2">
                  <c:v>12.195121951219512</c:v>
                </c:pt>
                <c:pt idx="3">
                  <c:v>9.7560975609756095</c:v>
                </c:pt>
                <c:pt idx="4">
                  <c:v>0</c:v>
                </c:pt>
                <c:pt idx="5">
                  <c:v>77.777777777777786</c:v>
                </c:pt>
                <c:pt idx="6">
                  <c:v>11.111111111111111</c:v>
                </c:pt>
                <c:pt idx="7">
                  <c:v>0</c:v>
                </c:pt>
                <c:pt idx="8">
                  <c:v>11.111111111111111</c:v>
                </c:pt>
                <c:pt idx="9">
                  <c:v>0</c:v>
                </c:pt>
                <c:pt idx="10">
                  <c:v>45.714285714285715</c:v>
                </c:pt>
                <c:pt idx="11">
                  <c:v>27.142857142857142</c:v>
                </c:pt>
                <c:pt idx="12">
                  <c:v>12.857142857142856</c:v>
                </c:pt>
                <c:pt idx="13">
                  <c:v>14.285714285714285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7-A142-8375-C3DCEE164D74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('CR-IA'!$B$597:$F$597,'CR-IA'!$H$597:$L$597,'CR-IA'!$N$597:$R$597,'CR-IA'!$T$597:$X$597)</c:f>
              <c:numCache>
                <c:formatCode>0.0</c:formatCode>
                <c:ptCount val="20"/>
                <c:pt idx="0">
                  <c:v>29.770992366412212</c:v>
                </c:pt>
                <c:pt idx="1">
                  <c:v>22.137404580152673</c:v>
                </c:pt>
                <c:pt idx="2">
                  <c:v>28.244274809160309</c:v>
                </c:pt>
                <c:pt idx="3">
                  <c:v>19.847328244274809</c:v>
                </c:pt>
                <c:pt idx="4">
                  <c:v>0</c:v>
                </c:pt>
                <c:pt idx="5">
                  <c:v>50</c:v>
                </c:pt>
                <c:pt idx="6">
                  <c:v>25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40.677966101694921</c:v>
                </c:pt>
                <c:pt idx="11">
                  <c:v>35.593220338983052</c:v>
                </c:pt>
                <c:pt idx="12">
                  <c:v>8.4745762711864394</c:v>
                </c:pt>
                <c:pt idx="13">
                  <c:v>15.254237288135593</c:v>
                </c:pt>
                <c:pt idx="14">
                  <c:v>0</c:v>
                </c:pt>
                <c:pt idx="15">
                  <c:v>19.047619047619047</c:v>
                </c:pt>
                <c:pt idx="16">
                  <c:v>59.523809523809526</c:v>
                </c:pt>
                <c:pt idx="17">
                  <c:v>7.1428571428571423</c:v>
                </c:pt>
                <c:pt idx="18">
                  <c:v>14.285714285714285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7-A142-8375-C3DCEE164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2"/>
          <c:order val="4"/>
          <c:tx>
            <c:strRef>
              <c:f>'CR-IA'!$A$537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('CR-IA'!$B$619:$F$619,'CR-IA'!$H$619:$L$619,'CR-IA'!$N$619:$R$619,'CR-IA'!$T$619:$X$619)</c:f>
              <c:numCache>
                <c:formatCode>0.0</c:formatCode>
                <c:ptCount val="20"/>
                <c:pt idx="0">
                  <c:v>57.142857142857139</c:v>
                </c:pt>
                <c:pt idx="1">
                  <c:v>7.1428571428571423</c:v>
                </c:pt>
                <c:pt idx="2">
                  <c:v>8.9285714285714288</c:v>
                </c:pt>
                <c:pt idx="3">
                  <c:v>3.5714285714285712</c:v>
                </c:pt>
                <c:pt idx="4">
                  <c:v>0</c:v>
                </c:pt>
                <c:pt idx="5">
                  <c:v>55.555555555555557</c:v>
                </c:pt>
                <c:pt idx="6">
                  <c:v>5.5555555555555554</c:v>
                </c:pt>
                <c:pt idx="7">
                  <c:v>5.5555555555555554</c:v>
                </c:pt>
                <c:pt idx="8">
                  <c:v>5.5555555555555554</c:v>
                </c:pt>
                <c:pt idx="9">
                  <c:v>0</c:v>
                </c:pt>
                <c:pt idx="10">
                  <c:v>71.186440677966104</c:v>
                </c:pt>
                <c:pt idx="11">
                  <c:v>5.0847457627118651</c:v>
                </c:pt>
                <c:pt idx="12">
                  <c:v>5.0847457627118651</c:v>
                </c:pt>
                <c:pt idx="13">
                  <c:v>3.3898305084745761</c:v>
                </c:pt>
                <c:pt idx="14">
                  <c:v>0</c:v>
                </c:pt>
                <c:pt idx="15">
                  <c:v>50</c:v>
                </c:pt>
                <c:pt idx="16">
                  <c:v>37.5</c:v>
                </c:pt>
                <c:pt idx="17">
                  <c:v>12.5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7-A142-8375-C3DCEE164D74}"/>
            </c:ext>
          </c:extLst>
        </c:ser>
        <c:ser>
          <c:idx val="5"/>
          <c:order val="5"/>
          <c:tx>
            <c:strRef>
              <c:f>'CR-IA'!$A$538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('CR-IA'!$B$620:$F$620,'CR-IA'!$H$620:$L$620,'CR-IA'!$N$620:$R$620,'CR-IA'!$T$620:$X$620)</c:f>
              <c:numCache>
                <c:formatCode>0.0</c:formatCode>
                <c:ptCount val="20"/>
                <c:pt idx="0">
                  <c:v>26.829268292682929</c:v>
                </c:pt>
                <c:pt idx="1">
                  <c:v>19.512195121951219</c:v>
                </c:pt>
                <c:pt idx="2">
                  <c:v>9.7560975609756095</c:v>
                </c:pt>
                <c:pt idx="3">
                  <c:v>4.8780487804878048</c:v>
                </c:pt>
                <c:pt idx="4">
                  <c:v>0</c:v>
                </c:pt>
                <c:pt idx="5">
                  <c:v>55.555555555555557</c:v>
                </c:pt>
                <c:pt idx="6">
                  <c:v>11.111111111111111</c:v>
                </c:pt>
                <c:pt idx="7">
                  <c:v>0</c:v>
                </c:pt>
                <c:pt idx="8">
                  <c:v>11.111111111111111</c:v>
                </c:pt>
                <c:pt idx="9">
                  <c:v>0</c:v>
                </c:pt>
                <c:pt idx="10">
                  <c:v>32.857142857142854</c:v>
                </c:pt>
                <c:pt idx="11">
                  <c:v>14.285714285714285</c:v>
                </c:pt>
                <c:pt idx="12">
                  <c:v>4.2857142857142856</c:v>
                </c:pt>
                <c:pt idx="13">
                  <c:v>8.5714285714285712</c:v>
                </c:pt>
                <c:pt idx="14">
                  <c:v>0</c:v>
                </c:pt>
                <c:pt idx="15">
                  <c:v>83.333333333333343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7-A142-8375-C3DCEE164D74}"/>
            </c:ext>
          </c:extLst>
        </c:ser>
        <c:ser>
          <c:idx val="6"/>
          <c:order val="6"/>
          <c:tx>
            <c:strRef>
              <c:f>'CR-IA'!$A$539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('CR-IA'!$B$621:$F$621,'CR-IA'!$H$621:$L$621,'CR-IA'!$N$621:$R$621,'CR-IA'!$T$621:$X$621)</c:f>
              <c:numCache>
                <c:formatCode>0.0</c:formatCode>
                <c:ptCount val="20"/>
                <c:pt idx="0">
                  <c:v>9.9236641221374047</c:v>
                </c:pt>
                <c:pt idx="1">
                  <c:v>5.343511450381679</c:v>
                </c:pt>
                <c:pt idx="2">
                  <c:v>2.2900763358778624</c:v>
                </c:pt>
                <c:pt idx="3">
                  <c:v>11.450381679389313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27.118644067796609</c:v>
                </c:pt>
                <c:pt idx="11">
                  <c:v>32.20338983050847</c:v>
                </c:pt>
                <c:pt idx="12">
                  <c:v>6.7796610169491522</c:v>
                </c:pt>
                <c:pt idx="13">
                  <c:v>15.254237288135593</c:v>
                </c:pt>
                <c:pt idx="14">
                  <c:v>0</c:v>
                </c:pt>
                <c:pt idx="15">
                  <c:v>11.904761904761903</c:v>
                </c:pt>
                <c:pt idx="16">
                  <c:v>40.476190476190474</c:v>
                </c:pt>
                <c:pt idx="17">
                  <c:v>4.7619047619047619</c:v>
                </c:pt>
                <c:pt idx="18">
                  <c:v>7.1428571428571423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47-A142-8375-C3DCEE164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0319040"/>
        <c:axId val="820328000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('CR-IA'!$B$598:$F$598,'CR-IA'!$H$598:$L$598,'CR-IA'!$N$598:$R$598,'CR-IA'!$T$598:$X$598)</c:f>
              <c:numCache>
                <c:formatCode>0.00</c:formatCode>
                <c:ptCount val="20"/>
                <c:pt idx="0" formatCode="0.0">
                  <c:v>47.336556108200114</c:v>
                </c:pt>
                <c:pt idx="1">
                  <c:v>23.958693512780275</c:v>
                </c:pt>
                <c:pt idx="2" formatCode="0.0">
                  <c:v>17.051227491555178</c:v>
                </c:pt>
                <c:pt idx="3" formatCode="0.0">
                  <c:v>11.653522887464424</c:v>
                </c:pt>
                <c:pt idx="4" formatCode="0.0">
                  <c:v>0</c:v>
                </c:pt>
                <c:pt idx="5" formatCode="0.0">
                  <c:v>62.962962962962969</c:v>
                </c:pt>
                <c:pt idx="6">
                  <c:v>19.444444444444443</c:v>
                </c:pt>
                <c:pt idx="7" formatCode="0.0">
                  <c:v>10.185185185185185</c:v>
                </c:pt>
                <c:pt idx="8" formatCode="0.0">
                  <c:v>7.4074074074074074</c:v>
                </c:pt>
                <c:pt idx="9" formatCode="0.0">
                  <c:v>0</c:v>
                </c:pt>
                <c:pt idx="10" formatCode="0.0">
                  <c:v>56.481033091202583</c:v>
                </c:pt>
                <c:pt idx="11">
                  <c:v>23.171912832929781</c:v>
                </c:pt>
                <c:pt idx="12" formatCode="0.0">
                  <c:v>9.3704600484261498</c:v>
                </c:pt>
                <c:pt idx="13" formatCode="0.0">
                  <c:v>10.976594027441484</c:v>
                </c:pt>
                <c:pt idx="14" formatCode="0.0">
                  <c:v>0</c:v>
                </c:pt>
                <c:pt idx="15" formatCode="0.0">
                  <c:v>56.349206349206348</c:v>
                </c:pt>
                <c:pt idx="16">
                  <c:v>32.341269841269842</c:v>
                </c:pt>
                <c:pt idx="17" formatCode="0.0">
                  <c:v>6.5476190476190474</c:v>
                </c:pt>
                <c:pt idx="18" formatCode="0.0">
                  <c:v>4.7619047619047619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47-A142-8375-C3DCEE164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820328000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20319040"/>
        <c:crosses val="max"/>
        <c:crossBetween val="between"/>
      </c:valAx>
      <c:catAx>
        <c:axId val="820319040"/>
        <c:scaling>
          <c:orientation val="minMax"/>
        </c:scaling>
        <c:delete val="1"/>
        <c:axPos val="b"/>
        <c:majorTickMark val="out"/>
        <c:minorTickMark val="none"/>
        <c:tickLblPos val="nextTo"/>
        <c:crossAx val="820328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CR-IA Agents 2 &amp;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'CR-IA'!$A$488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('CR-IA'!$B$603:$F$603,'CR-IA'!$H$603:$L$603,'CR-IA'!$N$603:$R$603,'CR-IA'!$T$603:$X$603)</c:f>
              <c:numCache>
                <c:formatCode>0.0</c:formatCode>
                <c:ptCount val="20"/>
                <c:pt idx="0">
                  <c:v>37.5</c:v>
                </c:pt>
                <c:pt idx="1">
                  <c:v>46.875</c:v>
                </c:pt>
                <c:pt idx="2">
                  <c:v>6.25</c:v>
                </c:pt>
                <c:pt idx="3">
                  <c:v>9.375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  <c:pt idx="7">
                  <c:v>12.5</c:v>
                </c:pt>
                <c:pt idx="8">
                  <c:v>37.5</c:v>
                </c:pt>
                <c:pt idx="9">
                  <c:v>0</c:v>
                </c:pt>
                <c:pt idx="10">
                  <c:v>25</c:v>
                </c:pt>
                <c:pt idx="11">
                  <c:v>50</c:v>
                </c:pt>
                <c:pt idx="12">
                  <c:v>10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50</c:v>
                </c:pt>
                <c:pt idx="17">
                  <c:v>25</c:v>
                </c:pt>
                <c:pt idx="18">
                  <c:v>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0-9440-9574-883C5E0860E1}"/>
            </c:ext>
          </c:extLst>
        </c:ser>
        <c:ser>
          <c:idx val="1"/>
          <c:order val="1"/>
          <c:tx>
            <c:strRef>
              <c:f>'CR-IA'!$A$489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('CR-IA'!$B$604:$F$604,'CR-IA'!$H$604:$L$604,'CR-IA'!$N$604:$R$604,'CR-IA'!$T$604:$X$604)</c:f>
              <c:numCache>
                <c:formatCode>0.0</c:formatCode>
                <c:ptCount val="20"/>
                <c:pt idx="0">
                  <c:v>16</c:v>
                </c:pt>
                <c:pt idx="1">
                  <c:v>32</c:v>
                </c:pt>
                <c:pt idx="2">
                  <c:v>24</c:v>
                </c:pt>
                <c:pt idx="3">
                  <c:v>28.000000000000004</c:v>
                </c:pt>
                <c:pt idx="4">
                  <c:v>0</c:v>
                </c:pt>
                <c:pt idx="5">
                  <c:v>28.571428571428569</c:v>
                </c:pt>
                <c:pt idx="6">
                  <c:v>57.142857142857139</c:v>
                </c:pt>
                <c:pt idx="7">
                  <c:v>14.285714285714285</c:v>
                </c:pt>
                <c:pt idx="8">
                  <c:v>0</c:v>
                </c:pt>
                <c:pt idx="9">
                  <c:v>0</c:v>
                </c:pt>
                <c:pt idx="10">
                  <c:v>13.888888888888889</c:v>
                </c:pt>
                <c:pt idx="11">
                  <c:v>30.555555555555557</c:v>
                </c:pt>
                <c:pt idx="12">
                  <c:v>27.777777777777779</c:v>
                </c:pt>
                <c:pt idx="13">
                  <c:v>27.777777777777779</c:v>
                </c:pt>
                <c:pt idx="14">
                  <c:v>0</c:v>
                </c:pt>
                <c:pt idx="15">
                  <c:v>33.333333333333329</c:v>
                </c:pt>
                <c:pt idx="16">
                  <c:v>0</c:v>
                </c:pt>
                <c:pt idx="17">
                  <c:v>0</c:v>
                </c:pt>
                <c:pt idx="18">
                  <c:v>66.666666666666657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80-9440-9574-883C5E0860E1}"/>
            </c:ext>
          </c:extLst>
        </c:ser>
        <c:ser>
          <c:idx val="3"/>
          <c:order val="2"/>
          <c:tx>
            <c:strRef>
              <c:f>'CR-IA'!$A$490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('CR-IA'!$B$605:$F$605,'CR-IA'!$H$605:$L$605,'CR-IA'!$N$605:$R$605,'CR-IA'!$T$605:$X$605)</c:f>
              <c:numCache>
                <c:formatCode>0.0</c:formatCode>
                <c:ptCount val="20"/>
                <c:pt idx="0">
                  <c:v>30.357142857142854</c:v>
                </c:pt>
                <c:pt idx="1">
                  <c:v>27.678571428571431</c:v>
                </c:pt>
                <c:pt idx="2">
                  <c:v>27.678571428571431</c:v>
                </c:pt>
                <c:pt idx="3">
                  <c:v>14.285714285714285</c:v>
                </c:pt>
                <c:pt idx="4">
                  <c:v>0</c:v>
                </c:pt>
                <c:pt idx="5">
                  <c:v>28.571428571428569</c:v>
                </c:pt>
                <c:pt idx="6">
                  <c:v>42.857142857142854</c:v>
                </c:pt>
                <c:pt idx="7">
                  <c:v>14.285714285714285</c:v>
                </c:pt>
                <c:pt idx="8">
                  <c:v>14.285714285714285</c:v>
                </c:pt>
                <c:pt idx="9">
                  <c:v>0</c:v>
                </c:pt>
                <c:pt idx="10">
                  <c:v>18.867924528301888</c:v>
                </c:pt>
                <c:pt idx="11">
                  <c:v>33.962264150943398</c:v>
                </c:pt>
                <c:pt idx="12">
                  <c:v>18.867924528301888</c:v>
                </c:pt>
                <c:pt idx="13">
                  <c:v>28.30188679245283</c:v>
                </c:pt>
                <c:pt idx="14">
                  <c:v>0</c:v>
                </c:pt>
                <c:pt idx="15">
                  <c:v>25</c:v>
                </c:pt>
                <c:pt idx="16">
                  <c:v>37.5</c:v>
                </c:pt>
                <c:pt idx="17">
                  <c:v>12.5</c:v>
                </c:pt>
                <c:pt idx="18">
                  <c:v>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80-9440-9574-883C5E086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2"/>
          <c:order val="4"/>
          <c:tx>
            <c:strRef>
              <c:f>'CR-IA'!$A$537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('CR-IA'!$B$627:$F$627,'CR-IA'!$H$627:$L$627,'CR-IA'!$N$627:$R$627,'CR-IA'!$T$627:$X$627)</c:f>
              <c:numCache>
                <c:formatCode>0.0</c:formatCode>
                <c:ptCount val="20"/>
                <c:pt idx="0">
                  <c:v>3.125</c:v>
                </c:pt>
                <c:pt idx="1">
                  <c:v>31.25</c:v>
                </c:pt>
                <c:pt idx="2">
                  <c:v>3.125</c:v>
                </c:pt>
                <c:pt idx="3">
                  <c:v>9.375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12.5</c:v>
                </c:pt>
                <c:pt idx="8">
                  <c:v>12.5</c:v>
                </c:pt>
                <c:pt idx="9">
                  <c:v>0</c:v>
                </c:pt>
                <c:pt idx="10">
                  <c:v>10</c:v>
                </c:pt>
                <c:pt idx="11">
                  <c:v>50</c:v>
                </c:pt>
                <c:pt idx="12">
                  <c:v>10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50</c:v>
                </c:pt>
                <c:pt idx="17">
                  <c:v>25</c:v>
                </c:pt>
                <c:pt idx="18">
                  <c:v>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80-9440-9574-883C5E0860E1}"/>
            </c:ext>
          </c:extLst>
        </c:ser>
        <c:ser>
          <c:idx val="5"/>
          <c:order val="5"/>
          <c:tx>
            <c:strRef>
              <c:f>'CR-IA'!$A$538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('CR-IA'!$B$628:$F$628,'CR-IA'!$H$628:$L$628,'CR-IA'!$N$628:$R$628,'CR-IA'!$T$628:$X$628)</c:f>
              <c:numCache>
                <c:formatCode>0.0</c:formatCode>
                <c:ptCount val="20"/>
                <c:pt idx="0">
                  <c:v>4</c:v>
                </c:pt>
                <c:pt idx="1">
                  <c:v>20</c:v>
                </c:pt>
                <c:pt idx="2">
                  <c:v>16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42.857142857142854</c:v>
                </c:pt>
                <c:pt idx="7">
                  <c:v>14.285714285714285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13.888888888888889</c:v>
                </c:pt>
                <c:pt idx="12">
                  <c:v>16.666666666666664</c:v>
                </c:pt>
                <c:pt idx="13">
                  <c:v>8.3333333333333321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33.333333333333329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80-9440-9574-883C5E0860E1}"/>
            </c:ext>
          </c:extLst>
        </c:ser>
        <c:ser>
          <c:idx val="6"/>
          <c:order val="6"/>
          <c:tx>
            <c:strRef>
              <c:f>'CR-IA'!$A$539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('CR-IA'!$B$629:$F$629,'CR-IA'!$H$629:$L$629,'CR-IA'!$N$629:$R$629,'CR-IA'!$T$629:$X$629)</c:f>
              <c:numCache>
                <c:formatCode>0.0</c:formatCode>
                <c:ptCount val="20"/>
                <c:pt idx="0">
                  <c:v>0</c:v>
                </c:pt>
                <c:pt idx="1">
                  <c:v>4.4642857142857144</c:v>
                </c:pt>
                <c:pt idx="2">
                  <c:v>1.7857142857142856</c:v>
                </c:pt>
                <c:pt idx="3">
                  <c:v>3.5714285714285712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20.754716981132077</c:v>
                </c:pt>
                <c:pt idx="12">
                  <c:v>13.20754716981132</c:v>
                </c:pt>
                <c:pt idx="13">
                  <c:v>20.754716981132077</c:v>
                </c:pt>
                <c:pt idx="14">
                  <c:v>0</c:v>
                </c:pt>
                <c:pt idx="15">
                  <c:v>0</c:v>
                </c:pt>
                <c:pt idx="16">
                  <c:v>17.5</c:v>
                </c:pt>
                <c:pt idx="17">
                  <c:v>12.5</c:v>
                </c:pt>
                <c:pt idx="18">
                  <c:v>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80-9440-9574-883C5E086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0319040"/>
        <c:axId val="820328000"/>
      </c:barChart>
      <c:scatterChart>
        <c:scatterStyle val="lineMarker"/>
        <c:varyColors val="0"/>
        <c:ser>
          <c:idx val="4"/>
          <c:order val="3"/>
          <c:tx>
            <c:strRef>
              <c:f>'CR-IA'!$A$491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('CR-IA'!$B$486:$F$487,'CR-IA'!$H$486:$L$487,'CR-IA'!$N$486:$R$487,'CR-IA'!$T$486:$X$487)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('CR-IA'!$B$606:$F$606,'CR-IA'!$H$606:$L$606,'CR-IA'!$N$606:$R$606,'CR-IA'!$T$606:$X$606)</c:f>
              <c:numCache>
                <c:formatCode>0.00</c:formatCode>
                <c:ptCount val="20"/>
                <c:pt idx="0" formatCode="0.0">
                  <c:v>27.952380952380953</c:v>
                </c:pt>
                <c:pt idx="1">
                  <c:v>35.517857142857146</c:v>
                </c:pt>
                <c:pt idx="2" formatCode="0.0">
                  <c:v>19.30952380952381</c:v>
                </c:pt>
                <c:pt idx="3" formatCode="0.0">
                  <c:v>17.220238095238095</c:v>
                </c:pt>
                <c:pt idx="4" formatCode="0.0">
                  <c:v>0</c:v>
                </c:pt>
                <c:pt idx="5" formatCode="0.0">
                  <c:v>19.047619047619047</c:v>
                </c:pt>
                <c:pt idx="6">
                  <c:v>50</c:v>
                </c:pt>
                <c:pt idx="7" formatCode="0.0">
                  <c:v>13.69047619047619</c:v>
                </c:pt>
                <c:pt idx="8" formatCode="0.0">
                  <c:v>17.261904761904763</c:v>
                </c:pt>
                <c:pt idx="9" formatCode="0.0">
                  <c:v>0</c:v>
                </c:pt>
                <c:pt idx="10" formatCode="0.0">
                  <c:v>19.252271139063591</c:v>
                </c:pt>
                <c:pt idx="11">
                  <c:v>38.172606568832983</c:v>
                </c:pt>
                <c:pt idx="12" formatCode="0.0">
                  <c:v>18.881900768693225</c:v>
                </c:pt>
                <c:pt idx="13" formatCode="0.0">
                  <c:v>23.693221523410202</c:v>
                </c:pt>
                <c:pt idx="14" formatCode="0.0">
                  <c:v>0</c:v>
                </c:pt>
                <c:pt idx="15" formatCode="0.0">
                  <c:v>19.444444444444443</c:v>
                </c:pt>
                <c:pt idx="16">
                  <c:v>29.166666666666668</c:v>
                </c:pt>
                <c:pt idx="17" formatCode="0.0">
                  <c:v>12.5</c:v>
                </c:pt>
                <c:pt idx="18" formatCode="0.0">
                  <c:v>38.888888888888886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180-9440-9574-883C5E086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820328000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20319040"/>
        <c:crosses val="max"/>
        <c:crossBetween val="between"/>
      </c:valAx>
      <c:catAx>
        <c:axId val="820319040"/>
        <c:scaling>
          <c:orientation val="minMax"/>
        </c:scaling>
        <c:delete val="1"/>
        <c:axPos val="b"/>
        <c:majorTickMark val="out"/>
        <c:minorTickMark val="none"/>
        <c:tickLblPos val="nextTo"/>
        <c:crossAx val="820328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ES Agent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(early_stopping!$B$662:$F$662,early_stopping!$H$662:$L$662,early_stopping!$N$662:$R$662,early_stopping!$T$662:$X$662)</c:f>
              <c:numCache>
                <c:formatCode>0.0</c:formatCode>
                <c:ptCount val="20"/>
                <c:pt idx="0">
                  <c:v>76.536312849162016</c:v>
                </c:pt>
                <c:pt idx="1">
                  <c:v>9.4972067039106136</c:v>
                </c:pt>
                <c:pt idx="2">
                  <c:v>0</c:v>
                </c:pt>
                <c:pt idx="3">
                  <c:v>13.966480446927374</c:v>
                </c:pt>
                <c:pt idx="4">
                  <c:v>0</c:v>
                </c:pt>
                <c:pt idx="5">
                  <c:v>84.375</c:v>
                </c:pt>
                <c:pt idx="6">
                  <c:v>0</c:v>
                </c:pt>
                <c:pt idx="7">
                  <c:v>0</c:v>
                </c:pt>
                <c:pt idx="8">
                  <c:v>15.625</c:v>
                </c:pt>
                <c:pt idx="9">
                  <c:v>0</c:v>
                </c:pt>
                <c:pt idx="10">
                  <c:v>79.166666666666657</c:v>
                </c:pt>
                <c:pt idx="11">
                  <c:v>0.69444444444444442</c:v>
                </c:pt>
                <c:pt idx="12">
                  <c:v>2.083333333333333</c:v>
                </c:pt>
                <c:pt idx="13">
                  <c:v>18.055555555555554</c:v>
                </c:pt>
                <c:pt idx="14">
                  <c:v>0</c:v>
                </c:pt>
                <c:pt idx="15">
                  <c:v>98.333333333333329</c:v>
                </c:pt>
                <c:pt idx="16">
                  <c:v>1.6666666666666667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E-C945-85AF-0D29854E0AC1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(early_stopping!$B$663:$F$663,early_stopping!$H$663:$L$663,early_stopping!$N$663:$R$663,early_stopping!$T$663:$X$663)</c:f>
              <c:numCache>
                <c:formatCode>0.0</c:formatCode>
                <c:ptCount val="20"/>
                <c:pt idx="0">
                  <c:v>79.666666666666657</c:v>
                </c:pt>
                <c:pt idx="1">
                  <c:v>9.6666666666666661</c:v>
                </c:pt>
                <c:pt idx="2">
                  <c:v>2.5</c:v>
                </c:pt>
                <c:pt idx="3">
                  <c:v>8.1666666666666661</c:v>
                </c:pt>
                <c:pt idx="4">
                  <c:v>0</c:v>
                </c:pt>
                <c:pt idx="5">
                  <c:v>71.875</c:v>
                </c:pt>
                <c:pt idx="6">
                  <c:v>21.875</c:v>
                </c:pt>
                <c:pt idx="7">
                  <c:v>0</c:v>
                </c:pt>
                <c:pt idx="8">
                  <c:v>6.25</c:v>
                </c:pt>
                <c:pt idx="9">
                  <c:v>0</c:v>
                </c:pt>
                <c:pt idx="10">
                  <c:v>80.392156862745097</c:v>
                </c:pt>
                <c:pt idx="11">
                  <c:v>11.76470588235294</c:v>
                </c:pt>
                <c:pt idx="12">
                  <c:v>0</c:v>
                </c:pt>
                <c:pt idx="13">
                  <c:v>7.8431372549019605</c:v>
                </c:pt>
                <c:pt idx="14">
                  <c:v>0</c:v>
                </c:pt>
                <c:pt idx="15">
                  <c:v>80.26315789473685</c:v>
                </c:pt>
                <c:pt idx="16">
                  <c:v>7.8947368421052628</c:v>
                </c:pt>
                <c:pt idx="17">
                  <c:v>5.2631578947368416</c:v>
                </c:pt>
                <c:pt idx="18">
                  <c:v>6.5789473684210522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DE-C945-85AF-0D29854E0AC1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(early_stopping!$B$664:$F$664,early_stopping!$H$664:$L$664,early_stopping!$N$664:$R$664,early_stopping!$T$664:$X$664)</c:f>
              <c:numCache>
                <c:formatCode>0.0</c:formatCode>
                <c:ptCount val="20"/>
                <c:pt idx="0">
                  <c:v>27.835051546391753</c:v>
                </c:pt>
                <c:pt idx="1">
                  <c:v>35.051546391752574</c:v>
                </c:pt>
                <c:pt idx="2">
                  <c:v>22.680412371134022</c:v>
                </c:pt>
                <c:pt idx="3">
                  <c:v>14.432989690721648</c:v>
                </c:pt>
                <c:pt idx="4">
                  <c:v>0</c:v>
                </c:pt>
                <c:pt idx="5">
                  <c:v>62.5</c:v>
                </c:pt>
                <c:pt idx="6">
                  <c:v>0</c:v>
                </c:pt>
                <c:pt idx="7">
                  <c:v>25</c:v>
                </c:pt>
                <c:pt idx="8">
                  <c:v>12.5</c:v>
                </c:pt>
                <c:pt idx="9">
                  <c:v>0</c:v>
                </c:pt>
                <c:pt idx="10">
                  <c:v>43.137254901960787</c:v>
                </c:pt>
                <c:pt idx="11">
                  <c:v>25.490196078431371</c:v>
                </c:pt>
                <c:pt idx="12">
                  <c:v>13.725490196078432</c:v>
                </c:pt>
                <c:pt idx="13">
                  <c:v>17.647058823529413</c:v>
                </c:pt>
                <c:pt idx="14">
                  <c:v>0</c:v>
                </c:pt>
                <c:pt idx="15">
                  <c:v>48.148148148148145</c:v>
                </c:pt>
                <c:pt idx="16">
                  <c:v>29.629629629629626</c:v>
                </c:pt>
                <c:pt idx="17">
                  <c:v>18.518518518518519</c:v>
                </c:pt>
                <c:pt idx="18">
                  <c:v>3.7037037037037033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DE-C945-85AF-0D29854E0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(early_stopping!$B$665:$F$665,early_stopping!$H$665:$L$665,early_stopping!$N$665:$R$665,early_stopping!$T$665:$X$665)</c:f>
              <c:numCache>
                <c:formatCode>0.00</c:formatCode>
                <c:ptCount val="20"/>
                <c:pt idx="0">
                  <c:v>61.346010354073478</c:v>
                </c:pt>
                <c:pt idx="1">
                  <c:v>18.071806587443284</c:v>
                </c:pt>
                <c:pt idx="2" formatCode="0.0">
                  <c:v>8.3934707903780073</c:v>
                </c:pt>
                <c:pt idx="3" formatCode="0.0">
                  <c:v>12.188712268105229</c:v>
                </c:pt>
                <c:pt idx="4" formatCode="0.0">
                  <c:v>0</c:v>
                </c:pt>
                <c:pt idx="5" formatCode="0.0">
                  <c:v>72.916666666666671</c:v>
                </c:pt>
                <c:pt idx="6">
                  <c:v>7.291666666666667</c:v>
                </c:pt>
                <c:pt idx="7" formatCode="0.0">
                  <c:v>8.3333333333333339</c:v>
                </c:pt>
                <c:pt idx="8" formatCode="0.0">
                  <c:v>11.458333333333334</c:v>
                </c:pt>
                <c:pt idx="9" formatCode="0.0">
                  <c:v>0</c:v>
                </c:pt>
                <c:pt idx="10" formatCode="0.0">
                  <c:v>67.565359477124176</c:v>
                </c:pt>
                <c:pt idx="11">
                  <c:v>12.649782135076251</c:v>
                </c:pt>
                <c:pt idx="12" formatCode="0.0">
                  <c:v>5.2696078431372548</c:v>
                </c:pt>
                <c:pt idx="13" formatCode="0.0">
                  <c:v>14.515250544662308</c:v>
                </c:pt>
                <c:pt idx="14" formatCode="0.0">
                  <c:v>0</c:v>
                </c:pt>
                <c:pt idx="15" formatCode="0.0">
                  <c:v>75.581546458739453</c:v>
                </c:pt>
                <c:pt idx="16">
                  <c:v>13.063677712800519</c:v>
                </c:pt>
                <c:pt idx="17" formatCode="0.0">
                  <c:v>7.9272254710851202</c:v>
                </c:pt>
                <c:pt idx="18" formatCode="0.0">
                  <c:v>3.4275503573749186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DE-C945-85AF-0D29854E0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ES Agent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(early_stopping!$B$670:$F$670,early_stopping!$H$670:$L$670,early_stopping!$N$670:$R$670,early_stopping!$T$670:$X$670)</c:f>
              <c:numCache>
                <c:formatCode>0.0</c:formatCode>
                <c:ptCount val="20"/>
                <c:pt idx="0">
                  <c:v>75.531914893617028</c:v>
                </c:pt>
                <c:pt idx="1">
                  <c:v>10.106382978723403</c:v>
                </c:pt>
                <c:pt idx="2">
                  <c:v>1.0638297872340425</c:v>
                </c:pt>
                <c:pt idx="3">
                  <c:v>13.297872340425531</c:v>
                </c:pt>
                <c:pt idx="4">
                  <c:v>0</c:v>
                </c:pt>
                <c:pt idx="5">
                  <c:v>82.758620689655174</c:v>
                </c:pt>
                <c:pt idx="6">
                  <c:v>10.344827586206897</c:v>
                </c:pt>
                <c:pt idx="7">
                  <c:v>3.4482758620689653</c:v>
                </c:pt>
                <c:pt idx="8">
                  <c:v>3.4482758620689653</c:v>
                </c:pt>
                <c:pt idx="9">
                  <c:v>0</c:v>
                </c:pt>
                <c:pt idx="10">
                  <c:v>76.969696969696969</c:v>
                </c:pt>
                <c:pt idx="11">
                  <c:v>4.8484848484848486</c:v>
                </c:pt>
                <c:pt idx="12">
                  <c:v>2.4242424242424243</c:v>
                </c:pt>
                <c:pt idx="13">
                  <c:v>15.757575757575756</c:v>
                </c:pt>
                <c:pt idx="14">
                  <c:v>0</c:v>
                </c:pt>
                <c:pt idx="15">
                  <c:v>98.412698412698404</c:v>
                </c:pt>
                <c:pt idx="16">
                  <c:v>1.5873015873015872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F-334A-B4DA-1B88CB660322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(early_stopping!$B$671:$F$671,early_stopping!$H$671:$L$671,early_stopping!$N$671:$R$671,early_stopping!$T$671:$X$671)</c:f>
              <c:numCache>
                <c:formatCode>0.0</c:formatCode>
                <c:ptCount val="20"/>
                <c:pt idx="0">
                  <c:v>74.624373956594326</c:v>
                </c:pt>
                <c:pt idx="1">
                  <c:v>13.18864774624374</c:v>
                </c:pt>
                <c:pt idx="2">
                  <c:v>2.003338898163606</c:v>
                </c:pt>
                <c:pt idx="3">
                  <c:v>10.183639398998331</c:v>
                </c:pt>
                <c:pt idx="4">
                  <c:v>0</c:v>
                </c:pt>
                <c:pt idx="5">
                  <c:v>64.86486486486487</c:v>
                </c:pt>
                <c:pt idx="6">
                  <c:v>27.027027027027028</c:v>
                </c:pt>
                <c:pt idx="7">
                  <c:v>0</c:v>
                </c:pt>
                <c:pt idx="8">
                  <c:v>8.1081081081081088</c:v>
                </c:pt>
                <c:pt idx="9">
                  <c:v>0</c:v>
                </c:pt>
                <c:pt idx="10">
                  <c:v>75.438596491228068</c:v>
                </c:pt>
                <c:pt idx="11">
                  <c:v>10.526315789473683</c:v>
                </c:pt>
                <c:pt idx="12">
                  <c:v>0</c:v>
                </c:pt>
                <c:pt idx="13">
                  <c:v>14.035087719298245</c:v>
                </c:pt>
                <c:pt idx="14">
                  <c:v>0</c:v>
                </c:pt>
                <c:pt idx="15">
                  <c:v>73.170731707317074</c:v>
                </c:pt>
                <c:pt idx="16">
                  <c:v>13.414634146341465</c:v>
                </c:pt>
                <c:pt idx="17">
                  <c:v>4.8780487804878048</c:v>
                </c:pt>
                <c:pt idx="18">
                  <c:v>8.536585365853659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F-334A-B4DA-1B88CB660322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(early_stopping!$B$672:$F$672,early_stopping!$H$672:$L$672,early_stopping!$N$672:$R$672,early_stopping!$T$672:$X$672)</c:f>
              <c:numCache>
                <c:formatCode>0.0</c:formatCode>
                <c:ptCount val="20"/>
                <c:pt idx="0">
                  <c:v>22.222222222222221</c:v>
                </c:pt>
                <c:pt idx="1">
                  <c:v>35.353535353535356</c:v>
                </c:pt>
                <c:pt idx="2">
                  <c:v>21.212121212121211</c:v>
                </c:pt>
                <c:pt idx="3">
                  <c:v>21.212121212121211</c:v>
                </c:pt>
                <c:pt idx="4">
                  <c:v>0</c:v>
                </c:pt>
                <c:pt idx="5">
                  <c:v>64.285714285714292</c:v>
                </c:pt>
                <c:pt idx="6">
                  <c:v>7.1428571428571423</c:v>
                </c:pt>
                <c:pt idx="7">
                  <c:v>28.571428571428569</c:v>
                </c:pt>
                <c:pt idx="8">
                  <c:v>0</c:v>
                </c:pt>
                <c:pt idx="9">
                  <c:v>0</c:v>
                </c:pt>
                <c:pt idx="10">
                  <c:v>45.333333333333329</c:v>
                </c:pt>
                <c:pt idx="11">
                  <c:v>18.666666666666668</c:v>
                </c:pt>
                <c:pt idx="12">
                  <c:v>10.666666666666668</c:v>
                </c:pt>
                <c:pt idx="13">
                  <c:v>25.333333333333336</c:v>
                </c:pt>
                <c:pt idx="14">
                  <c:v>0</c:v>
                </c:pt>
                <c:pt idx="15">
                  <c:v>33.333333333333329</c:v>
                </c:pt>
                <c:pt idx="16">
                  <c:v>30</c:v>
                </c:pt>
                <c:pt idx="17">
                  <c:v>20</c:v>
                </c:pt>
                <c:pt idx="18">
                  <c:v>16.666666666666664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F-334A-B4DA-1B88CB660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(early_stopping!$B$673:$F$673,early_stopping!$H$673:$L$673,early_stopping!$N$673:$R$673,early_stopping!$T$673:$X$673)</c:f>
              <c:numCache>
                <c:formatCode>0.00</c:formatCode>
                <c:ptCount val="20"/>
                <c:pt idx="0">
                  <c:v>57.459503690811196</c:v>
                </c:pt>
                <c:pt idx="1">
                  <c:v>19.549522026167498</c:v>
                </c:pt>
                <c:pt idx="2" formatCode="0.0">
                  <c:v>8.0930966325062865</c:v>
                </c:pt>
                <c:pt idx="3" formatCode="0.0">
                  <c:v>14.897877650515023</c:v>
                </c:pt>
                <c:pt idx="4" formatCode="0.0">
                  <c:v>0</c:v>
                </c:pt>
                <c:pt idx="5" formatCode="0.0">
                  <c:v>70.636399946744788</c:v>
                </c:pt>
                <c:pt idx="6">
                  <c:v>14.838237252030353</c:v>
                </c:pt>
                <c:pt idx="7" formatCode="0.0">
                  <c:v>10.673234811165846</c:v>
                </c:pt>
                <c:pt idx="8" formatCode="0.0">
                  <c:v>3.8521279900590244</c:v>
                </c:pt>
                <c:pt idx="9" formatCode="0.0">
                  <c:v>0</c:v>
                </c:pt>
                <c:pt idx="10" formatCode="0.0">
                  <c:v>65.913875598086122</c:v>
                </c:pt>
                <c:pt idx="11">
                  <c:v>11.347155768208401</c:v>
                </c:pt>
                <c:pt idx="12" formatCode="0.0">
                  <c:v>4.3636363636363642</c:v>
                </c:pt>
                <c:pt idx="13" formatCode="0.0">
                  <c:v>18.375332270069112</c:v>
                </c:pt>
                <c:pt idx="14" formatCode="0.0">
                  <c:v>0</c:v>
                </c:pt>
                <c:pt idx="15" formatCode="0.0">
                  <c:v>68.305587817782921</c:v>
                </c:pt>
                <c:pt idx="16">
                  <c:v>15.000645244547684</c:v>
                </c:pt>
                <c:pt idx="17" formatCode="0.0">
                  <c:v>8.2926829268292686</c:v>
                </c:pt>
                <c:pt idx="18" formatCode="0.0">
                  <c:v>8.4010840108401084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3F-334A-B4DA-1B88CB660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  <c:spPr>
        <a:ln>
          <a:noFill/>
        </a:ln>
      </c:spPr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ES Agent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(early_stopping!$B$679:$F$679,early_stopping!$H$679:$L$679,early_stopping!$N$679:$R$679,early_stopping!$T$679:$X$679)</c:f>
              <c:numCache>
                <c:formatCode>0.0</c:formatCode>
                <c:ptCount val="20"/>
                <c:pt idx="0">
                  <c:v>79.532163742690059</c:v>
                </c:pt>
                <c:pt idx="1">
                  <c:v>9.3567251461988299</c:v>
                </c:pt>
                <c:pt idx="2">
                  <c:v>0</c:v>
                </c:pt>
                <c:pt idx="3">
                  <c:v>11.111111111111111</c:v>
                </c:pt>
                <c:pt idx="4">
                  <c:v>0</c:v>
                </c:pt>
                <c:pt idx="5">
                  <c:v>77.777777777777786</c:v>
                </c:pt>
                <c:pt idx="6">
                  <c:v>3.7037037037037033</c:v>
                </c:pt>
                <c:pt idx="7">
                  <c:v>3.7037037037037033</c:v>
                </c:pt>
                <c:pt idx="8">
                  <c:v>14.814814814814813</c:v>
                </c:pt>
                <c:pt idx="9">
                  <c:v>0</c:v>
                </c:pt>
                <c:pt idx="10">
                  <c:v>75</c:v>
                </c:pt>
                <c:pt idx="11">
                  <c:v>4.7619047619047619</c:v>
                </c:pt>
                <c:pt idx="12">
                  <c:v>0.59523809523809523</c:v>
                </c:pt>
                <c:pt idx="13">
                  <c:v>19.642857142857142</c:v>
                </c:pt>
                <c:pt idx="14">
                  <c:v>0</c:v>
                </c:pt>
                <c:pt idx="15">
                  <c:v>96.721311475409834</c:v>
                </c:pt>
                <c:pt idx="16">
                  <c:v>3.278688524590164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7-3D44-8AFC-EC2DB2E16BBF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(early_stopping!$B$680:$F$680,early_stopping!$H$680:$L$680,early_stopping!$N$680:$R$680,early_stopping!$T$680:$X$680)</c:f>
              <c:numCache>
                <c:formatCode>0.0</c:formatCode>
                <c:ptCount val="20"/>
                <c:pt idx="0">
                  <c:v>74.367622259696461</c:v>
                </c:pt>
                <c:pt idx="1">
                  <c:v>13.490725126475548</c:v>
                </c:pt>
                <c:pt idx="2">
                  <c:v>2.5295109612141653</c:v>
                </c:pt>
                <c:pt idx="3">
                  <c:v>9.6121416526138272</c:v>
                </c:pt>
                <c:pt idx="4">
                  <c:v>0</c:v>
                </c:pt>
                <c:pt idx="5">
                  <c:v>54.54545454545454</c:v>
                </c:pt>
                <c:pt idx="6">
                  <c:v>20.454545454545457</c:v>
                </c:pt>
                <c:pt idx="7">
                  <c:v>6.8181818181818175</c:v>
                </c:pt>
                <c:pt idx="8">
                  <c:v>18.181818181818183</c:v>
                </c:pt>
                <c:pt idx="9">
                  <c:v>0</c:v>
                </c:pt>
                <c:pt idx="10">
                  <c:v>89.130434782608688</c:v>
                </c:pt>
                <c:pt idx="11">
                  <c:v>4.3478260869565215</c:v>
                </c:pt>
                <c:pt idx="12">
                  <c:v>2.1739130434782608</c:v>
                </c:pt>
                <c:pt idx="13">
                  <c:v>4.3478260869565215</c:v>
                </c:pt>
                <c:pt idx="14">
                  <c:v>0</c:v>
                </c:pt>
                <c:pt idx="15">
                  <c:v>71.951219512195124</c:v>
                </c:pt>
                <c:pt idx="16">
                  <c:v>15.853658536585366</c:v>
                </c:pt>
                <c:pt idx="17">
                  <c:v>8.536585365853659</c:v>
                </c:pt>
                <c:pt idx="18">
                  <c:v>3.6585365853658534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7-3D44-8AFC-EC2DB2E16BBF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(early_stopping!$B$681:$F$681,early_stopping!$H$681:$L$681,early_stopping!$N$681:$R$681,early_stopping!$T$681:$X$681)</c:f>
              <c:numCache>
                <c:formatCode>0.0</c:formatCode>
                <c:ptCount val="20"/>
                <c:pt idx="0">
                  <c:v>20</c:v>
                </c:pt>
                <c:pt idx="1">
                  <c:v>34</c:v>
                </c:pt>
                <c:pt idx="2">
                  <c:v>24</c:v>
                </c:pt>
                <c:pt idx="3">
                  <c:v>22</c:v>
                </c:pt>
                <c:pt idx="4">
                  <c:v>0</c:v>
                </c:pt>
                <c:pt idx="5">
                  <c:v>58.82352941176471</c:v>
                </c:pt>
                <c:pt idx="6">
                  <c:v>23.52941176470588</c:v>
                </c:pt>
                <c:pt idx="7">
                  <c:v>11.76470588235294</c:v>
                </c:pt>
                <c:pt idx="8">
                  <c:v>5.8823529411764701</c:v>
                </c:pt>
                <c:pt idx="9">
                  <c:v>0</c:v>
                </c:pt>
                <c:pt idx="10">
                  <c:v>35</c:v>
                </c:pt>
                <c:pt idx="11">
                  <c:v>26.666666666666668</c:v>
                </c:pt>
                <c:pt idx="12">
                  <c:v>10</c:v>
                </c:pt>
                <c:pt idx="13">
                  <c:v>28.333333333333332</c:v>
                </c:pt>
                <c:pt idx="14">
                  <c:v>0</c:v>
                </c:pt>
                <c:pt idx="15">
                  <c:v>26.923076923076923</c:v>
                </c:pt>
                <c:pt idx="16">
                  <c:v>38.461538461538467</c:v>
                </c:pt>
                <c:pt idx="17">
                  <c:v>26.923076923076923</c:v>
                </c:pt>
                <c:pt idx="18">
                  <c:v>7.6923076923076925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47-3D44-8AFC-EC2DB2E16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(early_stopping!$B$682:$F$682,early_stopping!$H$682:$L$682,early_stopping!$N$682:$R$682,early_stopping!$T$682:$X$682)</c:f>
              <c:numCache>
                <c:formatCode>0.00</c:formatCode>
                <c:ptCount val="20"/>
                <c:pt idx="0">
                  <c:v>57.96659533412884</c:v>
                </c:pt>
                <c:pt idx="1">
                  <c:v>18.949150090891461</c:v>
                </c:pt>
                <c:pt idx="2" formatCode="0.0">
                  <c:v>8.8431703204047221</c:v>
                </c:pt>
                <c:pt idx="3" formatCode="0.0">
                  <c:v>14.241084254574979</c:v>
                </c:pt>
                <c:pt idx="4" formatCode="0.0">
                  <c:v>0</c:v>
                </c:pt>
                <c:pt idx="5" formatCode="0.0">
                  <c:v>63.715587244999007</c:v>
                </c:pt>
                <c:pt idx="6">
                  <c:v>15.895886974318346</c:v>
                </c:pt>
                <c:pt idx="7" formatCode="0.0">
                  <c:v>7.4288638014128203</c:v>
                </c:pt>
                <c:pt idx="8" formatCode="0.0">
                  <c:v>12.959661979269823</c:v>
                </c:pt>
                <c:pt idx="9" formatCode="0.0">
                  <c:v>0</c:v>
                </c:pt>
                <c:pt idx="10" formatCode="0.0">
                  <c:v>66.376811594202891</c:v>
                </c:pt>
                <c:pt idx="11">
                  <c:v>11.925465838509316</c:v>
                </c:pt>
                <c:pt idx="12" formatCode="0.0">
                  <c:v>4.2563837129054525</c:v>
                </c:pt>
                <c:pt idx="13" formatCode="0.0">
                  <c:v>17.441338854382334</c:v>
                </c:pt>
                <c:pt idx="14" formatCode="0.0">
                  <c:v>0</c:v>
                </c:pt>
                <c:pt idx="15" formatCode="0.0">
                  <c:v>65.198535970227297</c:v>
                </c:pt>
                <c:pt idx="16">
                  <c:v>19.197961840904664</c:v>
                </c:pt>
                <c:pt idx="17" formatCode="0.0">
                  <c:v>11.819887429643527</c:v>
                </c:pt>
                <c:pt idx="18" formatCode="0.0">
                  <c:v>3.7836147592245148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47-3D44-8AFC-EC2DB2E16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ES Agent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(early_stopping!$B$687:$F$687,early_stopping!$H$687:$L$687,early_stopping!$N$687:$R$687,early_stopping!$T$687:$X$687)</c:f>
              <c:numCache>
                <c:formatCode>0.0</c:formatCode>
                <c:ptCount val="20"/>
                <c:pt idx="0">
                  <c:v>88.732394366197184</c:v>
                </c:pt>
                <c:pt idx="1">
                  <c:v>7.042253521126761</c:v>
                </c:pt>
                <c:pt idx="2">
                  <c:v>1.4084507042253522</c:v>
                </c:pt>
                <c:pt idx="3">
                  <c:v>2.8169014084507045</c:v>
                </c:pt>
                <c:pt idx="4">
                  <c:v>0</c:v>
                </c:pt>
                <c:pt idx="5">
                  <c:v>75</c:v>
                </c:pt>
                <c:pt idx="6">
                  <c:v>12.5</c:v>
                </c:pt>
                <c:pt idx="7">
                  <c:v>0</c:v>
                </c:pt>
                <c:pt idx="8">
                  <c:v>12.5</c:v>
                </c:pt>
                <c:pt idx="9">
                  <c:v>0</c:v>
                </c:pt>
                <c:pt idx="10">
                  <c:v>95.360824742268051</c:v>
                </c:pt>
                <c:pt idx="11">
                  <c:v>1.0309278350515463</c:v>
                </c:pt>
                <c:pt idx="12">
                  <c:v>0</c:v>
                </c:pt>
                <c:pt idx="13">
                  <c:v>3.608247422680412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1-DA4E-8C04-96095443DF09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(early_stopping!$B$688:$F$688,early_stopping!$H$688:$L$688,early_stopping!$N$688:$R$688,early_stopping!$T$688:$X$688)</c:f>
              <c:numCache>
                <c:formatCode>0.0</c:formatCode>
                <c:ptCount val="20"/>
                <c:pt idx="0">
                  <c:v>62</c:v>
                </c:pt>
                <c:pt idx="1">
                  <c:v>14.000000000000002</c:v>
                </c:pt>
                <c:pt idx="2">
                  <c:v>6</c:v>
                </c:pt>
                <c:pt idx="3">
                  <c:v>18</c:v>
                </c:pt>
                <c:pt idx="4">
                  <c:v>0</c:v>
                </c:pt>
                <c:pt idx="5">
                  <c:v>80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24.324324324324326</c:v>
                </c:pt>
                <c:pt idx="11">
                  <c:v>2.7027027027027026</c:v>
                </c:pt>
                <c:pt idx="12">
                  <c:v>0</c:v>
                </c:pt>
                <c:pt idx="13">
                  <c:v>72.072072072072075</c:v>
                </c:pt>
                <c:pt idx="14">
                  <c:v>0.90090090090090091</c:v>
                </c:pt>
                <c:pt idx="15">
                  <c:v>50</c:v>
                </c:pt>
                <c:pt idx="16">
                  <c:v>5</c:v>
                </c:pt>
                <c:pt idx="17">
                  <c:v>5</c:v>
                </c:pt>
                <c:pt idx="18">
                  <c:v>40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1-DA4E-8C04-96095443DF09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(early_stopping!$B$689:$F$689,early_stopping!$H$689:$L$689,early_stopping!$N$689:$R$689,early_stopping!$T$689:$X$689)</c:f>
              <c:numCache>
                <c:formatCode>0.0</c:formatCode>
                <c:ptCount val="20"/>
                <c:pt idx="0">
                  <c:v>35.374149659863946</c:v>
                </c:pt>
                <c:pt idx="1">
                  <c:v>27.89115646258503</c:v>
                </c:pt>
                <c:pt idx="2">
                  <c:v>29.931972789115648</c:v>
                </c:pt>
                <c:pt idx="3">
                  <c:v>6.8027210884353746</c:v>
                </c:pt>
                <c:pt idx="4">
                  <c:v>0</c:v>
                </c:pt>
                <c:pt idx="5">
                  <c:v>22.222222222222221</c:v>
                </c:pt>
                <c:pt idx="6">
                  <c:v>55.555555555555557</c:v>
                </c:pt>
                <c:pt idx="7">
                  <c:v>11.111111111111111</c:v>
                </c:pt>
                <c:pt idx="8">
                  <c:v>11.111111111111111</c:v>
                </c:pt>
                <c:pt idx="9">
                  <c:v>0</c:v>
                </c:pt>
                <c:pt idx="10">
                  <c:v>32.467532467532465</c:v>
                </c:pt>
                <c:pt idx="11">
                  <c:v>25.97402597402597</c:v>
                </c:pt>
                <c:pt idx="12">
                  <c:v>15.584415584415584</c:v>
                </c:pt>
                <c:pt idx="13">
                  <c:v>25.97402597402597</c:v>
                </c:pt>
                <c:pt idx="14">
                  <c:v>0</c:v>
                </c:pt>
                <c:pt idx="15">
                  <c:v>45.161290322580641</c:v>
                </c:pt>
                <c:pt idx="16">
                  <c:v>35.483870967741936</c:v>
                </c:pt>
                <c:pt idx="17">
                  <c:v>19.35483870967742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1-DA4E-8C04-96095443D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(early_stopping!$B$690:$F$690,early_stopping!$H$690:$L$690,early_stopping!$N$690:$R$690,early_stopping!$T$690:$X$690)</c:f>
              <c:numCache>
                <c:formatCode>0.00</c:formatCode>
                <c:ptCount val="20"/>
                <c:pt idx="0">
                  <c:v>62.03551467535371</c:v>
                </c:pt>
                <c:pt idx="1">
                  <c:v>16.311136661237267</c:v>
                </c:pt>
                <c:pt idx="2" formatCode="0.0">
                  <c:v>12.446807831113667</c:v>
                </c:pt>
                <c:pt idx="3" formatCode="0.0">
                  <c:v>9.2065408322953601</c:v>
                </c:pt>
                <c:pt idx="4" formatCode="0.0">
                  <c:v>0</c:v>
                </c:pt>
                <c:pt idx="5" formatCode="0.0">
                  <c:v>59.074074074074076</c:v>
                </c:pt>
                <c:pt idx="6">
                  <c:v>29.351851851851851</c:v>
                </c:pt>
                <c:pt idx="7" formatCode="0.0">
                  <c:v>3.7037037037037037</c:v>
                </c:pt>
                <c:pt idx="8" formatCode="0.0">
                  <c:v>7.8703703703703702</c:v>
                </c:pt>
                <c:pt idx="9" formatCode="0.0">
                  <c:v>0</c:v>
                </c:pt>
                <c:pt idx="10" formatCode="0.0">
                  <c:v>50.717560511374948</c:v>
                </c:pt>
                <c:pt idx="11">
                  <c:v>9.9025521705934061</c:v>
                </c:pt>
                <c:pt idx="12" formatCode="0.0">
                  <c:v>5.1948051948051948</c:v>
                </c:pt>
                <c:pt idx="13" formatCode="0.0">
                  <c:v>33.884781822926151</c:v>
                </c:pt>
                <c:pt idx="14" formatCode="0.0">
                  <c:v>0.3003003003003003</c:v>
                </c:pt>
                <c:pt idx="15" formatCode="0.0">
                  <c:v>58.387096774193544</c:v>
                </c:pt>
                <c:pt idx="16">
                  <c:v>13.494623655913978</c:v>
                </c:pt>
                <c:pt idx="17" formatCode="0.0">
                  <c:v>8.1182795698924739</c:v>
                </c:pt>
                <c:pt idx="18" formatCode="0.0">
                  <c:v>20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81-DA4E-8C04-96095443D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ES Agent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(early_stopping!$B$695:$F$695,early_stopping!$H$695:$L$695,early_stopping!$N$695:$R$695,early_stopping!$T$695:$X$695)</c:f>
              <c:numCache>
                <c:formatCode>0.0</c:formatCode>
                <c:ptCount val="20"/>
                <c:pt idx="0">
                  <c:v>93.442622950819683</c:v>
                </c:pt>
                <c:pt idx="1">
                  <c:v>6.557377049180328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92.972972972972983</c:v>
                </c:pt>
                <c:pt idx="11">
                  <c:v>2.1621621621621623</c:v>
                </c:pt>
                <c:pt idx="12">
                  <c:v>0</c:v>
                </c:pt>
                <c:pt idx="13">
                  <c:v>4.8648648648648649</c:v>
                </c:pt>
                <c:pt idx="14">
                  <c:v>0</c:v>
                </c:pt>
                <c:pt idx="15">
                  <c:v>88.888888888888886</c:v>
                </c:pt>
                <c:pt idx="16">
                  <c:v>0</c:v>
                </c:pt>
                <c:pt idx="17">
                  <c:v>0</c:v>
                </c:pt>
                <c:pt idx="18">
                  <c:v>11.111111111111111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3-2346-A744-EC4B2D438FCB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(early_stopping!$B$696:$F$696,early_stopping!$H$696:$L$696,early_stopping!$N$696:$R$696,early_stopping!$T$696:$X$696)</c:f>
              <c:numCache>
                <c:formatCode>0.0</c:formatCode>
                <c:ptCount val="20"/>
                <c:pt idx="0">
                  <c:v>58.139534883720934</c:v>
                </c:pt>
                <c:pt idx="1">
                  <c:v>13.953488372093023</c:v>
                </c:pt>
                <c:pt idx="2">
                  <c:v>6.9767441860465116</c:v>
                </c:pt>
                <c:pt idx="3">
                  <c:v>20.930232558139537</c:v>
                </c:pt>
                <c:pt idx="4">
                  <c:v>0</c:v>
                </c:pt>
                <c:pt idx="5">
                  <c:v>90.909090909090907</c:v>
                </c:pt>
                <c:pt idx="6">
                  <c:v>0</c:v>
                </c:pt>
                <c:pt idx="7">
                  <c:v>0</c:v>
                </c:pt>
                <c:pt idx="8">
                  <c:v>9.0909090909090917</c:v>
                </c:pt>
                <c:pt idx="9">
                  <c:v>0</c:v>
                </c:pt>
                <c:pt idx="10">
                  <c:v>24.786324786324787</c:v>
                </c:pt>
                <c:pt idx="11">
                  <c:v>3.4188034188034191</c:v>
                </c:pt>
                <c:pt idx="12">
                  <c:v>0</c:v>
                </c:pt>
                <c:pt idx="13">
                  <c:v>71.794871794871796</c:v>
                </c:pt>
                <c:pt idx="14">
                  <c:v>0</c:v>
                </c:pt>
                <c:pt idx="15">
                  <c:v>57.142857142857139</c:v>
                </c:pt>
                <c:pt idx="16">
                  <c:v>21.428571428571427</c:v>
                </c:pt>
                <c:pt idx="17">
                  <c:v>7.1428571428571423</c:v>
                </c:pt>
                <c:pt idx="18">
                  <c:v>14.285714285714285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F3-2346-A744-EC4B2D438FCB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(early_stopping!$B$697:$F$697,early_stopping!$H$697:$L$697,early_stopping!$N$697:$R$697,early_stopping!$T$697:$X$697)</c:f>
              <c:numCache>
                <c:formatCode>0.0</c:formatCode>
                <c:ptCount val="20"/>
                <c:pt idx="0">
                  <c:v>41.17647058823529</c:v>
                </c:pt>
                <c:pt idx="1">
                  <c:v>22.794117647058822</c:v>
                </c:pt>
                <c:pt idx="2">
                  <c:v>25.735294117647058</c:v>
                </c:pt>
                <c:pt idx="3">
                  <c:v>10.294117647058822</c:v>
                </c:pt>
                <c:pt idx="4">
                  <c:v>0</c:v>
                </c:pt>
                <c:pt idx="5">
                  <c:v>14.285714285714285</c:v>
                </c:pt>
                <c:pt idx="6">
                  <c:v>64.285714285714292</c:v>
                </c:pt>
                <c:pt idx="7">
                  <c:v>7.1428571428571423</c:v>
                </c:pt>
                <c:pt idx="8">
                  <c:v>14.285714285714285</c:v>
                </c:pt>
                <c:pt idx="9">
                  <c:v>0</c:v>
                </c:pt>
                <c:pt idx="10">
                  <c:v>41.463414634146339</c:v>
                </c:pt>
                <c:pt idx="11">
                  <c:v>21.951219512195124</c:v>
                </c:pt>
                <c:pt idx="12">
                  <c:v>18.292682926829269</c:v>
                </c:pt>
                <c:pt idx="13">
                  <c:v>18.292682926829269</c:v>
                </c:pt>
                <c:pt idx="14">
                  <c:v>0</c:v>
                </c:pt>
                <c:pt idx="15">
                  <c:v>40</c:v>
                </c:pt>
                <c:pt idx="16">
                  <c:v>36</c:v>
                </c:pt>
                <c:pt idx="17">
                  <c:v>16</c:v>
                </c:pt>
                <c:pt idx="18">
                  <c:v>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F3-2346-A744-EC4B2D438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(early_stopping!$B$698:$F$698,early_stopping!$H$698:$L$698,early_stopping!$N$698:$R$698,early_stopping!$T$698:$X$698)</c:f>
              <c:numCache>
                <c:formatCode>0.00</c:formatCode>
                <c:ptCount val="20"/>
                <c:pt idx="0">
                  <c:v>64.252876140925309</c:v>
                </c:pt>
                <c:pt idx="1">
                  <c:v>14.434994356110726</c:v>
                </c:pt>
                <c:pt idx="2" formatCode="0.0">
                  <c:v>10.904012767897855</c:v>
                </c:pt>
                <c:pt idx="3" formatCode="0.0">
                  <c:v>10.40811673506612</c:v>
                </c:pt>
                <c:pt idx="4" formatCode="0.0">
                  <c:v>0</c:v>
                </c:pt>
                <c:pt idx="5" formatCode="0.0">
                  <c:v>68.398268398268399</c:v>
                </c:pt>
                <c:pt idx="6">
                  <c:v>21.428571428571431</c:v>
                </c:pt>
                <c:pt idx="7" formatCode="0.0">
                  <c:v>2.3809523809523809</c:v>
                </c:pt>
                <c:pt idx="8" formatCode="0.0">
                  <c:v>7.792207792207793</c:v>
                </c:pt>
                <c:pt idx="9" formatCode="0.0">
                  <c:v>0</c:v>
                </c:pt>
                <c:pt idx="10" formatCode="0.0">
                  <c:v>53.074237464481371</c:v>
                </c:pt>
                <c:pt idx="11">
                  <c:v>9.1773950310535692</c:v>
                </c:pt>
                <c:pt idx="12" formatCode="0.0">
                  <c:v>6.0975609756097562</c:v>
                </c:pt>
                <c:pt idx="13" formatCode="0.0">
                  <c:v>31.650806528855313</c:v>
                </c:pt>
                <c:pt idx="14" formatCode="0.0">
                  <c:v>0</c:v>
                </c:pt>
                <c:pt idx="15" formatCode="0.0">
                  <c:v>62.010582010582006</c:v>
                </c:pt>
                <c:pt idx="16">
                  <c:v>19.142857142857142</c:v>
                </c:pt>
                <c:pt idx="17" formatCode="0.0">
                  <c:v>7.7142857142857144</c:v>
                </c:pt>
                <c:pt idx="18" formatCode="0.0">
                  <c:v>11.132275132275131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F3-2346-A744-EC4B2D438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  <c:spPr>
        <a:ln>
          <a:noFill/>
        </a:ln>
      </c:spPr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ES Agent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(early_stopping!$B$703:$F$703,early_stopping!$H$703:$L$703,early_stopping!$N$703:$R$703,early_stopping!$T$703:$X$703)</c:f>
              <c:numCache>
                <c:formatCode>0.0</c:formatCode>
                <c:ptCount val="20"/>
                <c:pt idx="0">
                  <c:v>87.142857142857139</c:v>
                </c:pt>
                <c:pt idx="1">
                  <c:v>4.2857142857142856</c:v>
                </c:pt>
                <c:pt idx="2">
                  <c:v>1.4285714285714286</c:v>
                </c:pt>
                <c:pt idx="3">
                  <c:v>7.1428571428571423</c:v>
                </c:pt>
                <c:pt idx="4">
                  <c:v>0</c:v>
                </c:pt>
                <c:pt idx="5">
                  <c:v>90.909090909090907</c:v>
                </c:pt>
                <c:pt idx="6">
                  <c:v>0</c:v>
                </c:pt>
                <c:pt idx="7">
                  <c:v>0</c:v>
                </c:pt>
                <c:pt idx="8">
                  <c:v>9.0909090909090917</c:v>
                </c:pt>
                <c:pt idx="9">
                  <c:v>0</c:v>
                </c:pt>
                <c:pt idx="10">
                  <c:v>96.067415730337075</c:v>
                </c:pt>
                <c:pt idx="11">
                  <c:v>2.2471910112359552</c:v>
                </c:pt>
                <c:pt idx="12">
                  <c:v>1.1235955056179776</c:v>
                </c:pt>
                <c:pt idx="13">
                  <c:v>0.5617977528089888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3-3B4E-8C31-A5F447C472C8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(early_stopping!$B$704:$F$704,early_stopping!$H$704:$L$704,early_stopping!$N$704:$R$704,early_stopping!$T$704:$X$704)</c:f>
              <c:numCache>
                <c:formatCode>0.0</c:formatCode>
                <c:ptCount val="20"/>
                <c:pt idx="0">
                  <c:v>50</c:v>
                </c:pt>
                <c:pt idx="1">
                  <c:v>27.419354838709676</c:v>
                </c:pt>
                <c:pt idx="2">
                  <c:v>3.225806451612903</c:v>
                </c:pt>
                <c:pt idx="3">
                  <c:v>19.35483870967742</c:v>
                </c:pt>
                <c:pt idx="4">
                  <c:v>0</c:v>
                </c:pt>
                <c:pt idx="5">
                  <c:v>90.909090909090907</c:v>
                </c:pt>
                <c:pt idx="6">
                  <c:v>0</c:v>
                </c:pt>
                <c:pt idx="7">
                  <c:v>0</c:v>
                </c:pt>
                <c:pt idx="8">
                  <c:v>9.0909090909090917</c:v>
                </c:pt>
                <c:pt idx="9">
                  <c:v>0</c:v>
                </c:pt>
                <c:pt idx="10">
                  <c:v>20.967741935483872</c:v>
                </c:pt>
                <c:pt idx="11">
                  <c:v>1.6129032258064515</c:v>
                </c:pt>
                <c:pt idx="12">
                  <c:v>0.80645161290322576</c:v>
                </c:pt>
                <c:pt idx="13">
                  <c:v>75.806451612903231</c:v>
                </c:pt>
                <c:pt idx="14">
                  <c:v>0.80645161290322576</c:v>
                </c:pt>
                <c:pt idx="15">
                  <c:v>45.454545454545453</c:v>
                </c:pt>
                <c:pt idx="16">
                  <c:v>18.181818181818183</c:v>
                </c:pt>
                <c:pt idx="17">
                  <c:v>9.0909090909090917</c:v>
                </c:pt>
                <c:pt idx="18">
                  <c:v>27.27272727272727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A3-3B4E-8C31-A5F447C472C8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(early_stopping!$B$705:$F$705,early_stopping!$H$705:$L$705,early_stopping!$N$705:$R$705,early_stopping!$T$705:$X$705)</c:f>
              <c:numCache>
                <c:formatCode>0.0</c:formatCode>
                <c:ptCount val="20"/>
                <c:pt idx="0">
                  <c:v>49.152542372881356</c:v>
                </c:pt>
                <c:pt idx="1">
                  <c:v>21.1864406779661</c:v>
                </c:pt>
                <c:pt idx="2">
                  <c:v>17.796610169491526</c:v>
                </c:pt>
                <c:pt idx="3">
                  <c:v>11.864406779661017</c:v>
                </c:pt>
                <c:pt idx="4">
                  <c:v>0</c:v>
                </c:pt>
                <c:pt idx="5">
                  <c:v>21.739130434782609</c:v>
                </c:pt>
                <c:pt idx="6">
                  <c:v>21.739130434782609</c:v>
                </c:pt>
                <c:pt idx="7">
                  <c:v>39.130434782608695</c:v>
                </c:pt>
                <c:pt idx="8">
                  <c:v>17.391304347826086</c:v>
                </c:pt>
                <c:pt idx="9">
                  <c:v>0</c:v>
                </c:pt>
                <c:pt idx="10">
                  <c:v>34.42622950819672</c:v>
                </c:pt>
                <c:pt idx="11">
                  <c:v>16.393442622950818</c:v>
                </c:pt>
                <c:pt idx="12">
                  <c:v>24.590163934426229</c:v>
                </c:pt>
                <c:pt idx="13">
                  <c:v>24.590163934426229</c:v>
                </c:pt>
                <c:pt idx="14">
                  <c:v>0</c:v>
                </c:pt>
                <c:pt idx="15">
                  <c:v>33.333333333333329</c:v>
                </c:pt>
                <c:pt idx="16">
                  <c:v>13.333333333333334</c:v>
                </c:pt>
                <c:pt idx="17">
                  <c:v>23.333333333333332</c:v>
                </c:pt>
                <c:pt idx="18">
                  <c:v>30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A3-3B4E-8C31-A5F447C47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(early_stopping!$B$706:$F$706,early_stopping!$H$706:$L$706,early_stopping!$N$706:$R$706,early_stopping!$T$706:$X$706)</c:f>
              <c:numCache>
                <c:formatCode>0.00</c:formatCode>
                <c:ptCount val="20"/>
                <c:pt idx="0">
                  <c:v>62.098466505246165</c:v>
                </c:pt>
                <c:pt idx="1">
                  <c:v>17.630503267463354</c:v>
                </c:pt>
                <c:pt idx="2" formatCode="0.0">
                  <c:v>7.4836626832252859</c:v>
                </c:pt>
                <c:pt idx="3" formatCode="0.0">
                  <c:v>12.787367544065193</c:v>
                </c:pt>
                <c:pt idx="4" formatCode="0.0">
                  <c:v>0</c:v>
                </c:pt>
                <c:pt idx="5" formatCode="0.0">
                  <c:v>67.852437417654812</c:v>
                </c:pt>
                <c:pt idx="6">
                  <c:v>7.2463768115942031</c:v>
                </c:pt>
                <c:pt idx="7" formatCode="0.0">
                  <c:v>13.043478260869565</c:v>
                </c:pt>
                <c:pt idx="8" formatCode="0.0">
                  <c:v>11.857707509881422</c:v>
                </c:pt>
                <c:pt idx="9" formatCode="0.0">
                  <c:v>0</c:v>
                </c:pt>
                <c:pt idx="10" formatCode="0.0">
                  <c:v>50.487129058005884</c:v>
                </c:pt>
                <c:pt idx="11">
                  <c:v>6.7511789533310749</c:v>
                </c:pt>
                <c:pt idx="12" formatCode="0.0">
                  <c:v>8.8400703509824776</c:v>
                </c:pt>
                <c:pt idx="13" formatCode="0.0">
                  <c:v>33.65280443337948</c:v>
                </c:pt>
                <c:pt idx="14" formatCode="0.0">
                  <c:v>0.26881720430107525</c:v>
                </c:pt>
                <c:pt idx="15" formatCode="0.0">
                  <c:v>59.595959595959584</c:v>
                </c:pt>
                <c:pt idx="16">
                  <c:v>10.505050505050505</c:v>
                </c:pt>
                <c:pt idx="17" formatCode="0.0">
                  <c:v>10.808080808080808</c:v>
                </c:pt>
                <c:pt idx="18" formatCode="0.0">
                  <c:v>19.09090909090909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A3-3B4E-8C31-A5F447C47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ES Agents 1 &amp;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(early_stopping!$B$713:$F$713,early_stopping!$H$713:$L$713,early_stopping!$N$713:$R$713,early_stopping!$T$713:$X$713)</c:f>
              <c:numCache>
                <c:formatCode>0.0</c:formatCode>
                <c:ptCount val="20"/>
                <c:pt idx="0">
                  <c:v>81.395348837209298</c:v>
                </c:pt>
                <c:pt idx="1">
                  <c:v>8.1395348837209305</c:v>
                </c:pt>
                <c:pt idx="2">
                  <c:v>2.3255813953488373</c:v>
                </c:pt>
                <c:pt idx="3">
                  <c:v>8.1395348837209305</c:v>
                </c:pt>
                <c:pt idx="4">
                  <c:v>0</c:v>
                </c:pt>
                <c:pt idx="5">
                  <c:v>76.470588235294116</c:v>
                </c:pt>
                <c:pt idx="6">
                  <c:v>11.76470588235294</c:v>
                </c:pt>
                <c:pt idx="7">
                  <c:v>0</c:v>
                </c:pt>
                <c:pt idx="8">
                  <c:v>11.76470588235294</c:v>
                </c:pt>
                <c:pt idx="9">
                  <c:v>0</c:v>
                </c:pt>
                <c:pt idx="10">
                  <c:v>83.333333333333343</c:v>
                </c:pt>
                <c:pt idx="11">
                  <c:v>1.5151515151515151</c:v>
                </c:pt>
                <c:pt idx="12">
                  <c:v>0</c:v>
                </c:pt>
                <c:pt idx="13">
                  <c:v>15.151515151515152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1245-AD9C-C23236105A2C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(early_stopping!$B$714:$F$714,early_stopping!$H$714:$L$714,early_stopping!$N$714:$R$714,early_stopping!$T$714:$X$714)</c:f>
              <c:numCache>
                <c:formatCode>0.0</c:formatCode>
                <c:ptCount val="20"/>
                <c:pt idx="0">
                  <c:v>78.245614035087712</c:v>
                </c:pt>
                <c:pt idx="1">
                  <c:v>9.4736842105263168</c:v>
                </c:pt>
                <c:pt idx="2">
                  <c:v>3.5087719298245612</c:v>
                </c:pt>
                <c:pt idx="3">
                  <c:v>8.7719298245614024</c:v>
                </c:pt>
                <c:pt idx="4">
                  <c:v>0</c:v>
                </c:pt>
                <c:pt idx="5">
                  <c:v>76.470588235294116</c:v>
                </c:pt>
                <c:pt idx="6">
                  <c:v>17.647058823529413</c:v>
                </c:pt>
                <c:pt idx="7">
                  <c:v>0</c:v>
                </c:pt>
                <c:pt idx="8">
                  <c:v>5.8823529411764701</c:v>
                </c:pt>
                <c:pt idx="9">
                  <c:v>0</c:v>
                </c:pt>
                <c:pt idx="10">
                  <c:v>62.068965517241381</c:v>
                </c:pt>
                <c:pt idx="11">
                  <c:v>17.241379310344829</c:v>
                </c:pt>
                <c:pt idx="12">
                  <c:v>0</c:v>
                </c:pt>
                <c:pt idx="13">
                  <c:v>20.689655172413794</c:v>
                </c:pt>
                <c:pt idx="14">
                  <c:v>0</c:v>
                </c:pt>
                <c:pt idx="15">
                  <c:v>76.08695652173914</c:v>
                </c:pt>
                <c:pt idx="16">
                  <c:v>8.695652173913043</c:v>
                </c:pt>
                <c:pt idx="17">
                  <c:v>8.695652173913043</c:v>
                </c:pt>
                <c:pt idx="18">
                  <c:v>6.5217391304347823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0E-1245-AD9C-C23236105A2C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(early_stopping!$B$715:$F$715,early_stopping!$H$715:$L$715,early_stopping!$N$715:$R$715,early_stopping!$T$715:$X$715)</c:f>
              <c:numCache>
                <c:formatCode>0.0</c:formatCode>
                <c:ptCount val="20"/>
                <c:pt idx="0">
                  <c:v>22.222222222222221</c:v>
                </c:pt>
                <c:pt idx="1">
                  <c:v>25.925925925925924</c:v>
                </c:pt>
                <c:pt idx="2">
                  <c:v>31.481481481481481</c:v>
                </c:pt>
                <c:pt idx="3">
                  <c:v>20.37037037037037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  <c:pt idx="7">
                  <c:v>0</c:v>
                </c:pt>
                <c:pt idx="8">
                  <c:v>50</c:v>
                </c:pt>
                <c:pt idx="9">
                  <c:v>0</c:v>
                </c:pt>
                <c:pt idx="10">
                  <c:v>43.478260869565219</c:v>
                </c:pt>
                <c:pt idx="11">
                  <c:v>13.043478260869565</c:v>
                </c:pt>
                <c:pt idx="12">
                  <c:v>26.086956521739129</c:v>
                </c:pt>
                <c:pt idx="13">
                  <c:v>17.391304347826086</c:v>
                </c:pt>
                <c:pt idx="14">
                  <c:v>0</c:v>
                </c:pt>
                <c:pt idx="15">
                  <c:v>41.17647058823529</c:v>
                </c:pt>
                <c:pt idx="16">
                  <c:v>23.52941176470588</c:v>
                </c:pt>
                <c:pt idx="17">
                  <c:v>29.411764705882355</c:v>
                </c:pt>
                <c:pt idx="18">
                  <c:v>5.8823529411764701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0E-1245-AD9C-C23236105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(early_stopping!$B$716:$F$716,early_stopping!$H$716:$L$716,early_stopping!$N$716:$R$716,early_stopping!$T$716:$X$716)</c:f>
              <c:numCache>
                <c:formatCode>0.00</c:formatCode>
                <c:ptCount val="20"/>
                <c:pt idx="0">
                  <c:v>60.621061698173072</c:v>
                </c:pt>
                <c:pt idx="1">
                  <c:v>14.513048340057724</c:v>
                </c:pt>
                <c:pt idx="2" formatCode="0.0">
                  <c:v>12.438611602218293</c:v>
                </c:pt>
                <c:pt idx="3" formatCode="0.0">
                  <c:v>12.427278359550902</c:v>
                </c:pt>
                <c:pt idx="4" formatCode="0.0">
                  <c:v>0</c:v>
                </c:pt>
                <c:pt idx="5" formatCode="0.0">
                  <c:v>50.980392156862742</c:v>
                </c:pt>
                <c:pt idx="6">
                  <c:v>26.470588235294116</c:v>
                </c:pt>
                <c:pt idx="7" formatCode="0.0">
                  <c:v>0</c:v>
                </c:pt>
                <c:pt idx="8" formatCode="0.0">
                  <c:v>22.549019607843135</c:v>
                </c:pt>
                <c:pt idx="9" formatCode="0.0">
                  <c:v>0</c:v>
                </c:pt>
                <c:pt idx="10" formatCode="0.0">
                  <c:v>62.960186573379978</c:v>
                </c:pt>
                <c:pt idx="11">
                  <c:v>10.600003028788636</c:v>
                </c:pt>
                <c:pt idx="12" formatCode="0.0">
                  <c:v>8.695652173913043</c:v>
                </c:pt>
                <c:pt idx="13" formatCode="0.0">
                  <c:v>17.744158223918344</c:v>
                </c:pt>
                <c:pt idx="14" formatCode="0.0">
                  <c:v>0</c:v>
                </c:pt>
                <c:pt idx="15" formatCode="0.0">
                  <c:v>72.421142369991472</c:v>
                </c:pt>
                <c:pt idx="16">
                  <c:v>10.741687979539641</c:v>
                </c:pt>
                <c:pt idx="17" formatCode="0.0">
                  <c:v>12.702472293265131</c:v>
                </c:pt>
                <c:pt idx="18" formatCode="0.0">
                  <c:v>4.1346973572037511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0E-1245-AD9C-C23236105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ES Agents 1 &amp;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(early_stopping!$B$721:$F$721,early_stopping!$H$721:$L$721,early_stopping!$N$721:$R$721,early_stopping!$T$721:$X$721)</c:f>
              <c:numCache>
                <c:formatCode>0.0</c:formatCode>
                <c:ptCount val="20"/>
                <c:pt idx="0">
                  <c:v>79.069767441860463</c:v>
                </c:pt>
                <c:pt idx="1">
                  <c:v>6.9767441860465116</c:v>
                </c:pt>
                <c:pt idx="2">
                  <c:v>1.1627906976744187</c:v>
                </c:pt>
                <c:pt idx="3">
                  <c:v>12.790697674418606</c:v>
                </c:pt>
                <c:pt idx="4">
                  <c:v>0</c:v>
                </c:pt>
                <c:pt idx="5">
                  <c:v>81.25</c:v>
                </c:pt>
                <c:pt idx="6">
                  <c:v>0</c:v>
                </c:pt>
                <c:pt idx="7">
                  <c:v>0</c:v>
                </c:pt>
                <c:pt idx="8">
                  <c:v>18.75</c:v>
                </c:pt>
                <c:pt idx="9">
                  <c:v>0</c:v>
                </c:pt>
                <c:pt idx="10">
                  <c:v>78.873239436619713</c:v>
                </c:pt>
                <c:pt idx="11">
                  <c:v>1.4084507042253522</c:v>
                </c:pt>
                <c:pt idx="12">
                  <c:v>1.4084507042253522</c:v>
                </c:pt>
                <c:pt idx="13">
                  <c:v>18.30985915492958</c:v>
                </c:pt>
                <c:pt idx="14">
                  <c:v>0</c:v>
                </c:pt>
                <c:pt idx="15">
                  <c:v>93.75</c:v>
                </c:pt>
                <c:pt idx="16">
                  <c:v>3.125</c:v>
                </c:pt>
                <c:pt idx="17">
                  <c:v>3.125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8-D44C-8B32-E6990A230EDE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(early_stopping!$B$722:$F$722,early_stopping!$H$722:$L$722,early_stopping!$N$722:$R$722,early_stopping!$T$722:$X$722)</c:f>
              <c:numCache>
                <c:formatCode>0.0</c:formatCode>
                <c:ptCount val="20"/>
                <c:pt idx="0">
                  <c:v>77.00348432055749</c:v>
                </c:pt>
                <c:pt idx="1">
                  <c:v>9.4076655052264808</c:v>
                </c:pt>
                <c:pt idx="2">
                  <c:v>4.1811846689895473</c:v>
                </c:pt>
                <c:pt idx="3">
                  <c:v>9.4076655052264808</c:v>
                </c:pt>
                <c:pt idx="4">
                  <c:v>0</c:v>
                </c:pt>
                <c:pt idx="5">
                  <c:v>86.666666666666671</c:v>
                </c:pt>
                <c:pt idx="6">
                  <c:v>13.333333333333334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78.571428571428569</c:v>
                </c:pt>
                <c:pt idx="11">
                  <c:v>7.1428571428571423</c:v>
                </c:pt>
                <c:pt idx="12">
                  <c:v>0</c:v>
                </c:pt>
                <c:pt idx="13">
                  <c:v>14.285714285714285</c:v>
                </c:pt>
                <c:pt idx="14">
                  <c:v>0</c:v>
                </c:pt>
                <c:pt idx="15">
                  <c:v>90.322580645161281</c:v>
                </c:pt>
                <c:pt idx="16">
                  <c:v>6.4516129032258061</c:v>
                </c:pt>
                <c:pt idx="17">
                  <c:v>3.225806451612903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8-D44C-8B32-E6990A230EDE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(early_stopping!$B$723:$F$723,early_stopping!$H$723:$L$723,early_stopping!$N$723:$R$723,early_stopping!$T$723:$X$723)</c:f>
              <c:numCache>
                <c:formatCode>0.0</c:formatCode>
                <c:ptCount val="20"/>
                <c:pt idx="0">
                  <c:v>37.5</c:v>
                </c:pt>
                <c:pt idx="1">
                  <c:v>20</c:v>
                </c:pt>
                <c:pt idx="2">
                  <c:v>20</c:v>
                </c:pt>
                <c:pt idx="3">
                  <c:v>22.5</c:v>
                </c:pt>
                <c:pt idx="4">
                  <c:v>0</c:v>
                </c:pt>
                <c:pt idx="5">
                  <c:v>66.666666666666657</c:v>
                </c:pt>
                <c:pt idx="6">
                  <c:v>0</c:v>
                </c:pt>
                <c:pt idx="7">
                  <c:v>33.333333333333329</c:v>
                </c:pt>
                <c:pt idx="8">
                  <c:v>0</c:v>
                </c:pt>
                <c:pt idx="9">
                  <c:v>0</c:v>
                </c:pt>
                <c:pt idx="10">
                  <c:v>43.75</c:v>
                </c:pt>
                <c:pt idx="11">
                  <c:v>12.5</c:v>
                </c:pt>
                <c:pt idx="12">
                  <c:v>15.625</c:v>
                </c:pt>
                <c:pt idx="13">
                  <c:v>28.125</c:v>
                </c:pt>
                <c:pt idx="14">
                  <c:v>0</c:v>
                </c:pt>
                <c:pt idx="15">
                  <c:v>50</c:v>
                </c:pt>
                <c:pt idx="16">
                  <c:v>12.5</c:v>
                </c:pt>
                <c:pt idx="17">
                  <c:v>31.25</c:v>
                </c:pt>
                <c:pt idx="18">
                  <c:v>6.25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18-D44C-8B32-E6990A230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(early_stopping!$B$724:$F$724,early_stopping!$H$724:$L$724,early_stopping!$N$724:$R$724,early_stopping!$T$724:$X$724)</c:f>
              <c:numCache>
                <c:formatCode>0.00</c:formatCode>
                <c:ptCount val="20"/>
                <c:pt idx="0">
                  <c:v>64.524417254139323</c:v>
                </c:pt>
                <c:pt idx="1">
                  <c:v>12.128136563757664</c:v>
                </c:pt>
                <c:pt idx="2" formatCode="0.0">
                  <c:v>8.4479917888879879</c:v>
                </c:pt>
                <c:pt idx="3" formatCode="0.0">
                  <c:v>14.899454393215029</c:v>
                </c:pt>
                <c:pt idx="4" formatCode="0.0">
                  <c:v>0</c:v>
                </c:pt>
                <c:pt idx="5" formatCode="0.0">
                  <c:v>78.194444444444443</c:v>
                </c:pt>
                <c:pt idx="6">
                  <c:v>4.4444444444444446</c:v>
                </c:pt>
                <c:pt idx="7" formatCode="0.0">
                  <c:v>11.111111111111109</c:v>
                </c:pt>
                <c:pt idx="8" formatCode="0.0">
                  <c:v>6.25</c:v>
                </c:pt>
                <c:pt idx="9" formatCode="0.0">
                  <c:v>0</c:v>
                </c:pt>
                <c:pt idx="10" formatCode="0.0">
                  <c:v>67.064889336016094</c:v>
                </c:pt>
                <c:pt idx="11">
                  <c:v>7.0171026156941645</c:v>
                </c:pt>
                <c:pt idx="12" formatCode="0.0">
                  <c:v>5.677816901408451</c:v>
                </c:pt>
                <c:pt idx="13" formatCode="0.0">
                  <c:v>20.240191146881287</c:v>
                </c:pt>
                <c:pt idx="14" formatCode="0.0">
                  <c:v>0</c:v>
                </c:pt>
                <c:pt idx="15" formatCode="0.0">
                  <c:v>78.024193548387089</c:v>
                </c:pt>
                <c:pt idx="16">
                  <c:v>7.3588709677419359</c:v>
                </c:pt>
                <c:pt idx="17" formatCode="0.0">
                  <c:v>12.533602150537634</c:v>
                </c:pt>
                <c:pt idx="18" formatCode="0.0">
                  <c:v>2.0833333333333335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18-D44C-8B32-E6990A230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ES Agents 2 &amp;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(early_stopping!$B$729:$F$729,early_stopping!$H$729:$L$729,early_stopping!$N$729:$R$729,early_stopping!$T$729:$X$729)</c:f>
              <c:numCache>
                <c:formatCode>0.0</c:formatCode>
                <c:ptCount val="20"/>
                <c:pt idx="0">
                  <c:v>77.011494252873561</c:v>
                </c:pt>
                <c:pt idx="1">
                  <c:v>8.0459770114942533</c:v>
                </c:pt>
                <c:pt idx="2">
                  <c:v>0</c:v>
                </c:pt>
                <c:pt idx="3">
                  <c:v>14.942528735632186</c:v>
                </c:pt>
                <c:pt idx="4">
                  <c:v>0</c:v>
                </c:pt>
                <c:pt idx="5">
                  <c:v>75</c:v>
                </c:pt>
                <c:pt idx="6">
                  <c:v>8.3333333333333321</c:v>
                </c:pt>
                <c:pt idx="7">
                  <c:v>8.3333333333333321</c:v>
                </c:pt>
                <c:pt idx="8">
                  <c:v>8.3333333333333321</c:v>
                </c:pt>
                <c:pt idx="9">
                  <c:v>0</c:v>
                </c:pt>
                <c:pt idx="10">
                  <c:v>72.289156626506028</c:v>
                </c:pt>
                <c:pt idx="11">
                  <c:v>7.2289156626506017</c:v>
                </c:pt>
                <c:pt idx="12">
                  <c:v>1.2048192771084338</c:v>
                </c:pt>
                <c:pt idx="13">
                  <c:v>19.277108433734941</c:v>
                </c:pt>
                <c:pt idx="14">
                  <c:v>0</c:v>
                </c:pt>
                <c:pt idx="15">
                  <c:v>94.117647058823522</c:v>
                </c:pt>
                <c:pt idx="16">
                  <c:v>2.9411764705882351</c:v>
                </c:pt>
                <c:pt idx="17">
                  <c:v>2.9411764705882351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9-874D-9871-CCF8784FE8E7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(early_stopping!$B$730:$F$730,early_stopping!$H$730:$L$730,early_stopping!$N$730:$R$730,early_stopping!$T$730:$X$730)</c:f>
              <c:numCache>
                <c:formatCode>0.0</c:formatCode>
                <c:ptCount val="20"/>
                <c:pt idx="0">
                  <c:v>72.563176895306853</c:v>
                </c:pt>
                <c:pt idx="1">
                  <c:v>12.996389891696749</c:v>
                </c:pt>
                <c:pt idx="2">
                  <c:v>3.2490974729241873</c:v>
                </c:pt>
                <c:pt idx="3">
                  <c:v>11.191335740072201</c:v>
                </c:pt>
                <c:pt idx="4">
                  <c:v>0</c:v>
                </c:pt>
                <c:pt idx="5">
                  <c:v>50</c:v>
                </c:pt>
                <c:pt idx="6">
                  <c:v>35</c:v>
                </c:pt>
                <c:pt idx="7">
                  <c:v>5</c:v>
                </c:pt>
                <c:pt idx="8">
                  <c:v>10</c:v>
                </c:pt>
                <c:pt idx="9">
                  <c:v>0</c:v>
                </c:pt>
                <c:pt idx="10">
                  <c:v>72</c:v>
                </c:pt>
                <c:pt idx="11">
                  <c:v>16</c:v>
                </c:pt>
                <c:pt idx="12">
                  <c:v>8</c:v>
                </c:pt>
                <c:pt idx="13">
                  <c:v>4</c:v>
                </c:pt>
                <c:pt idx="14">
                  <c:v>0</c:v>
                </c:pt>
                <c:pt idx="15">
                  <c:v>70.270270270270274</c:v>
                </c:pt>
                <c:pt idx="16">
                  <c:v>18.918918918918919</c:v>
                </c:pt>
                <c:pt idx="17">
                  <c:v>5.4054054054054053</c:v>
                </c:pt>
                <c:pt idx="18">
                  <c:v>5.4054054054054053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B9-874D-9871-CCF8784FE8E7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(early_stopping!$B$731:$F$731,early_stopping!$H$731:$L$731,early_stopping!$N$731:$R$731,early_stopping!$T$731:$X$731)</c:f>
              <c:numCache>
                <c:formatCode>0.0</c:formatCode>
                <c:ptCount val="20"/>
                <c:pt idx="0">
                  <c:v>7.8431372549019605</c:v>
                </c:pt>
                <c:pt idx="1">
                  <c:v>17.647058823529413</c:v>
                </c:pt>
                <c:pt idx="2">
                  <c:v>27.450980392156865</c:v>
                </c:pt>
                <c:pt idx="3">
                  <c:v>47.058823529411761</c:v>
                </c:pt>
                <c:pt idx="4">
                  <c:v>0</c:v>
                </c:pt>
                <c:pt idx="5">
                  <c:v>20</c:v>
                </c:pt>
                <c:pt idx="6">
                  <c:v>40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25</c:v>
                </c:pt>
                <c:pt idx="11">
                  <c:v>21.875</c:v>
                </c:pt>
                <c:pt idx="12">
                  <c:v>9.375</c:v>
                </c:pt>
                <c:pt idx="13">
                  <c:v>43.75</c:v>
                </c:pt>
                <c:pt idx="14">
                  <c:v>0</c:v>
                </c:pt>
                <c:pt idx="15">
                  <c:v>12.5</c:v>
                </c:pt>
                <c:pt idx="16">
                  <c:v>37.5</c:v>
                </c:pt>
                <c:pt idx="17">
                  <c:v>12.5</c:v>
                </c:pt>
                <c:pt idx="18">
                  <c:v>37.5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B9-874D-9871-CCF8784F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(early_stopping!$B$732:$F$732,early_stopping!$H$732:$L$732,early_stopping!$N$732:$R$732,early_stopping!$T$732:$X$732)</c:f>
              <c:numCache>
                <c:formatCode>0.00</c:formatCode>
                <c:ptCount val="20"/>
                <c:pt idx="0">
                  <c:v>52.472602801027456</c:v>
                </c:pt>
                <c:pt idx="1">
                  <c:v>12.896475242240138</c:v>
                </c:pt>
                <c:pt idx="2" formatCode="0.0">
                  <c:v>10.233359288360351</c:v>
                </c:pt>
                <c:pt idx="3" formatCode="0.0">
                  <c:v>24.397562668372046</c:v>
                </c:pt>
                <c:pt idx="4" formatCode="0.0">
                  <c:v>0</c:v>
                </c:pt>
                <c:pt idx="5" formatCode="0.0">
                  <c:v>48.333333333333336</c:v>
                </c:pt>
                <c:pt idx="6">
                  <c:v>27.777777777777775</c:v>
                </c:pt>
                <c:pt idx="7" formatCode="0.0">
                  <c:v>4.4444444444444438</c:v>
                </c:pt>
                <c:pt idx="8" formatCode="0.0">
                  <c:v>19.444444444444443</c:v>
                </c:pt>
                <c:pt idx="9" formatCode="0.0">
                  <c:v>0</c:v>
                </c:pt>
                <c:pt idx="10" formatCode="0.0">
                  <c:v>56.429718875502012</c:v>
                </c:pt>
                <c:pt idx="11">
                  <c:v>15.034638554216867</c:v>
                </c:pt>
                <c:pt idx="12" formatCode="0.0">
                  <c:v>6.1932730923694779</c:v>
                </c:pt>
                <c:pt idx="13" formatCode="0.0">
                  <c:v>22.342369477911646</c:v>
                </c:pt>
                <c:pt idx="14" formatCode="0.0">
                  <c:v>0</c:v>
                </c:pt>
                <c:pt idx="15" formatCode="0.0">
                  <c:v>58.962639109697932</c:v>
                </c:pt>
                <c:pt idx="16">
                  <c:v>19.786698463169049</c:v>
                </c:pt>
                <c:pt idx="17" formatCode="0.0">
                  <c:v>6.9488606253312142</c:v>
                </c:pt>
                <c:pt idx="18" formatCode="0.0">
                  <c:v>14.301801801801801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B9-874D-9871-CCF8784F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ES Agents 1 &amp;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(early_stopping!$B$737:$F$737,early_stopping!$H$737:$L$737,early_stopping!$N$737:$R$737,early_stopping!$T$737:$X$737)</c:f>
              <c:numCache>
                <c:formatCode>0.0</c:formatCode>
                <c:ptCount val="20"/>
                <c:pt idx="0">
                  <c:v>78.260869565217391</c:v>
                </c:pt>
                <c:pt idx="1">
                  <c:v>6.5217391304347823</c:v>
                </c:pt>
                <c:pt idx="2">
                  <c:v>4.3478260869565215</c:v>
                </c:pt>
                <c:pt idx="3">
                  <c:v>10.869565217391305</c:v>
                </c:pt>
                <c:pt idx="4">
                  <c:v>0</c:v>
                </c:pt>
                <c:pt idx="5">
                  <c:v>87.5</c:v>
                </c:pt>
                <c:pt idx="6">
                  <c:v>0</c:v>
                </c:pt>
                <c:pt idx="7">
                  <c:v>0</c:v>
                </c:pt>
                <c:pt idx="8">
                  <c:v>12.5</c:v>
                </c:pt>
                <c:pt idx="9">
                  <c:v>0</c:v>
                </c:pt>
                <c:pt idx="10">
                  <c:v>93.069306930693074</c:v>
                </c:pt>
                <c:pt idx="11">
                  <c:v>0.99009900990099009</c:v>
                </c:pt>
                <c:pt idx="12">
                  <c:v>0.99009900990099009</c:v>
                </c:pt>
                <c:pt idx="13">
                  <c:v>4.9504950495049505</c:v>
                </c:pt>
                <c:pt idx="14">
                  <c:v>0</c:v>
                </c:pt>
                <c:pt idx="15">
                  <c:v>73.68421052631578</c:v>
                </c:pt>
                <c:pt idx="16">
                  <c:v>0</c:v>
                </c:pt>
                <c:pt idx="17">
                  <c:v>0</c:v>
                </c:pt>
                <c:pt idx="18">
                  <c:v>26.315789473684209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C-E34C-9EA0-91A0139AD60A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(early_stopping!$B$738:$F$738,early_stopping!$H$738:$L$738,early_stopping!$N$738:$R$738,early_stopping!$T$738:$X$738)</c:f>
              <c:numCache>
                <c:formatCode>0.0</c:formatCode>
                <c:ptCount val="20"/>
                <c:pt idx="0">
                  <c:v>63.333333333333329</c:v>
                </c:pt>
                <c:pt idx="1">
                  <c:v>13.333333333333334</c:v>
                </c:pt>
                <c:pt idx="2">
                  <c:v>0</c:v>
                </c:pt>
                <c:pt idx="3">
                  <c:v>23.333333333333332</c:v>
                </c:pt>
                <c:pt idx="4">
                  <c:v>0</c:v>
                </c:pt>
                <c:pt idx="5">
                  <c:v>83.333333333333343</c:v>
                </c:pt>
                <c:pt idx="6">
                  <c:v>0</c:v>
                </c:pt>
                <c:pt idx="7">
                  <c:v>0</c:v>
                </c:pt>
                <c:pt idx="8">
                  <c:v>16.666666666666664</c:v>
                </c:pt>
                <c:pt idx="9">
                  <c:v>0</c:v>
                </c:pt>
                <c:pt idx="10">
                  <c:v>21.052631578947366</c:v>
                </c:pt>
                <c:pt idx="11">
                  <c:v>5.2631578947368416</c:v>
                </c:pt>
                <c:pt idx="12">
                  <c:v>1.7543859649122806</c:v>
                </c:pt>
                <c:pt idx="13">
                  <c:v>71.929824561403507</c:v>
                </c:pt>
                <c:pt idx="14">
                  <c:v>0</c:v>
                </c:pt>
                <c:pt idx="15">
                  <c:v>54.54545454545454</c:v>
                </c:pt>
                <c:pt idx="16">
                  <c:v>0</c:v>
                </c:pt>
                <c:pt idx="17">
                  <c:v>0</c:v>
                </c:pt>
                <c:pt idx="18">
                  <c:v>45.454545454545453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C-E34C-9EA0-91A0139AD60A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(early_stopping!$B$739:$F$739,early_stopping!$H$739:$L$739,early_stopping!$N$739:$R$739,early_stopping!$T$739:$X$739)</c:f>
              <c:numCache>
                <c:formatCode>0.0</c:formatCode>
                <c:ptCount val="20"/>
                <c:pt idx="0">
                  <c:v>46.296296296296298</c:v>
                </c:pt>
                <c:pt idx="1">
                  <c:v>24.074074074074073</c:v>
                </c:pt>
                <c:pt idx="2">
                  <c:v>22.222222222222221</c:v>
                </c:pt>
                <c:pt idx="3">
                  <c:v>7.4074074074074066</c:v>
                </c:pt>
                <c:pt idx="4">
                  <c:v>0</c:v>
                </c:pt>
                <c:pt idx="5">
                  <c:v>33.333333333333329</c:v>
                </c:pt>
                <c:pt idx="6">
                  <c:v>50</c:v>
                </c:pt>
                <c:pt idx="7">
                  <c:v>16.666666666666664</c:v>
                </c:pt>
                <c:pt idx="8">
                  <c:v>0</c:v>
                </c:pt>
                <c:pt idx="9">
                  <c:v>0</c:v>
                </c:pt>
                <c:pt idx="10">
                  <c:v>25.714285714285712</c:v>
                </c:pt>
                <c:pt idx="11">
                  <c:v>37.142857142857146</c:v>
                </c:pt>
                <c:pt idx="12">
                  <c:v>17.142857142857142</c:v>
                </c:pt>
                <c:pt idx="13">
                  <c:v>20</c:v>
                </c:pt>
                <c:pt idx="14">
                  <c:v>0</c:v>
                </c:pt>
                <c:pt idx="15">
                  <c:v>54.54545454545454</c:v>
                </c:pt>
                <c:pt idx="16">
                  <c:v>27.27272727272727</c:v>
                </c:pt>
                <c:pt idx="17">
                  <c:v>18.181818181818183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9C-E34C-9EA0-91A0139AD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(early_stopping!$B$740:$F$740,early_stopping!$H$740:$L$740,early_stopping!$N$740:$R$740,early_stopping!$T$740:$X$740)</c:f>
              <c:numCache>
                <c:formatCode>0.00</c:formatCode>
                <c:ptCount val="20"/>
                <c:pt idx="0">
                  <c:v>62.630166398282341</c:v>
                </c:pt>
                <c:pt idx="1">
                  <c:v>14.643048845947396</c:v>
                </c:pt>
                <c:pt idx="2" formatCode="0.0">
                  <c:v>8.8566827697262482</c:v>
                </c:pt>
                <c:pt idx="3" formatCode="0.0">
                  <c:v>13.870101986044014</c:v>
                </c:pt>
                <c:pt idx="4" formatCode="0.0">
                  <c:v>0</c:v>
                </c:pt>
                <c:pt idx="5" formatCode="0.0">
                  <c:v>68.055555555555557</c:v>
                </c:pt>
                <c:pt idx="6">
                  <c:v>16.666666666666668</c:v>
                </c:pt>
                <c:pt idx="7" formatCode="0.0">
                  <c:v>5.5555555555555545</c:v>
                </c:pt>
                <c:pt idx="8" formatCode="0.0">
                  <c:v>9.7222222222222214</c:v>
                </c:pt>
                <c:pt idx="9" formatCode="0.0">
                  <c:v>0</c:v>
                </c:pt>
                <c:pt idx="10" formatCode="0.0">
                  <c:v>46.612074741308724</c:v>
                </c:pt>
                <c:pt idx="11">
                  <c:v>14.465371349164991</c:v>
                </c:pt>
                <c:pt idx="12" formatCode="0.0">
                  <c:v>6.6291140392234711</c:v>
                </c:pt>
                <c:pt idx="13" formatCode="0.0">
                  <c:v>32.293439870302819</c:v>
                </c:pt>
                <c:pt idx="14" formatCode="0.0">
                  <c:v>0</c:v>
                </c:pt>
                <c:pt idx="15" formatCode="0.0">
                  <c:v>60.925039872408284</c:v>
                </c:pt>
                <c:pt idx="16">
                  <c:v>9.0909090909090899</c:v>
                </c:pt>
                <c:pt idx="17" formatCode="0.0">
                  <c:v>6.0606060606060614</c:v>
                </c:pt>
                <c:pt idx="18" formatCode="0.0">
                  <c:v>23.923444976076553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9C-E34C-9EA0-91A0139AD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ES Agents 1 &amp;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(early_stopping!$B$745:$F$745,early_stopping!$H$745:$L$745,early_stopping!$N$745:$R$745,early_stopping!$T$745:$X$745)</c:f>
              <c:numCache>
                <c:formatCode>0.0</c:formatCode>
                <c:ptCount val="20"/>
                <c:pt idx="0">
                  <c:v>79.069767441860463</c:v>
                </c:pt>
                <c:pt idx="1">
                  <c:v>11.627906976744185</c:v>
                </c:pt>
                <c:pt idx="2">
                  <c:v>2.3255813953488373</c:v>
                </c:pt>
                <c:pt idx="3">
                  <c:v>6.9767441860465116</c:v>
                </c:pt>
                <c:pt idx="4">
                  <c:v>0</c:v>
                </c:pt>
                <c:pt idx="5">
                  <c:v>66.666666666666657</c:v>
                </c:pt>
                <c:pt idx="6">
                  <c:v>22.222222222222221</c:v>
                </c:pt>
                <c:pt idx="7">
                  <c:v>0</c:v>
                </c:pt>
                <c:pt idx="8">
                  <c:v>11.111111111111111</c:v>
                </c:pt>
                <c:pt idx="9">
                  <c:v>0</c:v>
                </c:pt>
                <c:pt idx="10">
                  <c:v>94.565217391304344</c:v>
                </c:pt>
                <c:pt idx="11">
                  <c:v>2.1739130434782608</c:v>
                </c:pt>
                <c:pt idx="12">
                  <c:v>0</c:v>
                </c:pt>
                <c:pt idx="13">
                  <c:v>3.2608695652173911</c:v>
                </c:pt>
                <c:pt idx="14">
                  <c:v>0</c:v>
                </c:pt>
                <c:pt idx="15">
                  <c:v>84.210526315789465</c:v>
                </c:pt>
                <c:pt idx="16">
                  <c:v>0</c:v>
                </c:pt>
                <c:pt idx="17">
                  <c:v>0</c:v>
                </c:pt>
                <c:pt idx="18">
                  <c:v>15.789473684210526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2-794E-A3AE-D04D56B79E4B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(early_stopping!$B$746:$F$746,early_stopping!$H$746:$L$746,early_stopping!$N$746:$R$746,early_stopping!$T$746:$X$746)</c:f>
              <c:numCache>
                <c:formatCode>0.0</c:formatCode>
                <c:ptCount val="20"/>
                <c:pt idx="0">
                  <c:v>52</c:v>
                </c:pt>
                <c:pt idx="1">
                  <c:v>12</c:v>
                </c:pt>
                <c:pt idx="2">
                  <c:v>8</c:v>
                </c:pt>
                <c:pt idx="3">
                  <c:v>28.000000000000004</c:v>
                </c:pt>
                <c:pt idx="4">
                  <c:v>0</c:v>
                </c:pt>
                <c:pt idx="5">
                  <c:v>85.714285714285708</c:v>
                </c:pt>
                <c:pt idx="6">
                  <c:v>0</c:v>
                </c:pt>
                <c:pt idx="7">
                  <c:v>0</c:v>
                </c:pt>
                <c:pt idx="8">
                  <c:v>14.285714285714285</c:v>
                </c:pt>
                <c:pt idx="9">
                  <c:v>0</c:v>
                </c:pt>
                <c:pt idx="10">
                  <c:v>23.4375</c:v>
                </c:pt>
                <c:pt idx="11">
                  <c:v>3.125</c:v>
                </c:pt>
                <c:pt idx="12">
                  <c:v>0</c:v>
                </c:pt>
                <c:pt idx="13">
                  <c:v>73.4375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2-794E-A3AE-D04D56B79E4B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(early_stopping!$B$747:$F$747,early_stopping!$H$747:$L$747,early_stopping!$N$747:$R$747,early_stopping!$T$747:$X$747)</c:f>
              <c:numCache>
                <c:formatCode>0.0</c:formatCode>
                <c:ptCount val="20"/>
                <c:pt idx="0">
                  <c:v>47.272727272727273</c:v>
                </c:pt>
                <c:pt idx="1">
                  <c:v>16.363636363636363</c:v>
                </c:pt>
                <c:pt idx="2">
                  <c:v>29.09090909090909</c:v>
                </c:pt>
                <c:pt idx="3">
                  <c:v>7.2727272727272725</c:v>
                </c:pt>
                <c:pt idx="4">
                  <c:v>0</c:v>
                </c:pt>
                <c:pt idx="5">
                  <c:v>20</c:v>
                </c:pt>
                <c:pt idx="6">
                  <c:v>60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35.294117647058826</c:v>
                </c:pt>
                <c:pt idx="11">
                  <c:v>32.352941176470587</c:v>
                </c:pt>
                <c:pt idx="12">
                  <c:v>5.8823529411764701</c:v>
                </c:pt>
                <c:pt idx="13">
                  <c:v>26.47058823529412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13.333333333333334</c:v>
                </c:pt>
                <c:pt idx="18">
                  <c:v>6.666666666666667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2-794E-A3AE-D04D56B79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(early_stopping!$B$748:$F$748,early_stopping!$H$748:$L$748,early_stopping!$N$748:$R$748,early_stopping!$T$748:$X$748)</c:f>
              <c:numCache>
                <c:formatCode>0.00</c:formatCode>
                <c:ptCount val="20"/>
                <c:pt idx="0">
                  <c:v>59.447498238195912</c:v>
                </c:pt>
                <c:pt idx="1">
                  <c:v>13.330514446793515</c:v>
                </c:pt>
                <c:pt idx="2" formatCode="0.0">
                  <c:v>13.138830162085975</c:v>
                </c:pt>
                <c:pt idx="3" formatCode="0.0">
                  <c:v>14.083157152924597</c:v>
                </c:pt>
                <c:pt idx="4" formatCode="0.0">
                  <c:v>0</c:v>
                </c:pt>
                <c:pt idx="5" formatCode="0.0">
                  <c:v>57.460317460317448</c:v>
                </c:pt>
                <c:pt idx="6">
                  <c:v>27.407407407407408</c:v>
                </c:pt>
                <c:pt idx="7" formatCode="0.0">
                  <c:v>0</c:v>
                </c:pt>
                <c:pt idx="8" formatCode="0.0">
                  <c:v>15.132275132275131</c:v>
                </c:pt>
                <c:pt idx="9" formatCode="0.0">
                  <c:v>0</c:v>
                </c:pt>
                <c:pt idx="10" formatCode="0.0">
                  <c:v>51.098945012787716</c:v>
                </c:pt>
                <c:pt idx="11">
                  <c:v>12.550618073316281</c:v>
                </c:pt>
                <c:pt idx="12" formatCode="0.0">
                  <c:v>1.9607843137254901</c:v>
                </c:pt>
                <c:pt idx="13" formatCode="0.0">
                  <c:v>34.3896526001705</c:v>
                </c:pt>
                <c:pt idx="14" formatCode="0.0">
                  <c:v>0</c:v>
                </c:pt>
                <c:pt idx="15" formatCode="0.0">
                  <c:v>81.403508771929822</c:v>
                </c:pt>
                <c:pt idx="16">
                  <c:v>0</c:v>
                </c:pt>
                <c:pt idx="17" formatCode="0.0">
                  <c:v>4.4444444444444446</c:v>
                </c:pt>
                <c:pt idx="18" formatCode="0.0">
                  <c:v>14.15204678362573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52-794E-A3AE-D04D56B79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ES Agents 2 &amp;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early_stopping!$A$662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(early_stopping!$B$753:$F$753,early_stopping!$H$753:$L$753,early_stopping!$N$753:$R$753,early_stopping!$T$753:$X$753)</c:f>
              <c:numCache>
                <c:formatCode>0.0</c:formatCode>
                <c:ptCount val="20"/>
                <c:pt idx="0">
                  <c:v>85.714285714285708</c:v>
                </c:pt>
                <c:pt idx="1">
                  <c:v>11.428571428571429</c:v>
                </c:pt>
                <c:pt idx="2">
                  <c:v>0</c:v>
                </c:pt>
                <c:pt idx="3">
                  <c:v>2.8571428571428572</c:v>
                </c:pt>
                <c:pt idx="4">
                  <c:v>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93.181818181818173</c:v>
                </c:pt>
                <c:pt idx="11">
                  <c:v>4.5454545454545459</c:v>
                </c:pt>
                <c:pt idx="12">
                  <c:v>0</c:v>
                </c:pt>
                <c:pt idx="13">
                  <c:v>2.2727272727272729</c:v>
                </c:pt>
                <c:pt idx="14">
                  <c:v>0</c:v>
                </c:pt>
                <c:pt idx="15">
                  <c:v>88.888888888888886</c:v>
                </c:pt>
                <c:pt idx="16">
                  <c:v>0</c:v>
                </c:pt>
                <c:pt idx="17">
                  <c:v>0</c:v>
                </c:pt>
                <c:pt idx="18">
                  <c:v>11.111111111111111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9-6C49-9A73-D44304380F09}"/>
            </c:ext>
          </c:extLst>
        </c:ser>
        <c:ser>
          <c:idx val="1"/>
          <c:order val="1"/>
          <c:tx>
            <c:strRef>
              <c:f>early_stopping!$A$663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(early_stopping!$B$754:$F$754,early_stopping!$H$754:$L$754,early_stopping!$N$754:$R$754,early_stopping!$T$754:$X$754)</c:f>
              <c:numCache>
                <c:formatCode>0.0</c:formatCode>
                <c:ptCount val="20"/>
                <c:pt idx="0">
                  <c:v>48.275862068965516</c:v>
                </c:pt>
                <c:pt idx="1">
                  <c:v>13.793103448275861</c:v>
                </c:pt>
                <c:pt idx="2">
                  <c:v>6.8965517241379306</c:v>
                </c:pt>
                <c:pt idx="3">
                  <c:v>31.03448275862069</c:v>
                </c:pt>
                <c:pt idx="4">
                  <c:v>0</c:v>
                </c:pt>
                <c:pt idx="5">
                  <c:v>83.333333333333343</c:v>
                </c:pt>
                <c:pt idx="6">
                  <c:v>0</c:v>
                </c:pt>
                <c:pt idx="7">
                  <c:v>0</c:v>
                </c:pt>
                <c:pt idx="8">
                  <c:v>16.666666666666664</c:v>
                </c:pt>
                <c:pt idx="9">
                  <c:v>0</c:v>
                </c:pt>
                <c:pt idx="10">
                  <c:v>21.666666666666668</c:v>
                </c:pt>
                <c:pt idx="11">
                  <c:v>5</c:v>
                </c:pt>
                <c:pt idx="12">
                  <c:v>0</c:v>
                </c:pt>
                <c:pt idx="13">
                  <c:v>73.333333333333329</c:v>
                </c:pt>
                <c:pt idx="14">
                  <c:v>0</c:v>
                </c:pt>
                <c:pt idx="15">
                  <c:v>42.857142857142854</c:v>
                </c:pt>
                <c:pt idx="16">
                  <c:v>28.571428571428569</c:v>
                </c:pt>
                <c:pt idx="17">
                  <c:v>0</c:v>
                </c:pt>
                <c:pt idx="18">
                  <c:v>28.571428571428569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9-6C49-9A73-D44304380F09}"/>
            </c:ext>
          </c:extLst>
        </c:ser>
        <c:ser>
          <c:idx val="2"/>
          <c:order val="2"/>
          <c:tx>
            <c:strRef>
              <c:f>early_stopping!$A$664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(early_stopping!$B$660:$F$661,early_stopping!$H$660:$L$661,early_stopping!$N$660:$R$661,early_stopping!$T$660:$X$661)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(early_stopping!$B$755:$F$755,early_stopping!$H$755:$L$755,early_stopping!$N$755:$R$755,early_stopping!$T$755:$X$755)</c:f>
              <c:numCache>
                <c:formatCode>0.0</c:formatCode>
                <c:ptCount val="20"/>
                <c:pt idx="0">
                  <c:v>40.677966101694921</c:v>
                </c:pt>
                <c:pt idx="1">
                  <c:v>25.423728813559322</c:v>
                </c:pt>
                <c:pt idx="2">
                  <c:v>15.254237288135593</c:v>
                </c:pt>
                <c:pt idx="3">
                  <c:v>18.64406779661017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42.857142857142854</c:v>
                </c:pt>
                <c:pt idx="11">
                  <c:v>25.714285714285712</c:v>
                </c:pt>
                <c:pt idx="12">
                  <c:v>8.5714285714285712</c:v>
                </c:pt>
                <c:pt idx="13">
                  <c:v>22.857142857142858</c:v>
                </c:pt>
                <c:pt idx="14">
                  <c:v>0</c:v>
                </c:pt>
                <c:pt idx="15">
                  <c:v>50</c:v>
                </c:pt>
                <c:pt idx="16">
                  <c:v>14.285714285714285</c:v>
                </c:pt>
                <c:pt idx="17">
                  <c:v>21.428571428571427</c:v>
                </c:pt>
                <c:pt idx="18">
                  <c:v>14.285714285714285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9-6C49-9A73-D44304380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early_stopping!$A$665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(early_stopping!$B$756:$F$756,early_stopping!$H$756:$L$756,early_stopping!$N$756:$R$756,early_stopping!$T$756:$X$756)</c:f>
              <c:numCache>
                <c:formatCode>0.00</c:formatCode>
                <c:ptCount val="20"/>
                <c:pt idx="0">
                  <c:v>58.222704628315377</c:v>
                </c:pt>
                <c:pt idx="1">
                  <c:v>16.881801230135537</c:v>
                </c:pt>
                <c:pt idx="2" formatCode="0.0">
                  <c:v>7.3835963374245077</c:v>
                </c:pt>
                <c:pt idx="3" formatCode="0.0">
                  <c:v>17.511897804124573</c:v>
                </c:pt>
                <c:pt idx="4" formatCode="0.0">
                  <c:v>0</c:v>
                </c:pt>
                <c:pt idx="5" formatCode="0.0">
                  <c:v>61.111111111111114</c:v>
                </c:pt>
                <c:pt idx="6">
                  <c:v>16.666666666666668</c:v>
                </c:pt>
                <c:pt idx="7" formatCode="0.0">
                  <c:v>16.666666666666668</c:v>
                </c:pt>
                <c:pt idx="8" formatCode="0.0">
                  <c:v>5.5555555555555545</c:v>
                </c:pt>
                <c:pt idx="9" formatCode="0.0">
                  <c:v>0</c:v>
                </c:pt>
                <c:pt idx="10" formatCode="0.0">
                  <c:v>52.568542568542568</c:v>
                </c:pt>
                <c:pt idx="11">
                  <c:v>11.753246753246751</c:v>
                </c:pt>
                <c:pt idx="12" formatCode="0.0">
                  <c:v>2.8571428571428572</c:v>
                </c:pt>
                <c:pt idx="13" formatCode="0.0">
                  <c:v>32.821067821067821</c:v>
                </c:pt>
                <c:pt idx="14" formatCode="0.0">
                  <c:v>0</c:v>
                </c:pt>
                <c:pt idx="15" formatCode="0.0">
                  <c:v>60.582010582010582</c:v>
                </c:pt>
                <c:pt idx="16">
                  <c:v>14.285714285714285</c:v>
                </c:pt>
                <c:pt idx="17" formatCode="0.0">
                  <c:v>7.1428571428571423</c:v>
                </c:pt>
                <c:pt idx="18" formatCode="0.0">
                  <c:v>17.989417989417991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F9-6C49-9A73-D44304380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baseline="0">
                <a:solidFill>
                  <a:schemeClr val="tx1"/>
                </a:solidFill>
              </a:rPr>
              <a:t>Wrong</a:t>
            </a:r>
            <a:r>
              <a:rPr lang="en-GB" sz="1700" b="1" i="0" u="none" strike="noStrike" kern="1200" baseline="0">
                <a:solidFill>
                  <a:schemeClr val="tx1"/>
                </a:solidFill>
                <a:latin typeface="+mj-lt"/>
              </a:rPr>
              <a:t>→</a:t>
            </a:r>
            <a:r>
              <a:rPr lang="en-GB" sz="1700" b="1" i="0" u="none" strike="noStrike" kern="1200" baseline="0">
                <a:solidFill>
                  <a:schemeClr val="tx1"/>
                </a:solidFill>
              </a:rPr>
              <a:t>Correct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(early_stopping!$AG$662:$AK$662,early_stopping!$AM$662:$AQ$662,early_stopping!$AS$662:$AW$662,early_stopping!$AY$662:$BC$662)</c:f>
              <c:numCache>
                <c:formatCode>0.0</c:formatCode>
                <c:ptCount val="20"/>
                <c:pt idx="0">
                  <c:v>76.536312849162016</c:v>
                </c:pt>
                <c:pt idx="1">
                  <c:v>9.4972067039106136</c:v>
                </c:pt>
                <c:pt idx="2">
                  <c:v>0</c:v>
                </c:pt>
                <c:pt idx="3">
                  <c:v>13.966480446927374</c:v>
                </c:pt>
                <c:pt idx="4">
                  <c:v>0</c:v>
                </c:pt>
                <c:pt idx="5">
                  <c:v>84.375</c:v>
                </c:pt>
                <c:pt idx="6">
                  <c:v>0</c:v>
                </c:pt>
                <c:pt idx="7">
                  <c:v>0</c:v>
                </c:pt>
                <c:pt idx="8">
                  <c:v>15.625</c:v>
                </c:pt>
                <c:pt idx="9">
                  <c:v>0</c:v>
                </c:pt>
                <c:pt idx="10">
                  <c:v>79.166666666666657</c:v>
                </c:pt>
                <c:pt idx="11">
                  <c:v>0.69444444444444442</c:v>
                </c:pt>
                <c:pt idx="12">
                  <c:v>2.083333333333333</c:v>
                </c:pt>
                <c:pt idx="13">
                  <c:v>18.055555555555554</c:v>
                </c:pt>
                <c:pt idx="14">
                  <c:v>0</c:v>
                </c:pt>
                <c:pt idx="15">
                  <c:v>98.333333333333329</c:v>
                </c:pt>
                <c:pt idx="16">
                  <c:v>1.6666666666666667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E-C74A-AF03-ABA22C8568C7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(early_stopping!$AG$663:$AK$663,early_stopping!$AM$663:$AQ$663,early_stopping!$AS$663:$AW$663,early_stopping!$AY$663:$BC$663)</c:f>
              <c:numCache>
                <c:formatCode>0.0</c:formatCode>
                <c:ptCount val="20"/>
                <c:pt idx="0">
                  <c:v>79.666666666666657</c:v>
                </c:pt>
                <c:pt idx="1">
                  <c:v>9.6666666666666661</c:v>
                </c:pt>
                <c:pt idx="2">
                  <c:v>2.5</c:v>
                </c:pt>
                <c:pt idx="3">
                  <c:v>8.1666666666666661</c:v>
                </c:pt>
                <c:pt idx="4">
                  <c:v>0</c:v>
                </c:pt>
                <c:pt idx="5">
                  <c:v>71.875</c:v>
                </c:pt>
                <c:pt idx="6">
                  <c:v>21.875</c:v>
                </c:pt>
                <c:pt idx="7">
                  <c:v>0</c:v>
                </c:pt>
                <c:pt idx="8">
                  <c:v>6.25</c:v>
                </c:pt>
                <c:pt idx="9">
                  <c:v>0</c:v>
                </c:pt>
                <c:pt idx="10">
                  <c:v>80.392156862745097</c:v>
                </c:pt>
                <c:pt idx="11">
                  <c:v>11.76470588235294</c:v>
                </c:pt>
                <c:pt idx="12">
                  <c:v>0</c:v>
                </c:pt>
                <c:pt idx="13">
                  <c:v>7.8431372549019605</c:v>
                </c:pt>
                <c:pt idx="14">
                  <c:v>0</c:v>
                </c:pt>
                <c:pt idx="15">
                  <c:v>80.26315789473685</c:v>
                </c:pt>
                <c:pt idx="16">
                  <c:v>7.8947368421052628</c:v>
                </c:pt>
                <c:pt idx="17">
                  <c:v>5.2631578947368416</c:v>
                </c:pt>
                <c:pt idx="18">
                  <c:v>6.5789473684210522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2E-C74A-AF03-ABA22C8568C7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(early_stopping!$AG$665:$AK$665,early_stopping!$AM$665:$AQ$665,early_stopping!$AS$665:$AW$665,early_stopping!$AY$665:$BC$665)</c:f>
              <c:numCache>
                <c:formatCode>0.0</c:formatCode>
                <c:ptCount val="20"/>
                <c:pt idx="0">
                  <c:v>27.835051546391753</c:v>
                </c:pt>
                <c:pt idx="1">
                  <c:v>35.051546391752574</c:v>
                </c:pt>
                <c:pt idx="2">
                  <c:v>22.680412371134022</c:v>
                </c:pt>
                <c:pt idx="3">
                  <c:v>14.432989690721648</c:v>
                </c:pt>
                <c:pt idx="4">
                  <c:v>0</c:v>
                </c:pt>
                <c:pt idx="5">
                  <c:v>62.5</c:v>
                </c:pt>
                <c:pt idx="6">
                  <c:v>0</c:v>
                </c:pt>
                <c:pt idx="7">
                  <c:v>25</c:v>
                </c:pt>
                <c:pt idx="8">
                  <c:v>12.5</c:v>
                </c:pt>
                <c:pt idx="9">
                  <c:v>0</c:v>
                </c:pt>
                <c:pt idx="10">
                  <c:v>43.137254901960787</c:v>
                </c:pt>
                <c:pt idx="11">
                  <c:v>25.490196078431371</c:v>
                </c:pt>
                <c:pt idx="12">
                  <c:v>13.725490196078432</c:v>
                </c:pt>
                <c:pt idx="13">
                  <c:v>17.647058823529413</c:v>
                </c:pt>
                <c:pt idx="14">
                  <c:v>0</c:v>
                </c:pt>
                <c:pt idx="15">
                  <c:v>48.148148148148145</c:v>
                </c:pt>
                <c:pt idx="16">
                  <c:v>29.629629629629626</c:v>
                </c:pt>
                <c:pt idx="17">
                  <c:v>18.518518518518519</c:v>
                </c:pt>
                <c:pt idx="18">
                  <c:v>3.7037037037037033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2E-C74A-AF03-ABA22C8568C7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(early_stopping!$AG$664:$AK$664,early_stopping!$AM$664:$AQ$664,early_stopping!$AS$664:$AW$664,early_stopping!$AY$664:$BC$664)</c:f>
              <c:numCache>
                <c:formatCode>0.0</c:formatCode>
                <c:ptCount val="20"/>
                <c:pt idx="0">
                  <c:v>77.777777777777786</c:v>
                </c:pt>
                <c:pt idx="1">
                  <c:v>13.333333333333334</c:v>
                </c:pt>
                <c:pt idx="2">
                  <c:v>2.2222222222222223</c:v>
                </c:pt>
                <c:pt idx="3">
                  <c:v>6.666666666666667</c:v>
                </c:pt>
                <c:pt idx="4">
                  <c:v>0</c:v>
                </c:pt>
                <c:pt idx="5">
                  <c:v>42.857142857142854</c:v>
                </c:pt>
                <c:pt idx="6">
                  <c:v>0</c:v>
                </c:pt>
                <c:pt idx="7">
                  <c:v>0</c:v>
                </c:pt>
                <c:pt idx="8">
                  <c:v>57.142857142857139</c:v>
                </c:pt>
                <c:pt idx="9">
                  <c:v>0</c:v>
                </c:pt>
                <c:pt idx="10">
                  <c:v>76.363636363636374</c:v>
                </c:pt>
                <c:pt idx="11">
                  <c:v>7.2727272727272725</c:v>
                </c:pt>
                <c:pt idx="12">
                  <c:v>12.727272727272727</c:v>
                </c:pt>
                <c:pt idx="13">
                  <c:v>3.6363636363636362</c:v>
                </c:pt>
                <c:pt idx="14">
                  <c:v>0</c:v>
                </c:pt>
                <c:pt idx="15">
                  <c:v>83.870967741935488</c:v>
                </c:pt>
                <c:pt idx="16">
                  <c:v>9.67741935483871</c:v>
                </c:pt>
                <c:pt idx="17">
                  <c:v>3.225806451612903</c:v>
                </c:pt>
                <c:pt idx="18">
                  <c:v>3.225806451612903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2E-C74A-AF03-ABA22C856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(early_stopping!$AG$666:$AK$666,early_stopping!$AM$666:$AQ$666,early_stopping!$AS$666:$AW$666,early_stopping!$AY$666:$BC$666)</c:f>
              <c:numCache>
                <c:formatCode>0.00</c:formatCode>
                <c:ptCount val="20"/>
                <c:pt idx="0">
                  <c:v>65.453952209999557</c:v>
                </c:pt>
                <c:pt idx="1">
                  <c:v>16.887188273915797</c:v>
                </c:pt>
                <c:pt idx="2" formatCode="0.0">
                  <c:v>6.8506586483390608</c:v>
                </c:pt>
                <c:pt idx="3" formatCode="0.0">
                  <c:v>10.80820086774559</c:v>
                </c:pt>
                <c:pt idx="4" formatCode="0.0">
                  <c:v>0</c:v>
                </c:pt>
                <c:pt idx="5" formatCode="0.0">
                  <c:v>65.401785714285722</c:v>
                </c:pt>
                <c:pt idx="6">
                  <c:v>5.46875</c:v>
                </c:pt>
                <c:pt idx="7" formatCode="0.0">
                  <c:v>6.25</c:v>
                </c:pt>
                <c:pt idx="8" formatCode="0.0">
                  <c:v>22.879464285714285</c:v>
                </c:pt>
                <c:pt idx="9" formatCode="0.0">
                  <c:v>0</c:v>
                </c:pt>
                <c:pt idx="10" formatCode="0.0">
                  <c:v>69.764928698752229</c:v>
                </c:pt>
                <c:pt idx="11">
                  <c:v>11.305518419489008</c:v>
                </c:pt>
                <c:pt idx="12" formatCode="0.0">
                  <c:v>7.1340240641711228</c:v>
                </c:pt>
                <c:pt idx="13" formatCode="0.0">
                  <c:v>11.795528817587641</c:v>
                </c:pt>
                <c:pt idx="14" formatCode="0.0">
                  <c:v>0</c:v>
                </c:pt>
                <c:pt idx="15" formatCode="0.0">
                  <c:v>77.653901779538458</c:v>
                </c:pt>
                <c:pt idx="16">
                  <c:v>12.217113123310067</c:v>
                </c:pt>
                <c:pt idx="17" formatCode="0.0">
                  <c:v>6.7518707162170664</c:v>
                </c:pt>
                <c:pt idx="18" formatCode="0.0">
                  <c:v>3.3771143809344144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C74A-AF03-ABA22C856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baseline="0">
                <a:solidFill>
                  <a:schemeClr val="tx1"/>
                </a:solidFill>
              </a:rPr>
              <a:t>Wrong</a:t>
            </a:r>
            <a:r>
              <a:rPr lang="en-GB" sz="1700" b="1" i="0" u="none" strike="noStrike" kern="1200" baseline="0">
                <a:solidFill>
                  <a:schemeClr val="tx1"/>
                </a:solidFill>
                <a:latin typeface="+mj-lt"/>
              </a:rPr>
              <a:t>→</a:t>
            </a:r>
            <a:r>
              <a:rPr lang="en-GB" sz="1700" b="1" i="0" u="none" strike="noStrike" kern="1200" baseline="0">
                <a:solidFill>
                  <a:schemeClr val="tx1"/>
                </a:solidFill>
              </a:rPr>
              <a:t>Correct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(early_stopping!$AG$671:$AK$671,early_stopping!$AM$671:$AQ$671,early_stopping!$AS$671:$AW$671,early_stopping!$AY$671:$BC$671)</c:f>
              <c:numCache>
                <c:formatCode>0.0</c:formatCode>
                <c:ptCount val="20"/>
                <c:pt idx="0">
                  <c:v>75.531914893617028</c:v>
                </c:pt>
                <c:pt idx="1">
                  <c:v>10.106382978723403</c:v>
                </c:pt>
                <c:pt idx="2">
                  <c:v>1.0638297872340425</c:v>
                </c:pt>
                <c:pt idx="3">
                  <c:v>13.297872340425531</c:v>
                </c:pt>
                <c:pt idx="4">
                  <c:v>0</c:v>
                </c:pt>
                <c:pt idx="5">
                  <c:v>82.758620689655174</c:v>
                </c:pt>
                <c:pt idx="6">
                  <c:v>10.344827586206897</c:v>
                </c:pt>
                <c:pt idx="7">
                  <c:v>3.4482758620689653</c:v>
                </c:pt>
                <c:pt idx="8">
                  <c:v>3.4482758620689653</c:v>
                </c:pt>
                <c:pt idx="9">
                  <c:v>0</c:v>
                </c:pt>
                <c:pt idx="10">
                  <c:v>76.969696969696969</c:v>
                </c:pt>
                <c:pt idx="11">
                  <c:v>4.8484848484848486</c:v>
                </c:pt>
                <c:pt idx="12">
                  <c:v>2.4242424242424243</c:v>
                </c:pt>
                <c:pt idx="13">
                  <c:v>15.757575757575756</c:v>
                </c:pt>
                <c:pt idx="14">
                  <c:v>0</c:v>
                </c:pt>
                <c:pt idx="15">
                  <c:v>98.412698412698404</c:v>
                </c:pt>
                <c:pt idx="16">
                  <c:v>1.5873015873015872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7-4140-B925-158D9C3313F9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(early_stopping!$AG$672:$AK$672,early_stopping!$AM$672:$AQ$672,early_stopping!$AS$672:$AW$672,early_stopping!$AY$672:$BC$672)</c:f>
              <c:numCache>
                <c:formatCode>0.0</c:formatCode>
                <c:ptCount val="20"/>
                <c:pt idx="0">
                  <c:v>74.624373956594326</c:v>
                </c:pt>
                <c:pt idx="1">
                  <c:v>13.18864774624374</c:v>
                </c:pt>
                <c:pt idx="2">
                  <c:v>2.003338898163606</c:v>
                </c:pt>
                <c:pt idx="3">
                  <c:v>10.183639398998331</c:v>
                </c:pt>
                <c:pt idx="4">
                  <c:v>0</c:v>
                </c:pt>
                <c:pt idx="5">
                  <c:v>64.86486486486487</c:v>
                </c:pt>
                <c:pt idx="6">
                  <c:v>27.027027027027028</c:v>
                </c:pt>
                <c:pt idx="7">
                  <c:v>0</c:v>
                </c:pt>
                <c:pt idx="8">
                  <c:v>8.1081081081081088</c:v>
                </c:pt>
                <c:pt idx="9">
                  <c:v>0</c:v>
                </c:pt>
                <c:pt idx="10">
                  <c:v>75.438596491228068</c:v>
                </c:pt>
                <c:pt idx="11">
                  <c:v>10.526315789473683</c:v>
                </c:pt>
                <c:pt idx="12">
                  <c:v>0</c:v>
                </c:pt>
                <c:pt idx="13">
                  <c:v>14.035087719298245</c:v>
                </c:pt>
                <c:pt idx="14">
                  <c:v>0</c:v>
                </c:pt>
                <c:pt idx="15">
                  <c:v>73.170731707317074</c:v>
                </c:pt>
                <c:pt idx="16">
                  <c:v>13.414634146341465</c:v>
                </c:pt>
                <c:pt idx="17">
                  <c:v>4.8780487804878048</c:v>
                </c:pt>
                <c:pt idx="18">
                  <c:v>8.536585365853659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7-4140-B925-158D9C3313F9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(early_stopping!$AG$674:$AK$674,early_stopping!$AM$674:$AQ$674,early_stopping!$AS$674:$AW$674,early_stopping!$AY$674:$BC$674)</c:f>
              <c:numCache>
                <c:formatCode>0.0</c:formatCode>
                <c:ptCount val="20"/>
                <c:pt idx="0">
                  <c:v>22.222222222222221</c:v>
                </c:pt>
                <c:pt idx="1">
                  <c:v>35.353535353535356</c:v>
                </c:pt>
                <c:pt idx="2">
                  <c:v>21.212121212121211</c:v>
                </c:pt>
                <c:pt idx="3">
                  <c:v>21.212121212121211</c:v>
                </c:pt>
                <c:pt idx="4">
                  <c:v>0</c:v>
                </c:pt>
                <c:pt idx="5">
                  <c:v>64.285714285714292</c:v>
                </c:pt>
                <c:pt idx="6">
                  <c:v>7.1428571428571423</c:v>
                </c:pt>
                <c:pt idx="7">
                  <c:v>28.571428571428569</c:v>
                </c:pt>
                <c:pt idx="8">
                  <c:v>0</c:v>
                </c:pt>
                <c:pt idx="9">
                  <c:v>0</c:v>
                </c:pt>
                <c:pt idx="10">
                  <c:v>45.333333333333329</c:v>
                </c:pt>
                <c:pt idx="11">
                  <c:v>18.666666666666668</c:v>
                </c:pt>
                <c:pt idx="12">
                  <c:v>10.666666666666668</c:v>
                </c:pt>
                <c:pt idx="13">
                  <c:v>25.333333333333336</c:v>
                </c:pt>
                <c:pt idx="14">
                  <c:v>0</c:v>
                </c:pt>
                <c:pt idx="15">
                  <c:v>33.333333333333329</c:v>
                </c:pt>
                <c:pt idx="16">
                  <c:v>30</c:v>
                </c:pt>
                <c:pt idx="17">
                  <c:v>20</c:v>
                </c:pt>
                <c:pt idx="18">
                  <c:v>16.666666666666664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17-4140-B925-158D9C3313F9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(early_stopping!$AG$673:$AK$673,early_stopping!$AM$673:$AQ$673,early_stopping!$AS$673:$AW$673,early_stopping!$AY$673:$BC$673)</c:f>
              <c:numCache>
                <c:formatCode>0.0</c:formatCode>
                <c:ptCount val="20"/>
                <c:pt idx="0">
                  <c:v>58.620689655172406</c:v>
                </c:pt>
                <c:pt idx="1">
                  <c:v>31.03448275862069</c:v>
                </c:pt>
                <c:pt idx="2">
                  <c:v>6.8965517241379306</c:v>
                </c:pt>
                <c:pt idx="3">
                  <c:v>3.4482758620689653</c:v>
                </c:pt>
                <c:pt idx="4">
                  <c:v>0</c:v>
                </c:pt>
                <c:pt idx="5">
                  <c:v>50</c:v>
                </c:pt>
                <c:pt idx="6">
                  <c:v>25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69.642857142857139</c:v>
                </c:pt>
                <c:pt idx="11">
                  <c:v>10.714285714285714</c:v>
                </c:pt>
                <c:pt idx="12">
                  <c:v>12.5</c:v>
                </c:pt>
                <c:pt idx="13">
                  <c:v>7.1428571428571423</c:v>
                </c:pt>
                <c:pt idx="14">
                  <c:v>0</c:v>
                </c:pt>
                <c:pt idx="15">
                  <c:v>85.294117647058826</c:v>
                </c:pt>
                <c:pt idx="16">
                  <c:v>14.705882352941178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17-4140-B925-158D9C331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(early_stopping!$AG$675:$AK$675,early_stopping!$AM$675:$AQ$675,early_stopping!$AS$675:$AW$675,early_stopping!$AY$675:$BC$675)</c:f>
              <c:numCache>
                <c:formatCode>0.00</c:formatCode>
                <c:ptCount val="20"/>
                <c:pt idx="0">
                  <c:v>57.749800181901499</c:v>
                </c:pt>
                <c:pt idx="1">
                  <c:v>22.420762209280795</c:v>
                </c:pt>
                <c:pt idx="2" formatCode="0.0">
                  <c:v>7.7939604054141975</c:v>
                </c:pt>
                <c:pt idx="3" formatCode="0.0">
                  <c:v>12.035477203403509</c:v>
                </c:pt>
                <c:pt idx="4" formatCode="0.0">
                  <c:v>0</c:v>
                </c:pt>
                <c:pt idx="5" formatCode="0.0">
                  <c:v>65.477299960058588</c:v>
                </c:pt>
                <c:pt idx="6">
                  <c:v>17.378677939022765</c:v>
                </c:pt>
                <c:pt idx="7" formatCode="0.0">
                  <c:v>8.0049261083743843</c:v>
                </c:pt>
                <c:pt idx="8" formatCode="0.0">
                  <c:v>9.1390959925442683</c:v>
                </c:pt>
                <c:pt idx="9" formatCode="0.0">
                  <c:v>0</c:v>
                </c:pt>
                <c:pt idx="10" formatCode="0.0">
                  <c:v>66.846120984278883</c:v>
                </c:pt>
                <c:pt idx="11">
                  <c:v>11.188938254727727</c:v>
                </c:pt>
                <c:pt idx="12" formatCode="0.0">
                  <c:v>6.3977272727272734</c:v>
                </c:pt>
                <c:pt idx="13" formatCode="0.0">
                  <c:v>15.56721348826612</c:v>
                </c:pt>
                <c:pt idx="14" formatCode="0.0">
                  <c:v>0</c:v>
                </c:pt>
                <c:pt idx="15" formatCode="0.0">
                  <c:v>72.552720275101905</c:v>
                </c:pt>
                <c:pt idx="16">
                  <c:v>14.926954521646056</c:v>
                </c:pt>
                <c:pt idx="17" formatCode="0.0">
                  <c:v>6.2195121951219514</c:v>
                </c:pt>
                <c:pt idx="18" formatCode="0.0">
                  <c:v>6.3008130081300813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17-4140-B925-158D9C331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baseline="0">
                <a:solidFill>
                  <a:schemeClr val="tx1"/>
                </a:solidFill>
              </a:rPr>
              <a:t>Wrong</a:t>
            </a:r>
            <a:r>
              <a:rPr lang="en-GB" sz="1700" b="1" i="0" u="none" strike="noStrike" kern="1200" baseline="0">
                <a:solidFill>
                  <a:schemeClr val="tx1"/>
                </a:solidFill>
                <a:latin typeface="+mj-lt"/>
              </a:rPr>
              <a:t>→</a:t>
            </a:r>
            <a:r>
              <a:rPr lang="en-GB" sz="1700" b="1" i="0" u="none" strike="noStrike" kern="1200" baseline="0">
                <a:solidFill>
                  <a:schemeClr val="tx1"/>
                </a:solidFill>
              </a:rPr>
              <a:t>Correct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(early_stopping!$AG$681:$AK$681,early_stopping!$AM$681:$AQ$681,early_stopping!$AS$681:$AW$681,early_stopping!$AY$681:$BC$681)</c:f>
              <c:numCache>
                <c:formatCode>0.0</c:formatCode>
                <c:ptCount val="20"/>
                <c:pt idx="0">
                  <c:v>79.532163742690059</c:v>
                </c:pt>
                <c:pt idx="1">
                  <c:v>9.3567251461988299</c:v>
                </c:pt>
                <c:pt idx="2">
                  <c:v>0</c:v>
                </c:pt>
                <c:pt idx="3">
                  <c:v>11.111111111111111</c:v>
                </c:pt>
                <c:pt idx="4">
                  <c:v>0</c:v>
                </c:pt>
                <c:pt idx="5">
                  <c:v>77.777777777777786</c:v>
                </c:pt>
                <c:pt idx="6">
                  <c:v>3.7037037037037033</c:v>
                </c:pt>
                <c:pt idx="7">
                  <c:v>3.7037037037037033</c:v>
                </c:pt>
                <c:pt idx="8">
                  <c:v>14.814814814814813</c:v>
                </c:pt>
                <c:pt idx="9">
                  <c:v>0</c:v>
                </c:pt>
                <c:pt idx="10">
                  <c:v>75</c:v>
                </c:pt>
                <c:pt idx="11">
                  <c:v>4.7619047619047619</c:v>
                </c:pt>
                <c:pt idx="12">
                  <c:v>0.59523809523809523</c:v>
                </c:pt>
                <c:pt idx="13">
                  <c:v>19.642857142857142</c:v>
                </c:pt>
                <c:pt idx="14">
                  <c:v>0</c:v>
                </c:pt>
                <c:pt idx="15">
                  <c:v>96.721311475409834</c:v>
                </c:pt>
                <c:pt idx="16">
                  <c:v>3.278688524590164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A-AA46-A8B8-DD042E93C967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(early_stopping!$AG$682:$AK$682,early_stopping!$AM$682:$AQ$682,early_stopping!$AS$682:$AW$682,early_stopping!$AY$682:$BC$682)</c:f>
              <c:numCache>
                <c:formatCode>0.0</c:formatCode>
                <c:ptCount val="20"/>
                <c:pt idx="0">
                  <c:v>74.367622259696461</c:v>
                </c:pt>
                <c:pt idx="1">
                  <c:v>13.490725126475548</c:v>
                </c:pt>
                <c:pt idx="2">
                  <c:v>2.5295109612141653</c:v>
                </c:pt>
                <c:pt idx="3">
                  <c:v>9.6121416526138272</c:v>
                </c:pt>
                <c:pt idx="4">
                  <c:v>0</c:v>
                </c:pt>
                <c:pt idx="5">
                  <c:v>54.54545454545454</c:v>
                </c:pt>
                <c:pt idx="6">
                  <c:v>20.454545454545457</c:v>
                </c:pt>
                <c:pt idx="7">
                  <c:v>6.8181818181818175</c:v>
                </c:pt>
                <c:pt idx="8">
                  <c:v>18.181818181818183</c:v>
                </c:pt>
                <c:pt idx="9">
                  <c:v>0</c:v>
                </c:pt>
                <c:pt idx="10">
                  <c:v>89.130434782608688</c:v>
                </c:pt>
                <c:pt idx="11">
                  <c:v>4.3478260869565215</c:v>
                </c:pt>
                <c:pt idx="12">
                  <c:v>2.1739130434782608</c:v>
                </c:pt>
                <c:pt idx="13">
                  <c:v>4.3478260869565215</c:v>
                </c:pt>
                <c:pt idx="14">
                  <c:v>0</c:v>
                </c:pt>
                <c:pt idx="15">
                  <c:v>71.951219512195124</c:v>
                </c:pt>
                <c:pt idx="16">
                  <c:v>15.853658536585366</c:v>
                </c:pt>
                <c:pt idx="17">
                  <c:v>8.536585365853659</c:v>
                </c:pt>
                <c:pt idx="18">
                  <c:v>3.6585365853658534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A-AA46-A8B8-DD042E93C967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(early_stopping!$AG$684:$AK$684,early_stopping!$AM$684:$AQ$684,early_stopping!$AS$684:$AW$684,early_stopping!$AY$684:$BC$684)</c:f>
              <c:numCache>
                <c:formatCode>0.0</c:formatCode>
                <c:ptCount val="20"/>
                <c:pt idx="0">
                  <c:v>20</c:v>
                </c:pt>
                <c:pt idx="1">
                  <c:v>34</c:v>
                </c:pt>
                <c:pt idx="2">
                  <c:v>24</c:v>
                </c:pt>
                <c:pt idx="3">
                  <c:v>22</c:v>
                </c:pt>
                <c:pt idx="4">
                  <c:v>0</c:v>
                </c:pt>
                <c:pt idx="5">
                  <c:v>58.82352941176471</c:v>
                </c:pt>
                <c:pt idx="6">
                  <c:v>23.52941176470588</c:v>
                </c:pt>
                <c:pt idx="7">
                  <c:v>11.76470588235294</c:v>
                </c:pt>
                <c:pt idx="8">
                  <c:v>5.8823529411764701</c:v>
                </c:pt>
                <c:pt idx="9">
                  <c:v>0</c:v>
                </c:pt>
                <c:pt idx="10">
                  <c:v>35</c:v>
                </c:pt>
                <c:pt idx="11">
                  <c:v>26.666666666666668</c:v>
                </c:pt>
                <c:pt idx="12">
                  <c:v>10</c:v>
                </c:pt>
                <c:pt idx="13">
                  <c:v>28.333333333333332</c:v>
                </c:pt>
                <c:pt idx="14">
                  <c:v>0</c:v>
                </c:pt>
                <c:pt idx="15">
                  <c:v>26.923076923076923</c:v>
                </c:pt>
                <c:pt idx="16">
                  <c:v>38.461538461538467</c:v>
                </c:pt>
                <c:pt idx="17">
                  <c:v>26.923076923076923</c:v>
                </c:pt>
                <c:pt idx="18">
                  <c:v>7.6923076923076925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A-AA46-A8B8-DD042E93C967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(early_stopping!$AG$683:$AK$683,early_stopping!$AM$683:$AQ$683,early_stopping!$AS$683:$AW$683,early_stopping!$AY$683:$BC$683)</c:f>
              <c:numCache>
                <c:formatCode>0.0</c:formatCode>
                <c:ptCount val="20"/>
                <c:pt idx="0">
                  <c:v>75.862068965517238</c:v>
                </c:pt>
                <c:pt idx="1">
                  <c:v>20.689655172413794</c:v>
                </c:pt>
                <c:pt idx="2">
                  <c:v>0</c:v>
                </c:pt>
                <c:pt idx="3">
                  <c:v>3.4482758620689653</c:v>
                </c:pt>
                <c:pt idx="4">
                  <c:v>0</c:v>
                </c:pt>
                <c:pt idx="5">
                  <c:v>50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0</c:v>
                </c:pt>
                <c:pt idx="10">
                  <c:v>71.698113207547166</c:v>
                </c:pt>
                <c:pt idx="11">
                  <c:v>22.641509433962266</c:v>
                </c:pt>
                <c:pt idx="12">
                  <c:v>1.8867924528301887</c:v>
                </c:pt>
                <c:pt idx="13">
                  <c:v>3.7735849056603774</c:v>
                </c:pt>
                <c:pt idx="14">
                  <c:v>0</c:v>
                </c:pt>
                <c:pt idx="15">
                  <c:v>90.322580645161281</c:v>
                </c:pt>
                <c:pt idx="16">
                  <c:v>9.67741935483871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A-AA46-A8B8-DD042E93C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(early_stopping!$AG$685:$AK$685,early_stopping!$AM$685:$AQ$685,early_stopping!$AS$685:$AW$685,early_stopping!$AY$685:$BC$685)</c:f>
              <c:numCache>
                <c:formatCode>0.00</c:formatCode>
                <c:ptCount val="20"/>
                <c:pt idx="0">
                  <c:v>62.44046374197594</c:v>
                </c:pt>
                <c:pt idx="1">
                  <c:v>19.384276361272043</c:v>
                </c:pt>
                <c:pt idx="2" formatCode="0.0">
                  <c:v>6.6323777403035411</c:v>
                </c:pt>
                <c:pt idx="3" formatCode="0.0">
                  <c:v>11.542882156448474</c:v>
                </c:pt>
                <c:pt idx="4" formatCode="0.0">
                  <c:v>0</c:v>
                </c:pt>
                <c:pt idx="5" formatCode="0.0">
                  <c:v>60.286690433749257</c:v>
                </c:pt>
                <c:pt idx="6">
                  <c:v>11.92191523073876</c:v>
                </c:pt>
                <c:pt idx="7" formatCode="0.0">
                  <c:v>5.5716478510596152</c:v>
                </c:pt>
                <c:pt idx="8" formatCode="0.0">
                  <c:v>22.219746484452365</c:v>
                </c:pt>
                <c:pt idx="9" formatCode="0.0">
                  <c:v>0</c:v>
                </c:pt>
                <c:pt idx="10" formatCode="0.0">
                  <c:v>67.707136997538967</c:v>
                </c:pt>
                <c:pt idx="11">
                  <c:v>14.604476737372554</c:v>
                </c:pt>
                <c:pt idx="12" formatCode="0.0">
                  <c:v>3.6639858978866364</c:v>
                </c:pt>
                <c:pt idx="13" formatCode="0.0">
                  <c:v>14.024400367201842</c:v>
                </c:pt>
                <c:pt idx="14" formatCode="0.0">
                  <c:v>0</c:v>
                </c:pt>
                <c:pt idx="15" formatCode="0.0">
                  <c:v>71.479547138960783</c:v>
                </c:pt>
                <c:pt idx="16">
                  <c:v>16.817826219388177</c:v>
                </c:pt>
                <c:pt idx="17" formatCode="0.0">
                  <c:v>8.8649155722326451</c:v>
                </c:pt>
                <c:pt idx="18" formatCode="0.0">
                  <c:v>2.8377110694183862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FA-AA46-A8B8-DD042E93C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Correct→Wrong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(early_stopping!$AG$690:$AK$690,early_stopping!$AM$690:$AQ$690,early_stopping!$AS$690:$AW$690,early_stopping!$AY$690:$BC$690)</c:f>
              <c:numCache>
                <c:formatCode>0.0</c:formatCode>
                <c:ptCount val="20"/>
                <c:pt idx="0">
                  <c:v>88.732394366197184</c:v>
                </c:pt>
                <c:pt idx="1">
                  <c:v>7.042253521126761</c:v>
                </c:pt>
                <c:pt idx="2">
                  <c:v>1.4084507042253522</c:v>
                </c:pt>
                <c:pt idx="3">
                  <c:v>2.8169014084507045</c:v>
                </c:pt>
                <c:pt idx="4">
                  <c:v>0</c:v>
                </c:pt>
                <c:pt idx="5">
                  <c:v>75</c:v>
                </c:pt>
                <c:pt idx="6">
                  <c:v>12.5</c:v>
                </c:pt>
                <c:pt idx="7">
                  <c:v>0</c:v>
                </c:pt>
                <c:pt idx="8">
                  <c:v>12.5</c:v>
                </c:pt>
                <c:pt idx="9">
                  <c:v>0</c:v>
                </c:pt>
                <c:pt idx="10">
                  <c:v>95.360824742268051</c:v>
                </c:pt>
                <c:pt idx="11">
                  <c:v>1.0309278350515463</c:v>
                </c:pt>
                <c:pt idx="12">
                  <c:v>0</c:v>
                </c:pt>
                <c:pt idx="13">
                  <c:v>3.608247422680412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8-6B45-B587-E5D734316FE9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(early_stopping!$AG$691:$AK$691,early_stopping!$AM$691:$AQ$691,early_stopping!$AS$691:$AW$691,early_stopping!$AY$691:$BC$691)</c:f>
              <c:numCache>
                <c:formatCode>0.0</c:formatCode>
                <c:ptCount val="20"/>
                <c:pt idx="0">
                  <c:v>62</c:v>
                </c:pt>
                <c:pt idx="1">
                  <c:v>14.000000000000002</c:v>
                </c:pt>
                <c:pt idx="2">
                  <c:v>6</c:v>
                </c:pt>
                <c:pt idx="3">
                  <c:v>18</c:v>
                </c:pt>
                <c:pt idx="4">
                  <c:v>0</c:v>
                </c:pt>
                <c:pt idx="5">
                  <c:v>80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24.324324324324326</c:v>
                </c:pt>
                <c:pt idx="11">
                  <c:v>2.7027027027027026</c:v>
                </c:pt>
                <c:pt idx="12">
                  <c:v>0</c:v>
                </c:pt>
                <c:pt idx="13">
                  <c:v>72.072072072072075</c:v>
                </c:pt>
                <c:pt idx="14">
                  <c:v>0.90090090090090091</c:v>
                </c:pt>
                <c:pt idx="15">
                  <c:v>50</c:v>
                </c:pt>
                <c:pt idx="16">
                  <c:v>5</c:v>
                </c:pt>
                <c:pt idx="17">
                  <c:v>5</c:v>
                </c:pt>
                <c:pt idx="18">
                  <c:v>40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58-6B45-B587-E5D734316FE9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(early_stopping!$AG$693:$AK$693,early_stopping!$AM$693:$AQ$693,early_stopping!$AS$693:$AW$693,early_stopping!$AY$693:$BC$693)</c:f>
              <c:numCache>
                <c:formatCode>0.0</c:formatCode>
                <c:ptCount val="20"/>
                <c:pt idx="0">
                  <c:v>35.374149659863946</c:v>
                </c:pt>
                <c:pt idx="1">
                  <c:v>27.89115646258503</c:v>
                </c:pt>
                <c:pt idx="2">
                  <c:v>29.931972789115648</c:v>
                </c:pt>
                <c:pt idx="3">
                  <c:v>6.8027210884353746</c:v>
                </c:pt>
                <c:pt idx="4">
                  <c:v>0</c:v>
                </c:pt>
                <c:pt idx="5">
                  <c:v>22.222222222222221</c:v>
                </c:pt>
                <c:pt idx="6">
                  <c:v>55.555555555555557</c:v>
                </c:pt>
                <c:pt idx="7">
                  <c:v>11.111111111111111</c:v>
                </c:pt>
                <c:pt idx="8">
                  <c:v>11.111111111111111</c:v>
                </c:pt>
                <c:pt idx="9">
                  <c:v>0</c:v>
                </c:pt>
                <c:pt idx="10">
                  <c:v>32.467532467532465</c:v>
                </c:pt>
                <c:pt idx="11">
                  <c:v>25.97402597402597</c:v>
                </c:pt>
                <c:pt idx="12">
                  <c:v>15.584415584415584</c:v>
                </c:pt>
                <c:pt idx="13">
                  <c:v>25.97402597402597</c:v>
                </c:pt>
                <c:pt idx="14">
                  <c:v>0</c:v>
                </c:pt>
                <c:pt idx="15">
                  <c:v>45.161290322580641</c:v>
                </c:pt>
                <c:pt idx="16">
                  <c:v>35.483870967741936</c:v>
                </c:pt>
                <c:pt idx="17">
                  <c:v>19.35483870967742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58-6B45-B587-E5D734316FE9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(early_stopping!$AG$692:$AK$692,early_stopping!$AM$692:$AQ$692,early_stopping!$AS$692:$AW$692,early_stopping!$AY$692:$BC$692)</c:f>
              <c:numCache>
                <c:formatCode>0.0</c:formatCode>
                <c:ptCount val="20"/>
                <c:pt idx="0">
                  <c:v>37.209302325581397</c:v>
                </c:pt>
                <c:pt idx="1">
                  <c:v>8.1395348837209305</c:v>
                </c:pt>
                <c:pt idx="2">
                  <c:v>3.4883720930232558</c:v>
                </c:pt>
                <c:pt idx="3">
                  <c:v>51.162790697674424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8.3333333333333321</c:v>
                </c:pt>
                <c:pt idx="8">
                  <c:v>66.666666666666657</c:v>
                </c:pt>
                <c:pt idx="9">
                  <c:v>0</c:v>
                </c:pt>
                <c:pt idx="10">
                  <c:v>50</c:v>
                </c:pt>
                <c:pt idx="11">
                  <c:v>12.5</c:v>
                </c:pt>
                <c:pt idx="12">
                  <c:v>6.25</c:v>
                </c:pt>
                <c:pt idx="13">
                  <c:v>31.25</c:v>
                </c:pt>
                <c:pt idx="14">
                  <c:v>0</c:v>
                </c:pt>
                <c:pt idx="15">
                  <c:v>77.272727272727266</c:v>
                </c:pt>
                <c:pt idx="16">
                  <c:v>9.0909090909090917</c:v>
                </c:pt>
                <c:pt idx="17">
                  <c:v>4.5454545454545459</c:v>
                </c:pt>
                <c:pt idx="18">
                  <c:v>9.0909090909090917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58-6B45-B587-E5D73431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(early_stopping!$AG$694:$AK$694,early_stopping!$AM$694:$AQ$694,early_stopping!$AS$694:$AW$694,early_stopping!$AY$694:$BC$694)</c:f>
              <c:numCache>
                <c:formatCode>0.00</c:formatCode>
                <c:ptCount val="20"/>
                <c:pt idx="0">
                  <c:v>55.828961587910634</c:v>
                </c:pt>
                <c:pt idx="1">
                  <c:v>14.268236216858181</c:v>
                </c:pt>
                <c:pt idx="2" formatCode="0.0">
                  <c:v>10.207198896591063</c:v>
                </c:pt>
                <c:pt idx="3" formatCode="0.0">
                  <c:v>19.695603298640126</c:v>
                </c:pt>
                <c:pt idx="4" formatCode="0.0">
                  <c:v>0</c:v>
                </c:pt>
                <c:pt idx="5" formatCode="0.0">
                  <c:v>44.305555555555557</c:v>
                </c:pt>
                <c:pt idx="6">
                  <c:v>28.263888888888889</c:v>
                </c:pt>
                <c:pt idx="7" formatCode="0.0">
                  <c:v>4.8611111111111107</c:v>
                </c:pt>
                <c:pt idx="8" formatCode="0.0">
                  <c:v>22.569444444444443</c:v>
                </c:pt>
                <c:pt idx="9" formatCode="0.0">
                  <c:v>0</c:v>
                </c:pt>
                <c:pt idx="10" formatCode="0.0">
                  <c:v>50.538170383531209</c:v>
                </c:pt>
                <c:pt idx="11">
                  <c:v>10.551914127945054</c:v>
                </c:pt>
                <c:pt idx="12" formatCode="0.0">
                  <c:v>5.4586038961038961</c:v>
                </c:pt>
                <c:pt idx="13" formatCode="0.0">
                  <c:v>33.226086367194611</c:v>
                </c:pt>
                <c:pt idx="14" formatCode="0.0">
                  <c:v>0.22522522522522523</c:v>
                </c:pt>
                <c:pt idx="15" formatCode="0.0">
                  <c:v>63.108504398826973</c:v>
                </c:pt>
                <c:pt idx="16">
                  <c:v>12.393695014662757</c:v>
                </c:pt>
                <c:pt idx="17" formatCode="0.0">
                  <c:v>7.2250733137829917</c:v>
                </c:pt>
                <c:pt idx="18" formatCode="0.0">
                  <c:v>17.272727272727273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58-6B45-B587-E5D73431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Correct→Wrong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(early_stopping!$AG$699:$AK$699,early_stopping!$AM$699:$AQ$699,early_stopping!$AS$699:$AW$699,early_stopping!$AY$699:$BC$699)</c:f>
              <c:numCache>
                <c:formatCode>0.0</c:formatCode>
                <c:ptCount val="20"/>
                <c:pt idx="0">
                  <c:v>93.442622950819683</c:v>
                </c:pt>
                <c:pt idx="1">
                  <c:v>6.557377049180328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92.972972972972983</c:v>
                </c:pt>
                <c:pt idx="11">
                  <c:v>2.1621621621621623</c:v>
                </c:pt>
                <c:pt idx="12">
                  <c:v>0</c:v>
                </c:pt>
                <c:pt idx="13">
                  <c:v>4.8648648648648649</c:v>
                </c:pt>
                <c:pt idx="14">
                  <c:v>0</c:v>
                </c:pt>
                <c:pt idx="15">
                  <c:v>88.888888888888886</c:v>
                </c:pt>
                <c:pt idx="16">
                  <c:v>0</c:v>
                </c:pt>
                <c:pt idx="17">
                  <c:v>0</c:v>
                </c:pt>
                <c:pt idx="18">
                  <c:v>11.111111111111111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0-C74C-926C-9A7C1F94AFC8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(early_stopping!$AG$700:$AK$700,early_stopping!$AM$700:$AQ$700,early_stopping!$AS$700:$AW$700,early_stopping!$AY$700:$BC$700)</c:f>
              <c:numCache>
                <c:formatCode>0.0</c:formatCode>
                <c:ptCount val="20"/>
                <c:pt idx="0">
                  <c:v>58.139534883720934</c:v>
                </c:pt>
                <c:pt idx="1">
                  <c:v>13.953488372093023</c:v>
                </c:pt>
                <c:pt idx="2">
                  <c:v>6.9767441860465116</c:v>
                </c:pt>
                <c:pt idx="3">
                  <c:v>20.930232558139537</c:v>
                </c:pt>
                <c:pt idx="4">
                  <c:v>0</c:v>
                </c:pt>
                <c:pt idx="5">
                  <c:v>90.909090909090907</c:v>
                </c:pt>
                <c:pt idx="6">
                  <c:v>0</c:v>
                </c:pt>
                <c:pt idx="7">
                  <c:v>0</c:v>
                </c:pt>
                <c:pt idx="8">
                  <c:v>9.0909090909090917</c:v>
                </c:pt>
                <c:pt idx="9">
                  <c:v>0</c:v>
                </c:pt>
                <c:pt idx="10">
                  <c:v>24.786324786324787</c:v>
                </c:pt>
                <c:pt idx="11">
                  <c:v>3.4188034188034191</c:v>
                </c:pt>
                <c:pt idx="12">
                  <c:v>0</c:v>
                </c:pt>
                <c:pt idx="13">
                  <c:v>71.794871794871796</c:v>
                </c:pt>
                <c:pt idx="14">
                  <c:v>0</c:v>
                </c:pt>
                <c:pt idx="15">
                  <c:v>57.142857142857139</c:v>
                </c:pt>
                <c:pt idx="16">
                  <c:v>21.428571428571427</c:v>
                </c:pt>
                <c:pt idx="17">
                  <c:v>7.1428571428571423</c:v>
                </c:pt>
                <c:pt idx="18">
                  <c:v>14.285714285714285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20-C74C-926C-9A7C1F94AFC8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(early_stopping!$AG$702:$AK$702,early_stopping!$AM$702:$AQ$702,early_stopping!$AS$702:$AW$702,early_stopping!$AY$702:$BC$702)</c:f>
              <c:numCache>
                <c:formatCode>0.0</c:formatCode>
                <c:ptCount val="20"/>
                <c:pt idx="0">
                  <c:v>41.17647058823529</c:v>
                </c:pt>
                <c:pt idx="1">
                  <c:v>22.794117647058822</c:v>
                </c:pt>
                <c:pt idx="2">
                  <c:v>25.735294117647058</c:v>
                </c:pt>
                <c:pt idx="3">
                  <c:v>10.294117647058822</c:v>
                </c:pt>
                <c:pt idx="4">
                  <c:v>0</c:v>
                </c:pt>
                <c:pt idx="5">
                  <c:v>14.285714285714285</c:v>
                </c:pt>
                <c:pt idx="6">
                  <c:v>64.285714285714292</c:v>
                </c:pt>
                <c:pt idx="7">
                  <c:v>7.1428571428571423</c:v>
                </c:pt>
                <c:pt idx="8">
                  <c:v>14.285714285714285</c:v>
                </c:pt>
                <c:pt idx="9">
                  <c:v>0</c:v>
                </c:pt>
                <c:pt idx="10">
                  <c:v>41.463414634146339</c:v>
                </c:pt>
                <c:pt idx="11">
                  <c:v>21.951219512195124</c:v>
                </c:pt>
                <c:pt idx="12">
                  <c:v>18.292682926829269</c:v>
                </c:pt>
                <c:pt idx="13">
                  <c:v>18.292682926829269</c:v>
                </c:pt>
                <c:pt idx="14">
                  <c:v>0</c:v>
                </c:pt>
                <c:pt idx="15">
                  <c:v>40</c:v>
                </c:pt>
                <c:pt idx="16">
                  <c:v>36</c:v>
                </c:pt>
                <c:pt idx="17">
                  <c:v>16</c:v>
                </c:pt>
                <c:pt idx="18">
                  <c:v>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20-C74C-926C-9A7C1F94AFC8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(early_stopping!$AG$701:$AK$701,early_stopping!$AM$701:$AQ$701,early_stopping!$AS$701:$AW$701,early_stopping!$AY$701:$BC$701)</c:f>
              <c:numCache>
                <c:formatCode>0.0</c:formatCode>
                <c:ptCount val="20"/>
                <c:pt idx="0">
                  <c:v>33.846153846153847</c:v>
                </c:pt>
                <c:pt idx="1">
                  <c:v>9.2307692307692317</c:v>
                </c:pt>
                <c:pt idx="2">
                  <c:v>6.1538461538461542</c:v>
                </c:pt>
                <c:pt idx="3">
                  <c:v>50.769230769230766</c:v>
                </c:pt>
                <c:pt idx="4">
                  <c:v>0</c:v>
                </c:pt>
                <c:pt idx="5">
                  <c:v>0</c:v>
                </c:pt>
                <c:pt idx="6">
                  <c:v>14.285714285714285</c:v>
                </c:pt>
                <c:pt idx="7">
                  <c:v>42.857142857142854</c:v>
                </c:pt>
                <c:pt idx="8">
                  <c:v>42.857142857142854</c:v>
                </c:pt>
                <c:pt idx="9">
                  <c:v>0</c:v>
                </c:pt>
                <c:pt idx="10">
                  <c:v>38.461538461538467</c:v>
                </c:pt>
                <c:pt idx="11">
                  <c:v>7.6923076923076925</c:v>
                </c:pt>
                <c:pt idx="12">
                  <c:v>23.076923076923077</c:v>
                </c:pt>
                <c:pt idx="13">
                  <c:v>30.76923076923077</c:v>
                </c:pt>
                <c:pt idx="14">
                  <c:v>0</c:v>
                </c:pt>
                <c:pt idx="15">
                  <c:v>85.714285714285708</c:v>
                </c:pt>
                <c:pt idx="16">
                  <c:v>9.5238095238095237</c:v>
                </c:pt>
                <c:pt idx="17">
                  <c:v>4.7619047619047619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20-C74C-926C-9A7C1F94A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(early_stopping!$AG$703:$AK$703,early_stopping!$AM$703:$AQ$703,early_stopping!$AS$703:$AW$703,early_stopping!$AY$703:$BC$703)</c:f>
              <c:numCache>
                <c:formatCode>0.00</c:formatCode>
                <c:ptCount val="20"/>
                <c:pt idx="0">
                  <c:v>56.651195567232435</c:v>
                </c:pt>
                <c:pt idx="1">
                  <c:v>13.133938074775351</c:v>
                </c:pt>
                <c:pt idx="2" formatCode="0.0">
                  <c:v>9.7164711143849303</c:v>
                </c:pt>
                <c:pt idx="3" formatCode="0.0">
                  <c:v>20.49839524360728</c:v>
                </c:pt>
                <c:pt idx="4" formatCode="0.0">
                  <c:v>0</c:v>
                </c:pt>
                <c:pt idx="5" formatCode="0.0">
                  <c:v>51.298701298701296</c:v>
                </c:pt>
                <c:pt idx="6">
                  <c:v>19.642857142857146</c:v>
                </c:pt>
                <c:pt idx="7" formatCode="0.0">
                  <c:v>12.5</c:v>
                </c:pt>
                <c:pt idx="8" formatCode="0.0">
                  <c:v>16.558441558441558</c:v>
                </c:pt>
                <c:pt idx="9" formatCode="0.0">
                  <c:v>0</c:v>
                </c:pt>
                <c:pt idx="10" formatCode="0.0">
                  <c:v>49.421062713745648</c:v>
                </c:pt>
                <c:pt idx="11">
                  <c:v>8.8061231963670998</c:v>
                </c:pt>
                <c:pt idx="12" formatCode="0.0">
                  <c:v>10.342401500938086</c:v>
                </c:pt>
                <c:pt idx="13" formatCode="0.0">
                  <c:v>31.430412588949178</c:v>
                </c:pt>
                <c:pt idx="14" formatCode="0.0">
                  <c:v>0</c:v>
                </c:pt>
                <c:pt idx="15" formatCode="0.0">
                  <c:v>67.936507936507937</c:v>
                </c:pt>
                <c:pt idx="16">
                  <c:v>16.738095238095237</c:v>
                </c:pt>
                <c:pt idx="17" formatCode="0.0">
                  <c:v>6.9761904761904763</c:v>
                </c:pt>
                <c:pt idx="18" formatCode="0.0">
                  <c:v>8.349206349206348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20-C74C-926C-9A7C1F94A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Correct→Wrong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(early_stopping!$AG$708:$AK$708,early_stopping!$AM$708:$AQ$708,early_stopping!$AS$708:$AW$708,early_stopping!$AY$708:$BC$708)</c:f>
              <c:numCache>
                <c:formatCode>0.0</c:formatCode>
                <c:ptCount val="20"/>
                <c:pt idx="0">
                  <c:v>87.142857142857139</c:v>
                </c:pt>
                <c:pt idx="1">
                  <c:v>4.2857142857142856</c:v>
                </c:pt>
                <c:pt idx="2">
                  <c:v>1.4285714285714286</c:v>
                </c:pt>
                <c:pt idx="3">
                  <c:v>7.1428571428571423</c:v>
                </c:pt>
                <c:pt idx="4">
                  <c:v>0</c:v>
                </c:pt>
                <c:pt idx="5">
                  <c:v>90.909090909090907</c:v>
                </c:pt>
                <c:pt idx="6">
                  <c:v>0</c:v>
                </c:pt>
                <c:pt idx="7">
                  <c:v>0</c:v>
                </c:pt>
                <c:pt idx="8">
                  <c:v>9.0909090909090917</c:v>
                </c:pt>
                <c:pt idx="9">
                  <c:v>0</c:v>
                </c:pt>
                <c:pt idx="10">
                  <c:v>96.067415730337075</c:v>
                </c:pt>
                <c:pt idx="11">
                  <c:v>2.2471910112359552</c:v>
                </c:pt>
                <c:pt idx="12">
                  <c:v>1.1235955056179776</c:v>
                </c:pt>
                <c:pt idx="13">
                  <c:v>0.5617977528089888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B-CF4F-A743-211FACC61EA8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(early_stopping!$AG$709:$AK$709,early_stopping!$AM$709:$AQ$709,early_stopping!$AS$709:$AW$709,early_stopping!$AY$709:$BC$709)</c:f>
              <c:numCache>
                <c:formatCode>0.0</c:formatCode>
                <c:ptCount val="20"/>
                <c:pt idx="0">
                  <c:v>50</c:v>
                </c:pt>
                <c:pt idx="1">
                  <c:v>27.419354838709676</c:v>
                </c:pt>
                <c:pt idx="2">
                  <c:v>3.225806451612903</c:v>
                </c:pt>
                <c:pt idx="3">
                  <c:v>19.35483870967742</c:v>
                </c:pt>
                <c:pt idx="4">
                  <c:v>0</c:v>
                </c:pt>
                <c:pt idx="5">
                  <c:v>90.909090909090907</c:v>
                </c:pt>
                <c:pt idx="6">
                  <c:v>0</c:v>
                </c:pt>
                <c:pt idx="7">
                  <c:v>0</c:v>
                </c:pt>
                <c:pt idx="8">
                  <c:v>9.0909090909090917</c:v>
                </c:pt>
                <c:pt idx="9">
                  <c:v>0</c:v>
                </c:pt>
                <c:pt idx="10">
                  <c:v>20.967741935483872</c:v>
                </c:pt>
                <c:pt idx="11">
                  <c:v>1.6129032258064515</c:v>
                </c:pt>
                <c:pt idx="12">
                  <c:v>0.80645161290322576</c:v>
                </c:pt>
                <c:pt idx="13">
                  <c:v>75.806451612903231</c:v>
                </c:pt>
                <c:pt idx="14">
                  <c:v>0.80645161290322576</c:v>
                </c:pt>
                <c:pt idx="15">
                  <c:v>45.454545454545453</c:v>
                </c:pt>
                <c:pt idx="16">
                  <c:v>18.181818181818183</c:v>
                </c:pt>
                <c:pt idx="17">
                  <c:v>9.0909090909090917</c:v>
                </c:pt>
                <c:pt idx="18">
                  <c:v>27.27272727272727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B-CF4F-A743-211FACC61EA8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(early_stopping!$AG$711:$AK$711,early_stopping!$AM$711:$AQ$711,early_stopping!$AS$711:$AW$711,early_stopping!$AY$711:$BC$711)</c:f>
              <c:numCache>
                <c:formatCode>0.0</c:formatCode>
                <c:ptCount val="20"/>
                <c:pt idx="0">
                  <c:v>49.152542372881356</c:v>
                </c:pt>
                <c:pt idx="1">
                  <c:v>21.1864406779661</c:v>
                </c:pt>
                <c:pt idx="2">
                  <c:v>17.796610169491526</c:v>
                </c:pt>
                <c:pt idx="3">
                  <c:v>11.864406779661017</c:v>
                </c:pt>
                <c:pt idx="4">
                  <c:v>0</c:v>
                </c:pt>
                <c:pt idx="5">
                  <c:v>21.739130434782609</c:v>
                </c:pt>
                <c:pt idx="6">
                  <c:v>21.739130434782609</c:v>
                </c:pt>
                <c:pt idx="7">
                  <c:v>39.130434782608695</c:v>
                </c:pt>
                <c:pt idx="8">
                  <c:v>17.391304347826086</c:v>
                </c:pt>
                <c:pt idx="9">
                  <c:v>0</c:v>
                </c:pt>
                <c:pt idx="10">
                  <c:v>34.42622950819672</c:v>
                </c:pt>
                <c:pt idx="11">
                  <c:v>16.393442622950818</c:v>
                </c:pt>
                <c:pt idx="12">
                  <c:v>24.590163934426229</c:v>
                </c:pt>
                <c:pt idx="13">
                  <c:v>24.590163934426229</c:v>
                </c:pt>
                <c:pt idx="14">
                  <c:v>0</c:v>
                </c:pt>
                <c:pt idx="15">
                  <c:v>33.333333333333329</c:v>
                </c:pt>
                <c:pt idx="16">
                  <c:v>13.333333333333334</c:v>
                </c:pt>
                <c:pt idx="17">
                  <c:v>23.333333333333332</c:v>
                </c:pt>
                <c:pt idx="18">
                  <c:v>30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EB-CF4F-A743-211FACC61EA8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(early_stopping!$AG$710:$AK$710,early_stopping!$AM$710:$AQ$710,early_stopping!$AS$710:$AW$710,early_stopping!$AY$710:$BC$710)</c:f>
              <c:numCache>
                <c:formatCode>0.0</c:formatCode>
                <c:ptCount val="20"/>
                <c:pt idx="0">
                  <c:v>27.941176470588236</c:v>
                </c:pt>
                <c:pt idx="1">
                  <c:v>11.76470588235294</c:v>
                </c:pt>
                <c:pt idx="2">
                  <c:v>7.3529411764705888</c:v>
                </c:pt>
                <c:pt idx="3">
                  <c:v>51.470588235294116</c:v>
                </c:pt>
                <c:pt idx="4">
                  <c:v>1.4705882352941175</c:v>
                </c:pt>
                <c:pt idx="5">
                  <c:v>0</c:v>
                </c:pt>
                <c:pt idx="6">
                  <c:v>0</c:v>
                </c:pt>
                <c:pt idx="7">
                  <c:v>66.666666666666657</c:v>
                </c:pt>
                <c:pt idx="8">
                  <c:v>33.333333333333329</c:v>
                </c:pt>
                <c:pt idx="9">
                  <c:v>0</c:v>
                </c:pt>
                <c:pt idx="10">
                  <c:v>42.857142857142854</c:v>
                </c:pt>
                <c:pt idx="11">
                  <c:v>14.285714285714285</c:v>
                </c:pt>
                <c:pt idx="12">
                  <c:v>9.5238095238095237</c:v>
                </c:pt>
                <c:pt idx="13">
                  <c:v>28.571428571428569</c:v>
                </c:pt>
                <c:pt idx="14">
                  <c:v>4.7619047619047619</c:v>
                </c:pt>
                <c:pt idx="15">
                  <c:v>86.956521739130437</c:v>
                </c:pt>
                <c:pt idx="16">
                  <c:v>0</c:v>
                </c:pt>
                <c:pt idx="17">
                  <c:v>0</c:v>
                </c:pt>
                <c:pt idx="18">
                  <c:v>13.043478260869565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EB-CF4F-A743-211FACC61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(early_stopping!$AG$712:$AK$712,early_stopping!$AM$712:$AQ$712,early_stopping!$AS$712:$AW$712,early_stopping!$AY$712:$BC$712)</c:f>
              <c:numCache>
                <c:formatCode>0.00</c:formatCode>
                <c:ptCount val="20"/>
                <c:pt idx="0">
                  <c:v>53.559143996581682</c:v>
                </c:pt>
                <c:pt idx="1">
                  <c:v>16.164053921185751</c:v>
                </c:pt>
                <c:pt idx="2" formatCode="0.0">
                  <c:v>7.4509823065366119</c:v>
                </c:pt>
                <c:pt idx="3" formatCode="0.0">
                  <c:v>22.458172716872426</c:v>
                </c:pt>
                <c:pt idx="4" formatCode="0.0">
                  <c:v>0.36764705882352938</c:v>
                </c:pt>
                <c:pt idx="5" formatCode="0.0">
                  <c:v>50.889328063241109</c:v>
                </c:pt>
                <c:pt idx="6">
                  <c:v>5.4347826086956523</c:v>
                </c:pt>
                <c:pt idx="7" formatCode="0.0">
                  <c:v>26.449275362318836</c:v>
                </c:pt>
                <c:pt idx="8" formatCode="0.0">
                  <c:v>17.226613965744399</c:v>
                </c:pt>
                <c:pt idx="9" formatCode="0.0">
                  <c:v>0</c:v>
                </c:pt>
                <c:pt idx="10" formatCode="0.0">
                  <c:v>48.57963250779013</c:v>
                </c:pt>
                <c:pt idx="11">
                  <c:v>8.6348127864268776</c:v>
                </c:pt>
                <c:pt idx="12" formatCode="0.0">
                  <c:v>9.0110051441892391</c:v>
                </c:pt>
                <c:pt idx="13" formatCode="0.0">
                  <c:v>32.382460467891754</c:v>
                </c:pt>
                <c:pt idx="14" formatCode="0.0">
                  <c:v>1.392089093701997</c:v>
                </c:pt>
                <c:pt idx="15" formatCode="0.0">
                  <c:v>66.436100131752298</c:v>
                </c:pt>
                <c:pt idx="16">
                  <c:v>7.8787878787878789</c:v>
                </c:pt>
                <c:pt idx="17" formatCode="0.0">
                  <c:v>8.1060606060606055</c:v>
                </c:pt>
                <c:pt idx="18" formatCode="0.0">
                  <c:v>17.579051383399211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EB-CF4F-A743-211FACC61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baseline="0">
                <a:solidFill>
                  <a:schemeClr val="tx1"/>
                </a:solidFill>
              </a:rPr>
              <a:t>Wrong</a:t>
            </a:r>
            <a:r>
              <a:rPr lang="en-GB" sz="1700" b="1" i="0" u="none" strike="noStrike" kern="1200" baseline="0">
                <a:solidFill>
                  <a:schemeClr val="tx1"/>
                </a:solidFill>
                <a:latin typeface="+mj-lt"/>
              </a:rPr>
              <a:t>→</a:t>
            </a:r>
            <a:r>
              <a:rPr lang="en-GB" sz="1700" b="1" i="0" u="none" strike="noStrike" kern="1200" baseline="0">
                <a:solidFill>
                  <a:schemeClr val="tx1"/>
                </a:solidFill>
              </a:rPr>
              <a:t>Correct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(early_stopping!$AG$719:$AK$719,early_stopping!$AM$719:$AQ$719,early_stopping!$AS$719:$AW$719,early_stopping!$AY$719:$BC$719)</c:f>
              <c:numCache>
                <c:formatCode>0.0</c:formatCode>
                <c:ptCount val="20"/>
                <c:pt idx="0">
                  <c:v>81.395348837209298</c:v>
                </c:pt>
                <c:pt idx="1">
                  <c:v>8.1395348837209305</c:v>
                </c:pt>
                <c:pt idx="2">
                  <c:v>2.3255813953488373</c:v>
                </c:pt>
                <c:pt idx="3">
                  <c:v>8.1395348837209305</c:v>
                </c:pt>
                <c:pt idx="4">
                  <c:v>0</c:v>
                </c:pt>
                <c:pt idx="5">
                  <c:v>76.470588235294116</c:v>
                </c:pt>
                <c:pt idx="6">
                  <c:v>11.76470588235294</c:v>
                </c:pt>
                <c:pt idx="7">
                  <c:v>0</c:v>
                </c:pt>
                <c:pt idx="8">
                  <c:v>11.76470588235294</c:v>
                </c:pt>
                <c:pt idx="9">
                  <c:v>0</c:v>
                </c:pt>
                <c:pt idx="10">
                  <c:v>83.333333333333343</c:v>
                </c:pt>
                <c:pt idx="11">
                  <c:v>1.5151515151515151</c:v>
                </c:pt>
                <c:pt idx="12">
                  <c:v>0</c:v>
                </c:pt>
                <c:pt idx="13">
                  <c:v>15.151515151515152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0-2347-9B62-8BD08BC2C768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(early_stopping!$AG$720:$AK$720,early_stopping!$AM$720:$AQ$720,early_stopping!$AS$720:$AW$720,early_stopping!$AY$720:$BC$720)</c:f>
              <c:numCache>
                <c:formatCode>0.0</c:formatCode>
                <c:ptCount val="20"/>
                <c:pt idx="0">
                  <c:v>78.245614035087712</c:v>
                </c:pt>
                <c:pt idx="1">
                  <c:v>9.4736842105263168</c:v>
                </c:pt>
                <c:pt idx="2">
                  <c:v>3.5087719298245612</c:v>
                </c:pt>
                <c:pt idx="3">
                  <c:v>8.7719298245614024</c:v>
                </c:pt>
                <c:pt idx="4">
                  <c:v>0</c:v>
                </c:pt>
                <c:pt idx="5">
                  <c:v>76.470588235294116</c:v>
                </c:pt>
                <c:pt idx="6">
                  <c:v>17.647058823529413</c:v>
                </c:pt>
                <c:pt idx="7">
                  <c:v>0</c:v>
                </c:pt>
                <c:pt idx="8">
                  <c:v>5.8823529411764701</c:v>
                </c:pt>
                <c:pt idx="9">
                  <c:v>0</c:v>
                </c:pt>
                <c:pt idx="10">
                  <c:v>62.068965517241381</c:v>
                </c:pt>
                <c:pt idx="11">
                  <c:v>17.241379310344829</c:v>
                </c:pt>
                <c:pt idx="12">
                  <c:v>0</c:v>
                </c:pt>
                <c:pt idx="13">
                  <c:v>20.689655172413794</c:v>
                </c:pt>
                <c:pt idx="14">
                  <c:v>0</c:v>
                </c:pt>
                <c:pt idx="15">
                  <c:v>76.08695652173914</c:v>
                </c:pt>
                <c:pt idx="16">
                  <c:v>8.695652173913043</c:v>
                </c:pt>
                <c:pt idx="17">
                  <c:v>8.695652173913043</c:v>
                </c:pt>
                <c:pt idx="18">
                  <c:v>6.5217391304347823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0-2347-9B62-8BD08BC2C768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(early_stopping!$AG$722:$AK$722,early_stopping!$AM$722:$AQ$722,early_stopping!$AS$722:$AW$722,early_stopping!$AY$722:$BC$722)</c:f>
              <c:numCache>
                <c:formatCode>0.0</c:formatCode>
                <c:ptCount val="20"/>
                <c:pt idx="0">
                  <c:v>22.222222222222221</c:v>
                </c:pt>
                <c:pt idx="1">
                  <c:v>25.925925925925924</c:v>
                </c:pt>
                <c:pt idx="2">
                  <c:v>31.481481481481481</c:v>
                </c:pt>
                <c:pt idx="3">
                  <c:v>20.37037037037037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  <c:pt idx="7">
                  <c:v>0</c:v>
                </c:pt>
                <c:pt idx="8">
                  <c:v>50</c:v>
                </c:pt>
                <c:pt idx="9">
                  <c:v>0</c:v>
                </c:pt>
                <c:pt idx="10">
                  <c:v>43.478260869565219</c:v>
                </c:pt>
                <c:pt idx="11">
                  <c:v>13.043478260869565</c:v>
                </c:pt>
                <c:pt idx="12">
                  <c:v>26.086956521739129</c:v>
                </c:pt>
                <c:pt idx="13">
                  <c:v>17.391304347826086</c:v>
                </c:pt>
                <c:pt idx="14">
                  <c:v>0</c:v>
                </c:pt>
                <c:pt idx="15">
                  <c:v>41.17647058823529</c:v>
                </c:pt>
                <c:pt idx="16">
                  <c:v>23.52941176470588</c:v>
                </c:pt>
                <c:pt idx="17">
                  <c:v>29.411764705882355</c:v>
                </c:pt>
                <c:pt idx="18">
                  <c:v>5.8823529411764701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90-2347-9B62-8BD08BC2C768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(early_stopping!$AG$721:$AK$721,early_stopping!$AM$721:$AQ$721,early_stopping!$AS$721:$AW$721,early_stopping!$AY$721:$BC$721)</c:f>
              <c:numCache>
                <c:formatCode>0.0</c:formatCode>
                <c:ptCount val="20"/>
                <c:pt idx="0">
                  <c:v>78.260869565217391</c:v>
                </c:pt>
                <c:pt idx="1">
                  <c:v>13.043478260869565</c:v>
                </c:pt>
                <c:pt idx="2">
                  <c:v>0</c:v>
                </c:pt>
                <c:pt idx="3">
                  <c:v>8.695652173913043</c:v>
                </c:pt>
                <c:pt idx="4">
                  <c:v>0</c:v>
                </c:pt>
                <c:pt idx="5">
                  <c:v>33.333333333333329</c:v>
                </c:pt>
                <c:pt idx="6">
                  <c:v>50</c:v>
                </c:pt>
                <c:pt idx="7">
                  <c:v>0</c:v>
                </c:pt>
                <c:pt idx="8">
                  <c:v>16.666666666666664</c:v>
                </c:pt>
                <c:pt idx="9">
                  <c:v>0</c:v>
                </c:pt>
                <c:pt idx="10">
                  <c:v>76.923076923076934</c:v>
                </c:pt>
                <c:pt idx="11">
                  <c:v>11.538461538461538</c:v>
                </c:pt>
                <c:pt idx="12">
                  <c:v>7.6923076923076925</c:v>
                </c:pt>
                <c:pt idx="13">
                  <c:v>3.8461538461538463</c:v>
                </c:pt>
                <c:pt idx="14">
                  <c:v>0</c:v>
                </c:pt>
                <c:pt idx="15">
                  <c:v>92.307692307692307</c:v>
                </c:pt>
                <c:pt idx="16">
                  <c:v>7.6923076923076925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90-2347-9B62-8BD08BC2C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(early_stopping!$AG$723:$AK$723,early_stopping!$AM$723:$AQ$723,early_stopping!$AS$723:$AW$723,early_stopping!$AY$723:$BC$723)</c:f>
              <c:numCache>
                <c:formatCode>0.00</c:formatCode>
                <c:ptCount val="20"/>
                <c:pt idx="0">
                  <c:v>65.03101366493415</c:v>
                </c:pt>
                <c:pt idx="1">
                  <c:v>14.145655820260684</c:v>
                </c:pt>
                <c:pt idx="2" formatCode="0.0">
                  <c:v>9.3289587016637192</c:v>
                </c:pt>
                <c:pt idx="3" formatCode="0.0">
                  <c:v>11.494371813141436</c:v>
                </c:pt>
                <c:pt idx="4" formatCode="0.0">
                  <c:v>0</c:v>
                </c:pt>
                <c:pt idx="5" formatCode="0.0">
                  <c:v>46.568627450980387</c:v>
                </c:pt>
                <c:pt idx="6">
                  <c:v>32.352941176470587</c:v>
                </c:pt>
                <c:pt idx="7" formatCode="0.0">
                  <c:v>0</c:v>
                </c:pt>
                <c:pt idx="8" formatCode="0.0">
                  <c:v>21.078431372549019</c:v>
                </c:pt>
                <c:pt idx="9" formatCode="0.0">
                  <c:v>0</c:v>
                </c:pt>
                <c:pt idx="10" formatCode="0.0">
                  <c:v>66.450909160804216</c:v>
                </c:pt>
                <c:pt idx="11">
                  <c:v>10.834617656206861</c:v>
                </c:pt>
                <c:pt idx="12" formatCode="0.0">
                  <c:v>8.4448160535117047</c:v>
                </c:pt>
                <c:pt idx="13" formatCode="0.0">
                  <c:v>14.269657129477221</c:v>
                </c:pt>
                <c:pt idx="14" formatCode="0.0">
                  <c:v>0</c:v>
                </c:pt>
                <c:pt idx="15" formatCode="0.0">
                  <c:v>77.392779854416688</c:v>
                </c:pt>
                <c:pt idx="16">
                  <c:v>9.9793429077316542</c:v>
                </c:pt>
                <c:pt idx="17" formatCode="0.0">
                  <c:v>9.5268542199488486</c:v>
                </c:pt>
                <c:pt idx="18" formatCode="0.0">
                  <c:v>3.1010230179028131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90-2347-9B62-8BD08BC2C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baseline="0">
                <a:solidFill>
                  <a:schemeClr val="tx1"/>
                </a:solidFill>
              </a:rPr>
              <a:t>Wrong</a:t>
            </a:r>
            <a:r>
              <a:rPr lang="en-GB" sz="1700" b="1" i="0" u="none" strike="noStrike" kern="1200" baseline="0">
                <a:solidFill>
                  <a:schemeClr val="tx1"/>
                </a:solidFill>
                <a:latin typeface="+mj-lt"/>
              </a:rPr>
              <a:t>→</a:t>
            </a:r>
            <a:r>
              <a:rPr lang="en-GB" sz="1700" b="1" i="0" u="none" strike="noStrike" kern="1200" baseline="0">
                <a:solidFill>
                  <a:schemeClr val="tx1"/>
                </a:solidFill>
              </a:rPr>
              <a:t>Correct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(early_stopping!$AG$728:$AK$728,early_stopping!$AM$728:$AQ$728,early_stopping!$AS$728:$AW$728,early_stopping!$AY$728:$BC$728)</c:f>
              <c:numCache>
                <c:formatCode>0.0</c:formatCode>
                <c:ptCount val="20"/>
                <c:pt idx="0">
                  <c:v>79.069767441860463</c:v>
                </c:pt>
                <c:pt idx="1">
                  <c:v>6.9767441860465116</c:v>
                </c:pt>
                <c:pt idx="2">
                  <c:v>1.1627906976744187</c:v>
                </c:pt>
                <c:pt idx="3">
                  <c:v>12.790697674418606</c:v>
                </c:pt>
                <c:pt idx="4">
                  <c:v>0</c:v>
                </c:pt>
                <c:pt idx="5">
                  <c:v>81.25</c:v>
                </c:pt>
                <c:pt idx="6">
                  <c:v>0</c:v>
                </c:pt>
                <c:pt idx="7">
                  <c:v>0</c:v>
                </c:pt>
                <c:pt idx="8">
                  <c:v>18.75</c:v>
                </c:pt>
                <c:pt idx="9">
                  <c:v>0</c:v>
                </c:pt>
                <c:pt idx="10">
                  <c:v>78.873239436619713</c:v>
                </c:pt>
                <c:pt idx="11">
                  <c:v>1.4084507042253522</c:v>
                </c:pt>
                <c:pt idx="12">
                  <c:v>1.4084507042253522</c:v>
                </c:pt>
                <c:pt idx="13">
                  <c:v>18.30985915492958</c:v>
                </c:pt>
                <c:pt idx="14">
                  <c:v>0</c:v>
                </c:pt>
                <c:pt idx="15">
                  <c:v>93.75</c:v>
                </c:pt>
                <c:pt idx="16">
                  <c:v>3.125</c:v>
                </c:pt>
                <c:pt idx="17">
                  <c:v>3.125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C-3649-B18B-223EA4F935E7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(early_stopping!$AG$729:$AK$729,early_stopping!$AM$729:$AQ$729,early_stopping!$AS$729:$AW$729,early_stopping!$AY$729:$BC$729)</c:f>
              <c:numCache>
                <c:formatCode>0.0</c:formatCode>
                <c:ptCount val="20"/>
                <c:pt idx="0">
                  <c:v>77.00348432055749</c:v>
                </c:pt>
                <c:pt idx="1">
                  <c:v>9.4076655052264808</c:v>
                </c:pt>
                <c:pt idx="2">
                  <c:v>4.1811846689895473</c:v>
                </c:pt>
                <c:pt idx="3">
                  <c:v>9.4076655052264808</c:v>
                </c:pt>
                <c:pt idx="4">
                  <c:v>0</c:v>
                </c:pt>
                <c:pt idx="5">
                  <c:v>86.666666666666671</c:v>
                </c:pt>
                <c:pt idx="6">
                  <c:v>13.333333333333334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78.571428571428569</c:v>
                </c:pt>
                <c:pt idx="11">
                  <c:v>7.1428571428571423</c:v>
                </c:pt>
                <c:pt idx="12">
                  <c:v>0</c:v>
                </c:pt>
                <c:pt idx="13">
                  <c:v>14.285714285714285</c:v>
                </c:pt>
                <c:pt idx="14">
                  <c:v>0</c:v>
                </c:pt>
                <c:pt idx="15">
                  <c:v>90.322580645161281</c:v>
                </c:pt>
                <c:pt idx="16">
                  <c:v>6.4516129032258061</c:v>
                </c:pt>
                <c:pt idx="17">
                  <c:v>3.225806451612903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5C-3649-B18B-223EA4F935E7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(early_stopping!$AG$731:$AK$731,early_stopping!$AM$731:$AQ$731,early_stopping!$AS$731:$AW$731,early_stopping!$AY$731:$BC$731)</c:f>
              <c:numCache>
                <c:formatCode>0.0</c:formatCode>
                <c:ptCount val="20"/>
                <c:pt idx="0">
                  <c:v>37.5</c:v>
                </c:pt>
                <c:pt idx="1">
                  <c:v>20</c:v>
                </c:pt>
                <c:pt idx="2">
                  <c:v>20</c:v>
                </c:pt>
                <c:pt idx="3">
                  <c:v>22.5</c:v>
                </c:pt>
                <c:pt idx="4">
                  <c:v>0</c:v>
                </c:pt>
                <c:pt idx="5">
                  <c:v>66.666666666666657</c:v>
                </c:pt>
                <c:pt idx="6">
                  <c:v>0</c:v>
                </c:pt>
                <c:pt idx="7">
                  <c:v>33.333333333333329</c:v>
                </c:pt>
                <c:pt idx="8">
                  <c:v>0</c:v>
                </c:pt>
                <c:pt idx="9">
                  <c:v>0</c:v>
                </c:pt>
                <c:pt idx="10">
                  <c:v>43.75</c:v>
                </c:pt>
                <c:pt idx="11">
                  <c:v>12.5</c:v>
                </c:pt>
                <c:pt idx="12">
                  <c:v>15.625</c:v>
                </c:pt>
                <c:pt idx="13">
                  <c:v>28.125</c:v>
                </c:pt>
                <c:pt idx="14">
                  <c:v>0</c:v>
                </c:pt>
                <c:pt idx="15">
                  <c:v>50</c:v>
                </c:pt>
                <c:pt idx="16">
                  <c:v>12.5</c:v>
                </c:pt>
                <c:pt idx="17">
                  <c:v>31.25</c:v>
                </c:pt>
                <c:pt idx="18">
                  <c:v>6.25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5C-3649-B18B-223EA4F935E7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(early_stopping!$AG$730:$AK$730,early_stopping!$AM$730:$AQ$730,early_stopping!$AS$730:$AW$730,early_stopping!$AY$730:$BC$730)</c:f>
              <c:numCache>
                <c:formatCode>0.0</c:formatCode>
                <c:ptCount val="20"/>
                <c:pt idx="0">
                  <c:v>75</c:v>
                </c:pt>
                <c:pt idx="1">
                  <c:v>20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25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76.923076923076934</c:v>
                </c:pt>
                <c:pt idx="11">
                  <c:v>3.8461538461538463</c:v>
                </c:pt>
                <c:pt idx="12">
                  <c:v>7.6923076923076925</c:v>
                </c:pt>
                <c:pt idx="13">
                  <c:v>11.538461538461538</c:v>
                </c:pt>
                <c:pt idx="14">
                  <c:v>0</c:v>
                </c:pt>
                <c:pt idx="15">
                  <c:v>86.666666666666671</c:v>
                </c:pt>
                <c:pt idx="16">
                  <c:v>13.333333333333334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5C-3649-B18B-223EA4F93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(early_stopping!$AG$732:$AK$732,early_stopping!$AM$732:$AQ$732,early_stopping!$AS$732:$AW$732,early_stopping!$AY$732:$BC$732)</c:f>
              <c:numCache>
                <c:formatCode>0.00</c:formatCode>
                <c:ptCount val="20"/>
                <c:pt idx="0">
                  <c:v>67.143312940604488</c:v>
                </c:pt>
                <c:pt idx="1">
                  <c:v>14.096102422818248</c:v>
                </c:pt>
                <c:pt idx="2" formatCode="0.0">
                  <c:v>7.5859938416659913</c:v>
                </c:pt>
                <c:pt idx="3" formatCode="0.0">
                  <c:v>11.174590794911271</c:v>
                </c:pt>
                <c:pt idx="4" formatCode="0.0">
                  <c:v>0</c:v>
                </c:pt>
                <c:pt idx="5" formatCode="0.0">
                  <c:v>71.145833333333343</c:v>
                </c:pt>
                <c:pt idx="6">
                  <c:v>9.5833333333333339</c:v>
                </c:pt>
                <c:pt idx="7" formatCode="0.0">
                  <c:v>8.3333333333333321</c:v>
                </c:pt>
                <c:pt idx="8" formatCode="0.0">
                  <c:v>10.9375</c:v>
                </c:pt>
                <c:pt idx="9" formatCode="0.0">
                  <c:v>0</c:v>
                </c:pt>
                <c:pt idx="10" formatCode="0.0">
                  <c:v>69.529436232781308</c:v>
                </c:pt>
                <c:pt idx="11">
                  <c:v>6.2243654233090853</c:v>
                </c:pt>
                <c:pt idx="12" formatCode="0.0">
                  <c:v>6.1814395991332614</c:v>
                </c:pt>
                <c:pt idx="13" formatCode="0.0">
                  <c:v>18.064758744776348</c:v>
                </c:pt>
                <c:pt idx="14" formatCode="0.0">
                  <c:v>0</c:v>
                </c:pt>
                <c:pt idx="15" formatCode="0.0">
                  <c:v>80.184811827956992</c:v>
                </c:pt>
                <c:pt idx="16">
                  <c:v>8.8524865591397841</c:v>
                </c:pt>
                <c:pt idx="17" formatCode="0.0">
                  <c:v>9.400201612903226</c:v>
                </c:pt>
                <c:pt idx="18" formatCode="0.0">
                  <c:v>1.5625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5C-3649-B18B-223EA4F93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baseline="0">
                <a:solidFill>
                  <a:schemeClr val="tx1"/>
                </a:solidFill>
              </a:rPr>
              <a:t>Wrong</a:t>
            </a:r>
            <a:r>
              <a:rPr lang="en-GB" sz="1700" b="1" i="0" u="none" strike="noStrike" kern="1200" baseline="0">
                <a:solidFill>
                  <a:schemeClr val="tx1"/>
                </a:solidFill>
                <a:latin typeface="+mj-lt"/>
              </a:rPr>
              <a:t>→</a:t>
            </a:r>
            <a:r>
              <a:rPr lang="en-GB" sz="1700" b="1" i="0" u="none" strike="noStrike" kern="1200" baseline="0">
                <a:solidFill>
                  <a:schemeClr val="tx1"/>
                </a:solidFill>
              </a:rPr>
              <a:t>Correct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(early_stopping!$AG$737:$AK$737,early_stopping!$AM$737:$AQ$737,early_stopping!$AS$737:$AW$737,early_stopping!$AY$737:$BC$737)</c:f>
              <c:numCache>
                <c:formatCode>0.0</c:formatCode>
                <c:ptCount val="20"/>
                <c:pt idx="0">
                  <c:v>77.011494252873561</c:v>
                </c:pt>
                <c:pt idx="1">
                  <c:v>8.0459770114942533</c:v>
                </c:pt>
                <c:pt idx="2">
                  <c:v>0</c:v>
                </c:pt>
                <c:pt idx="3">
                  <c:v>14.942528735632186</c:v>
                </c:pt>
                <c:pt idx="4">
                  <c:v>0</c:v>
                </c:pt>
                <c:pt idx="5">
                  <c:v>75</c:v>
                </c:pt>
                <c:pt idx="6">
                  <c:v>8.3333333333333321</c:v>
                </c:pt>
                <c:pt idx="7">
                  <c:v>8.3333333333333321</c:v>
                </c:pt>
                <c:pt idx="8">
                  <c:v>8.3333333333333321</c:v>
                </c:pt>
                <c:pt idx="9">
                  <c:v>0</c:v>
                </c:pt>
                <c:pt idx="10">
                  <c:v>72.289156626506028</c:v>
                </c:pt>
                <c:pt idx="11">
                  <c:v>7.2289156626506017</c:v>
                </c:pt>
                <c:pt idx="12">
                  <c:v>1.2048192771084338</c:v>
                </c:pt>
                <c:pt idx="13">
                  <c:v>19.277108433734941</c:v>
                </c:pt>
                <c:pt idx="14">
                  <c:v>0</c:v>
                </c:pt>
                <c:pt idx="15">
                  <c:v>94.117647058823522</c:v>
                </c:pt>
                <c:pt idx="16">
                  <c:v>2.9411764705882351</c:v>
                </c:pt>
                <c:pt idx="17">
                  <c:v>2.9411764705882351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D-1F41-B882-B01697CC97C4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(early_stopping!$AG$738:$AK$738,early_stopping!$AM$738:$AQ$738,early_stopping!$AS$738:$AW$738,early_stopping!$AY$738:$BC$738)</c:f>
              <c:numCache>
                <c:formatCode>0.0</c:formatCode>
                <c:ptCount val="20"/>
                <c:pt idx="0">
                  <c:v>72.563176895306853</c:v>
                </c:pt>
                <c:pt idx="1">
                  <c:v>12.996389891696749</c:v>
                </c:pt>
                <c:pt idx="2">
                  <c:v>3.2490974729241873</c:v>
                </c:pt>
                <c:pt idx="3">
                  <c:v>11.191335740072201</c:v>
                </c:pt>
                <c:pt idx="4">
                  <c:v>0</c:v>
                </c:pt>
                <c:pt idx="5">
                  <c:v>50</c:v>
                </c:pt>
                <c:pt idx="6">
                  <c:v>35</c:v>
                </c:pt>
                <c:pt idx="7">
                  <c:v>5</c:v>
                </c:pt>
                <c:pt idx="8">
                  <c:v>10</c:v>
                </c:pt>
                <c:pt idx="9">
                  <c:v>0</c:v>
                </c:pt>
                <c:pt idx="10">
                  <c:v>72</c:v>
                </c:pt>
                <c:pt idx="11">
                  <c:v>16</c:v>
                </c:pt>
                <c:pt idx="12">
                  <c:v>8</c:v>
                </c:pt>
                <c:pt idx="13">
                  <c:v>4</c:v>
                </c:pt>
                <c:pt idx="14">
                  <c:v>0</c:v>
                </c:pt>
                <c:pt idx="15">
                  <c:v>70.270270270270274</c:v>
                </c:pt>
                <c:pt idx="16">
                  <c:v>18.918918918918919</c:v>
                </c:pt>
                <c:pt idx="17">
                  <c:v>5.4054054054054053</c:v>
                </c:pt>
                <c:pt idx="18">
                  <c:v>5.4054054054054053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FD-1F41-B882-B01697CC97C4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(early_stopping!$AG$740:$AK$740,early_stopping!$AM$740:$AQ$740,early_stopping!$AS$740:$AW$740,early_stopping!$AY$740:$BC$740)</c:f>
              <c:numCache>
                <c:formatCode>0.0</c:formatCode>
                <c:ptCount val="20"/>
                <c:pt idx="0">
                  <c:v>7.8431372549019605</c:v>
                </c:pt>
                <c:pt idx="1">
                  <c:v>17.647058823529413</c:v>
                </c:pt>
                <c:pt idx="2">
                  <c:v>27.450980392156865</c:v>
                </c:pt>
                <c:pt idx="3">
                  <c:v>47.058823529411761</c:v>
                </c:pt>
                <c:pt idx="4">
                  <c:v>0</c:v>
                </c:pt>
                <c:pt idx="5">
                  <c:v>20</c:v>
                </c:pt>
                <c:pt idx="6">
                  <c:v>40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25</c:v>
                </c:pt>
                <c:pt idx="11">
                  <c:v>21.875</c:v>
                </c:pt>
                <c:pt idx="12">
                  <c:v>9.375</c:v>
                </c:pt>
                <c:pt idx="13">
                  <c:v>43.75</c:v>
                </c:pt>
                <c:pt idx="14">
                  <c:v>0</c:v>
                </c:pt>
                <c:pt idx="15">
                  <c:v>12.5</c:v>
                </c:pt>
                <c:pt idx="16">
                  <c:v>37.5</c:v>
                </c:pt>
                <c:pt idx="17">
                  <c:v>12.5</c:v>
                </c:pt>
                <c:pt idx="18">
                  <c:v>37.5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FD-1F41-B882-B01697CC97C4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(early_stopping!$AG$739:$AK$739,early_stopping!$AM$739:$AQ$739,early_stopping!$AS$739:$AW$739,early_stopping!$AY$739:$BC$739)</c:f>
              <c:numCache>
                <c:formatCode>0.0</c:formatCode>
                <c:ptCount val="20"/>
                <c:pt idx="0">
                  <c:v>47.368421052631575</c:v>
                </c:pt>
                <c:pt idx="1">
                  <c:v>42.105263157894733</c:v>
                </c:pt>
                <c:pt idx="2">
                  <c:v>10.526315789473683</c:v>
                </c:pt>
                <c:pt idx="3">
                  <c:v>0</c:v>
                </c:pt>
                <c:pt idx="4">
                  <c:v>0</c:v>
                </c:pt>
                <c:pt idx="5">
                  <c:v>33.333333333333329</c:v>
                </c:pt>
                <c:pt idx="6">
                  <c:v>16.666666666666664</c:v>
                </c:pt>
                <c:pt idx="7">
                  <c:v>16.666666666666664</c:v>
                </c:pt>
                <c:pt idx="8">
                  <c:v>33.333333333333329</c:v>
                </c:pt>
                <c:pt idx="9">
                  <c:v>0</c:v>
                </c:pt>
                <c:pt idx="10">
                  <c:v>69.230769230769226</c:v>
                </c:pt>
                <c:pt idx="11">
                  <c:v>7.6923076923076925</c:v>
                </c:pt>
                <c:pt idx="12">
                  <c:v>15.384615384615385</c:v>
                </c:pt>
                <c:pt idx="13">
                  <c:v>7.6923076923076925</c:v>
                </c:pt>
                <c:pt idx="14">
                  <c:v>0</c:v>
                </c:pt>
                <c:pt idx="15">
                  <c:v>76.470588235294116</c:v>
                </c:pt>
                <c:pt idx="16">
                  <c:v>23.52941176470588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FD-1F41-B882-B01697CC9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(early_stopping!$AG$741:$AK$741,early_stopping!$AM$741:$AQ$741,early_stopping!$AS$741:$AW$741,early_stopping!$AY$741:$BC$741)</c:f>
              <c:numCache>
                <c:formatCode>0.00</c:formatCode>
                <c:ptCount val="20"/>
                <c:pt idx="0">
                  <c:v>51.196557363928484</c:v>
                </c:pt>
                <c:pt idx="1">
                  <c:v>20.198672221153785</c:v>
                </c:pt>
                <c:pt idx="2" formatCode="0.0">
                  <c:v>10.306598413638683</c:v>
                </c:pt>
                <c:pt idx="3" formatCode="0.0">
                  <c:v>18.298172001279035</c:v>
                </c:pt>
                <c:pt idx="4" formatCode="0.0">
                  <c:v>0</c:v>
                </c:pt>
                <c:pt idx="5" formatCode="0.0">
                  <c:v>44.583333333333329</c:v>
                </c:pt>
                <c:pt idx="6">
                  <c:v>25</c:v>
                </c:pt>
                <c:pt idx="7" formatCode="0.0">
                  <c:v>7.4999999999999991</c:v>
                </c:pt>
                <c:pt idx="8" formatCode="0.0">
                  <c:v>22.916666666666664</c:v>
                </c:pt>
                <c:pt idx="9" formatCode="0.0">
                  <c:v>0</c:v>
                </c:pt>
                <c:pt idx="10" formatCode="0.0">
                  <c:v>59.629981464318817</c:v>
                </c:pt>
                <c:pt idx="11">
                  <c:v>13.199055838739573</c:v>
                </c:pt>
                <c:pt idx="12" formatCode="0.0">
                  <c:v>8.4911086654309553</c:v>
                </c:pt>
                <c:pt idx="13" formatCode="0.0">
                  <c:v>18.679854031510658</c:v>
                </c:pt>
                <c:pt idx="14" formatCode="0.0">
                  <c:v>0</c:v>
                </c:pt>
                <c:pt idx="15" formatCode="0.0">
                  <c:v>63.339626391096978</c:v>
                </c:pt>
                <c:pt idx="16">
                  <c:v>20.722376788553259</c:v>
                </c:pt>
                <c:pt idx="17" formatCode="0.0">
                  <c:v>5.2116454689984106</c:v>
                </c:pt>
                <c:pt idx="18" formatCode="0.0">
                  <c:v>10.726351351351351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FD-1F41-B882-B01697CC9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Correct→Wrong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(early_stopping!$AG$746:$AK$746,early_stopping!$AM$746:$AQ$746,early_stopping!$AS$746:$AW$746,early_stopping!$AY$746:$BC$746)</c:f>
              <c:numCache>
                <c:formatCode>0.0</c:formatCode>
                <c:ptCount val="20"/>
                <c:pt idx="0">
                  <c:v>78.260869565217391</c:v>
                </c:pt>
                <c:pt idx="1">
                  <c:v>6.5217391304347823</c:v>
                </c:pt>
                <c:pt idx="2">
                  <c:v>4.3478260869565215</c:v>
                </c:pt>
                <c:pt idx="3">
                  <c:v>10.869565217391305</c:v>
                </c:pt>
                <c:pt idx="4">
                  <c:v>0</c:v>
                </c:pt>
                <c:pt idx="5">
                  <c:v>87.5</c:v>
                </c:pt>
                <c:pt idx="6">
                  <c:v>0</c:v>
                </c:pt>
                <c:pt idx="7">
                  <c:v>0</c:v>
                </c:pt>
                <c:pt idx="8">
                  <c:v>12.5</c:v>
                </c:pt>
                <c:pt idx="9">
                  <c:v>0</c:v>
                </c:pt>
                <c:pt idx="10">
                  <c:v>93.069306930693074</c:v>
                </c:pt>
                <c:pt idx="11">
                  <c:v>0.99009900990099009</c:v>
                </c:pt>
                <c:pt idx="12">
                  <c:v>0.99009900990099009</c:v>
                </c:pt>
                <c:pt idx="13">
                  <c:v>4.9504950495049505</c:v>
                </c:pt>
                <c:pt idx="14">
                  <c:v>0</c:v>
                </c:pt>
                <c:pt idx="15">
                  <c:v>73.68421052631578</c:v>
                </c:pt>
                <c:pt idx="16">
                  <c:v>0</c:v>
                </c:pt>
                <c:pt idx="17">
                  <c:v>0</c:v>
                </c:pt>
                <c:pt idx="18">
                  <c:v>26.315789473684209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F-3646-BCE3-EE256C396CC1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(early_stopping!$AG$747:$AK$747,early_stopping!$AM$747:$AQ$747,early_stopping!$AS$747:$AW$747,early_stopping!$AY$747:$BC$747)</c:f>
              <c:numCache>
                <c:formatCode>0.0</c:formatCode>
                <c:ptCount val="20"/>
                <c:pt idx="0">
                  <c:v>63.333333333333329</c:v>
                </c:pt>
                <c:pt idx="1">
                  <c:v>13.333333333333334</c:v>
                </c:pt>
                <c:pt idx="2">
                  <c:v>0</c:v>
                </c:pt>
                <c:pt idx="3">
                  <c:v>23.333333333333332</c:v>
                </c:pt>
                <c:pt idx="4">
                  <c:v>0</c:v>
                </c:pt>
                <c:pt idx="5">
                  <c:v>83.333333333333343</c:v>
                </c:pt>
                <c:pt idx="6">
                  <c:v>0</c:v>
                </c:pt>
                <c:pt idx="7">
                  <c:v>0</c:v>
                </c:pt>
                <c:pt idx="8">
                  <c:v>16.666666666666664</c:v>
                </c:pt>
                <c:pt idx="9">
                  <c:v>0</c:v>
                </c:pt>
                <c:pt idx="10">
                  <c:v>21.052631578947366</c:v>
                </c:pt>
                <c:pt idx="11">
                  <c:v>5.2631578947368416</c:v>
                </c:pt>
                <c:pt idx="12">
                  <c:v>1.7543859649122806</c:v>
                </c:pt>
                <c:pt idx="13">
                  <c:v>71.929824561403507</c:v>
                </c:pt>
                <c:pt idx="14">
                  <c:v>0</c:v>
                </c:pt>
                <c:pt idx="15">
                  <c:v>54.54545454545454</c:v>
                </c:pt>
                <c:pt idx="16">
                  <c:v>0</c:v>
                </c:pt>
                <c:pt idx="17">
                  <c:v>0</c:v>
                </c:pt>
                <c:pt idx="18">
                  <c:v>45.454545454545453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F-3646-BCE3-EE256C396CC1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(early_stopping!$AG$749:$AK$749,early_stopping!$AM$749:$AQ$749,early_stopping!$AS$749:$AW$749,early_stopping!$AY$749:$BC$749)</c:f>
              <c:numCache>
                <c:formatCode>0.0</c:formatCode>
                <c:ptCount val="20"/>
                <c:pt idx="0">
                  <c:v>46.296296296296298</c:v>
                </c:pt>
                <c:pt idx="1">
                  <c:v>24.074074074074073</c:v>
                </c:pt>
                <c:pt idx="2">
                  <c:v>22.222222222222221</c:v>
                </c:pt>
                <c:pt idx="3">
                  <c:v>7.4074074074074066</c:v>
                </c:pt>
                <c:pt idx="4">
                  <c:v>0</c:v>
                </c:pt>
                <c:pt idx="5">
                  <c:v>33.333333333333329</c:v>
                </c:pt>
                <c:pt idx="6">
                  <c:v>50</c:v>
                </c:pt>
                <c:pt idx="7">
                  <c:v>16.666666666666664</c:v>
                </c:pt>
                <c:pt idx="8">
                  <c:v>0</c:v>
                </c:pt>
                <c:pt idx="9">
                  <c:v>0</c:v>
                </c:pt>
                <c:pt idx="10">
                  <c:v>25.714285714285712</c:v>
                </c:pt>
                <c:pt idx="11">
                  <c:v>37.142857142857146</c:v>
                </c:pt>
                <c:pt idx="12">
                  <c:v>17.142857142857142</c:v>
                </c:pt>
                <c:pt idx="13">
                  <c:v>20</c:v>
                </c:pt>
                <c:pt idx="14">
                  <c:v>0</c:v>
                </c:pt>
                <c:pt idx="15">
                  <c:v>54.54545454545454</c:v>
                </c:pt>
                <c:pt idx="16">
                  <c:v>27.27272727272727</c:v>
                </c:pt>
                <c:pt idx="17">
                  <c:v>18.181818181818183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F-3646-BCE3-EE256C396CC1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(early_stopping!$AG$748:$AK$748,early_stopping!$AM$748:$AQ$748,early_stopping!$AS$748:$AW$748,early_stopping!$AY$748:$BC$748)</c:f>
              <c:numCache>
                <c:formatCode>0.0</c:formatCode>
                <c:ptCount val="20"/>
                <c:pt idx="0">
                  <c:v>47.619047619047613</c:v>
                </c:pt>
                <c:pt idx="1">
                  <c:v>4.7619047619047619</c:v>
                </c:pt>
                <c:pt idx="2">
                  <c:v>4.7619047619047619</c:v>
                </c:pt>
                <c:pt idx="3">
                  <c:v>40.476190476190474</c:v>
                </c:pt>
                <c:pt idx="4">
                  <c:v>2.3809523809523809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75</c:v>
                </c:pt>
                <c:pt idx="9">
                  <c:v>0</c:v>
                </c:pt>
                <c:pt idx="10">
                  <c:v>41.666666666666671</c:v>
                </c:pt>
                <c:pt idx="11">
                  <c:v>0</c:v>
                </c:pt>
                <c:pt idx="12">
                  <c:v>8.3333333333333321</c:v>
                </c:pt>
                <c:pt idx="13">
                  <c:v>50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8F-3646-BCE3-EE256C396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(early_stopping!$AG$750:$AK$750,early_stopping!$AM$750:$AQ$750,early_stopping!$AS$750:$AW$750,early_stopping!$AY$750:$BC$750)</c:f>
              <c:numCache>
                <c:formatCode>0.00</c:formatCode>
                <c:ptCount val="20"/>
                <c:pt idx="0">
                  <c:v>58.877386703473661</c:v>
                </c:pt>
                <c:pt idx="1">
                  <c:v>12.172762824936738</c:v>
                </c:pt>
                <c:pt idx="2" formatCode="0.0">
                  <c:v>7.832988267770876</c:v>
                </c:pt>
                <c:pt idx="3" formatCode="0.0">
                  <c:v>20.521624108580628</c:v>
                </c:pt>
                <c:pt idx="4" formatCode="0.0">
                  <c:v>0.59523809523809523</c:v>
                </c:pt>
                <c:pt idx="5" formatCode="0.0">
                  <c:v>57.291666666666671</c:v>
                </c:pt>
                <c:pt idx="6">
                  <c:v>12.5</c:v>
                </c:pt>
                <c:pt idx="7" formatCode="0.0">
                  <c:v>4.1666666666666661</c:v>
                </c:pt>
                <c:pt idx="8" formatCode="0.0">
                  <c:v>26.041666666666664</c:v>
                </c:pt>
                <c:pt idx="9" formatCode="0.0">
                  <c:v>0</c:v>
                </c:pt>
                <c:pt idx="10" formatCode="0.0">
                  <c:v>45.375722722648206</c:v>
                </c:pt>
                <c:pt idx="11">
                  <c:v>10.849028511873744</c:v>
                </c:pt>
                <c:pt idx="12" formatCode="0.0">
                  <c:v>7.0551688627509366</c:v>
                </c:pt>
                <c:pt idx="13" formatCode="0.0">
                  <c:v>36.720079902727115</c:v>
                </c:pt>
                <c:pt idx="14" formatCode="0.0">
                  <c:v>0</c:v>
                </c:pt>
                <c:pt idx="15" formatCode="0.0">
                  <c:v>70.693779904306211</c:v>
                </c:pt>
                <c:pt idx="16">
                  <c:v>6.8181818181818175</c:v>
                </c:pt>
                <c:pt idx="17" formatCode="0.0">
                  <c:v>4.5454545454545459</c:v>
                </c:pt>
                <c:pt idx="18" formatCode="0.0">
                  <c:v>17.942583732057415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8F-3646-BCE3-EE256C396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Correct→Wrong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(early_stopping!$AG$755:$AK$755,early_stopping!$AM$755:$AQ$755,early_stopping!$AS$755:$AW$755,early_stopping!$AY$755:$BC$755)</c:f>
              <c:numCache>
                <c:formatCode>0.0</c:formatCode>
                <c:ptCount val="20"/>
                <c:pt idx="0">
                  <c:v>79.069767441860463</c:v>
                </c:pt>
                <c:pt idx="1">
                  <c:v>11.627906976744185</c:v>
                </c:pt>
                <c:pt idx="2">
                  <c:v>2.3255813953488373</c:v>
                </c:pt>
                <c:pt idx="3">
                  <c:v>6.9767441860465116</c:v>
                </c:pt>
                <c:pt idx="4">
                  <c:v>0</c:v>
                </c:pt>
                <c:pt idx="5">
                  <c:v>66.666666666666657</c:v>
                </c:pt>
                <c:pt idx="6">
                  <c:v>22.222222222222221</c:v>
                </c:pt>
                <c:pt idx="7">
                  <c:v>0</c:v>
                </c:pt>
                <c:pt idx="8">
                  <c:v>11.111111111111111</c:v>
                </c:pt>
                <c:pt idx="9">
                  <c:v>0</c:v>
                </c:pt>
                <c:pt idx="10">
                  <c:v>94.565217391304344</c:v>
                </c:pt>
                <c:pt idx="11">
                  <c:v>2.1739130434782608</c:v>
                </c:pt>
                <c:pt idx="12">
                  <c:v>0</c:v>
                </c:pt>
                <c:pt idx="13">
                  <c:v>3.2608695652173911</c:v>
                </c:pt>
                <c:pt idx="14">
                  <c:v>0</c:v>
                </c:pt>
                <c:pt idx="15">
                  <c:v>84.210526315789465</c:v>
                </c:pt>
                <c:pt idx="16">
                  <c:v>0</c:v>
                </c:pt>
                <c:pt idx="17">
                  <c:v>0</c:v>
                </c:pt>
                <c:pt idx="18">
                  <c:v>15.789473684210526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F-3D4E-912D-1697A9ECD003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(early_stopping!$AG$756:$AK$756,early_stopping!$AM$756:$AQ$756,early_stopping!$AS$756:$AW$756,early_stopping!$AY$756:$BC$756)</c:f>
              <c:numCache>
                <c:formatCode>0.0</c:formatCode>
                <c:ptCount val="20"/>
                <c:pt idx="0">
                  <c:v>52</c:v>
                </c:pt>
                <c:pt idx="1">
                  <c:v>12</c:v>
                </c:pt>
                <c:pt idx="2">
                  <c:v>8</c:v>
                </c:pt>
                <c:pt idx="3">
                  <c:v>28.000000000000004</c:v>
                </c:pt>
                <c:pt idx="4">
                  <c:v>0</c:v>
                </c:pt>
                <c:pt idx="5">
                  <c:v>85.714285714285708</c:v>
                </c:pt>
                <c:pt idx="6">
                  <c:v>0</c:v>
                </c:pt>
                <c:pt idx="7">
                  <c:v>0</c:v>
                </c:pt>
                <c:pt idx="8">
                  <c:v>14.285714285714285</c:v>
                </c:pt>
                <c:pt idx="9">
                  <c:v>0</c:v>
                </c:pt>
                <c:pt idx="10">
                  <c:v>23.4375</c:v>
                </c:pt>
                <c:pt idx="11">
                  <c:v>3.125</c:v>
                </c:pt>
                <c:pt idx="12">
                  <c:v>0</c:v>
                </c:pt>
                <c:pt idx="13">
                  <c:v>73.4375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F-3D4E-912D-1697A9ECD003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(early_stopping!$AG$758:$AK$758,early_stopping!$AM$758:$AQ$758,early_stopping!$AS$758:$AW$758,early_stopping!$AY$758:$BC$758)</c:f>
              <c:numCache>
                <c:formatCode>0.0</c:formatCode>
                <c:ptCount val="20"/>
                <c:pt idx="0">
                  <c:v>47.272727272727273</c:v>
                </c:pt>
                <c:pt idx="1">
                  <c:v>16.363636363636363</c:v>
                </c:pt>
                <c:pt idx="2">
                  <c:v>29.09090909090909</c:v>
                </c:pt>
                <c:pt idx="3">
                  <c:v>7.2727272727272725</c:v>
                </c:pt>
                <c:pt idx="4">
                  <c:v>0</c:v>
                </c:pt>
                <c:pt idx="5">
                  <c:v>20</c:v>
                </c:pt>
                <c:pt idx="6">
                  <c:v>60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35.294117647058826</c:v>
                </c:pt>
                <c:pt idx="11">
                  <c:v>32.352941176470587</c:v>
                </c:pt>
                <c:pt idx="12">
                  <c:v>5.8823529411764701</c:v>
                </c:pt>
                <c:pt idx="13">
                  <c:v>26.47058823529412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13.333333333333334</c:v>
                </c:pt>
                <c:pt idx="18">
                  <c:v>6.666666666666667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4F-3D4E-912D-1697A9ECD003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(early_stopping!$AG$757:$AK$757,early_stopping!$AM$757:$AQ$757,early_stopping!$AS$757:$AW$757,early_stopping!$AY$757:$BC$757)</c:f>
              <c:numCache>
                <c:formatCode>0.0</c:formatCode>
                <c:ptCount val="20"/>
                <c:pt idx="0">
                  <c:v>57.142857142857139</c:v>
                </c:pt>
                <c:pt idx="1">
                  <c:v>11.428571428571429</c:v>
                </c:pt>
                <c:pt idx="2">
                  <c:v>0</c:v>
                </c:pt>
                <c:pt idx="3">
                  <c:v>31.428571428571427</c:v>
                </c:pt>
                <c:pt idx="4">
                  <c:v>0</c:v>
                </c:pt>
                <c:pt idx="5">
                  <c:v>0</c:v>
                </c:pt>
                <c:pt idx="6">
                  <c:v>66.666666666666657</c:v>
                </c:pt>
                <c:pt idx="7">
                  <c:v>33.333333333333329</c:v>
                </c:pt>
                <c:pt idx="8">
                  <c:v>0</c:v>
                </c:pt>
                <c:pt idx="9">
                  <c:v>0</c:v>
                </c:pt>
                <c:pt idx="10">
                  <c:v>45.454545454545453</c:v>
                </c:pt>
                <c:pt idx="11">
                  <c:v>9.0909090909090917</c:v>
                </c:pt>
                <c:pt idx="12">
                  <c:v>18.181818181818183</c:v>
                </c:pt>
                <c:pt idx="13">
                  <c:v>27.27272727272727</c:v>
                </c:pt>
                <c:pt idx="14">
                  <c:v>0</c:v>
                </c:pt>
                <c:pt idx="15">
                  <c:v>90.909090909090907</c:v>
                </c:pt>
                <c:pt idx="16">
                  <c:v>9.0909090909090917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4F-3D4E-912D-1697A9ECD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(early_stopping!$AG$759:$AK$759,early_stopping!$AM$759:$AQ$759,early_stopping!$AS$759:$AW$759,early_stopping!$AY$759:$BC$759)</c:f>
              <c:numCache>
                <c:formatCode>0.00</c:formatCode>
                <c:ptCount val="20"/>
                <c:pt idx="0">
                  <c:v>58.871337964361217</c:v>
                </c:pt>
                <c:pt idx="1">
                  <c:v>12.855028692237994</c:v>
                </c:pt>
                <c:pt idx="2" formatCode="0.0">
                  <c:v>9.8541226215644819</c:v>
                </c:pt>
                <c:pt idx="3" formatCode="0.0">
                  <c:v>18.419510721836303</c:v>
                </c:pt>
                <c:pt idx="4" formatCode="0.0">
                  <c:v>0</c:v>
                </c:pt>
                <c:pt idx="5" formatCode="0.0">
                  <c:v>43.095238095238088</c:v>
                </c:pt>
                <c:pt idx="6">
                  <c:v>37.222222222222221</c:v>
                </c:pt>
                <c:pt idx="7" formatCode="0.0">
                  <c:v>8.3333333333333321</c:v>
                </c:pt>
                <c:pt idx="8" formatCode="0.0">
                  <c:v>11.349206349206348</c:v>
                </c:pt>
                <c:pt idx="9" formatCode="0.0">
                  <c:v>0</c:v>
                </c:pt>
                <c:pt idx="10" formatCode="0.0">
                  <c:v>49.687845123227163</c:v>
                </c:pt>
                <c:pt idx="11">
                  <c:v>11.685690827714485</c:v>
                </c:pt>
                <c:pt idx="12" formatCode="0.0">
                  <c:v>6.0160427807486636</c:v>
                </c:pt>
                <c:pt idx="13" formatCode="0.0">
                  <c:v>32.610421268309693</c:v>
                </c:pt>
                <c:pt idx="14" formatCode="0.0">
                  <c:v>0</c:v>
                </c:pt>
                <c:pt idx="15" formatCode="0.0">
                  <c:v>83.779904306220089</c:v>
                </c:pt>
                <c:pt idx="16">
                  <c:v>2.2727272727272729</c:v>
                </c:pt>
                <c:pt idx="17" formatCode="0.0">
                  <c:v>3.3333333333333335</c:v>
                </c:pt>
                <c:pt idx="18" formatCode="0.0">
                  <c:v>10.614035087719298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4F-3D4E-912D-1697A9ECD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Correct→Wrong Answer Pattern Convergence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(early_stopping!$AG$764:$AK$764,early_stopping!$AM$764:$AQ$764,early_stopping!$AS$764:$AW$764,early_stopping!$AY$764:$BC$764)</c:f>
              <c:numCache>
                <c:formatCode>0.0</c:formatCode>
                <c:ptCount val="20"/>
                <c:pt idx="0">
                  <c:v>85.714285714285708</c:v>
                </c:pt>
                <c:pt idx="1">
                  <c:v>11.428571428571429</c:v>
                </c:pt>
                <c:pt idx="2">
                  <c:v>0</c:v>
                </c:pt>
                <c:pt idx="3">
                  <c:v>2.8571428571428572</c:v>
                </c:pt>
                <c:pt idx="4">
                  <c:v>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93.181818181818173</c:v>
                </c:pt>
                <c:pt idx="11">
                  <c:v>4.5454545454545459</c:v>
                </c:pt>
                <c:pt idx="12">
                  <c:v>0</c:v>
                </c:pt>
                <c:pt idx="13">
                  <c:v>2.2727272727272729</c:v>
                </c:pt>
                <c:pt idx="14">
                  <c:v>0</c:v>
                </c:pt>
                <c:pt idx="15">
                  <c:v>88.888888888888886</c:v>
                </c:pt>
                <c:pt idx="16">
                  <c:v>0</c:v>
                </c:pt>
                <c:pt idx="17">
                  <c:v>0</c:v>
                </c:pt>
                <c:pt idx="18">
                  <c:v>11.111111111111111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6-324E-8F9C-3100B4CA5ABA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(early_stopping!$AG$765:$AK$765,early_stopping!$AM$765:$AQ$765,early_stopping!$AS$765:$AW$765,early_stopping!$AY$765:$BC$765)</c:f>
              <c:numCache>
                <c:formatCode>0.0</c:formatCode>
                <c:ptCount val="20"/>
                <c:pt idx="0">
                  <c:v>48.275862068965516</c:v>
                </c:pt>
                <c:pt idx="1">
                  <c:v>13.793103448275861</c:v>
                </c:pt>
                <c:pt idx="2">
                  <c:v>6.8965517241379306</c:v>
                </c:pt>
                <c:pt idx="3">
                  <c:v>31.03448275862069</c:v>
                </c:pt>
                <c:pt idx="4">
                  <c:v>0</c:v>
                </c:pt>
                <c:pt idx="5">
                  <c:v>83.333333333333343</c:v>
                </c:pt>
                <c:pt idx="6">
                  <c:v>0</c:v>
                </c:pt>
                <c:pt idx="7">
                  <c:v>0</c:v>
                </c:pt>
                <c:pt idx="8">
                  <c:v>16.666666666666664</c:v>
                </c:pt>
                <c:pt idx="9">
                  <c:v>0</c:v>
                </c:pt>
                <c:pt idx="10">
                  <c:v>21.666666666666668</c:v>
                </c:pt>
                <c:pt idx="11">
                  <c:v>5</c:v>
                </c:pt>
                <c:pt idx="12">
                  <c:v>0</c:v>
                </c:pt>
                <c:pt idx="13">
                  <c:v>73.333333333333329</c:v>
                </c:pt>
                <c:pt idx="14">
                  <c:v>0</c:v>
                </c:pt>
                <c:pt idx="15">
                  <c:v>42.857142857142854</c:v>
                </c:pt>
                <c:pt idx="16">
                  <c:v>28.571428571428569</c:v>
                </c:pt>
                <c:pt idx="17">
                  <c:v>0</c:v>
                </c:pt>
                <c:pt idx="18">
                  <c:v>28.571428571428569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6-324E-8F9C-3100B4CA5ABA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(early_stopping!$AG$767:$AK$767,early_stopping!$AM$767:$AQ$767,early_stopping!$AS$767:$AW$767,early_stopping!$AY$767:$BC$767)</c:f>
              <c:numCache>
                <c:formatCode>0.0</c:formatCode>
                <c:ptCount val="20"/>
                <c:pt idx="0">
                  <c:v>40.677966101694921</c:v>
                </c:pt>
                <c:pt idx="1">
                  <c:v>25.423728813559322</c:v>
                </c:pt>
                <c:pt idx="2">
                  <c:v>15.254237288135593</c:v>
                </c:pt>
                <c:pt idx="3">
                  <c:v>18.64406779661017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42.857142857142854</c:v>
                </c:pt>
                <c:pt idx="11">
                  <c:v>25.714285714285712</c:v>
                </c:pt>
                <c:pt idx="12">
                  <c:v>8.5714285714285712</c:v>
                </c:pt>
                <c:pt idx="13">
                  <c:v>22.857142857142858</c:v>
                </c:pt>
                <c:pt idx="14">
                  <c:v>0</c:v>
                </c:pt>
                <c:pt idx="15">
                  <c:v>50</c:v>
                </c:pt>
                <c:pt idx="16">
                  <c:v>14.285714285714285</c:v>
                </c:pt>
                <c:pt idx="17">
                  <c:v>21.428571428571427</c:v>
                </c:pt>
                <c:pt idx="18">
                  <c:v>14.285714285714285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6-324E-8F9C-3100B4CA5ABA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(early_stopping!$AG$766:$AK$766,early_stopping!$AM$766:$AQ$766,early_stopping!$AS$766:$AW$766,early_stopping!$AY$766:$BC$766)</c:f>
              <c:numCache>
                <c:formatCode>0.0</c:formatCode>
                <c:ptCount val="20"/>
                <c:pt idx="0">
                  <c:v>37.5</c:v>
                </c:pt>
                <c:pt idx="1">
                  <c:v>18.75</c:v>
                </c:pt>
                <c:pt idx="2">
                  <c:v>9.375</c:v>
                </c:pt>
                <c:pt idx="3">
                  <c:v>34.375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33.333333333333329</c:v>
                </c:pt>
                <c:pt idx="11">
                  <c:v>16.666666666666664</c:v>
                </c:pt>
                <c:pt idx="12">
                  <c:v>8.3333333333333321</c:v>
                </c:pt>
                <c:pt idx="13">
                  <c:v>41.666666666666671</c:v>
                </c:pt>
                <c:pt idx="14">
                  <c:v>0</c:v>
                </c:pt>
                <c:pt idx="15">
                  <c:v>71.428571428571431</c:v>
                </c:pt>
                <c:pt idx="16">
                  <c:v>0</c:v>
                </c:pt>
                <c:pt idx="17">
                  <c:v>21.428571428571427</c:v>
                </c:pt>
                <c:pt idx="18">
                  <c:v>7.1428571428571423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76-324E-8F9C-3100B4CA5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(early_stopping!$AG$660:$AK$661,early_stopping!$AM$660:$AQ$661,early_stopping!$AS$660:$AW$661,early_stopping!$AY$660:$BC$661)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(early_stopping!$AG$768:$AK$768,early_stopping!$AM$768:$AQ$768,early_stopping!$AS$768:$AW$768,early_stopping!$AY$768:$BC$768)</c:f>
              <c:numCache>
                <c:formatCode>0.00</c:formatCode>
                <c:ptCount val="20"/>
                <c:pt idx="0">
                  <c:v>53.042028471236534</c:v>
                </c:pt>
                <c:pt idx="1">
                  <c:v>17.348850922601653</c:v>
                </c:pt>
                <c:pt idx="2" formatCode="0.0">
                  <c:v>7.8814472530683801</c:v>
                </c:pt>
                <c:pt idx="3" formatCode="0.0">
                  <c:v>21.727673353093429</c:v>
                </c:pt>
                <c:pt idx="4" formatCode="0.0">
                  <c:v>0</c:v>
                </c:pt>
                <c:pt idx="5" formatCode="0.0">
                  <c:v>45.833333333333336</c:v>
                </c:pt>
                <c:pt idx="6">
                  <c:v>12.5</c:v>
                </c:pt>
                <c:pt idx="7" formatCode="0.0">
                  <c:v>12.5</c:v>
                </c:pt>
                <c:pt idx="8" formatCode="0.0">
                  <c:v>4.1666666666666661</c:v>
                </c:pt>
                <c:pt idx="9" formatCode="0.0">
                  <c:v>0</c:v>
                </c:pt>
                <c:pt idx="10" formatCode="0.0">
                  <c:v>47.759740259740262</c:v>
                </c:pt>
                <c:pt idx="11">
                  <c:v>12.981601731601732</c:v>
                </c:pt>
                <c:pt idx="12" formatCode="0.0">
                  <c:v>4.2261904761904763</c:v>
                </c:pt>
                <c:pt idx="13" formatCode="0.0">
                  <c:v>35.032467532467528</c:v>
                </c:pt>
                <c:pt idx="14" formatCode="0.0">
                  <c:v>0</c:v>
                </c:pt>
                <c:pt idx="15" formatCode="0.0">
                  <c:v>63.293650793650798</c:v>
                </c:pt>
                <c:pt idx="16">
                  <c:v>10.714285714285714</c:v>
                </c:pt>
                <c:pt idx="17" formatCode="0.0">
                  <c:v>10.714285714285714</c:v>
                </c:pt>
                <c:pt idx="18" formatCode="0.0">
                  <c:v>15.277777777777777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76-324E-8F9C-3100B4CA5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IR-CA Agent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('IR-CA'!$B$488:$F$488,'IR-CA'!$H$488:$L$488,'IR-CA'!$N$488:$R$488,'IR-CA'!$T$488:$X$488)</c:f>
              <c:numCache>
                <c:formatCode>0.0</c:formatCode>
                <c:ptCount val="20"/>
                <c:pt idx="0">
                  <c:v>85.03649635036497</c:v>
                </c:pt>
                <c:pt idx="1">
                  <c:v>7.664233576642336</c:v>
                </c:pt>
                <c:pt idx="2">
                  <c:v>2.1897810218978102</c:v>
                </c:pt>
                <c:pt idx="3">
                  <c:v>5.1094890510948909</c:v>
                </c:pt>
                <c:pt idx="4">
                  <c:v>0</c:v>
                </c:pt>
                <c:pt idx="5">
                  <c:v>87.664041994750647</c:v>
                </c:pt>
                <c:pt idx="6">
                  <c:v>6.5616797900262469</c:v>
                </c:pt>
                <c:pt idx="7">
                  <c:v>3.1496062992125982</c:v>
                </c:pt>
                <c:pt idx="8">
                  <c:v>2.6246719160104988</c:v>
                </c:pt>
                <c:pt idx="9">
                  <c:v>0</c:v>
                </c:pt>
                <c:pt idx="10">
                  <c:v>82.630272952853602</c:v>
                </c:pt>
                <c:pt idx="11">
                  <c:v>10.918114143920596</c:v>
                </c:pt>
                <c:pt idx="12">
                  <c:v>3.4739454094292808</c:v>
                </c:pt>
                <c:pt idx="13">
                  <c:v>2.9776674937965262</c:v>
                </c:pt>
                <c:pt idx="14">
                  <c:v>0</c:v>
                </c:pt>
                <c:pt idx="15">
                  <c:v>80.769230769230774</c:v>
                </c:pt>
                <c:pt idx="16">
                  <c:v>16.666666666666664</c:v>
                </c:pt>
                <c:pt idx="17">
                  <c:v>1.2820512820512819</c:v>
                </c:pt>
                <c:pt idx="18">
                  <c:v>1.2820512820512819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F-0E4F-830D-0D2330F8FD3F}"/>
            </c:ext>
          </c:extLst>
        </c:ser>
        <c:ser>
          <c:idx val="1"/>
          <c:order val="1"/>
          <c:tx>
            <c:strRef>
              <c:f>'IR-CA'!$A$489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('IR-CA'!$B$489:$F$489,'IR-CA'!$H$489:$L$489,'IR-CA'!$N$489:$R$489,'IR-CA'!$T$489:$X$489)</c:f>
              <c:numCache>
                <c:formatCode>0.0</c:formatCode>
                <c:ptCount val="20"/>
                <c:pt idx="0">
                  <c:v>86.060606060606062</c:v>
                </c:pt>
                <c:pt idx="1">
                  <c:v>8.3333333333333321</c:v>
                </c:pt>
                <c:pt idx="2">
                  <c:v>0.90909090909090906</c:v>
                </c:pt>
                <c:pt idx="3">
                  <c:v>4.6969696969696964</c:v>
                </c:pt>
                <c:pt idx="4">
                  <c:v>0</c:v>
                </c:pt>
                <c:pt idx="5">
                  <c:v>82.566585956416461</c:v>
                </c:pt>
                <c:pt idx="6">
                  <c:v>9.2009685230024214</c:v>
                </c:pt>
                <c:pt idx="7">
                  <c:v>1.937046004842615</c:v>
                </c:pt>
                <c:pt idx="8">
                  <c:v>6.2953995157384997</c:v>
                </c:pt>
                <c:pt idx="9">
                  <c:v>0</c:v>
                </c:pt>
                <c:pt idx="10">
                  <c:v>87.434554973821989</c:v>
                </c:pt>
                <c:pt idx="11">
                  <c:v>6.8062827225130889</c:v>
                </c:pt>
                <c:pt idx="12">
                  <c:v>2.0942408376963351</c:v>
                </c:pt>
                <c:pt idx="13">
                  <c:v>3.664921465968586</c:v>
                </c:pt>
                <c:pt idx="14">
                  <c:v>0</c:v>
                </c:pt>
                <c:pt idx="15">
                  <c:v>92.222222222222229</c:v>
                </c:pt>
                <c:pt idx="16">
                  <c:v>4.4444444444444446</c:v>
                </c:pt>
                <c:pt idx="17">
                  <c:v>3.3333333333333335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F-0E4F-830D-0D2330F8FD3F}"/>
            </c:ext>
          </c:extLst>
        </c:ser>
        <c:ser>
          <c:idx val="2"/>
          <c:order val="2"/>
          <c:tx>
            <c:strRef>
              <c:f>'IR-CA'!$A$490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('IR-CA'!$B$490:$F$490,'IR-CA'!$H$490:$L$490,'IR-CA'!$N$490:$R$490,'IR-CA'!$T$490:$X$490)</c:f>
              <c:numCache>
                <c:formatCode>0.0</c:formatCode>
                <c:ptCount val="20"/>
                <c:pt idx="0">
                  <c:v>54.205607476635507</c:v>
                </c:pt>
                <c:pt idx="1">
                  <c:v>17.75700934579439</c:v>
                </c:pt>
                <c:pt idx="2">
                  <c:v>22.429906542056074</c:v>
                </c:pt>
                <c:pt idx="3">
                  <c:v>5.6074766355140184</c:v>
                </c:pt>
                <c:pt idx="4">
                  <c:v>0</c:v>
                </c:pt>
                <c:pt idx="5">
                  <c:v>84.384384384384376</c:v>
                </c:pt>
                <c:pt idx="6">
                  <c:v>7.8078078078078077</c:v>
                </c:pt>
                <c:pt idx="7">
                  <c:v>3.0030030030030028</c:v>
                </c:pt>
                <c:pt idx="8">
                  <c:v>4.8048048048048049</c:v>
                </c:pt>
                <c:pt idx="9">
                  <c:v>0</c:v>
                </c:pt>
                <c:pt idx="10">
                  <c:v>88.163265306122454</c:v>
                </c:pt>
                <c:pt idx="11">
                  <c:v>7.7551020408163263</c:v>
                </c:pt>
                <c:pt idx="12">
                  <c:v>3.2653061224489797</c:v>
                </c:pt>
                <c:pt idx="13">
                  <c:v>0.81632653061224492</c:v>
                </c:pt>
                <c:pt idx="14">
                  <c:v>0</c:v>
                </c:pt>
                <c:pt idx="15">
                  <c:v>82.857142857142861</c:v>
                </c:pt>
                <c:pt idx="16">
                  <c:v>7.1428571428571423</c:v>
                </c:pt>
                <c:pt idx="17">
                  <c:v>4.2857142857142856</c:v>
                </c:pt>
                <c:pt idx="18">
                  <c:v>5.7142857142857144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DF-0E4F-830D-0D2330F8F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('IR-CA'!$B$491:$F$491,'IR-CA'!$H$491:$L$491,'IR-CA'!$N$491:$R$491,'IR-CA'!$T$491:$X$491)</c:f>
              <c:numCache>
                <c:formatCode>0.00</c:formatCode>
                <c:ptCount val="20"/>
                <c:pt idx="0">
                  <c:v>75.100903295868861</c:v>
                </c:pt>
                <c:pt idx="1">
                  <c:v>11.25152541859002</c:v>
                </c:pt>
                <c:pt idx="2" formatCode="0.0">
                  <c:v>8.5095928243482639</c:v>
                </c:pt>
                <c:pt idx="3" formatCode="0.0">
                  <c:v>5.1379784611928683</c:v>
                </c:pt>
                <c:pt idx="4" formatCode="0.0">
                  <c:v>0</c:v>
                </c:pt>
                <c:pt idx="5" formatCode="0.0">
                  <c:v>84.871670778517156</c:v>
                </c:pt>
                <c:pt idx="6">
                  <c:v>7.856818706945492</c:v>
                </c:pt>
                <c:pt idx="7" formatCode="0.0">
                  <c:v>2.6965517690194054</c:v>
                </c:pt>
                <c:pt idx="8" formatCode="0.0">
                  <c:v>4.5749587455179341</c:v>
                </c:pt>
                <c:pt idx="9" formatCode="0.0">
                  <c:v>0</c:v>
                </c:pt>
                <c:pt idx="10" formatCode="0.0">
                  <c:v>86.076031077599353</c:v>
                </c:pt>
                <c:pt idx="11">
                  <c:v>8.4931663024166699</c:v>
                </c:pt>
                <c:pt idx="12" formatCode="0.0">
                  <c:v>2.9444974565248656</c:v>
                </c:pt>
                <c:pt idx="13" formatCode="0.0">
                  <c:v>2.4863051634591189</c:v>
                </c:pt>
                <c:pt idx="14" formatCode="0.0">
                  <c:v>0</c:v>
                </c:pt>
                <c:pt idx="15" formatCode="0.0">
                  <c:v>85.282865282865288</c:v>
                </c:pt>
                <c:pt idx="16">
                  <c:v>9.4179894179894159</c:v>
                </c:pt>
                <c:pt idx="17" formatCode="0.0">
                  <c:v>2.9670329670329672</c:v>
                </c:pt>
                <c:pt idx="18" formatCode="0.0">
                  <c:v>2.3321123321123323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DF-0E4F-830D-0D2330F8F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IR-CA Agent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('IR-CA'!$B$496:$F$496,'IR-CA'!$H$496:$L$496,'IR-CA'!$N$496:$R$496,'IR-CA'!$T$496:$X$496)</c:f>
              <c:numCache>
                <c:formatCode>0.0</c:formatCode>
                <c:ptCount val="20"/>
                <c:pt idx="0">
                  <c:v>58.431372549019613</c:v>
                </c:pt>
                <c:pt idx="1">
                  <c:v>20.392156862745097</c:v>
                </c:pt>
                <c:pt idx="2">
                  <c:v>5.4901960784313726</c:v>
                </c:pt>
                <c:pt idx="3">
                  <c:v>15.686274509803921</c:v>
                </c:pt>
                <c:pt idx="4">
                  <c:v>0</c:v>
                </c:pt>
                <c:pt idx="5">
                  <c:v>37.951807228915662</c:v>
                </c:pt>
                <c:pt idx="6">
                  <c:v>42.168674698795186</c:v>
                </c:pt>
                <c:pt idx="7">
                  <c:v>11.144578313253012</c:v>
                </c:pt>
                <c:pt idx="8">
                  <c:v>8.7349397590361448</c:v>
                </c:pt>
                <c:pt idx="9">
                  <c:v>0</c:v>
                </c:pt>
                <c:pt idx="10">
                  <c:v>54.51977401129944</c:v>
                </c:pt>
                <c:pt idx="11">
                  <c:v>31.073446327683619</c:v>
                </c:pt>
                <c:pt idx="12">
                  <c:v>5.0847457627118651</c:v>
                </c:pt>
                <c:pt idx="13">
                  <c:v>9.3220338983050848</c:v>
                </c:pt>
                <c:pt idx="14">
                  <c:v>0</c:v>
                </c:pt>
                <c:pt idx="15">
                  <c:v>64.15094339622641</c:v>
                </c:pt>
                <c:pt idx="16">
                  <c:v>32.075471698113205</c:v>
                </c:pt>
                <c:pt idx="17">
                  <c:v>3.7735849056603774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4-FA41-98FF-6D8855AE8A99}"/>
            </c:ext>
          </c:extLst>
        </c:ser>
        <c:ser>
          <c:idx val="1"/>
          <c:order val="1"/>
          <c:tx>
            <c:strRef>
              <c:f>'IR-CA'!$A$489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('IR-CA'!$B$497:$F$497,'IR-CA'!$H$497:$L$497,'IR-CA'!$N$497:$R$497,'IR-CA'!$T$497:$X$497)</c:f>
              <c:numCache>
                <c:formatCode>0.0</c:formatCode>
                <c:ptCount val="20"/>
                <c:pt idx="0">
                  <c:v>72.491909385113274</c:v>
                </c:pt>
                <c:pt idx="1">
                  <c:v>16.828478964401295</c:v>
                </c:pt>
                <c:pt idx="2">
                  <c:v>2.912621359223301</c:v>
                </c:pt>
                <c:pt idx="3">
                  <c:v>7.7669902912621351</c:v>
                </c:pt>
                <c:pt idx="4">
                  <c:v>0</c:v>
                </c:pt>
                <c:pt idx="5">
                  <c:v>37.327188940092164</c:v>
                </c:pt>
                <c:pt idx="6">
                  <c:v>41.935483870967744</c:v>
                </c:pt>
                <c:pt idx="7">
                  <c:v>10.599078341013826</c:v>
                </c:pt>
                <c:pt idx="8">
                  <c:v>10.138248847926267</c:v>
                </c:pt>
                <c:pt idx="9">
                  <c:v>0</c:v>
                </c:pt>
                <c:pt idx="10">
                  <c:v>53.900709219858157</c:v>
                </c:pt>
                <c:pt idx="11">
                  <c:v>27.659574468085108</c:v>
                </c:pt>
                <c:pt idx="12">
                  <c:v>8.5106382978723403</c:v>
                </c:pt>
                <c:pt idx="13">
                  <c:v>9.9290780141843982</c:v>
                </c:pt>
                <c:pt idx="14">
                  <c:v>0</c:v>
                </c:pt>
                <c:pt idx="15">
                  <c:v>61.029411764705884</c:v>
                </c:pt>
                <c:pt idx="16">
                  <c:v>27.941176470588236</c:v>
                </c:pt>
                <c:pt idx="17">
                  <c:v>6.6176470588235299</c:v>
                </c:pt>
                <c:pt idx="18">
                  <c:v>4.4117647058823533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4-FA41-98FF-6D8855AE8A99}"/>
            </c:ext>
          </c:extLst>
        </c:ser>
        <c:ser>
          <c:idx val="2"/>
          <c:order val="2"/>
          <c:tx>
            <c:strRef>
              <c:f>'IR-CA'!$A$490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('IR-CA'!$B$498:$F$498,'IR-CA'!$H$498:$L$498,'IR-CA'!$N$498:$R$498,'IR-CA'!$T$498:$X$498)</c:f>
              <c:numCache>
                <c:formatCode>0.0</c:formatCode>
                <c:ptCount val="20"/>
                <c:pt idx="0">
                  <c:v>15.841584158415841</c:v>
                </c:pt>
                <c:pt idx="1">
                  <c:v>41.584158415841586</c:v>
                </c:pt>
                <c:pt idx="2">
                  <c:v>19.801980198019802</c:v>
                </c:pt>
                <c:pt idx="3">
                  <c:v>22.772277227722775</c:v>
                </c:pt>
                <c:pt idx="4">
                  <c:v>0</c:v>
                </c:pt>
                <c:pt idx="5">
                  <c:v>21.1864406779661</c:v>
                </c:pt>
                <c:pt idx="6">
                  <c:v>32.20338983050847</c:v>
                </c:pt>
                <c:pt idx="7">
                  <c:v>22.881355932203391</c:v>
                </c:pt>
                <c:pt idx="8">
                  <c:v>23.728813559322035</c:v>
                </c:pt>
                <c:pt idx="9">
                  <c:v>0</c:v>
                </c:pt>
                <c:pt idx="10">
                  <c:v>32.835820895522389</c:v>
                </c:pt>
                <c:pt idx="11">
                  <c:v>31.343283582089555</c:v>
                </c:pt>
                <c:pt idx="12">
                  <c:v>10.44776119402985</c:v>
                </c:pt>
                <c:pt idx="13">
                  <c:v>25.373134328358208</c:v>
                </c:pt>
                <c:pt idx="14">
                  <c:v>0</c:v>
                </c:pt>
                <c:pt idx="15">
                  <c:v>25.862068965517242</c:v>
                </c:pt>
                <c:pt idx="16">
                  <c:v>53.448275862068961</c:v>
                </c:pt>
                <c:pt idx="17">
                  <c:v>8.6206896551724146</c:v>
                </c:pt>
                <c:pt idx="18">
                  <c:v>12.068965517241379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74-FA41-98FF-6D8855AE8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('IR-CA'!$B$499:$F$499,'IR-CA'!$H$499:$L$499,'IR-CA'!$N$499:$R$499,'IR-CA'!$T$499:$X$499)</c:f>
              <c:numCache>
                <c:formatCode>0.00</c:formatCode>
                <c:ptCount val="20"/>
                <c:pt idx="0">
                  <c:v>48.921622030849583</c:v>
                </c:pt>
                <c:pt idx="1">
                  <c:v>26.268264747662659</c:v>
                </c:pt>
                <c:pt idx="2" formatCode="0.0">
                  <c:v>9.4015992118914919</c:v>
                </c:pt>
                <c:pt idx="3" formatCode="0.0">
                  <c:v>15.408514009596276</c:v>
                </c:pt>
                <c:pt idx="4" formatCode="0.0">
                  <c:v>0</c:v>
                </c:pt>
                <c:pt idx="5" formatCode="0.0">
                  <c:v>32.155145615657979</c:v>
                </c:pt>
                <c:pt idx="6">
                  <c:v>38.769182800090469</c:v>
                </c:pt>
                <c:pt idx="7" formatCode="0.0">
                  <c:v>14.875004195490076</c:v>
                </c:pt>
                <c:pt idx="8" formatCode="0.0">
                  <c:v>14.200667388761483</c:v>
                </c:pt>
                <c:pt idx="9" formatCode="0.0">
                  <c:v>0</c:v>
                </c:pt>
                <c:pt idx="10" formatCode="0.0">
                  <c:v>47.085434708893331</c:v>
                </c:pt>
                <c:pt idx="11">
                  <c:v>30.025434792619425</c:v>
                </c:pt>
                <c:pt idx="12" formatCode="0.0">
                  <c:v>8.0143817515380178</c:v>
                </c:pt>
                <c:pt idx="13" formatCode="0.0">
                  <c:v>14.874748746949232</c:v>
                </c:pt>
                <c:pt idx="14" formatCode="0.0">
                  <c:v>0</c:v>
                </c:pt>
                <c:pt idx="15" formatCode="0.0">
                  <c:v>50.347474708816513</c:v>
                </c:pt>
                <c:pt idx="16">
                  <c:v>37.82164134359013</c:v>
                </c:pt>
                <c:pt idx="17" formatCode="0.0">
                  <c:v>6.337307206552107</c:v>
                </c:pt>
                <c:pt idx="18" formatCode="0.0">
                  <c:v>5.4935767410412444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74-FA41-98FF-6D8855AE8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IR-CA Agent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('IR-CA'!$B$505:$F$505,'IR-CA'!$H$505:$L$505,'IR-CA'!$N$505:$R$505,'IR-CA'!$T$505:$X$505)</c:f>
              <c:numCache>
                <c:formatCode>0.0</c:formatCode>
                <c:ptCount val="20"/>
                <c:pt idx="0">
                  <c:v>42.8</c:v>
                </c:pt>
                <c:pt idx="1">
                  <c:v>28.000000000000004</c:v>
                </c:pt>
                <c:pt idx="2">
                  <c:v>7.1999999999999993</c:v>
                </c:pt>
                <c:pt idx="3">
                  <c:v>22</c:v>
                </c:pt>
                <c:pt idx="4">
                  <c:v>0</c:v>
                </c:pt>
                <c:pt idx="5">
                  <c:v>4.4496487119437944</c:v>
                </c:pt>
                <c:pt idx="6">
                  <c:v>60.187353629976585</c:v>
                </c:pt>
                <c:pt idx="7">
                  <c:v>18.266978922716628</c:v>
                </c:pt>
                <c:pt idx="8">
                  <c:v>17.096018735362996</c:v>
                </c:pt>
                <c:pt idx="9">
                  <c:v>0</c:v>
                </c:pt>
                <c:pt idx="10">
                  <c:v>28.39506172839506</c:v>
                </c:pt>
                <c:pt idx="11">
                  <c:v>44.197530864197532</c:v>
                </c:pt>
                <c:pt idx="12">
                  <c:v>9.3827160493827169</c:v>
                </c:pt>
                <c:pt idx="13">
                  <c:v>18.02469135802469</c:v>
                </c:pt>
                <c:pt idx="14">
                  <c:v>0</c:v>
                </c:pt>
                <c:pt idx="15">
                  <c:v>51.219512195121951</c:v>
                </c:pt>
                <c:pt idx="16">
                  <c:v>31.707317073170731</c:v>
                </c:pt>
                <c:pt idx="17">
                  <c:v>9.7560975609756095</c:v>
                </c:pt>
                <c:pt idx="18">
                  <c:v>7.3170731707317067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5-554E-8CA4-62C6881B628F}"/>
            </c:ext>
          </c:extLst>
        </c:ser>
        <c:ser>
          <c:idx val="1"/>
          <c:order val="1"/>
          <c:tx>
            <c:strRef>
              <c:f>'IR-CA'!$A$489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('IR-CA'!$B$506:$F$506,'IR-CA'!$H$506:$L$506,'IR-CA'!$N$506:$R$506,'IR-CA'!$T$506:$X$506)</c:f>
              <c:numCache>
                <c:formatCode>0.0</c:formatCode>
                <c:ptCount val="20"/>
                <c:pt idx="0">
                  <c:v>66.192733017377563</c:v>
                </c:pt>
                <c:pt idx="1">
                  <c:v>21.011058451816748</c:v>
                </c:pt>
                <c:pt idx="2">
                  <c:v>3.9494470774091628</c:v>
                </c:pt>
                <c:pt idx="3">
                  <c:v>8.8467614533965246</c:v>
                </c:pt>
                <c:pt idx="4">
                  <c:v>0</c:v>
                </c:pt>
                <c:pt idx="5">
                  <c:v>14.97005988023952</c:v>
                </c:pt>
                <c:pt idx="6">
                  <c:v>56.287425149700596</c:v>
                </c:pt>
                <c:pt idx="7">
                  <c:v>13.17365269461078</c:v>
                </c:pt>
                <c:pt idx="8">
                  <c:v>15.568862275449103</c:v>
                </c:pt>
                <c:pt idx="9">
                  <c:v>0</c:v>
                </c:pt>
                <c:pt idx="10">
                  <c:v>34.074074074074076</c:v>
                </c:pt>
                <c:pt idx="11">
                  <c:v>26.666666666666668</c:v>
                </c:pt>
                <c:pt idx="12">
                  <c:v>8.8888888888888893</c:v>
                </c:pt>
                <c:pt idx="13">
                  <c:v>30.37037037037037</c:v>
                </c:pt>
                <c:pt idx="14">
                  <c:v>0</c:v>
                </c:pt>
                <c:pt idx="15">
                  <c:v>42.519685039370081</c:v>
                </c:pt>
                <c:pt idx="16">
                  <c:v>36.220472440944881</c:v>
                </c:pt>
                <c:pt idx="17">
                  <c:v>4.7244094488188972</c:v>
                </c:pt>
                <c:pt idx="18">
                  <c:v>16.535433070866144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75-554E-8CA4-62C6881B628F}"/>
            </c:ext>
          </c:extLst>
        </c:ser>
        <c:ser>
          <c:idx val="2"/>
          <c:order val="2"/>
          <c:tx>
            <c:strRef>
              <c:f>'IR-CA'!$A$490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('IR-CA'!$B$507:$F$507,'IR-CA'!$H$507:$L$507,'IR-CA'!$N$507:$R$507,'IR-CA'!$T$507:$X$507)</c:f>
              <c:numCache>
                <c:formatCode>0.0</c:formatCode>
                <c:ptCount val="20"/>
                <c:pt idx="0">
                  <c:v>12.5</c:v>
                </c:pt>
                <c:pt idx="1">
                  <c:v>42.045454545454547</c:v>
                </c:pt>
                <c:pt idx="2">
                  <c:v>11.363636363636363</c:v>
                </c:pt>
                <c:pt idx="3">
                  <c:v>34.090909090909086</c:v>
                </c:pt>
                <c:pt idx="4">
                  <c:v>0</c:v>
                </c:pt>
                <c:pt idx="5">
                  <c:v>5.6910569105691051</c:v>
                </c:pt>
                <c:pt idx="6">
                  <c:v>56.910569105691053</c:v>
                </c:pt>
                <c:pt idx="7">
                  <c:v>11.38211382113821</c:v>
                </c:pt>
                <c:pt idx="8">
                  <c:v>26.016260162601629</c:v>
                </c:pt>
                <c:pt idx="9">
                  <c:v>0</c:v>
                </c:pt>
                <c:pt idx="10">
                  <c:v>9.1549295774647899</c:v>
                </c:pt>
                <c:pt idx="11">
                  <c:v>33.098591549295776</c:v>
                </c:pt>
                <c:pt idx="12">
                  <c:v>5.6338028169014089</c:v>
                </c:pt>
                <c:pt idx="13">
                  <c:v>52.112676056338024</c:v>
                </c:pt>
                <c:pt idx="14">
                  <c:v>0</c:v>
                </c:pt>
                <c:pt idx="15">
                  <c:v>11.842105263157894</c:v>
                </c:pt>
                <c:pt idx="16">
                  <c:v>48.684210526315788</c:v>
                </c:pt>
                <c:pt idx="17">
                  <c:v>2.6315789473684208</c:v>
                </c:pt>
                <c:pt idx="18">
                  <c:v>36.84210526315789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75-554E-8CA4-62C6881B6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('IR-CA'!$B$508:$F$508,'IR-CA'!$H$508:$L$508,'IR-CA'!$N$508:$R$508,'IR-CA'!$T$508:$X$508)</c:f>
              <c:numCache>
                <c:formatCode>0.00</c:formatCode>
                <c:ptCount val="20"/>
                <c:pt idx="0">
                  <c:v>40.497577672459187</c:v>
                </c:pt>
                <c:pt idx="1">
                  <c:v>30.352170999090433</c:v>
                </c:pt>
                <c:pt idx="2" formatCode="0.0">
                  <c:v>7.5043611470151745</c:v>
                </c:pt>
                <c:pt idx="3" formatCode="0.0">
                  <c:v>21.645890181435202</c:v>
                </c:pt>
                <c:pt idx="4" formatCode="0.0">
                  <c:v>0</c:v>
                </c:pt>
                <c:pt idx="5" formatCode="0.0">
                  <c:v>8.3702551675841388</c:v>
                </c:pt>
                <c:pt idx="6">
                  <c:v>57.795115961789406</c:v>
                </c:pt>
                <c:pt idx="7" formatCode="0.0">
                  <c:v>14.27424847948854</c:v>
                </c:pt>
                <c:pt idx="8" formatCode="0.0">
                  <c:v>19.560380391137908</c:v>
                </c:pt>
                <c:pt idx="9" formatCode="0.0">
                  <c:v>0</c:v>
                </c:pt>
                <c:pt idx="10" formatCode="0.0">
                  <c:v>23.874688459977975</c:v>
                </c:pt>
                <c:pt idx="11">
                  <c:v>34.654263026719995</c:v>
                </c:pt>
                <c:pt idx="12" formatCode="0.0">
                  <c:v>7.968469251724339</c:v>
                </c:pt>
                <c:pt idx="13" formatCode="0.0">
                  <c:v>33.502579261577694</c:v>
                </c:pt>
                <c:pt idx="14" formatCode="0.0">
                  <c:v>0</c:v>
                </c:pt>
                <c:pt idx="15" formatCode="0.0">
                  <c:v>35.193767499216641</c:v>
                </c:pt>
                <c:pt idx="16">
                  <c:v>38.870666680143806</c:v>
                </c:pt>
                <c:pt idx="17" formatCode="0.0">
                  <c:v>5.7040286523876427</c:v>
                </c:pt>
                <c:pt idx="18" formatCode="0.0">
                  <c:v>20.231537168251915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75-554E-8CA4-62C6881B6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IR-CA Agent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'IR-CA'!$A$513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('IR-CA'!$B$513:$F$513,'IR-CA'!$H$513:$L$513,'IR-CA'!$N$513:$R$513,'IR-CA'!$T$513:$X$513)</c:f>
              <c:numCache>
                <c:formatCode>0.0</c:formatCode>
                <c:ptCount val="20"/>
                <c:pt idx="0">
                  <c:v>30.473372781065088</c:v>
                </c:pt>
                <c:pt idx="1">
                  <c:v>50.295857988165679</c:v>
                </c:pt>
                <c:pt idx="2">
                  <c:v>16.863905325443788</c:v>
                </c:pt>
                <c:pt idx="3">
                  <c:v>2.3668639053254439</c:v>
                </c:pt>
                <c:pt idx="4">
                  <c:v>0</c:v>
                </c:pt>
                <c:pt idx="5">
                  <c:v>45.762711864406782</c:v>
                </c:pt>
                <c:pt idx="6">
                  <c:v>38.983050847457626</c:v>
                </c:pt>
                <c:pt idx="7">
                  <c:v>8.4745762711864394</c:v>
                </c:pt>
                <c:pt idx="8">
                  <c:v>6.7796610169491522</c:v>
                </c:pt>
                <c:pt idx="9">
                  <c:v>0</c:v>
                </c:pt>
                <c:pt idx="10">
                  <c:v>71.022727272727266</c:v>
                </c:pt>
                <c:pt idx="11">
                  <c:v>15.909090909090908</c:v>
                </c:pt>
                <c:pt idx="12">
                  <c:v>8.5227272727272716</c:v>
                </c:pt>
                <c:pt idx="13">
                  <c:v>4.5454545454545459</c:v>
                </c:pt>
                <c:pt idx="14">
                  <c:v>0</c:v>
                </c:pt>
                <c:pt idx="15">
                  <c:v>33.333333333333329</c:v>
                </c:pt>
                <c:pt idx="16">
                  <c:v>25</c:v>
                </c:pt>
                <c:pt idx="17">
                  <c:v>29.166666666666668</c:v>
                </c:pt>
                <c:pt idx="18">
                  <c:v>12.5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C-3F47-9E2A-683C66CB3E03}"/>
            </c:ext>
          </c:extLst>
        </c:ser>
        <c:ser>
          <c:idx val="1"/>
          <c:order val="1"/>
          <c:tx>
            <c:strRef>
              <c:f>'IR-CA'!$A$514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('IR-CA'!$B$514:$F$514,'IR-CA'!$H$514:$L$514,'IR-CA'!$N$514:$R$514,'IR-CA'!$T$514:$X$514)</c:f>
              <c:numCache>
                <c:formatCode>0.0</c:formatCode>
                <c:ptCount val="20"/>
                <c:pt idx="0">
                  <c:v>46.913580246913575</c:v>
                </c:pt>
                <c:pt idx="1">
                  <c:v>23.456790123456788</c:v>
                </c:pt>
                <c:pt idx="2">
                  <c:v>6.1728395061728394</c:v>
                </c:pt>
                <c:pt idx="3">
                  <c:v>23.456790123456788</c:v>
                </c:pt>
                <c:pt idx="4">
                  <c:v>0</c:v>
                </c:pt>
                <c:pt idx="5">
                  <c:v>0</c:v>
                </c:pt>
                <c:pt idx="6">
                  <c:v>37.5</c:v>
                </c:pt>
                <c:pt idx="7">
                  <c:v>37.5</c:v>
                </c:pt>
                <c:pt idx="8">
                  <c:v>25</c:v>
                </c:pt>
                <c:pt idx="9">
                  <c:v>0</c:v>
                </c:pt>
                <c:pt idx="10">
                  <c:v>13.669064748201439</c:v>
                </c:pt>
                <c:pt idx="11">
                  <c:v>21.582733812949641</c:v>
                </c:pt>
                <c:pt idx="12">
                  <c:v>5.0359712230215825</c:v>
                </c:pt>
                <c:pt idx="13">
                  <c:v>59.712230215827333</c:v>
                </c:pt>
                <c:pt idx="14">
                  <c:v>0</c:v>
                </c:pt>
                <c:pt idx="15">
                  <c:v>5.5555555555555554</c:v>
                </c:pt>
                <c:pt idx="16">
                  <c:v>33.333333333333329</c:v>
                </c:pt>
                <c:pt idx="17">
                  <c:v>0</c:v>
                </c:pt>
                <c:pt idx="18">
                  <c:v>61.111111111111114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C-3F47-9E2A-683C66CB3E03}"/>
            </c:ext>
          </c:extLst>
        </c:ser>
        <c:ser>
          <c:idx val="2"/>
          <c:order val="2"/>
          <c:tx>
            <c:strRef>
              <c:f>'IR-CA'!$A$515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('IR-CA'!$B$515:$F$515,'IR-CA'!$H$515:$L$515,'IR-CA'!$N$515:$R$515,'IR-CA'!$T$515:$X$515)</c:f>
              <c:numCache>
                <c:formatCode>0.0</c:formatCode>
                <c:ptCount val="20"/>
                <c:pt idx="0">
                  <c:v>56.756756756756758</c:v>
                </c:pt>
                <c:pt idx="1">
                  <c:v>25.225225225225223</c:v>
                </c:pt>
                <c:pt idx="2">
                  <c:v>11.711711711711711</c:v>
                </c:pt>
                <c:pt idx="3">
                  <c:v>6.3063063063063058</c:v>
                </c:pt>
                <c:pt idx="4">
                  <c:v>0</c:v>
                </c:pt>
                <c:pt idx="5">
                  <c:v>63.157894736842103</c:v>
                </c:pt>
                <c:pt idx="6">
                  <c:v>15.789473684210526</c:v>
                </c:pt>
                <c:pt idx="7">
                  <c:v>10.526315789473683</c:v>
                </c:pt>
                <c:pt idx="8">
                  <c:v>10.526315789473683</c:v>
                </c:pt>
                <c:pt idx="9">
                  <c:v>0</c:v>
                </c:pt>
                <c:pt idx="10">
                  <c:v>20.792079207920793</c:v>
                </c:pt>
                <c:pt idx="11">
                  <c:v>30.693069306930692</c:v>
                </c:pt>
                <c:pt idx="12">
                  <c:v>27.722772277227726</c:v>
                </c:pt>
                <c:pt idx="13">
                  <c:v>20.792079207920793</c:v>
                </c:pt>
                <c:pt idx="14">
                  <c:v>0</c:v>
                </c:pt>
                <c:pt idx="15">
                  <c:v>29.166666666666668</c:v>
                </c:pt>
                <c:pt idx="16">
                  <c:v>33.333333333333329</c:v>
                </c:pt>
                <c:pt idx="17">
                  <c:v>27.777777777777779</c:v>
                </c:pt>
                <c:pt idx="18">
                  <c:v>9.7222222222222232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5C-3F47-9E2A-683C66CB3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'IR-CA'!$A$516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('IR-CA'!$B$516:$F$516,'IR-CA'!$H$516:$L$516,'IR-CA'!$N$516:$R$516,'IR-CA'!$T$516:$X$516)</c:f>
              <c:numCache>
                <c:formatCode>0.00</c:formatCode>
                <c:ptCount val="20"/>
                <c:pt idx="0">
                  <c:v>44.71456992824514</c:v>
                </c:pt>
                <c:pt idx="1">
                  <c:v>32.992624445615895</c:v>
                </c:pt>
                <c:pt idx="2" formatCode="0.0">
                  <c:v>11.582818847776112</c:v>
                </c:pt>
                <c:pt idx="3" formatCode="0.0">
                  <c:v>10.709986778362847</c:v>
                </c:pt>
                <c:pt idx="4" formatCode="0.0">
                  <c:v>0</c:v>
                </c:pt>
                <c:pt idx="5" formatCode="0.0">
                  <c:v>36.306868867082962</c:v>
                </c:pt>
                <c:pt idx="6">
                  <c:v>30.757508177222718</c:v>
                </c:pt>
                <c:pt idx="7" formatCode="0.0">
                  <c:v>18.833630686886707</c:v>
                </c:pt>
                <c:pt idx="8" formatCode="0.0">
                  <c:v>14.101992268807612</c:v>
                </c:pt>
                <c:pt idx="9" formatCode="0.0">
                  <c:v>0</c:v>
                </c:pt>
                <c:pt idx="10" formatCode="0.0">
                  <c:v>35.161290409616498</c:v>
                </c:pt>
                <c:pt idx="11">
                  <c:v>22.728298009657081</c:v>
                </c:pt>
                <c:pt idx="12" formatCode="0.0">
                  <c:v>13.760490257658859</c:v>
                </c:pt>
                <c:pt idx="13" formatCode="0.0">
                  <c:v>28.349921323067559</c:v>
                </c:pt>
                <c:pt idx="14" formatCode="0.0">
                  <c:v>0</c:v>
                </c:pt>
                <c:pt idx="15" formatCode="0.0">
                  <c:v>22.685185185185187</c:v>
                </c:pt>
                <c:pt idx="16">
                  <c:v>30.555555555555554</c:v>
                </c:pt>
                <c:pt idx="17" formatCode="0.0">
                  <c:v>18.981481481481481</c:v>
                </c:pt>
                <c:pt idx="18" formatCode="0.0">
                  <c:v>27.777777777777782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5C-3F47-9E2A-683C66CB3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  <c:spPr>
        <a:ln>
          <a:noFill/>
        </a:ln>
      </c:spPr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IR-CA Agent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'IR-CA'!$A$513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('IR-CA'!$B$521:$F$521,'IR-CA'!$H$521:$L$521,'IR-CA'!$N$521:$R$521,'IR-CA'!$T$521:$X$521)</c:f>
              <c:numCache>
                <c:formatCode>0.0</c:formatCode>
                <c:ptCount val="20"/>
                <c:pt idx="0">
                  <c:v>44.551282051282051</c:v>
                </c:pt>
                <c:pt idx="1">
                  <c:v>34.294871794871796</c:v>
                </c:pt>
                <c:pt idx="2">
                  <c:v>15.384615384615385</c:v>
                </c:pt>
                <c:pt idx="3">
                  <c:v>5.7692307692307692</c:v>
                </c:pt>
                <c:pt idx="4">
                  <c:v>0</c:v>
                </c:pt>
                <c:pt idx="5">
                  <c:v>30.952380952380953</c:v>
                </c:pt>
                <c:pt idx="6">
                  <c:v>33.333333333333329</c:v>
                </c:pt>
                <c:pt idx="7">
                  <c:v>23.809523809523807</c:v>
                </c:pt>
                <c:pt idx="8">
                  <c:v>11.904761904761903</c:v>
                </c:pt>
                <c:pt idx="9">
                  <c:v>0</c:v>
                </c:pt>
                <c:pt idx="10">
                  <c:v>85.802469135802468</c:v>
                </c:pt>
                <c:pt idx="11">
                  <c:v>8.6419753086419746</c:v>
                </c:pt>
                <c:pt idx="12">
                  <c:v>3.0864197530864197</c:v>
                </c:pt>
                <c:pt idx="13">
                  <c:v>2.4691358024691357</c:v>
                </c:pt>
                <c:pt idx="14">
                  <c:v>0</c:v>
                </c:pt>
                <c:pt idx="15">
                  <c:v>31.818181818181817</c:v>
                </c:pt>
                <c:pt idx="16">
                  <c:v>18.181818181818183</c:v>
                </c:pt>
                <c:pt idx="17">
                  <c:v>27.27272727272727</c:v>
                </c:pt>
                <c:pt idx="18">
                  <c:v>22.727272727272727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1-F349-8100-93041293C0C4}"/>
            </c:ext>
          </c:extLst>
        </c:ser>
        <c:ser>
          <c:idx val="1"/>
          <c:order val="1"/>
          <c:tx>
            <c:strRef>
              <c:f>'IR-CA'!$A$514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('IR-CA'!$B$522:$F$522,'IR-CA'!$H$522:$L$522,'IR-CA'!$N$522:$R$522,'IR-CA'!$T$522:$X$522)</c:f>
              <c:numCache>
                <c:formatCode>0.0</c:formatCode>
                <c:ptCount val="20"/>
                <c:pt idx="0">
                  <c:v>46.341463414634148</c:v>
                </c:pt>
                <c:pt idx="1">
                  <c:v>23.170731707317074</c:v>
                </c:pt>
                <c:pt idx="2">
                  <c:v>13.414634146341465</c:v>
                </c:pt>
                <c:pt idx="3">
                  <c:v>17.073170731707318</c:v>
                </c:pt>
                <c:pt idx="4">
                  <c:v>0</c:v>
                </c:pt>
                <c:pt idx="5">
                  <c:v>69.230769230769226</c:v>
                </c:pt>
                <c:pt idx="6">
                  <c:v>23.076923076923077</c:v>
                </c:pt>
                <c:pt idx="7">
                  <c:v>7.6923076923076925</c:v>
                </c:pt>
                <c:pt idx="8">
                  <c:v>0</c:v>
                </c:pt>
                <c:pt idx="9">
                  <c:v>0</c:v>
                </c:pt>
                <c:pt idx="10">
                  <c:v>17.985611510791365</c:v>
                </c:pt>
                <c:pt idx="11">
                  <c:v>15.107913669064748</c:v>
                </c:pt>
                <c:pt idx="12">
                  <c:v>5.755395683453238</c:v>
                </c:pt>
                <c:pt idx="13">
                  <c:v>61.151079136690647</c:v>
                </c:pt>
                <c:pt idx="14">
                  <c:v>0</c:v>
                </c:pt>
                <c:pt idx="15">
                  <c:v>35.714285714285715</c:v>
                </c:pt>
                <c:pt idx="16">
                  <c:v>35.714285714285715</c:v>
                </c:pt>
                <c:pt idx="17">
                  <c:v>14.285714285714285</c:v>
                </c:pt>
                <c:pt idx="18">
                  <c:v>14.285714285714285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1-F349-8100-93041293C0C4}"/>
            </c:ext>
          </c:extLst>
        </c:ser>
        <c:ser>
          <c:idx val="2"/>
          <c:order val="2"/>
          <c:tx>
            <c:strRef>
              <c:f>'IR-CA'!$A$515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('IR-CA'!$B$523:$F$523,'IR-CA'!$H$523:$L$523,'IR-CA'!$N$523:$R$523,'IR-CA'!$T$523:$X$523)</c:f>
              <c:numCache>
                <c:formatCode>0.0</c:formatCode>
                <c:ptCount val="20"/>
                <c:pt idx="0">
                  <c:v>40.086206896551722</c:v>
                </c:pt>
                <c:pt idx="1">
                  <c:v>35.344827586206897</c:v>
                </c:pt>
                <c:pt idx="2">
                  <c:v>14.655172413793101</c:v>
                </c:pt>
                <c:pt idx="3">
                  <c:v>9.9137931034482758</c:v>
                </c:pt>
                <c:pt idx="4">
                  <c:v>0</c:v>
                </c:pt>
                <c:pt idx="5">
                  <c:v>11.76470588235294</c:v>
                </c:pt>
                <c:pt idx="6">
                  <c:v>41.17647058823529</c:v>
                </c:pt>
                <c:pt idx="7">
                  <c:v>35.294117647058826</c:v>
                </c:pt>
                <c:pt idx="8">
                  <c:v>11.76470588235294</c:v>
                </c:pt>
                <c:pt idx="9">
                  <c:v>0</c:v>
                </c:pt>
                <c:pt idx="10">
                  <c:v>32.352941176470587</c:v>
                </c:pt>
                <c:pt idx="11">
                  <c:v>37.254901960784316</c:v>
                </c:pt>
                <c:pt idx="12">
                  <c:v>12.745098039215685</c:v>
                </c:pt>
                <c:pt idx="13">
                  <c:v>17.647058823529413</c:v>
                </c:pt>
                <c:pt idx="14">
                  <c:v>0</c:v>
                </c:pt>
                <c:pt idx="15">
                  <c:v>33.333333333333329</c:v>
                </c:pt>
                <c:pt idx="16">
                  <c:v>44.047619047619044</c:v>
                </c:pt>
                <c:pt idx="17">
                  <c:v>15.476190476190476</c:v>
                </c:pt>
                <c:pt idx="18">
                  <c:v>7.1428571428571423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61-F349-8100-93041293C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'IR-CA'!$A$516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('IR-CA'!$B$524:$F$524,'IR-CA'!$H$524:$L$524,'IR-CA'!$N$524:$R$524,'IR-CA'!$T$524:$X$524)</c:f>
              <c:numCache>
                <c:formatCode>0.00</c:formatCode>
                <c:ptCount val="20"/>
                <c:pt idx="0">
                  <c:v>43.659650787489305</c:v>
                </c:pt>
                <c:pt idx="1">
                  <c:v>30.936810362798592</c:v>
                </c:pt>
                <c:pt idx="2" formatCode="0.0">
                  <c:v>14.484807314916651</c:v>
                </c:pt>
                <c:pt idx="3" formatCode="0.0">
                  <c:v>10.918731534795455</c:v>
                </c:pt>
                <c:pt idx="4" formatCode="0.0">
                  <c:v>0</c:v>
                </c:pt>
                <c:pt idx="5" formatCode="0.0">
                  <c:v>37.31595202183437</c:v>
                </c:pt>
                <c:pt idx="6">
                  <c:v>32.528908999497233</c:v>
                </c:pt>
                <c:pt idx="7" formatCode="0.0">
                  <c:v>22.265316382963444</c:v>
                </c:pt>
                <c:pt idx="8" formatCode="0.0">
                  <c:v>7.8898225957049481</c:v>
                </c:pt>
                <c:pt idx="9" formatCode="0.0">
                  <c:v>0</c:v>
                </c:pt>
                <c:pt idx="10" formatCode="0.0">
                  <c:v>45.38034060768814</c:v>
                </c:pt>
                <c:pt idx="11">
                  <c:v>20.334930312830348</c:v>
                </c:pt>
                <c:pt idx="12" formatCode="0.0">
                  <c:v>7.1956378252517821</c:v>
                </c:pt>
                <c:pt idx="13" formatCode="0.0">
                  <c:v>27.089091254229732</c:v>
                </c:pt>
                <c:pt idx="14" formatCode="0.0">
                  <c:v>0</c:v>
                </c:pt>
                <c:pt idx="15" formatCode="0.0">
                  <c:v>33.621933621933621</c:v>
                </c:pt>
                <c:pt idx="16">
                  <c:v>32.647907647907651</c:v>
                </c:pt>
                <c:pt idx="17" formatCode="0.0">
                  <c:v>19.011544011544011</c:v>
                </c:pt>
                <c:pt idx="18" formatCode="0.0">
                  <c:v>14.718614718614717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1-F349-8100-93041293C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IR-CA Agent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'IR-CA'!$A$513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('IR-CA'!$B$529:$F$529,'IR-CA'!$H$529:$L$529,'IR-CA'!$N$529:$R$529,'IR-CA'!$T$529:$X$529)</c:f>
              <c:numCache>
                <c:formatCode>0.0</c:formatCode>
                <c:ptCount val="20"/>
                <c:pt idx="0">
                  <c:v>24.924924924924923</c:v>
                </c:pt>
                <c:pt idx="1">
                  <c:v>46.246246246246244</c:v>
                </c:pt>
                <c:pt idx="2">
                  <c:v>15.315315315315313</c:v>
                </c:pt>
                <c:pt idx="3">
                  <c:v>13.513513513513514</c:v>
                </c:pt>
                <c:pt idx="4">
                  <c:v>0</c:v>
                </c:pt>
                <c:pt idx="5">
                  <c:v>19.444444444444446</c:v>
                </c:pt>
                <c:pt idx="6">
                  <c:v>38.888888888888893</c:v>
                </c:pt>
                <c:pt idx="7">
                  <c:v>13.888888888888889</c:v>
                </c:pt>
                <c:pt idx="8">
                  <c:v>27.777777777777779</c:v>
                </c:pt>
                <c:pt idx="9">
                  <c:v>0</c:v>
                </c:pt>
                <c:pt idx="10">
                  <c:v>89.908256880733944</c:v>
                </c:pt>
                <c:pt idx="11">
                  <c:v>2.7522935779816518</c:v>
                </c:pt>
                <c:pt idx="12">
                  <c:v>0.91743119266055051</c:v>
                </c:pt>
                <c:pt idx="13">
                  <c:v>6.4220183486238538</c:v>
                </c:pt>
                <c:pt idx="14">
                  <c:v>0</c:v>
                </c:pt>
                <c:pt idx="15">
                  <c:v>40.625</c:v>
                </c:pt>
                <c:pt idx="16">
                  <c:v>25</c:v>
                </c:pt>
                <c:pt idx="17">
                  <c:v>12.5</c:v>
                </c:pt>
                <c:pt idx="18">
                  <c:v>21.875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4-FC4B-AD62-ABC5A76C648D}"/>
            </c:ext>
          </c:extLst>
        </c:ser>
        <c:ser>
          <c:idx val="1"/>
          <c:order val="1"/>
          <c:tx>
            <c:strRef>
              <c:f>'IR-CA'!$A$514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('IR-CA'!$B$530:$F$530,'IR-CA'!$H$530:$L$530,'IR-CA'!$N$530:$R$530,'IR-CA'!$T$530:$X$530)</c:f>
              <c:numCache>
                <c:formatCode>0.0</c:formatCode>
                <c:ptCount val="20"/>
                <c:pt idx="0">
                  <c:v>39.583333333333329</c:v>
                </c:pt>
                <c:pt idx="1">
                  <c:v>33.333333333333329</c:v>
                </c:pt>
                <c:pt idx="2">
                  <c:v>14.583333333333334</c:v>
                </c:pt>
                <c:pt idx="3">
                  <c:v>12.5</c:v>
                </c:pt>
                <c:pt idx="4">
                  <c:v>0</c:v>
                </c:pt>
                <c:pt idx="5">
                  <c:v>70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11.278195488721805</c:v>
                </c:pt>
                <c:pt idx="11">
                  <c:v>20.300751879699249</c:v>
                </c:pt>
                <c:pt idx="12">
                  <c:v>11.278195488721805</c:v>
                </c:pt>
                <c:pt idx="13">
                  <c:v>57.142857142857139</c:v>
                </c:pt>
                <c:pt idx="14">
                  <c:v>0</c:v>
                </c:pt>
                <c:pt idx="15">
                  <c:v>0</c:v>
                </c:pt>
                <c:pt idx="16">
                  <c:v>42.857142857142854</c:v>
                </c:pt>
                <c:pt idx="17">
                  <c:v>7.1428571428571423</c:v>
                </c:pt>
                <c:pt idx="18">
                  <c:v>42.857142857142854</c:v>
                </c:pt>
                <c:pt idx="19">
                  <c:v>7.1428571428571423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4-FC4B-AD62-ABC5A76C648D}"/>
            </c:ext>
          </c:extLst>
        </c:ser>
        <c:ser>
          <c:idx val="2"/>
          <c:order val="2"/>
          <c:tx>
            <c:strRef>
              <c:f>'IR-CA'!$A$515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('IR-CA'!$B$531:$F$531,'IR-CA'!$H$531:$L$531,'IR-CA'!$N$531:$R$531,'IR-CA'!$T$531:$X$531)</c:f>
              <c:numCache>
                <c:formatCode>0.0</c:formatCode>
                <c:ptCount val="20"/>
                <c:pt idx="0">
                  <c:v>30.566037735849054</c:v>
                </c:pt>
                <c:pt idx="1">
                  <c:v>27.924528301886792</c:v>
                </c:pt>
                <c:pt idx="2">
                  <c:v>15.09433962264151</c:v>
                </c:pt>
                <c:pt idx="3">
                  <c:v>26.415094339622641</c:v>
                </c:pt>
                <c:pt idx="4">
                  <c:v>0</c:v>
                </c:pt>
                <c:pt idx="5">
                  <c:v>25</c:v>
                </c:pt>
                <c:pt idx="6">
                  <c:v>6.25</c:v>
                </c:pt>
                <c:pt idx="7">
                  <c:v>18.75</c:v>
                </c:pt>
                <c:pt idx="8">
                  <c:v>50</c:v>
                </c:pt>
                <c:pt idx="9">
                  <c:v>0</c:v>
                </c:pt>
                <c:pt idx="10">
                  <c:v>18.181818181818183</c:v>
                </c:pt>
                <c:pt idx="11">
                  <c:v>40.495867768595041</c:v>
                </c:pt>
                <c:pt idx="12">
                  <c:v>7.4380165289256199</c:v>
                </c:pt>
                <c:pt idx="13">
                  <c:v>33.884297520661157</c:v>
                </c:pt>
                <c:pt idx="14">
                  <c:v>0</c:v>
                </c:pt>
                <c:pt idx="15">
                  <c:v>20.481927710843372</c:v>
                </c:pt>
                <c:pt idx="16">
                  <c:v>30.120481927710845</c:v>
                </c:pt>
                <c:pt idx="17">
                  <c:v>30.120481927710845</c:v>
                </c:pt>
                <c:pt idx="18">
                  <c:v>19.277108433734941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4-FC4B-AD62-ABC5A76C6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'IR-CA'!$A$516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('IR-CA'!$B$532:$F$532,'IR-CA'!$H$532:$L$532,'IR-CA'!$N$532:$R$532,'IR-CA'!$T$532:$X$532)</c:f>
              <c:numCache>
                <c:formatCode>0.00</c:formatCode>
                <c:ptCount val="20"/>
                <c:pt idx="0">
                  <c:v>31.691431998035767</c:v>
                </c:pt>
                <c:pt idx="1">
                  <c:v>35.834702627155458</c:v>
                </c:pt>
                <c:pt idx="2" formatCode="0.0">
                  <c:v>14.99766275709672</c:v>
                </c:pt>
                <c:pt idx="3" formatCode="0.0">
                  <c:v>17.476202617712051</c:v>
                </c:pt>
                <c:pt idx="4" formatCode="0.0">
                  <c:v>0</c:v>
                </c:pt>
                <c:pt idx="5" formatCode="0.0">
                  <c:v>38.148148148148145</c:v>
                </c:pt>
                <c:pt idx="6">
                  <c:v>15.046296296296298</c:v>
                </c:pt>
                <c:pt idx="7" formatCode="0.0">
                  <c:v>10.879629629629628</c:v>
                </c:pt>
                <c:pt idx="8" formatCode="0.0">
                  <c:v>35.925925925925924</c:v>
                </c:pt>
                <c:pt idx="9" formatCode="0.0">
                  <c:v>0</c:v>
                </c:pt>
                <c:pt idx="10" formatCode="0.0">
                  <c:v>39.789423517091315</c:v>
                </c:pt>
                <c:pt idx="11">
                  <c:v>21.182971075425314</c:v>
                </c:pt>
                <c:pt idx="12" formatCode="0.0">
                  <c:v>6.5445477367693252</c:v>
                </c:pt>
                <c:pt idx="13" formatCode="0.0">
                  <c:v>32.483057670714054</c:v>
                </c:pt>
                <c:pt idx="14" formatCode="0.0">
                  <c:v>0</c:v>
                </c:pt>
                <c:pt idx="15" formatCode="0.0">
                  <c:v>20.368975903614459</c:v>
                </c:pt>
                <c:pt idx="16">
                  <c:v>32.659208261617898</c:v>
                </c:pt>
                <c:pt idx="17" formatCode="0.0">
                  <c:v>16.587779690189329</c:v>
                </c:pt>
                <c:pt idx="18" formatCode="0.0">
                  <c:v>28.003083763625934</c:v>
                </c:pt>
                <c:pt idx="19" formatCode="0.0">
                  <c:v>2.3809523809523809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A4-FC4B-AD62-ABC5A76C6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  <c:spPr>
        <a:ln>
          <a:noFill/>
        </a:ln>
      </c:spPr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IR-CA Agents 1 &amp;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('IR-CA'!$B$539:$F$539,'IR-CA'!$H$539:$L$539,'IR-CA'!$N$539:$R$539,'IR-CA'!$T$539:$X$539)</c:f>
              <c:numCache>
                <c:formatCode>0.0</c:formatCode>
                <c:ptCount val="20"/>
                <c:pt idx="0">
                  <c:v>90.579710144927532</c:v>
                </c:pt>
                <c:pt idx="1">
                  <c:v>6.5217391304347823</c:v>
                </c:pt>
                <c:pt idx="2">
                  <c:v>1.4492753623188406</c:v>
                </c:pt>
                <c:pt idx="3">
                  <c:v>1.4492753623188406</c:v>
                </c:pt>
                <c:pt idx="4">
                  <c:v>0</c:v>
                </c:pt>
                <c:pt idx="5">
                  <c:v>73.831775700934571</c:v>
                </c:pt>
                <c:pt idx="6">
                  <c:v>12.149532710280374</c:v>
                </c:pt>
                <c:pt idx="7">
                  <c:v>6.0747663551401869</c:v>
                </c:pt>
                <c:pt idx="8">
                  <c:v>7.9439252336448591</c:v>
                </c:pt>
                <c:pt idx="9">
                  <c:v>0</c:v>
                </c:pt>
                <c:pt idx="10">
                  <c:v>85.245901639344254</c:v>
                </c:pt>
                <c:pt idx="11">
                  <c:v>9.2896174863387984</c:v>
                </c:pt>
                <c:pt idx="12">
                  <c:v>4.3715846994535523</c:v>
                </c:pt>
                <c:pt idx="13">
                  <c:v>1.0928961748633881</c:v>
                </c:pt>
                <c:pt idx="14">
                  <c:v>0</c:v>
                </c:pt>
                <c:pt idx="15">
                  <c:v>78.125</c:v>
                </c:pt>
                <c:pt idx="16">
                  <c:v>15.625</c:v>
                </c:pt>
                <c:pt idx="17">
                  <c:v>6.25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7-3243-B7A7-D6545F4E25B0}"/>
            </c:ext>
          </c:extLst>
        </c:ser>
        <c:ser>
          <c:idx val="1"/>
          <c:order val="1"/>
          <c:tx>
            <c:strRef>
              <c:f>'IR-CA'!$A$489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('IR-CA'!$B$540:$F$540,'IR-CA'!$H$540:$L$540,'IR-CA'!$N$540:$R$540,'IR-CA'!$T$540:$X$540)</c:f>
              <c:numCache>
                <c:formatCode>0.0</c:formatCode>
                <c:ptCount val="20"/>
                <c:pt idx="0">
                  <c:v>86.909090909090907</c:v>
                </c:pt>
                <c:pt idx="1">
                  <c:v>6.5454545454545459</c:v>
                </c:pt>
                <c:pt idx="2">
                  <c:v>1.8181818181818181</c:v>
                </c:pt>
                <c:pt idx="3">
                  <c:v>4.7272727272727275</c:v>
                </c:pt>
                <c:pt idx="4">
                  <c:v>0</c:v>
                </c:pt>
                <c:pt idx="5">
                  <c:v>80.067567567567565</c:v>
                </c:pt>
                <c:pt idx="6">
                  <c:v>10.472972972972974</c:v>
                </c:pt>
                <c:pt idx="7">
                  <c:v>4.0540540540540544</c:v>
                </c:pt>
                <c:pt idx="8">
                  <c:v>5.4054054054054053</c:v>
                </c:pt>
                <c:pt idx="9">
                  <c:v>0</c:v>
                </c:pt>
                <c:pt idx="10">
                  <c:v>77.358490566037744</c:v>
                </c:pt>
                <c:pt idx="11">
                  <c:v>12.264150943396226</c:v>
                </c:pt>
                <c:pt idx="12">
                  <c:v>4.716981132075472</c:v>
                </c:pt>
                <c:pt idx="13">
                  <c:v>5.6603773584905666</c:v>
                </c:pt>
                <c:pt idx="14">
                  <c:v>0</c:v>
                </c:pt>
                <c:pt idx="15">
                  <c:v>94.845360824742258</c:v>
                </c:pt>
                <c:pt idx="16">
                  <c:v>4.1237113402061851</c:v>
                </c:pt>
                <c:pt idx="17">
                  <c:v>1.0309278350515463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D7-3243-B7A7-D6545F4E25B0}"/>
            </c:ext>
          </c:extLst>
        </c:ser>
        <c:ser>
          <c:idx val="2"/>
          <c:order val="2"/>
          <c:tx>
            <c:strRef>
              <c:f>'IR-CA'!$A$490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('IR-CA'!$B$541:$F$541,'IR-CA'!$H$541:$L$541,'IR-CA'!$N$541:$R$541,'IR-CA'!$T$541:$X$541)</c:f>
              <c:numCache>
                <c:formatCode>0.0</c:formatCode>
                <c:ptCount val="20"/>
                <c:pt idx="0">
                  <c:v>50.909090909090907</c:v>
                </c:pt>
                <c:pt idx="1">
                  <c:v>21.818181818181817</c:v>
                </c:pt>
                <c:pt idx="2">
                  <c:v>10.909090909090908</c:v>
                </c:pt>
                <c:pt idx="3">
                  <c:v>16.363636363636363</c:v>
                </c:pt>
                <c:pt idx="4">
                  <c:v>0</c:v>
                </c:pt>
                <c:pt idx="5">
                  <c:v>84.375</c:v>
                </c:pt>
                <c:pt idx="6">
                  <c:v>5.625</c:v>
                </c:pt>
                <c:pt idx="7">
                  <c:v>3.75</c:v>
                </c:pt>
                <c:pt idx="8">
                  <c:v>6.25</c:v>
                </c:pt>
                <c:pt idx="9">
                  <c:v>0</c:v>
                </c:pt>
                <c:pt idx="10">
                  <c:v>82.758620689655174</c:v>
                </c:pt>
                <c:pt idx="11">
                  <c:v>9.1954022988505741</c:v>
                </c:pt>
                <c:pt idx="12">
                  <c:v>3.4482758620689653</c:v>
                </c:pt>
                <c:pt idx="13">
                  <c:v>4.5977011494252871</c:v>
                </c:pt>
                <c:pt idx="14">
                  <c:v>0</c:v>
                </c:pt>
                <c:pt idx="15">
                  <c:v>90.625</c:v>
                </c:pt>
                <c:pt idx="16">
                  <c:v>9.375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D7-3243-B7A7-D6545F4E2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('IR-CA'!$B$542:$F$542,'IR-CA'!$H$542:$L$542,'IR-CA'!$N$542:$R$542,'IR-CA'!$T$542:$X$542)</c:f>
              <c:numCache>
                <c:formatCode>0.00</c:formatCode>
                <c:ptCount val="20"/>
                <c:pt idx="0">
                  <c:v>76.132630654369777</c:v>
                </c:pt>
                <c:pt idx="1">
                  <c:v>11.628458498023713</c:v>
                </c:pt>
                <c:pt idx="2" formatCode="0.0">
                  <c:v>4.7255160298638552</c:v>
                </c:pt>
                <c:pt idx="3" formatCode="0.0">
                  <c:v>7.5133948177426433</c:v>
                </c:pt>
                <c:pt idx="4" formatCode="0.0">
                  <c:v>0</c:v>
                </c:pt>
                <c:pt idx="5" formatCode="0.0">
                  <c:v>79.424781089500712</c:v>
                </c:pt>
                <c:pt idx="6">
                  <c:v>9.4158352277511153</c:v>
                </c:pt>
                <c:pt idx="7" formatCode="0.0">
                  <c:v>4.6262734697314132</c:v>
                </c:pt>
                <c:pt idx="8" formatCode="0.0">
                  <c:v>6.5331102130167551</c:v>
                </c:pt>
                <c:pt idx="9" formatCode="0.0">
                  <c:v>0</c:v>
                </c:pt>
                <c:pt idx="10" formatCode="0.0">
                  <c:v>81.787670965012396</c:v>
                </c:pt>
                <c:pt idx="11">
                  <c:v>10.249723576195199</c:v>
                </c:pt>
                <c:pt idx="12" formatCode="0.0">
                  <c:v>4.1789472311993299</c:v>
                </c:pt>
                <c:pt idx="13" formatCode="0.0">
                  <c:v>3.7836582275930808</c:v>
                </c:pt>
                <c:pt idx="14" formatCode="0.0">
                  <c:v>0</c:v>
                </c:pt>
                <c:pt idx="15" formatCode="0.0">
                  <c:v>87.865120274914091</c:v>
                </c:pt>
                <c:pt idx="16">
                  <c:v>9.7079037800687278</c:v>
                </c:pt>
                <c:pt idx="17" formatCode="0.0">
                  <c:v>2.4269759450171819</c:v>
                </c:pt>
                <c:pt idx="18" formatCode="0.0">
                  <c:v>0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D7-3243-B7A7-D6545F4E2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IR-CA Agents 1 &amp;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('IR-CA'!$B$547:$F$547,'IR-CA'!$H$547:$L$547,'IR-CA'!$N$547:$R$547,'IR-CA'!$T$547:$X$547)</c:f>
              <c:numCache>
                <c:formatCode>0.0</c:formatCode>
                <c:ptCount val="20"/>
                <c:pt idx="0">
                  <c:v>72.560975609756099</c:v>
                </c:pt>
                <c:pt idx="1">
                  <c:v>10.365853658536585</c:v>
                </c:pt>
                <c:pt idx="2">
                  <c:v>3.6585365853658534</c:v>
                </c:pt>
                <c:pt idx="3">
                  <c:v>13.414634146341465</c:v>
                </c:pt>
                <c:pt idx="4">
                  <c:v>0</c:v>
                </c:pt>
                <c:pt idx="5">
                  <c:v>84.186046511627907</c:v>
                </c:pt>
                <c:pt idx="6">
                  <c:v>6.9767441860465116</c:v>
                </c:pt>
                <c:pt idx="7">
                  <c:v>3.2558139534883721</c:v>
                </c:pt>
                <c:pt idx="8">
                  <c:v>5.5813953488372094</c:v>
                </c:pt>
                <c:pt idx="9">
                  <c:v>0</c:v>
                </c:pt>
                <c:pt idx="10">
                  <c:v>79.104477611940297</c:v>
                </c:pt>
                <c:pt idx="11">
                  <c:v>9.4527363184079594</c:v>
                </c:pt>
                <c:pt idx="12">
                  <c:v>1.9900497512437811</c:v>
                </c:pt>
                <c:pt idx="13">
                  <c:v>9.4527363184079594</c:v>
                </c:pt>
                <c:pt idx="14">
                  <c:v>0</c:v>
                </c:pt>
                <c:pt idx="15">
                  <c:v>77.5</c:v>
                </c:pt>
                <c:pt idx="16">
                  <c:v>12.5</c:v>
                </c:pt>
                <c:pt idx="17">
                  <c:v>5</c:v>
                </c:pt>
                <c:pt idx="18">
                  <c:v>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F-304E-94F6-CAD9DCB9D391}"/>
            </c:ext>
          </c:extLst>
        </c:ser>
        <c:ser>
          <c:idx val="1"/>
          <c:order val="1"/>
          <c:tx>
            <c:strRef>
              <c:f>'IR-CA'!$A$489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('IR-CA'!$B$548:$F$548,'IR-CA'!$H$548:$L$548,'IR-CA'!$N$548:$R$548,'IR-CA'!$T$548:$X$548)</c:f>
              <c:numCache>
                <c:formatCode>0.0</c:formatCode>
                <c:ptCount val="20"/>
                <c:pt idx="0">
                  <c:v>83.766233766233768</c:v>
                </c:pt>
                <c:pt idx="1">
                  <c:v>8.1168831168831161</c:v>
                </c:pt>
                <c:pt idx="2">
                  <c:v>2.2727272727272729</c:v>
                </c:pt>
                <c:pt idx="3">
                  <c:v>5.8441558441558437</c:v>
                </c:pt>
                <c:pt idx="4">
                  <c:v>0</c:v>
                </c:pt>
                <c:pt idx="5">
                  <c:v>69.924812030075188</c:v>
                </c:pt>
                <c:pt idx="6">
                  <c:v>14.661654135338345</c:v>
                </c:pt>
                <c:pt idx="7">
                  <c:v>7.1428571428571423</c:v>
                </c:pt>
                <c:pt idx="8">
                  <c:v>8.2706766917293226</c:v>
                </c:pt>
                <c:pt idx="9">
                  <c:v>0</c:v>
                </c:pt>
                <c:pt idx="10">
                  <c:v>80.582524271844662</c:v>
                </c:pt>
                <c:pt idx="11">
                  <c:v>8.7378640776699026</c:v>
                </c:pt>
                <c:pt idx="12">
                  <c:v>2.912621359223301</c:v>
                </c:pt>
                <c:pt idx="13">
                  <c:v>7.7669902912621351</c:v>
                </c:pt>
                <c:pt idx="14">
                  <c:v>0</c:v>
                </c:pt>
                <c:pt idx="15">
                  <c:v>91.397849462365585</c:v>
                </c:pt>
                <c:pt idx="16">
                  <c:v>5.376344086021505</c:v>
                </c:pt>
                <c:pt idx="17">
                  <c:v>1.0752688172043012</c:v>
                </c:pt>
                <c:pt idx="18">
                  <c:v>2.1505376344086025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F-304E-94F6-CAD9DCB9D391}"/>
            </c:ext>
          </c:extLst>
        </c:ser>
        <c:ser>
          <c:idx val="2"/>
          <c:order val="2"/>
          <c:tx>
            <c:strRef>
              <c:f>'IR-CA'!$A$490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('IR-CA'!$B$549:$F$549,'IR-CA'!$H$549:$L$549,'IR-CA'!$N$549:$R$549,'IR-CA'!$T$549:$X$549)</c:f>
              <c:numCache>
                <c:formatCode>0.0</c:formatCode>
                <c:ptCount val="20"/>
                <c:pt idx="0">
                  <c:v>64.444444444444443</c:v>
                </c:pt>
                <c:pt idx="1">
                  <c:v>11.111111111111111</c:v>
                </c:pt>
                <c:pt idx="2">
                  <c:v>6.666666666666667</c:v>
                </c:pt>
                <c:pt idx="3">
                  <c:v>17.777777777777779</c:v>
                </c:pt>
                <c:pt idx="4">
                  <c:v>0</c:v>
                </c:pt>
                <c:pt idx="5">
                  <c:v>79.775280898876403</c:v>
                </c:pt>
                <c:pt idx="6">
                  <c:v>12.921348314606742</c:v>
                </c:pt>
                <c:pt idx="7">
                  <c:v>3.3707865168539324</c:v>
                </c:pt>
                <c:pt idx="8">
                  <c:v>3.9325842696629212</c:v>
                </c:pt>
                <c:pt idx="9">
                  <c:v>0</c:v>
                </c:pt>
                <c:pt idx="10">
                  <c:v>88.043478260869563</c:v>
                </c:pt>
                <c:pt idx="11">
                  <c:v>3.2608695652173911</c:v>
                </c:pt>
                <c:pt idx="12">
                  <c:v>2.1739130434782608</c:v>
                </c:pt>
                <c:pt idx="13">
                  <c:v>6.5217391304347823</c:v>
                </c:pt>
                <c:pt idx="14">
                  <c:v>0</c:v>
                </c:pt>
                <c:pt idx="15">
                  <c:v>70</c:v>
                </c:pt>
                <c:pt idx="16">
                  <c:v>20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F-304E-94F6-CAD9DCB9D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('IR-CA'!$B$550:$F$550,'IR-CA'!$H$550:$L$550,'IR-CA'!$N$550:$R$550,'IR-CA'!$T$550:$X$550)</c:f>
              <c:numCache>
                <c:formatCode>0.00</c:formatCode>
                <c:ptCount val="20"/>
                <c:pt idx="0">
                  <c:v>73.590551273478113</c:v>
                </c:pt>
                <c:pt idx="1">
                  <c:v>9.8646159621769378</c:v>
                </c:pt>
                <c:pt idx="2" formatCode="0.0">
                  <c:v>4.1993101749199306</c:v>
                </c:pt>
                <c:pt idx="3" formatCode="0.0">
                  <c:v>12.34552258942503</c:v>
                </c:pt>
                <c:pt idx="4" formatCode="0.0">
                  <c:v>0</c:v>
                </c:pt>
                <c:pt idx="5" formatCode="0.0">
                  <c:v>77.962046480193166</c:v>
                </c:pt>
                <c:pt idx="6">
                  <c:v>11.519915545330534</c:v>
                </c:pt>
                <c:pt idx="7" formatCode="0.0">
                  <c:v>4.5898192043998156</c:v>
                </c:pt>
                <c:pt idx="8" formatCode="0.0">
                  <c:v>5.9282187700764846</c:v>
                </c:pt>
                <c:pt idx="9" formatCode="0.0">
                  <c:v>0</c:v>
                </c:pt>
                <c:pt idx="10" formatCode="0.0">
                  <c:v>82.576826714884831</c:v>
                </c:pt>
                <c:pt idx="11">
                  <c:v>7.1504899870984175</c:v>
                </c:pt>
                <c:pt idx="12" formatCode="0.0">
                  <c:v>2.3588613846484479</c:v>
                </c:pt>
                <c:pt idx="13" formatCode="0.0">
                  <c:v>7.9138219133682917</c:v>
                </c:pt>
                <c:pt idx="14" formatCode="0.0">
                  <c:v>0</c:v>
                </c:pt>
                <c:pt idx="15" formatCode="0.0">
                  <c:v>79.632616487455195</c:v>
                </c:pt>
                <c:pt idx="16">
                  <c:v>12.625448028673835</c:v>
                </c:pt>
                <c:pt idx="17" formatCode="0.0">
                  <c:v>2.0250896057347672</c:v>
                </c:pt>
                <c:pt idx="18" formatCode="0.0">
                  <c:v>5.7168458781362004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DF-304E-94F6-CAD9DCB9D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IR-CA Agents 2 &amp;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'IR-CA'!$A$488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('IR-CA'!$B$555:$F$555,'IR-CA'!$H$555:$L$555,'IR-CA'!$N$555:$R$555,'IR-CA'!$T$555:$X$555)</c:f>
              <c:numCache>
                <c:formatCode>0.0</c:formatCode>
                <c:ptCount val="20"/>
                <c:pt idx="0">
                  <c:v>42.063492063492063</c:v>
                </c:pt>
                <c:pt idx="1">
                  <c:v>37.301587301587304</c:v>
                </c:pt>
                <c:pt idx="2">
                  <c:v>6.3492063492063489</c:v>
                </c:pt>
                <c:pt idx="3">
                  <c:v>14.285714285714285</c:v>
                </c:pt>
                <c:pt idx="4">
                  <c:v>0</c:v>
                </c:pt>
                <c:pt idx="5">
                  <c:v>5.2631578947368416</c:v>
                </c:pt>
                <c:pt idx="6">
                  <c:v>74.162679425837325</c:v>
                </c:pt>
                <c:pt idx="7">
                  <c:v>10.047846889952153</c:v>
                </c:pt>
                <c:pt idx="8">
                  <c:v>10.526315789473683</c:v>
                </c:pt>
                <c:pt idx="9">
                  <c:v>0</c:v>
                </c:pt>
                <c:pt idx="10">
                  <c:v>22.872340425531913</c:v>
                </c:pt>
                <c:pt idx="11">
                  <c:v>55.851063829787229</c:v>
                </c:pt>
                <c:pt idx="12">
                  <c:v>6.3829787234042552</c:v>
                </c:pt>
                <c:pt idx="13">
                  <c:v>14.893617021276595</c:v>
                </c:pt>
                <c:pt idx="14">
                  <c:v>0</c:v>
                </c:pt>
                <c:pt idx="15">
                  <c:v>41.463414634146339</c:v>
                </c:pt>
                <c:pt idx="16">
                  <c:v>51.219512195121951</c:v>
                </c:pt>
                <c:pt idx="17">
                  <c:v>2.4390243902439024</c:v>
                </c:pt>
                <c:pt idx="18">
                  <c:v>4.8780487804878048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9-2A4F-81E5-70778B3CDC0D}"/>
            </c:ext>
          </c:extLst>
        </c:ser>
        <c:ser>
          <c:idx val="1"/>
          <c:order val="1"/>
          <c:tx>
            <c:strRef>
              <c:f>'IR-CA'!$A$489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('IR-CA'!$B$556:$F$556,'IR-CA'!$H$556:$L$556,'IR-CA'!$N$556:$R$556,'IR-CA'!$T$556:$X$556)</c:f>
              <c:numCache>
                <c:formatCode>0.0</c:formatCode>
                <c:ptCount val="20"/>
                <c:pt idx="0">
                  <c:v>58.153846153846153</c:v>
                </c:pt>
                <c:pt idx="1">
                  <c:v>28.615384615384613</c:v>
                </c:pt>
                <c:pt idx="2">
                  <c:v>5.2307692307692308</c:v>
                </c:pt>
                <c:pt idx="3">
                  <c:v>8</c:v>
                </c:pt>
                <c:pt idx="4">
                  <c:v>0</c:v>
                </c:pt>
                <c:pt idx="5">
                  <c:v>7.4324324324324325</c:v>
                </c:pt>
                <c:pt idx="6">
                  <c:v>58.108108108108105</c:v>
                </c:pt>
                <c:pt idx="7">
                  <c:v>16.216216216216218</c:v>
                </c:pt>
                <c:pt idx="8">
                  <c:v>18.243243243243242</c:v>
                </c:pt>
                <c:pt idx="9">
                  <c:v>0</c:v>
                </c:pt>
                <c:pt idx="10">
                  <c:v>23.52941176470588</c:v>
                </c:pt>
                <c:pt idx="11">
                  <c:v>39.705882352941174</c:v>
                </c:pt>
                <c:pt idx="12">
                  <c:v>14.705882352941178</c:v>
                </c:pt>
                <c:pt idx="13">
                  <c:v>22.058823529411764</c:v>
                </c:pt>
                <c:pt idx="14">
                  <c:v>0</c:v>
                </c:pt>
                <c:pt idx="15">
                  <c:v>30.666666666666664</c:v>
                </c:pt>
                <c:pt idx="16">
                  <c:v>45.333333333333329</c:v>
                </c:pt>
                <c:pt idx="17">
                  <c:v>4</c:v>
                </c:pt>
                <c:pt idx="18">
                  <c:v>20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B9-2A4F-81E5-70778B3CDC0D}"/>
            </c:ext>
          </c:extLst>
        </c:ser>
        <c:ser>
          <c:idx val="2"/>
          <c:order val="2"/>
          <c:tx>
            <c:strRef>
              <c:f>'IR-CA'!$A$490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('IR-CA'!$B$557:$F$557,'IR-CA'!$H$557:$L$557,'IR-CA'!$N$557:$R$557,'IR-CA'!$T$557:$X$557)</c:f>
              <c:numCache>
                <c:formatCode>0.0</c:formatCode>
                <c:ptCount val="20"/>
                <c:pt idx="0">
                  <c:v>6.3829787234042552</c:v>
                </c:pt>
                <c:pt idx="1">
                  <c:v>48.936170212765958</c:v>
                </c:pt>
                <c:pt idx="2">
                  <c:v>12.76595744680851</c:v>
                </c:pt>
                <c:pt idx="3">
                  <c:v>31.914893617021278</c:v>
                </c:pt>
                <c:pt idx="4">
                  <c:v>0</c:v>
                </c:pt>
                <c:pt idx="5">
                  <c:v>1.1627906976744187</c:v>
                </c:pt>
                <c:pt idx="6">
                  <c:v>67.441860465116278</c:v>
                </c:pt>
                <c:pt idx="7">
                  <c:v>8.1395348837209305</c:v>
                </c:pt>
                <c:pt idx="8">
                  <c:v>23.255813953488371</c:v>
                </c:pt>
                <c:pt idx="9">
                  <c:v>0</c:v>
                </c:pt>
                <c:pt idx="10">
                  <c:v>16.326530612244898</c:v>
                </c:pt>
                <c:pt idx="11">
                  <c:v>42.857142857142854</c:v>
                </c:pt>
                <c:pt idx="12">
                  <c:v>8.1632653061224492</c:v>
                </c:pt>
                <c:pt idx="13">
                  <c:v>32.653061224489797</c:v>
                </c:pt>
                <c:pt idx="14">
                  <c:v>0</c:v>
                </c:pt>
                <c:pt idx="15">
                  <c:v>7.6923076923076925</c:v>
                </c:pt>
                <c:pt idx="16">
                  <c:v>57.692307692307686</c:v>
                </c:pt>
                <c:pt idx="17">
                  <c:v>7.6923076923076925</c:v>
                </c:pt>
                <c:pt idx="18">
                  <c:v>26.923076923076923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B9-2A4F-81E5-70778B3C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'IR-CA'!$A$491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('IR-CA'!$B$558:$F$558,'IR-CA'!$H$558:$L$558,'IR-CA'!$N$558:$R$558,'IR-CA'!$T$558:$X$558)</c:f>
              <c:numCache>
                <c:formatCode>0.00</c:formatCode>
                <c:ptCount val="20"/>
                <c:pt idx="0">
                  <c:v>35.533438980247489</c:v>
                </c:pt>
                <c:pt idx="1">
                  <c:v>38.284380709912625</c:v>
                </c:pt>
                <c:pt idx="2" formatCode="0.0">
                  <c:v>8.11531100892803</c:v>
                </c:pt>
                <c:pt idx="3" formatCode="0.0">
                  <c:v>18.066869300911854</c:v>
                </c:pt>
                <c:pt idx="4" formatCode="0.0">
                  <c:v>0</c:v>
                </c:pt>
                <c:pt idx="5" formatCode="0.0">
                  <c:v>4.6194603416145643</c:v>
                </c:pt>
                <c:pt idx="6">
                  <c:v>66.570882666353896</c:v>
                </c:pt>
                <c:pt idx="7" formatCode="0.0">
                  <c:v>11.467865996629769</c:v>
                </c:pt>
                <c:pt idx="8" formatCode="0.0">
                  <c:v>17.341790995401766</c:v>
                </c:pt>
                <c:pt idx="9" formatCode="0.0">
                  <c:v>0</c:v>
                </c:pt>
                <c:pt idx="10" formatCode="0.0">
                  <c:v>20.909427600827566</c:v>
                </c:pt>
                <c:pt idx="11">
                  <c:v>46.138029679957093</c:v>
                </c:pt>
                <c:pt idx="12" formatCode="0.0">
                  <c:v>9.75070879415596</c:v>
                </c:pt>
                <c:pt idx="13" formatCode="0.0">
                  <c:v>23.201833925059386</c:v>
                </c:pt>
                <c:pt idx="14" formatCode="0.0">
                  <c:v>0</c:v>
                </c:pt>
                <c:pt idx="15" formatCode="0.0">
                  <c:v>26.6074629977069</c:v>
                </c:pt>
                <c:pt idx="16">
                  <c:v>51.415051073587655</c:v>
                </c:pt>
                <c:pt idx="17" formatCode="0.0">
                  <c:v>4.7104440275171982</c:v>
                </c:pt>
                <c:pt idx="18" formatCode="0.0">
                  <c:v>17.267041901188243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B9-2A4F-81E5-70778B3C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IR-CA Agents 1 &amp;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'IR-CA'!$A$513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('IR-CA'!$B$563:$F$563,'IR-CA'!$H$563:$L$563,'IR-CA'!$N$563:$R$563,'IR-CA'!$T$563:$X$563)</c:f>
              <c:numCache>
                <c:formatCode>0.0</c:formatCode>
                <c:ptCount val="20"/>
                <c:pt idx="0">
                  <c:v>52.777777777777779</c:v>
                </c:pt>
                <c:pt idx="1">
                  <c:v>28.472222222222221</c:v>
                </c:pt>
                <c:pt idx="2">
                  <c:v>15.972222222222221</c:v>
                </c:pt>
                <c:pt idx="3">
                  <c:v>2.7777777777777777</c:v>
                </c:pt>
                <c:pt idx="4">
                  <c:v>0</c:v>
                </c:pt>
                <c:pt idx="5">
                  <c:v>50</c:v>
                </c:pt>
                <c:pt idx="6">
                  <c:v>25</c:v>
                </c:pt>
                <c:pt idx="7">
                  <c:v>16.666666666666664</c:v>
                </c:pt>
                <c:pt idx="8">
                  <c:v>8.3333333333333321</c:v>
                </c:pt>
                <c:pt idx="9">
                  <c:v>0</c:v>
                </c:pt>
                <c:pt idx="10">
                  <c:v>76.344086021505376</c:v>
                </c:pt>
                <c:pt idx="11">
                  <c:v>13.978494623655912</c:v>
                </c:pt>
                <c:pt idx="12">
                  <c:v>5.376344086021505</c:v>
                </c:pt>
                <c:pt idx="13">
                  <c:v>4.3010752688172049</c:v>
                </c:pt>
                <c:pt idx="14">
                  <c:v>0</c:v>
                </c:pt>
                <c:pt idx="15">
                  <c:v>18.75</c:v>
                </c:pt>
                <c:pt idx="16">
                  <c:v>56.25</c:v>
                </c:pt>
                <c:pt idx="17">
                  <c:v>25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5-7943-9B90-03A6C5099B79}"/>
            </c:ext>
          </c:extLst>
        </c:ser>
        <c:ser>
          <c:idx val="1"/>
          <c:order val="1"/>
          <c:tx>
            <c:strRef>
              <c:f>'IR-CA'!$A$514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('IR-CA'!$B$564:$F$564,'IR-CA'!$H$564:$L$564,'IR-CA'!$N$564:$R$564,'IR-CA'!$T$564:$W$564)</c:f>
              <c:numCache>
                <c:formatCode>0.0</c:formatCode>
                <c:ptCount val="19"/>
                <c:pt idx="0">
                  <c:v>55.882352941176471</c:v>
                </c:pt>
                <c:pt idx="1">
                  <c:v>13.23529411764706</c:v>
                </c:pt>
                <c:pt idx="2">
                  <c:v>8.8235294117647065</c:v>
                </c:pt>
                <c:pt idx="3">
                  <c:v>22.058823529411764</c:v>
                </c:pt>
                <c:pt idx="4">
                  <c:v>0</c:v>
                </c:pt>
                <c:pt idx="5">
                  <c:v>33.333333333333329</c:v>
                </c:pt>
                <c:pt idx="6">
                  <c:v>0</c:v>
                </c:pt>
                <c:pt idx="7">
                  <c:v>66.666666666666657</c:v>
                </c:pt>
                <c:pt idx="8">
                  <c:v>0</c:v>
                </c:pt>
                <c:pt idx="9">
                  <c:v>0</c:v>
                </c:pt>
                <c:pt idx="10">
                  <c:v>13.333333333333334</c:v>
                </c:pt>
                <c:pt idx="11">
                  <c:v>15.555555555555555</c:v>
                </c:pt>
                <c:pt idx="12">
                  <c:v>3.3333333333333335</c:v>
                </c:pt>
                <c:pt idx="13">
                  <c:v>67.777777777777786</c:v>
                </c:pt>
                <c:pt idx="14">
                  <c:v>0</c:v>
                </c:pt>
                <c:pt idx="15">
                  <c:v>0</c:v>
                </c:pt>
                <c:pt idx="16">
                  <c:v>14.285714285714285</c:v>
                </c:pt>
                <c:pt idx="17">
                  <c:v>14.285714285714285</c:v>
                </c:pt>
                <c:pt idx="18">
                  <c:v>71.428571428571431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75-7943-9B90-03A6C5099B79}"/>
            </c:ext>
          </c:extLst>
        </c:ser>
        <c:ser>
          <c:idx val="2"/>
          <c:order val="2"/>
          <c:tx>
            <c:strRef>
              <c:f>'IR-CA'!$A$515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('IR-CA'!$B$565:$F$565,'IR-CA'!$H$565:$L$565,'IR-CA'!$N$565:$R$565,'IR-CA'!$T$565:$X$565)</c:f>
              <c:numCache>
                <c:formatCode>0.0</c:formatCode>
                <c:ptCount val="20"/>
                <c:pt idx="0">
                  <c:v>51.23456790123457</c:v>
                </c:pt>
                <c:pt idx="1">
                  <c:v>29.629629629629626</c:v>
                </c:pt>
                <c:pt idx="2">
                  <c:v>11.728395061728394</c:v>
                </c:pt>
                <c:pt idx="3">
                  <c:v>7.4074074074074066</c:v>
                </c:pt>
                <c:pt idx="4">
                  <c:v>0</c:v>
                </c:pt>
                <c:pt idx="5">
                  <c:v>20</c:v>
                </c:pt>
                <c:pt idx="6">
                  <c:v>30</c:v>
                </c:pt>
                <c:pt idx="7">
                  <c:v>40</c:v>
                </c:pt>
                <c:pt idx="8">
                  <c:v>10</c:v>
                </c:pt>
                <c:pt idx="9">
                  <c:v>0</c:v>
                </c:pt>
                <c:pt idx="10">
                  <c:v>21.276595744680851</c:v>
                </c:pt>
                <c:pt idx="11">
                  <c:v>38.297872340425535</c:v>
                </c:pt>
                <c:pt idx="12">
                  <c:v>14.893617021276595</c:v>
                </c:pt>
                <c:pt idx="13">
                  <c:v>25.531914893617021</c:v>
                </c:pt>
                <c:pt idx="14">
                  <c:v>0</c:v>
                </c:pt>
                <c:pt idx="15">
                  <c:v>24.489795918367346</c:v>
                </c:pt>
                <c:pt idx="16">
                  <c:v>48.979591836734691</c:v>
                </c:pt>
                <c:pt idx="17">
                  <c:v>18.367346938775512</c:v>
                </c:pt>
                <c:pt idx="18">
                  <c:v>8.1632653061224492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75-7943-9B90-03A6C5099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'IR-CA'!$A$516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('IR-CA'!$B$566:$F$566,'IR-CA'!$H$566:$L$566,'IR-CA'!$N$566:$R$566,'IR-CA'!$T$566:$X$566)</c:f>
              <c:numCache>
                <c:formatCode>0.00</c:formatCode>
                <c:ptCount val="20"/>
                <c:pt idx="0">
                  <c:v>53.298232873396273</c:v>
                </c:pt>
                <c:pt idx="1">
                  <c:v>23.779048656499636</c:v>
                </c:pt>
                <c:pt idx="2" formatCode="0.0">
                  <c:v>12.174715565238442</c:v>
                </c:pt>
                <c:pt idx="3" formatCode="0.0">
                  <c:v>10.74800290486565</c:v>
                </c:pt>
                <c:pt idx="4" formatCode="0.0">
                  <c:v>0</c:v>
                </c:pt>
                <c:pt idx="5" formatCode="0.0">
                  <c:v>34.444444444444443</c:v>
                </c:pt>
                <c:pt idx="6">
                  <c:v>18.333333333333332</c:v>
                </c:pt>
                <c:pt idx="7" formatCode="0.0">
                  <c:v>41.111111111111107</c:v>
                </c:pt>
                <c:pt idx="8" formatCode="0.0">
                  <c:v>6.1111111111111107</c:v>
                </c:pt>
                <c:pt idx="9" formatCode="0.0">
                  <c:v>0</c:v>
                </c:pt>
                <c:pt idx="10" formatCode="0.0">
                  <c:v>36.984671699839851</c:v>
                </c:pt>
                <c:pt idx="11">
                  <c:v>22.610640839879</c:v>
                </c:pt>
                <c:pt idx="12" formatCode="0.0">
                  <c:v>7.8677648135438112</c:v>
                </c:pt>
                <c:pt idx="13" formatCode="0.0">
                  <c:v>32.536922646737338</c:v>
                </c:pt>
                <c:pt idx="14" formatCode="0.0">
                  <c:v>0</c:v>
                </c:pt>
                <c:pt idx="15" formatCode="0.0">
                  <c:v>14.413265306122449</c:v>
                </c:pt>
                <c:pt idx="16">
                  <c:v>39.838435374149661</c:v>
                </c:pt>
                <c:pt idx="17" formatCode="0.0">
                  <c:v>19.217687074829932</c:v>
                </c:pt>
                <c:pt idx="18" formatCode="0.0">
                  <c:v>26.530612244897963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75-7943-9B90-03A6C5099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IR-CA Agents 1 &amp;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'IR-CA'!$A$513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('IR-CA'!$B$571:$F$571,'IR-CA'!$H$571:$L$571,'IR-CA'!$N$571:$R$571,'IR-CA'!$T$571:$X$571)</c:f>
              <c:numCache>
                <c:formatCode>0.0</c:formatCode>
                <c:ptCount val="20"/>
                <c:pt idx="0">
                  <c:v>28.749999999999996</c:v>
                </c:pt>
                <c:pt idx="1">
                  <c:v>42.5</c:v>
                </c:pt>
                <c:pt idx="2">
                  <c:v>19.375</c:v>
                </c:pt>
                <c:pt idx="3">
                  <c:v>9.375</c:v>
                </c:pt>
                <c:pt idx="4">
                  <c:v>0</c:v>
                </c:pt>
                <c:pt idx="5">
                  <c:v>41.379310344827587</c:v>
                </c:pt>
                <c:pt idx="6">
                  <c:v>41.379310344827587</c:v>
                </c:pt>
                <c:pt idx="7">
                  <c:v>10.344827586206897</c:v>
                </c:pt>
                <c:pt idx="8">
                  <c:v>6.8965517241379306</c:v>
                </c:pt>
                <c:pt idx="9">
                  <c:v>0</c:v>
                </c:pt>
                <c:pt idx="10">
                  <c:v>62.857142857142854</c:v>
                </c:pt>
                <c:pt idx="11">
                  <c:v>28.571428571428569</c:v>
                </c:pt>
                <c:pt idx="12">
                  <c:v>4.2857142857142856</c:v>
                </c:pt>
                <c:pt idx="13">
                  <c:v>4.2857142857142856</c:v>
                </c:pt>
                <c:pt idx="14">
                  <c:v>0</c:v>
                </c:pt>
                <c:pt idx="15">
                  <c:v>25</c:v>
                </c:pt>
                <c:pt idx="16">
                  <c:v>37.5</c:v>
                </c:pt>
                <c:pt idx="17">
                  <c:v>12.5</c:v>
                </c:pt>
                <c:pt idx="18">
                  <c:v>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5-3B4B-B28C-C7F2F6EA3BBB}"/>
            </c:ext>
          </c:extLst>
        </c:ser>
        <c:ser>
          <c:idx val="1"/>
          <c:order val="1"/>
          <c:tx>
            <c:strRef>
              <c:f>'IR-CA'!$A$514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('IR-CA'!$B$572:$F$572,'IR-CA'!$H$572:$L$572,'IR-CA'!$N$572:$R$572,'IR-CA'!$T$572:$X$572)</c:f>
              <c:numCache>
                <c:formatCode>0.0</c:formatCode>
                <c:ptCount val="20"/>
                <c:pt idx="0">
                  <c:v>28.571428571428569</c:v>
                </c:pt>
                <c:pt idx="1">
                  <c:v>26.530612244897959</c:v>
                </c:pt>
                <c:pt idx="2">
                  <c:v>8.1632653061224492</c:v>
                </c:pt>
                <c:pt idx="3">
                  <c:v>36.734693877551024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  <c:pt idx="7">
                  <c:v>0</c:v>
                </c:pt>
                <c:pt idx="8">
                  <c:v>50</c:v>
                </c:pt>
                <c:pt idx="9">
                  <c:v>0</c:v>
                </c:pt>
                <c:pt idx="10">
                  <c:v>5.4945054945054945</c:v>
                </c:pt>
                <c:pt idx="11">
                  <c:v>15.384615384615385</c:v>
                </c:pt>
                <c:pt idx="12">
                  <c:v>2.197802197802198</c:v>
                </c:pt>
                <c:pt idx="13">
                  <c:v>74.72527472527473</c:v>
                </c:pt>
                <c:pt idx="14">
                  <c:v>2.197802197802198</c:v>
                </c:pt>
                <c:pt idx="15">
                  <c:v>9.0909090909090917</c:v>
                </c:pt>
                <c:pt idx="16">
                  <c:v>9.0909090909090917</c:v>
                </c:pt>
                <c:pt idx="17">
                  <c:v>0</c:v>
                </c:pt>
                <c:pt idx="18">
                  <c:v>81.818181818181827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5-3B4B-B28C-C7F2F6EA3BBB}"/>
            </c:ext>
          </c:extLst>
        </c:ser>
        <c:ser>
          <c:idx val="2"/>
          <c:order val="2"/>
          <c:tx>
            <c:strRef>
              <c:f>'IR-CA'!$A$515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('IR-CA'!$B$573:$F$573,'IR-CA'!$H$573:$L$573,'IR-CA'!$N$573:$R$573,'IR-CA'!$T$573:$X$573)</c:f>
              <c:numCache>
                <c:formatCode>0.0</c:formatCode>
                <c:ptCount val="20"/>
                <c:pt idx="0">
                  <c:v>57.02479338842975</c:v>
                </c:pt>
                <c:pt idx="1">
                  <c:v>27.27272727272727</c:v>
                </c:pt>
                <c:pt idx="2">
                  <c:v>3.3057851239669422</c:v>
                </c:pt>
                <c:pt idx="3">
                  <c:v>12.396694214876034</c:v>
                </c:pt>
                <c:pt idx="4">
                  <c:v>0</c:v>
                </c:pt>
                <c:pt idx="5">
                  <c:v>50</c:v>
                </c:pt>
                <c:pt idx="6">
                  <c:v>20</c:v>
                </c:pt>
                <c:pt idx="7">
                  <c:v>10</c:v>
                </c:pt>
                <c:pt idx="8">
                  <c:v>20</c:v>
                </c:pt>
                <c:pt idx="9">
                  <c:v>0</c:v>
                </c:pt>
                <c:pt idx="10">
                  <c:v>32</c:v>
                </c:pt>
                <c:pt idx="11">
                  <c:v>44</c:v>
                </c:pt>
                <c:pt idx="12">
                  <c:v>12</c:v>
                </c:pt>
                <c:pt idx="13">
                  <c:v>12</c:v>
                </c:pt>
                <c:pt idx="14">
                  <c:v>0</c:v>
                </c:pt>
                <c:pt idx="15">
                  <c:v>10.869565217391305</c:v>
                </c:pt>
                <c:pt idx="16">
                  <c:v>41.304347826086953</c:v>
                </c:pt>
                <c:pt idx="17">
                  <c:v>39.130434782608695</c:v>
                </c:pt>
                <c:pt idx="18">
                  <c:v>8.695652173913043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C5-3B4B-B28C-C7F2F6EA3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'IR-CA'!$A$516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('IR-CA'!$B$574:$F$574,'IR-CA'!$H$574:$L$574,'IR-CA'!$N$574:$R$574,'IR-CA'!$T$574:$X$574)</c:f>
              <c:numCache>
                <c:formatCode>0.00</c:formatCode>
                <c:ptCount val="20"/>
                <c:pt idx="0">
                  <c:v>38.115407319952773</c:v>
                </c:pt>
                <c:pt idx="1">
                  <c:v>32.101113172541737</c:v>
                </c:pt>
                <c:pt idx="2" formatCode="0.0">
                  <c:v>10.281350143363129</c:v>
                </c:pt>
                <c:pt idx="3" formatCode="0.0">
                  <c:v>19.502129364142352</c:v>
                </c:pt>
                <c:pt idx="4" formatCode="0.0">
                  <c:v>0</c:v>
                </c:pt>
                <c:pt idx="5" formatCode="0.0">
                  <c:v>30.459770114942529</c:v>
                </c:pt>
                <c:pt idx="6">
                  <c:v>37.126436781609193</c:v>
                </c:pt>
                <c:pt idx="7" formatCode="0.0">
                  <c:v>6.7816091954022992</c:v>
                </c:pt>
                <c:pt idx="8" formatCode="0.0">
                  <c:v>25.632183908045977</c:v>
                </c:pt>
                <c:pt idx="9" formatCode="0.0">
                  <c:v>0</c:v>
                </c:pt>
                <c:pt idx="10" formatCode="0.0">
                  <c:v>33.450549450549453</c:v>
                </c:pt>
                <c:pt idx="11">
                  <c:v>29.318681318681318</c:v>
                </c:pt>
                <c:pt idx="12" formatCode="0.0">
                  <c:v>6.1611721611721606</c:v>
                </c:pt>
                <c:pt idx="13" formatCode="0.0">
                  <c:v>30.336996336996339</c:v>
                </c:pt>
                <c:pt idx="14" formatCode="0.0">
                  <c:v>0.73260073260073266</c:v>
                </c:pt>
                <c:pt idx="15" formatCode="0.0">
                  <c:v>14.986824769433467</c:v>
                </c:pt>
                <c:pt idx="16">
                  <c:v>29.298418972332016</c:v>
                </c:pt>
                <c:pt idx="17" formatCode="0.0">
                  <c:v>17.210144927536231</c:v>
                </c:pt>
                <c:pt idx="18" formatCode="0.0">
                  <c:v>38.504611330698289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C5-3B4B-B28C-C7F2F6EA3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IR-CA Agents 2 &amp;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'IR-CA'!$A$513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('IR-CA'!$B$579:$F$579,'IR-CA'!$H$579:$L$579,'IR-CA'!$N$579:$R$579,'IR-CA'!$T$579:$X$579)</c:f>
              <c:numCache>
                <c:formatCode>0.0</c:formatCode>
                <c:ptCount val="20"/>
                <c:pt idx="0">
                  <c:v>20.300751879699249</c:v>
                </c:pt>
                <c:pt idx="1">
                  <c:v>52.631578947368418</c:v>
                </c:pt>
                <c:pt idx="2">
                  <c:v>12.781954887218044</c:v>
                </c:pt>
                <c:pt idx="3">
                  <c:v>14.285714285714285</c:v>
                </c:pt>
                <c:pt idx="4">
                  <c:v>0</c:v>
                </c:pt>
                <c:pt idx="5">
                  <c:v>15.384615384615385</c:v>
                </c:pt>
                <c:pt idx="6">
                  <c:v>53.846153846153847</c:v>
                </c:pt>
                <c:pt idx="7">
                  <c:v>7.6923076923076925</c:v>
                </c:pt>
                <c:pt idx="8">
                  <c:v>23.076923076923077</c:v>
                </c:pt>
                <c:pt idx="9">
                  <c:v>0</c:v>
                </c:pt>
                <c:pt idx="10">
                  <c:v>76.811594202898547</c:v>
                </c:pt>
                <c:pt idx="11">
                  <c:v>13.043478260869565</c:v>
                </c:pt>
                <c:pt idx="12">
                  <c:v>1.4492753623188406</c:v>
                </c:pt>
                <c:pt idx="13">
                  <c:v>8.695652173913043</c:v>
                </c:pt>
                <c:pt idx="14">
                  <c:v>0</c:v>
                </c:pt>
                <c:pt idx="15">
                  <c:v>16.666666666666664</c:v>
                </c:pt>
                <c:pt idx="16">
                  <c:v>37.5</c:v>
                </c:pt>
                <c:pt idx="17">
                  <c:v>29.166666666666668</c:v>
                </c:pt>
                <c:pt idx="18">
                  <c:v>16.666666666666664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0-7448-AC20-EB6B75EED1D0}"/>
            </c:ext>
          </c:extLst>
        </c:ser>
        <c:ser>
          <c:idx val="1"/>
          <c:order val="1"/>
          <c:tx>
            <c:strRef>
              <c:f>'IR-CA'!$A$514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('IR-CA'!$B$580:$F$580,'IR-CA'!$H$580:$L$580,'IR-CA'!$N$580:$R$580,'IR-CA'!$T$580:$X$580)</c:f>
              <c:numCache>
                <c:formatCode>0.0</c:formatCode>
                <c:ptCount val="20"/>
                <c:pt idx="0">
                  <c:v>39.473684210526315</c:v>
                </c:pt>
                <c:pt idx="1">
                  <c:v>28.947368421052634</c:v>
                </c:pt>
                <c:pt idx="2">
                  <c:v>7.8947368421052628</c:v>
                </c:pt>
                <c:pt idx="3">
                  <c:v>23.684210526315788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  <c:pt idx="7">
                  <c:v>0</c:v>
                </c:pt>
                <c:pt idx="8">
                  <c:v>50</c:v>
                </c:pt>
                <c:pt idx="9">
                  <c:v>0</c:v>
                </c:pt>
                <c:pt idx="10">
                  <c:v>9.5238095238095237</c:v>
                </c:pt>
                <c:pt idx="11">
                  <c:v>17.460317460317459</c:v>
                </c:pt>
                <c:pt idx="12">
                  <c:v>4.7619047619047619</c:v>
                </c:pt>
                <c:pt idx="13">
                  <c:v>68.253968253968253</c:v>
                </c:pt>
                <c:pt idx="14">
                  <c:v>0</c:v>
                </c:pt>
                <c:pt idx="15">
                  <c:v>11.111111111111111</c:v>
                </c:pt>
                <c:pt idx="16">
                  <c:v>44.444444444444443</c:v>
                </c:pt>
                <c:pt idx="17">
                  <c:v>22.222222222222221</c:v>
                </c:pt>
                <c:pt idx="18">
                  <c:v>22.222222222222221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0-7448-AC20-EB6B75EED1D0}"/>
            </c:ext>
          </c:extLst>
        </c:ser>
        <c:ser>
          <c:idx val="2"/>
          <c:order val="2"/>
          <c:tx>
            <c:strRef>
              <c:f>'IR-CA'!$A$515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('IR-CA'!$B$486:$F$487,'IR-CA'!$H$486:$L$487,'IR-CA'!$N$486:$R$487,'IR-CA'!$T$486:$X$487)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('IR-CA'!$B$581:$F$581,'IR-CA'!$H$581:$L$581,'IR-CA'!$N$581:$R$581,'IR-CA'!$T$581:$X$581)</c:f>
              <c:numCache>
                <c:formatCode>0.0</c:formatCode>
                <c:ptCount val="20"/>
                <c:pt idx="0">
                  <c:v>37.234042553191486</c:v>
                </c:pt>
                <c:pt idx="1">
                  <c:v>41.48936170212766</c:v>
                </c:pt>
                <c:pt idx="2">
                  <c:v>6.3829787234042552</c:v>
                </c:pt>
                <c:pt idx="3">
                  <c:v>14.893617021276595</c:v>
                </c:pt>
                <c:pt idx="4">
                  <c:v>0</c:v>
                </c:pt>
                <c:pt idx="5">
                  <c:v>20</c:v>
                </c:pt>
                <c:pt idx="6">
                  <c:v>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28.205128205128204</c:v>
                </c:pt>
                <c:pt idx="11">
                  <c:v>58.974358974358978</c:v>
                </c:pt>
                <c:pt idx="12">
                  <c:v>5.1282051282051277</c:v>
                </c:pt>
                <c:pt idx="13">
                  <c:v>7.6923076923076925</c:v>
                </c:pt>
                <c:pt idx="14">
                  <c:v>0</c:v>
                </c:pt>
                <c:pt idx="15">
                  <c:v>26.190476190476193</c:v>
                </c:pt>
                <c:pt idx="16">
                  <c:v>40.476190476190474</c:v>
                </c:pt>
                <c:pt idx="17">
                  <c:v>28.571428571428569</c:v>
                </c:pt>
                <c:pt idx="18">
                  <c:v>4.7619047619047619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0-7448-AC20-EB6B75EED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'IR-CA'!$A$516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('IR-CA'!$B$582:$F$582,'IR-CA'!$H$582:$L$582,'IR-CA'!$N$582:$R$582,'IR-CA'!$T$582:$X$582)</c:f>
              <c:numCache>
                <c:formatCode>0.00</c:formatCode>
                <c:ptCount val="20"/>
                <c:pt idx="0">
                  <c:v>32.336159547805686</c:v>
                </c:pt>
                <c:pt idx="1">
                  <c:v>41.022769690182905</c:v>
                </c:pt>
                <c:pt idx="2" formatCode="0.0">
                  <c:v>9.0198901509091858</c:v>
                </c:pt>
                <c:pt idx="3" formatCode="0.0">
                  <c:v>17.621180611102222</c:v>
                </c:pt>
                <c:pt idx="4" formatCode="0.0">
                  <c:v>0</c:v>
                </c:pt>
                <c:pt idx="5" formatCode="0.0">
                  <c:v>11.794871794871796</c:v>
                </c:pt>
                <c:pt idx="6">
                  <c:v>61.282051282051277</c:v>
                </c:pt>
                <c:pt idx="7" formatCode="0.0">
                  <c:v>2.5641025641025643</c:v>
                </c:pt>
                <c:pt idx="8" formatCode="0.0">
                  <c:v>24.358974358974361</c:v>
                </c:pt>
                <c:pt idx="9" formatCode="0.0">
                  <c:v>0</c:v>
                </c:pt>
                <c:pt idx="10" formatCode="0.0">
                  <c:v>38.180177310612088</c:v>
                </c:pt>
                <c:pt idx="11">
                  <c:v>29.826051565182002</c:v>
                </c:pt>
                <c:pt idx="12" formatCode="0.0">
                  <c:v>3.77979508414291</c:v>
                </c:pt>
                <c:pt idx="13" formatCode="0.0">
                  <c:v>28.213976040062999</c:v>
                </c:pt>
                <c:pt idx="14" formatCode="0.0">
                  <c:v>0</c:v>
                </c:pt>
                <c:pt idx="15" formatCode="0.0">
                  <c:v>17.989417989417991</c:v>
                </c:pt>
                <c:pt idx="16">
                  <c:v>40.806878306878303</c:v>
                </c:pt>
                <c:pt idx="17" formatCode="0.0">
                  <c:v>26.653439153439152</c:v>
                </c:pt>
                <c:pt idx="18" formatCode="0.0">
                  <c:v>14.550264550264549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80-7448-AC20-EB6B75EED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baseline="0">
                <a:solidFill>
                  <a:schemeClr val="tx1"/>
                </a:solidFill>
              </a:rPr>
              <a:t>Recovery Potential Convergence, Malicious Agent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(malicious!$B$649:$F$649,malicious!$H$649:$L$649,malicious!$N$649:$R$649,malicious!$T$649:$X$649)</c:f>
              <c:numCache>
                <c:formatCode>0.0</c:formatCode>
                <c:ptCount val="20"/>
                <c:pt idx="0">
                  <c:v>69.191919191919197</c:v>
                </c:pt>
                <c:pt idx="1">
                  <c:v>15.656565656565657</c:v>
                </c:pt>
                <c:pt idx="2">
                  <c:v>3.0303030303030303</c:v>
                </c:pt>
                <c:pt idx="3">
                  <c:v>12.121212121212121</c:v>
                </c:pt>
                <c:pt idx="4">
                  <c:v>0</c:v>
                </c:pt>
                <c:pt idx="5">
                  <c:v>63.04347826086957</c:v>
                </c:pt>
                <c:pt idx="6">
                  <c:v>23.913043478260871</c:v>
                </c:pt>
                <c:pt idx="7">
                  <c:v>2.1739130434782608</c:v>
                </c:pt>
                <c:pt idx="8">
                  <c:v>10.869565217391305</c:v>
                </c:pt>
                <c:pt idx="9">
                  <c:v>0</c:v>
                </c:pt>
                <c:pt idx="10">
                  <c:v>57.142857142857139</c:v>
                </c:pt>
                <c:pt idx="11">
                  <c:v>6.1224489795918364</c:v>
                </c:pt>
                <c:pt idx="12">
                  <c:v>8.1632653061224492</c:v>
                </c:pt>
                <c:pt idx="13">
                  <c:v>28.571428571428569</c:v>
                </c:pt>
                <c:pt idx="14">
                  <c:v>0</c:v>
                </c:pt>
                <c:pt idx="15">
                  <c:v>80</c:v>
                </c:pt>
                <c:pt idx="16">
                  <c:v>4</c:v>
                </c:pt>
                <c:pt idx="17">
                  <c:v>0</c:v>
                </c:pt>
                <c:pt idx="18">
                  <c:v>16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B-1E4B-90D7-550952883420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(malicious!$B$650:$F$650,malicious!$H$650:$L$650,malicious!$N$650:$R$650,malicious!$T$650:$X$650)</c:f>
              <c:numCache>
                <c:formatCode>0.0</c:formatCode>
                <c:ptCount val="20"/>
                <c:pt idx="0">
                  <c:v>74.883720930232556</c:v>
                </c:pt>
                <c:pt idx="1">
                  <c:v>10.465116279069768</c:v>
                </c:pt>
                <c:pt idx="2">
                  <c:v>3.4883720930232558</c:v>
                </c:pt>
                <c:pt idx="3">
                  <c:v>11.162790697674419</c:v>
                </c:pt>
                <c:pt idx="4">
                  <c:v>0</c:v>
                </c:pt>
                <c:pt idx="5">
                  <c:v>70.212765957446805</c:v>
                </c:pt>
                <c:pt idx="6">
                  <c:v>6.3829787234042552</c:v>
                </c:pt>
                <c:pt idx="7">
                  <c:v>10.638297872340425</c:v>
                </c:pt>
                <c:pt idx="8">
                  <c:v>12.76595744680851</c:v>
                </c:pt>
                <c:pt idx="9">
                  <c:v>0</c:v>
                </c:pt>
                <c:pt idx="10">
                  <c:v>50.980392156862742</c:v>
                </c:pt>
                <c:pt idx="11">
                  <c:v>25.490196078431371</c:v>
                </c:pt>
                <c:pt idx="12">
                  <c:v>7.8431372549019605</c:v>
                </c:pt>
                <c:pt idx="13">
                  <c:v>15.686274509803921</c:v>
                </c:pt>
                <c:pt idx="14">
                  <c:v>0</c:v>
                </c:pt>
                <c:pt idx="15">
                  <c:v>54.716981132075468</c:v>
                </c:pt>
                <c:pt idx="16">
                  <c:v>24.528301886792452</c:v>
                </c:pt>
                <c:pt idx="17">
                  <c:v>11.320754716981133</c:v>
                </c:pt>
                <c:pt idx="18">
                  <c:v>9.433962264150944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BB-1E4B-90D7-550952883420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(malicious!$B$652:$F$652,malicious!$H$652:$L$652,malicious!$N$652:$R$652,malicious!$T$652:$X$652)</c:f>
              <c:numCache>
                <c:formatCode>0.0</c:formatCode>
                <c:ptCount val="20"/>
                <c:pt idx="0">
                  <c:v>48.571428571428569</c:v>
                </c:pt>
                <c:pt idx="1">
                  <c:v>21.428571428571427</c:v>
                </c:pt>
                <c:pt idx="2">
                  <c:v>11.428571428571429</c:v>
                </c:pt>
                <c:pt idx="3">
                  <c:v>18.571428571428573</c:v>
                </c:pt>
                <c:pt idx="4">
                  <c:v>0</c:v>
                </c:pt>
                <c:pt idx="5">
                  <c:v>50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52.631578947368418</c:v>
                </c:pt>
                <c:pt idx="11">
                  <c:v>26.315789473684209</c:v>
                </c:pt>
                <c:pt idx="12">
                  <c:v>15.789473684210526</c:v>
                </c:pt>
                <c:pt idx="13">
                  <c:v>5.2631578947368416</c:v>
                </c:pt>
                <c:pt idx="14">
                  <c:v>0</c:v>
                </c:pt>
                <c:pt idx="15">
                  <c:v>20.833333333333336</c:v>
                </c:pt>
                <c:pt idx="16">
                  <c:v>37.5</c:v>
                </c:pt>
                <c:pt idx="17">
                  <c:v>37.5</c:v>
                </c:pt>
                <c:pt idx="18">
                  <c:v>4.1666666666666661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BB-1E4B-90D7-550952883420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(malicious!$B$651:$F$651,malicious!$H$651:$L$651,malicious!$N$651:$R$651,malicious!$T$651:$X$651)</c:f>
              <c:numCache>
                <c:formatCode>0.0</c:formatCode>
                <c:ptCount val="20"/>
                <c:pt idx="0">
                  <c:v>62.5</c:v>
                </c:pt>
                <c:pt idx="1">
                  <c:v>37.5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50</c:v>
                </c:pt>
                <c:pt idx="11">
                  <c:v>50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64.285714285714292</c:v>
                </c:pt>
                <c:pt idx="16">
                  <c:v>35.714285714285715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BB-1E4B-90D7-550952883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(malicious!$B$653:$F$653,malicious!$H$653:$L$653,malicious!$N$653:$R$653,malicious!$T$653:$X$653)</c:f>
              <c:numCache>
                <c:formatCode>0.00</c:formatCode>
                <c:ptCount val="20"/>
                <c:pt idx="0">
                  <c:v>63.786767173395077</c:v>
                </c:pt>
                <c:pt idx="1">
                  <c:v>21.262563341051713</c:v>
                </c:pt>
                <c:pt idx="2" formatCode="0.0">
                  <c:v>4.4868116379744283</c:v>
                </c:pt>
                <c:pt idx="3" formatCode="0.0">
                  <c:v>10.46385784757878</c:v>
                </c:pt>
                <c:pt idx="4" formatCode="0.0">
                  <c:v>0</c:v>
                </c:pt>
                <c:pt idx="5" formatCode="0.0">
                  <c:v>45.814061054579092</c:v>
                </c:pt>
                <c:pt idx="6">
                  <c:v>7.5740055504162811</c:v>
                </c:pt>
                <c:pt idx="7" formatCode="0.0">
                  <c:v>15.70305272895467</c:v>
                </c:pt>
                <c:pt idx="8" formatCode="0.0">
                  <c:v>5.9088806660499538</c:v>
                </c:pt>
                <c:pt idx="9" formatCode="0.0">
                  <c:v>0</c:v>
                </c:pt>
                <c:pt idx="10" formatCode="0.0">
                  <c:v>52.688707061772071</c:v>
                </c:pt>
                <c:pt idx="11">
                  <c:v>26.982108632926852</c:v>
                </c:pt>
                <c:pt idx="12" formatCode="0.0">
                  <c:v>7.948969061308734</c:v>
                </c:pt>
                <c:pt idx="13" formatCode="0.0">
                  <c:v>12.380215243992334</c:v>
                </c:pt>
                <c:pt idx="14" formatCode="0.0">
                  <c:v>0</c:v>
                </c:pt>
                <c:pt idx="15" formatCode="0.0">
                  <c:v>54.959007187780777</c:v>
                </c:pt>
                <c:pt idx="16">
                  <c:v>25.435646900269543</c:v>
                </c:pt>
                <c:pt idx="17" formatCode="0.0">
                  <c:v>12.205188679245284</c:v>
                </c:pt>
                <c:pt idx="18" formatCode="0.0">
                  <c:v>7.4001572327044016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BB-1E4B-90D7-550952883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Malicious Agent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(malicious!$B$658:$F$658,malicious!$H$658:$L$658,malicious!$N$658:$R$658,malicious!$T$658:$X$658)</c:f>
              <c:numCache>
                <c:formatCode>0.0</c:formatCode>
                <c:ptCount val="20"/>
                <c:pt idx="0">
                  <c:v>62.162162162162161</c:v>
                </c:pt>
                <c:pt idx="1">
                  <c:v>14.594594594594595</c:v>
                </c:pt>
                <c:pt idx="2">
                  <c:v>2.7027027027027026</c:v>
                </c:pt>
                <c:pt idx="3">
                  <c:v>20.54054054054054</c:v>
                </c:pt>
                <c:pt idx="4">
                  <c:v>0</c:v>
                </c:pt>
                <c:pt idx="5">
                  <c:v>51.724137931034484</c:v>
                </c:pt>
                <c:pt idx="6">
                  <c:v>17.241379310344829</c:v>
                </c:pt>
                <c:pt idx="7">
                  <c:v>17.241379310344829</c:v>
                </c:pt>
                <c:pt idx="8">
                  <c:v>13.793103448275861</c:v>
                </c:pt>
                <c:pt idx="9">
                  <c:v>0</c:v>
                </c:pt>
                <c:pt idx="10">
                  <c:v>65.454545454545453</c:v>
                </c:pt>
                <c:pt idx="11">
                  <c:v>13.636363636363635</c:v>
                </c:pt>
                <c:pt idx="12">
                  <c:v>3.6363636363636362</c:v>
                </c:pt>
                <c:pt idx="13">
                  <c:v>17.272727272727273</c:v>
                </c:pt>
                <c:pt idx="14">
                  <c:v>0</c:v>
                </c:pt>
                <c:pt idx="15">
                  <c:v>77.777777777777786</c:v>
                </c:pt>
                <c:pt idx="16">
                  <c:v>22.222222222222221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D-024A-A876-8AFA7C00360F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(malicious!$B$659:$F$659,malicious!$H$659:$L$659,malicious!$N$659:$R$659,malicious!$T$659:$X$659)</c:f>
              <c:numCache>
                <c:formatCode>0.0</c:formatCode>
                <c:ptCount val="20"/>
                <c:pt idx="0">
                  <c:v>74.164810690423167</c:v>
                </c:pt>
                <c:pt idx="1">
                  <c:v>14.699331848552339</c:v>
                </c:pt>
                <c:pt idx="2">
                  <c:v>2.8953229398663698</c:v>
                </c:pt>
                <c:pt idx="3">
                  <c:v>8.2405345211581285</c:v>
                </c:pt>
                <c:pt idx="4">
                  <c:v>0</c:v>
                </c:pt>
                <c:pt idx="5">
                  <c:v>58.333333333333336</c:v>
                </c:pt>
                <c:pt idx="6">
                  <c:v>19.444444444444446</c:v>
                </c:pt>
                <c:pt idx="7">
                  <c:v>0</c:v>
                </c:pt>
                <c:pt idx="8">
                  <c:v>22.222222222222221</c:v>
                </c:pt>
                <c:pt idx="9">
                  <c:v>0</c:v>
                </c:pt>
                <c:pt idx="10">
                  <c:v>67.441860465116278</c:v>
                </c:pt>
                <c:pt idx="11">
                  <c:v>11.627906976744185</c:v>
                </c:pt>
                <c:pt idx="12">
                  <c:v>6.9767441860465116</c:v>
                </c:pt>
                <c:pt idx="13">
                  <c:v>13.953488372093023</c:v>
                </c:pt>
                <c:pt idx="14">
                  <c:v>0</c:v>
                </c:pt>
                <c:pt idx="15">
                  <c:v>59.574468085106382</c:v>
                </c:pt>
                <c:pt idx="16">
                  <c:v>21.276595744680851</c:v>
                </c:pt>
                <c:pt idx="17">
                  <c:v>10.638297872340425</c:v>
                </c:pt>
                <c:pt idx="18">
                  <c:v>8.5106382978723403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ED-024A-A876-8AFA7C00360F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(malicious!$B$661:$F$661,malicious!$H$661:$L$661,malicious!$N$661:$R$661,malicious!$T$661:$X$661)</c:f>
              <c:numCache>
                <c:formatCode>0.0</c:formatCode>
                <c:ptCount val="20"/>
                <c:pt idx="0">
                  <c:v>19.230769230769234</c:v>
                </c:pt>
                <c:pt idx="1">
                  <c:v>21.153846153846153</c:v>
                </c:pt>
                <c:pt idx="2">
                  <c:v>28.846153846153843</c:v>
                </c:pt>
                <c:pt idx="3">
                  <c:v>30.76923076923077</c:v>
                </c:pt>
                <c:pt idx="4">
                  <c:v>0</c:v>
                </c:pt>
                <c:pt idx="5">
                  <c:v>37.5</c:v>
                </c:pt>
                <c:pt idx="6">
                  <c:v>25</c:v>
                </c:pt>
                <c:pt idx="7">
                  <c:v>12.5</c:v>
                </c:pt>
                <c:pt idx="8">
                  <c:v>25</c:v>
                </c:pt>
                <c:pt idx="9">
                  <c:v>0</c:v>
                </c:pt>
                <c:pt idx="10">
                  <c:v>35.714285714285715</c:v>
                </c:pt>
                <c:pt idx="11">
                  <c:v>39.285714285714285</c:v>
                </c:pt>
                <c:pt idx="12">
                  <c:v>14.285714285714285</c:v>
                </c:pt>
                <c:pt idx="13">
                  <c:v>10.714285714285714</c:v>
                </c:pt>
                <c:pt idx="14">
                  <c:v>0</c:v>
                </c:pt>
                <c:pt idx="15">
                  <c:v>30</c:v>
                </c:pt>
                <c:pt idx="16">
                  <c:v>33.333333333333329</c:v>
                </c:pt>
                <c:pt idx="17">
                  <c:v>16.666666666666664</c:v>
                </c:pt>
                <c:pt idx="18">
                  <c:v>20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ED-024A-A876-8AFA7C00360F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(malicious!$B$660:$F$660,malicious!$H$660:$L$660,malicious!$N$660:$R$660,malicious!$T$660:$X$660)</c:f>
              <c:numCache>
                <c:formatCode>0.0</c:formatCode>
                <c:ptCount val="20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41.666666666666671</c:v>
                </c:pt>
                <c:pt idx="11">
                  <c:v>33.333333333333329</c:v>
                </c:pt>
                <c:pt idx="12">
                  <c:v>16.666666666666664</c:v>
                </c:pt>
                <c:pt idx="13">
                  <c:v>8.3333333333333321</c:v>
                </c:pt>
                <c:pt idx="14">
                  <c:v>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ED-024A-A876-8AFA7C00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(malicious!$B$662:$F$662,malicious!$H$662:$L$662,malicious!$N$662:$R$662,malicious!$T$662:$X$662)</c:f>
              <c:numCache>
                <c:formatCode>0.00</c:formatCode>
                <c:ptCount val="20"/>
                <c:pt idx="0">
                  <c:v>63.889435520838639</c:v>
                </c:pt>
                <c:pt idx="1">
                  <c:v>12.611943149248273</c:v>
                </c:pt>
                <c:pt idx="2" formatCode="0.0">
                  <c:v>8.6110448721807291</c:v>
                </c:pt>
                <c:pt idx="3" formatCode="0.0">
                  <c:v>14.88757645773236</c:v>
                </c:pt>
                <c:pt idx="4" formatCode="0.0">
                  <c:v>0</c:v>
                </c:pt>
                <c:pt idx="5" formatCode="0.0">
                  <c:v>36.889367816091955</c:v>
                </c:pt>
                <c:pt idx="6">
                  <c:v>15.421455938697319</c:v>
                </c:pt>
                <c:pt idx="7" formatCode="0.0">
                  <c:v>7.4353448275862073</c:v>
                </c:pt>
                <c:pt idx="8" formatCode="0.0">
                  <c:v>15.253831417624522</c:v>
                </c:pt>
                <c:pt idx="9" formatCode="0.0">
                  <c:v>0</c:v>
                </c:pt>
                <c:pt idx="10" formatCode="0.0">
                  <c:v>52.569339575153535</c:v>
                </c:pt>
                <c:pt idx="11">
                  <c:v>24.470829558038858</c:v>
                </c:pt>
                <c:pt idx="12" formatCode="0.0">
                  <c:v>10.391372193697775</c:v>
                </c:pt>
                <c:pt idx="13" formatCode="0.0">
                  <c:v>12.568458673109836</c:v>
                </c:pt>
                <c:pt idx="14" formatCode="0.0">
                  <c:v>0</c:v>
                </c:pt>
                <c:pt idx="15" formatCode="0.0">
                  <c:v>66.83806146572104</c:v>
                </c:pt>
                <c:pt idx="16">
                  <c:v>19.208037825059101</c:v>
                </c:pt>
                <c:pt idx="17" formatCode="0.0">
                  <c:v>6.826241134751772</c:v>
                </c:pt>
                <c:pt idx="18" formatCode="0.0">
                  <c:v>7.1276595744680851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ED-024A-A876-8AFA7C00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Malicious Agent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(malicious!$B$667:$F$667,malicious!$H$667:$L$667,malicious!$N$667:$R$667,malicious!$T$667:$X$667)</c:f>
              <c:numCache>
                <c:formatCode>0.0</c:formatCode>
                <c:ptCount val="20"/>
                <c:pt idx="0">
                  <c:v>40.853658536585364</c:v>
                </c:pt>
                <c:pt idx="1">
                  <c:v>29.268292682926827</c:v>
                </c:pt>
                <c:pt idx="2">
                  <c:v>7.3170731707317067</c:v>
                </c:pt>
                <c:pt idx="3">
                  <c:v>22.560975609756099</c:v>
                </c:pt>
                <c:pt idx="4">
                  <c:v>0</c:v>
                </c:pt>
                <c:pt idx="5">
                  <c:v>30.76923076923077</c:v>
                </c:pt>
                <c:pt idx="6">
                  <c:v>30.76923076923077</c:v>
                </c:pt>
                <c:pt idx="7">
                  <c:v>3.8461538461538463</c:v>
                </c:pt>
                <c:pt idx="8">
                  <c:v>30.76923076923077</c:v>
                </c:pt>
                <c:pt idx="9">
                  <c:v>0</c:v>
                </c:pt>
                <c:pt idx="10">
                  <c:v>56.756756756756758</c:v>
                </c:pt>
                <c:pt idx="11">
                  <c:v>13.513513513513514</c:v>
                </c:pt>
                <c:pt idx="12">
                  <c:v>1.8018018018018018</c:v>
                </c:pt>
                <c:pt idx="13">
                  <c:v>27.927927927927925</c:v>
                </c:pt>
                <c:pt idx="14">
                  <c:v>0</c:v>
                </c:pt>
                <c:pt idx="15">
                  <c:v>72.093023255813947</c:v>
                </c:pt>
                <c:pt idx="16">
                  <c:v>9.3023255813953494</c:v>
                </c:pt>
                <c:pt idx="17">
                  <c:v>4.6511627906976747</c:v>
                </c:pt>
                <c:pt idx="18">
                  <c:v>13.953488372093023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7-4943-BFD9-89BE99D86F22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(malicious!$B$668:$F$668,malicious!$H$668:$L$668,malicious!$N$668:$R$668,malicious!$T$668:$X$668)</c:f>
              <c:numCache>
                <c:formatCode>0.0</c:formatCode>
                <c:ptCount val="20"/>
                <c:pt idx="0">
                  <c:v>72.938689217758991</c:v>
                </c:pt>
                <c:pt idx="1">
                  <c:v>16.0676532769556</c:v>
                </c:pt>
                <c:pt idx="2">
                  <c:v>1.4799154334038054</c:v>
                </c:pt>
                <c:pt idx="3">
                  <c:v>9.513742071881607</c:v>
                </c:pt>
                <c:pt idx="4">
                  <c:v>0</c:v>
                </c:pt>
                <c:pt idx="5">
                  <c:v>51.219512195121951</c:v>
                </c:pt>
                <c:pt idx="6">
                  <c:v>29.268292682926827</c:v>
                </c:pt>
                <c:pt idx="7">
                  <c:v>12.195121951219512</c:v>
                </c:pt>
                <c:pt idx="8">
                  <c:v>7.3170731707317067</c:v>
                </c:pt>
                <c:pt idx="9">
                  <c:v>0</c:v>
                </c:pt>
                <c:pt idx="10">
                  <c:v>7.8947368421052628</c:v>
                </c:pt>
                <c:pt idx="11">
                  <c:v>7.8947368421052628</c:v>
                </c:pt>
                <c:pt idx="12">
                  <c:v>7.8947368421052628</c:v>
                </c:pt>
                <c:pt idx="13">
                  <c:v>18.421052631578945</c:v>
                </c:pt>
                <c:pt idx="14">
                  <c:v>0</c:v>
                </c:pt>
                <c:pt idx="15">
                  <c:v>53.658536585365859</c:v>
                </c:pt>
                <c:pt idx="16">
                  <c:v>29.268292682926827</c:v>
                </c:pt>
                <c:pt idx="17">
                  <c:v>4.8780487804878048</c:v>
                </c:pt>
                <c:pt idx="18">
                  <c:v>12.195121951219512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47-4943-BFD9-89BE99D86F22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(malicious!$B$670:$F$670,malicious!$H$670:$K$670,malicious!$L$670,malicious!$N$670:$R$670,malicious!$T$670:$X$670)</c:f>
              <c:numCache>
                <c:formatCode>0.0</c:formatCode>
                <c:ptCount val="20"/>
                <c:pt idx="0">
                  <c:v>16.949152542372879</c:v>
                </c:pt>
                <c:pt idx="1">
                  <c:v>30.508474576271187</c:v>
                </c:pt>
                <c:pt idx="2">
                  <c:v>20.33898305084746</c:v>
                </c:pt>
                <c:pt idx="3">
                  <c:v>32.20338983050847</c:v>
                </c:pt>
                <c:pt idx="4">
                  <c:v>0</c:v>
                </c:pt>
                <c:pt idx="5">
                  <c:v>25</c:v>
                </c:pt>
                <c:pt idx="6">
                  <c:v>25</c:v>
                </c:pt>
                <c:pt idx="7">
                  <c:v>12.5</c:v>
                </c:pt>
                <c:pt idx="8">
                  <c:v>37.5</c:v>
                </c:pt>
                <c:pt idx="9">
                  <c:v>0</c:v>
                </c:pt>
                <c:pt idx="10">
                  <c:v>16.666666666666664</c:v>
                </c:pt>
                <c:pt idx="11">
                  <c:v>66.666666666666657</c:v>
                </c:pt>
                <c:pt idx="12">
                  <c:v>0</c:v>
                </c:pt>
                <c:pt idx="13">
                  <c:v>16.666666666666664</c:v>
                </c:pt>
                <c:pt idx="14">
                  <c:v>0</c:v>
                </c:pt>
                <c:pt idx="15">
                  <c:v>63.333333333333329</c:v>
                </c:pt>
                <c:pt idx="16">
                  <c:v>63.333333333333329</c:v>
                </c:pt>
                <c:pt idx="17">
                  <c:v>13.333333333333334</c:v>
                </c:pt>
                <c:pt idx="18">
                  <c:v>20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47-4943-BFD9-89BE99D86F22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(malicious!$B$669:$F$669,malicious!$H$669:$L$669,malicious!$N$669:$R$669,malicious!$T$669:$X$669)</c:f>
              <c:numCache>
                <c:formatCode>0.0</c:formatCode>
                <c:ptCount val="20"/>
                <c:pt idx="0">
                  <c:v>16.666666666666664</c:v>
                </c:pt>
                <c:pt idx="1">
                  <c:v>66.666666666666657</c:v>
                </c:pt>
                <c:pt idx="2">
                  <c:v>16.666666666666664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54.166666666666664</c:v>
                </c:pt>
                <c:pt idx="11">
                  <c:v>33.333333333333329</c:v>
                </c:pt>
                <c:pt idx="12">
                  <c:v>0</c:v>
                </c:pt>
                <c:pt idx="13">
                  <c:v>12.5</c:v>
                </c:pt>
                <c:pt idx="14">
                  <c:v>0</c:v>
                </c:pt>
                <c:pt idx="15">
                  <c:v>66.666666666666657</c:v>
                </c:pt>
                <c:pt idx="16">
                  <c:v>0</c:v>
                </c:pt>
                <c:pt idx="17">
                  <c:v>33.333333333333329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47-4943-BFD9-89BE99D86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(malicious!$B$671:$F$671,malicious!$H$671:$L$671,malicious!$N$671:$R$671,malicious!$T$671:$X$671)</c:f>
              <c:numCache>
                <c:formatCode>0.00</c:formatCode>
                <c:ptCount val="20"/>
                <c:pt idx="0">
                  <c:v>36.852041740845969</c:v>
                </c:pt>
                <c:pt idx="1">
                  <c:v>35.627771800705069</c:v>
                </c:pt>
                <c:pt idx="2" formatCode="0.0">
                  <c:v>11.45065958041241</c:v>
                </c:pt>
                <c:pt idx="3" formatCode="0.0">
                  <c:v>16.069526878036545</c:v>
                </c:pt>
                <c:pt idx="4" formatCode="0.0">
                  <c:v>0</c:v>
                </c:pt>
                <c:pt idx="5" formatCode="0.0">
                  <c:v>26.747185741088181</c:v>
                </c:pt>
                <c:pt idx="6">
                  <c:v>21.2593808630394</c:v>
                </c:pt>
                <c:pt idx="7" formatCode="0.0">
                  <c:v>7.1353189493433398</c:v>
                </c:pt>
                <c:pt idx="8" formatCode="0.0">
                  <c:v>18.896575984990619</c:v>
                </c:pt>
                <c:pt idx="9" formatCode="0.0">
                  <c:v>0</c:v>
                </c:pt>
                <c:pt idx="10" formatCode="0.0">
                  <c:v>33.871206733048837</c:v>
                </c:pt>
                <c:pt idx="11">
                  <c:v>30.35206258890469</c:v>
                </c:pt>
                <c:pt idx="12" formatCode="0.0">
                  <c:v>2.4241346609767662</c:v>
                </c:pt>
                <c:pt idx="13" formatCode="0.0">
                  <c:v>18.878911806543385</c:v>
                </c:pt>
                <c:pt idx="14" formatCode="0.0">
                  <c:v>0</c:v>
                </c:pt>
                <c:pt idx="15" formatCode="0.0">
                  <c:v>63.937889960294953</c:v>
                </c:pt>
                <c:pt idx="16">
                  <c:v>25.475987899413877</c:v>
                </c:pt>
                <c:pt idx="17" formatCode="0.0">
                  <c:v>14.048969559463035</c:v>
                </c:pt>
                <c:pt idx="18" formatCode="0.0">
                  <c:v>11.537152580828135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47-4943-BFD9-89BE99D86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Malicious Agent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(malicious!$B$676:$F$676,malicious!$H$676:$L$676,malicious!$N$676:$R$676,malicious!$T$676:$X$676)</c:f>
              <c:numCache>
                <c:formatCode>0.0</c:formatCode>
                <c:ptCount val="20"/>
                <c:pt idx="0">
                  <c:v>36.29032258064516</c:v>
                </c:pt>
                <c:pt idx="1">
                  <c:v>45.362903225806448</c:v>
                </c:pt>
                <c:pt idx="2">
                  <c:v>16.33064516129032</c:v>
                </c:pt>
                <c:pt idx="3">
                  <c:v>2.0161290322580645</c:v>
                </c:pt>
                <c:pt idx="4">
                  <c:v>0</c:v>
                </c:pt>
                <c:pt idx="5">
                  <c:v>71.875</c:v>
                </c:pt>
                <c:pt idx="6">
                  <c:v>18.75</c:v>
                </c:pt>
                <c:pt idx="7">
                  <c:v>9.375</c:v>
                </c:pt>
                <c:pt idx="8">
                  <c:v>0</c:v>
                </c:pt>
                <c:pt idx="9">
                  <c:v>0</c:v>
                </c:pt>
                <c:pt idx="10">
                  <c:v>78.544061302681996</c:v>
                </c:pt>
                <c:pt idx="11">
                  <c:v>13.026819923371647</c:v>
                </c:pt>
                <c:pt idx="12">
                  <c:v>6.8965517241379306</c:v>
                </c:pt>
                <c:pt idx="13">
                  <c:v>1.5325670498084289</c:v>
                </c:pt>
                <c:pt idx="14">
                  <c:v>0</c:v>
                </c:pt>
                <c:pt idx="15">
                  <c:v>64.615384615384613</c:v>
                </c:pt>
                <c:pt idx="16">
                  <c:v>15.384615384615385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4-D048-874A-BECC61CC2734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(malicious!$B$677:$F$677,malicious!$H$677:$L$677,malicious!$N$677:$R$677,malicious!$T$677:$X$677)</c:f>
              <c:numCache>
                <c:formatCode>0.0</c:formatCode>
                <c:ptCount val="20"/>
                <c:pt idx="0">
                  <c:v>44.91017964071856</c:v>
                </c:pt>
                <c:pt idx="1">
                  <c:v>23.952095808383234</c:v>
                </c:pt>
                <c:pt idx="2">
                  <c:v>16.766467065868262</c:v>
                </c:pt>
                <c:pt idx="3">
                  <c:v>14.37125748502994</c:v>
                </c:pt>
                <c:pt idx="4">
                  <c:v>0</c:v>
                </c:pt>
                <c:pt idx="5">
                  <c:v>64.705882352941174</c:v>
                </c:pt>
                <c:pt idx="6">
                  <c:v>23.52941176470588</c:v>
                </c:pt>
                <c:pt idx="7">
                  <c:v>8.8235294117647065</c:v>
                </c:pt>
                <c:pt idx="8">
                  <c:v>2.9411764705882351</c:v>
                </c:pt>
                <c:pt idx="9">
                  <c:v>0</c:v>
                </c:pt>
                <c:pt idx="10">
                  <c:v>30.927835051546392</c:v>
                </c:pt>
                <c:pt idx="11">
                  <c:v>35.567010309278352</c:v>
                </c:pt>
                <c:pt idx="12">
                  <c:v>12.371134020618557</c:v>
                </c:pt>
                <c:pt idx="13">
                  <c:v>21.134020618556701</c:v>
                </c:pt>
                <c:pt idx="14">
                  <c:v>0</c:v>
                </c:pt>
                <c:pt idx="15">
                  <c:v>58.620689655172406</c:v>
                </c:pt>
                <c:pt idx="16">
                  <c:v>20.689655172413794</c:v>
                </c:pt>
                <c:pt idx="17">
                  <c:v>10.344827586206897</c:v>
                </c:pt>
                <c:pt idx="18">
                  <c:v>10.344827586206897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94-D048-874A-BECC61CC2734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(malicious!$B$679:$F$679,malicious!$H$679:$L$679,malicious!$N$679:$R$679,malicious!$T$679:$X$679)</c:f>
              <c:numCache>
                <c:formatCode>0.0</c:formatCode>
                <c:ptCount val="20"/>
                <c:pt idx="0">
                  <c:v>61.341853035143771</c:v>
                </c:pt>
                <c:pt idx="1">
                  <c:v>25.878594249201274</c:v>
                </c:pt>
                <c:pt idx="2">
                  <c:v>8.6261980830670915</c:v>
                </c:pt>
                <c:pt idx="3">
                  <c:v>4.1533546325878596</c:v>
                </c:pt>
                <c:pt idx="4">
                  <c:v>0</c:v>
                </c:pt>
                <c:pt idx="5">
                  <c:v>50</c:v>
                </c:pt>
                <c:pt idx="6">
                  <c:v>10</c:v>
                </c:pt>
                <c:pt idx="7">
                  <c:v>30</c:v>
                </c:pt>
                <c:pt idx="8">
                  <c:v>10</c:v>
                </c:pt>
                <c:pt idx="9">
                  <c:v>0</c:v>
                </c:pt>
                <c:pt idx="10">
                  <c:v>80.740740740740748</c:v>
                </c:pt>
                <c:pt idx="11">
                  <c:v>8.1481481481481488</c:v>
                </c:pt>
                <c:pt idx="12">
                  <c:v>5.1851851851851851</c:v>
                </c:pt>
                <c:pt idx="13">
                  <c:v>5.9259259259259265</c:v>
                </c:pt>
                <c:pt idx="14">
                  <c:v>0</c:v>
                </c:pt>
                <c:pt idx="15">
                  <c:v>69.863013698630141</c:v>
                </c:pt>
                <c:pt idx="16">
                  <c:v>21.917808219178081</c:v>
                </c:pt>
                <c:pt idx="17">
                  <c:v>5.4794520547945202</c:v>
                </c:pt>
                <c:pt idx="18">
                  <c:v>2.7397260273972601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94-D048-874A-BECC61CC2734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(malicious!$B$678:$F$678,malicious!$H$678:$L$678,malicious!$N$678:$R$678,malicious!$T$678:$X$678)</c:f>
              <c:numCache>
                <c:formatCode>0.0</c:formatCode>
                <c:ptCount val="20"/>
                <c:pt idx="0">
                  <c:v>48.214285714285715</c:v>
                </c:pt>
                <c:pt idx="1">
                  <c:v>19.642857142857142</c:v>
                </c:pt>
                <c:pt idx="2">
                  <c:v>12.5</c:v>
                </c:pt>
                <c:pt idx="3">
                  <c:v>19.642857142857142</c:v>
                </c:pt>
                <c:pt idx="4">
                  <c:v>0</c:v>
                </c:pt>
                <c:pt idx="5">
                  <c:v>66.666666666666657</c:v>
                </c:pt>
                <c:pt idx="6">
                  <c:v>0</c:v>
                </c:pt>
                <c:pt idx="7">
                  <c:v>33.333333333333329</c:v>
                </c:pt>
                <c:pt idx="8">
                  <c:v>0</c:v>
                </c:pt>
                <c:pt idx="9">
                  <c:v>0</c:v>
                </c:pt>
                <c:pt idx="10">
                  <c:v>63.768115942028977</c:v>
                </c:pt>
                <c:pt idx="11">
                  <c:v>17.391304347826086</c:v>
                </c:pt>
                <c:pt idx="12">
                  <c:v>8.695652173913043</c:v>
                </c:pt>
                <c:pt idx="13">
                  <c:v>10.144927536231885</c:v>
                </c:pt>
                <c:pt idx="14">
                  <c:v>0</c:v>
                </c:pt>
                <c:pt idx="15">
                  <c:v>61.904761904761905</c:v>
                </c:pt>
                <c:pt idx="16">
                  <c:v>7.1428571428571423</c:v>
                </c:pt>
                <c:pt idx="17">
                  <c:v>9.5238095238095237</c:v>
                </c:pt>
                <c:pt idx="18">
                  <c:v>19.047619047619047</c:v>
                </c:pt>
                <c:pt idx="19">
                  <c:v>2.3809523809523809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94-D048-874A-BECC61CC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4"/>
        <c:axId val="520344384"/>
        <c:axId val="520346176"/>
      </c:barChart>
      <c:barChart>
        <c:barDir val="col"/>
        <c:grouping val="clustered"/>
        <c:varyColors val="0"/>
        <c:ser>
          <c:idx val="5"/>
          <c:order val="5"/>
          <c:tx>
            <c:strRef>
              <c:f>malicious!$A$703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(malicious!$B$703:$F$703,malicious!$H$703:$L$703,malicious!$N$703:$R$703,malicious!$T$703:$X$703)</c:f>
              <c:numCache>
                <c:formatCode>0.0</c:formatCode>
                <c:ptCount val="20"/>
                <c:pt idx="0">
                  <c:v>9.67741935483871</c:v>
                </c:pt>
                <c:pt idx="1">
                  <c:v>10.483870967741936</c:v>
                </c:pt>
                <c:pt idx="2">
                  <c:v>5.6451612903225801</c:v>
                </c:pt>
                <c:pt idx="3">
                  <c:v>1.2096774193548387</c:v>
                </c:pt>
                <c:pt idx="4">
                  <c:v>0</c:v>
                </c:pt>
                <c:pt idx="5">
                  <c:v>25</c:v>
                </c:pt>
                <c:pt idx="6">
                  <c:v>0</c:v>
                </c:pt>
                <c:pt idx="7">
                  <c:v>6.25</c:v>
                </c:pt>
                <c:pt idx="8">
                  <c:v>0</c:v>
                </c:pt>
                <c:pt idx="9">
                  <c:v>0</c:v>
                </c:pt>
                <c:pt idx="10">
                  <c:v>32.183908045977013</c:v>
                </c:pt>
                <c:pt idx="11">
                  <c:v>4.980842911877394</c:v>
                </c:pt>
                <c:pt idx="12">
                  <c:v>3.4482758620689653</c:v>
                </c:pt>
                <c:pt idx="13">
                  <c:v>1.5325670498084289</c:v>
                </c:pt>
                <c:pt idx="14">
                  <c:v>0</c:v>
                </c:pt>
                <c:pt idx="15">
                  <c:v>64.615384615384613</c:v>
                </c:pt>
                <c:pt idx="16">
                  <c:v>12.307692307692308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94-D048-874A-BECC61CC2734}"/>
            </c:ext>
          </c:extLst>
        </c:ser>
        <c:ser>
          <c:idx val="6"/>
          <c:order val="6"/>
          <c:tx>
            <c:strRef>
              <c:f>malicious!$A$704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(malicious!$B$704:$F$704,malicious!$H$704:$L$704,malicious!$N$704:$R$704,malicious!$T$704:$X$704)</c:f>
              <c:numCache>
                <c:formatCode>0.0</c:formatCode>
                <c:ptCount val="20"/>
                <c:pt idx="0">
                  <c:v>14.97005988023952</c:v>
                </c:pt>
                <c:pt idx="1">
                  <c:v>10.179640718562874</c:v>
                </c:pt>
                <c:pt idx="2">
                  <c:v>5.9880239520958085</c:v>
                </c:pt>
                <c:pt idx="3">
                  <c:v>3.5928143712574849</c:v>
                </c:pt>
                <c:pt idx="4">
                  <c:v>0</c:v>
                </c:pt>
                <c:pt idx="5">
                  <c:v>11.76470588235294</c:v>
                </c:pt>
                <c:pt idx="6">
                  <c:v>11.76470588235294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11.855670103092782</c:v>
                </c:pt>
                <c:pt idx="11">
                  <c:v>17.525773195876287</c:v>
                </c:pt>
                <c:pt idx="12">
                  <c:v>7.731958762886598</c:v>
                </c:pt>
                <c:pt idx="13">
                  <c:v>9.7938144329896915</c:v>
                </c:pt>
                <c:pt idx="14">
                  <c:v>0</c:v>
                </c:pt>
                <c:pt idx="15">
                  <c:v>10.344827586206897</c:v>
                </c:pt>
                <c:pt idx="16">
                  <c:v>10.344827586206897</c:v>
                </c:pt>
                <c:pt idx="17">
                  <c:v>6.8965517241379306</c:v>
                </c:pt>
                <c:pt idx="18">
                  <c:v>10.344827586206897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94-D048-874A-BECC61CC2734}"/>
            </c:ext>
          </c:extLst>
        </c:ser>
        <c:ser>
          <c:idx val="7"/>
          <c:order val="7"/>
          <c:tx>
            <c:strRef>
              <c:f>malicious!$A$705</c:f>
              <c:strCache>
                <c:ptCount val="1"/>
                <c:pt idx="0">
                  <c:v>Olmo 3 Think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val>
            <c:numRef>
              <c:f>(malicious!$B$705:$F$705,malicious!$H$705:$L$705,malicious!$N$705:$R$705,malicious!$T$705:$X$705)</c:f>
              <c:numCache>
                <c:formatCode>0.0</c:formatCode>
                <c:ptCount val="20"/>
                <c:pt idx="0">
                  <c:v>23.214285714285715</c:v>
                </c:pt>
                <c:pt idx="1">
                  <c:v>7.1428571428571423</c:v>
                </c:pt>
                <c:pt idx="2">
                  <c:v>5.3571428571428568</c:v>
                </c:pt>
                <c:pt idx="3">
                  <c:v>1.7857142857142856</c:v>
                </c:pt>
                <c:pt idx="4">
                  <c:v>0</c:v>
                </c:pt>
                <c:pt idx="5">
                  <c:v>33.333333333333329</c:v>
                </c:pt>
                <c:pt idx="6">
                  <c:v>0</c:v>
                </c:pt>
                <c:pt idx="7">
                  <c:v>33.333333333333329</c:v>
                </c:pt>
                <c:pt idx="8">
                  <c:v>0</c:v>
                </c:pt>
                <c:pt idx="9">
                  <c:v>0</c:v>
                </c:pt>
                <c:pt idx="10">
                  <c:v>46.376811594202898</c:v>
                </c:pt>
                <c:pt idx="11">
                  <c:v>13.043478260869565</c:v>
                </c:pt>
                <c:pt idx="12">
                  <c:v>4.3478260869565215</c:v>
                </c:pt>
                <c:pt idx="13">
                  <c:v>7.2463768115942031</c:v>
                </c:pt>
                <c:pt idx="14">
                  <c:v>0</c:v>
                </c:pt>
                <c:pt idx="15">
                  <c:v>35.714285714285715</c:v>
                </c:pt>
                <c:pt idx="16">
                  <c:v>4.7619047619047619</c:v>
                </c:pt>
                <c:pt idx="17">
                  <c:v>0</c:v>
                </c:pt>
                <c:pt idx="18">
                  <c:v>7.1428571428571423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94-D048-874A-BECC61CC2734}"/>
            </c:ext>
          </c:extLst>
        </c:ser>
        <c:ser>
          <c:idx val="8"/>
          <c:order val="8"/>
          <c:tx>
            <c:strRef>
              <c:f>malicious!$A$706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D07175"/>
              </a:bgClr>
            </a:pattFill>
            <a:ln>
              <a:noFill/>
            </a:ln>
            <a:effectLst/>
          </c:spPr>
          <c:invertIfNegative val="0"/>
          <c:val>
            <c:numRef>
              <c:f>(malicious!$B$706:$F$706,malicious!$H$706:$L$706,malicious!$N$706:$R$706,malicious!$T$706:$X$706)</c:f>
              <c:numCache>
                <c:formatCode>0.0</c:formatCode>
                <c:ptCount val="20"/>
                <c:pt idx="0">
                  <c:v>8.9456869009584654</c:v>
                </c:pt>
                <c:pt idx="1">
                  <c:v>2.8753993610223643</c:v>
                </c:pt>
                <c:pt idx="2">
                  <c:v>2.8753993610223643</c:v>
                </c:pt>
                <c:pt idx="3">
                  <c:v>0.63897763578274758</c:v>
                </c:pt>
                <c:pt idx="4">
                  <c:v>0</c:v>
                </c:pt>
                <c:pt idx="5">
                  <c:v>20</c:v>
                </c:pt>
                <c:pt idx="6">
                  <c:v>10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  <c:pt idx="10">
                  <c:v>28.888888888888886</c:v>
                </c:pt>
                <c:pt idx="11">
                  <c:v>4.4444444444444446</c:v>
                </c:pt>
                <c:pt idx="12">
                  <c:v>0</c:v>
                </c:pt>
                <c:pt idx="13">
                  <c:v>3.7037037037037033</c:v>
                </c:pt>
                <c:pt idx="14">
                  <c:v>0</c:v>
                </c:pt>
                <c:pt idx="15">
                  <c:v>15.068493150684931</c:v>
                </c:pt>
                <c:pt idx="16">
                  <c:v>2.7397260273972601</c:v>
                </c:pt>
                <c:pt idx="17">
                  <c:v>2.7397260273972601</c:v>
                </c:pt>
                <c:pt idx="18">
                  <c:v>2.7397260273972601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94-D048-874A-BECC61CC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4"/>
        <c:axId val="546954688"/>
        <c:axId val="546952448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(malicious!$B$680:$F$680,malicious!$H$680:$L$680,malicious!$N$680:$R$680,malicious!$T$680:$X$680)</c:f>
              <c:numCache>
                <c:formatCode>0.00</c:formatCode>
                <c:ptCount val="20"/>
                <c:pt idx="0">
                  <c:v>47.6891602426983</c:v>
                </c:pt>
                <c:pt idx="1">
                  <c:v>28.709112606562023</c:v>
                </c:pt>
                <c:pt idx="2" formatCode="0.0">
                  <c:v>13.555827577556418</c:v>
                </c:pt>
                <c:pt idx="3" formatCode="0.0">
                  <c:v>10.045899573183252</c:v>
                </c:pt>
                <c:pt idx="4" formatCode="0.0">
                  <c:v>0</c:v>
                </c:pt>
                <c:pt idx="5" formatCode="0.0">
                  <c:v>63.311887254901954</c:v>
                </c:pt>
                <c:pt idx="6">
                  <c:v>13.069852941176471</c:v>
                </c:pt>
                <c:pt idx="7" formatCode="0.0">
                  <c:v>20.38296568627451</c:v>
                </c:pt>
                <c:pt idx="8" formatCode="0.0">
                  <c:v>3.2352941176470589</c:v>
                </c:pt>
                <c:pt idx="9" formatCode="0.0">
                  <c:v>0</c:v>
                </c:pt>
                <c:pt idx="10" formatCode="0.0">
                  <c:v>63.495188259249531</c:v>
                </c:pt>
                <c:pt idx="11">
                  <c:v>18.533320682156059</c:v>
                </c:pt>
                <c:pt idx="12" formatCode="0.0">
                  <c:v>8.2871307759636785</c:v>
                </c:pt>
                <c:pt idx="13" formatCode="0.0">
                  <c:v>9.6843602826307347</c:v>
                </c:pt>
                <c:pt idx="14" formatCode="0.0">
                  <c:v>0</c:v>
                </c:pt>
                <c:pt idx="15" formatCode="0.0">
                  <c:v>63.750962468487266</c:v>
                </c:pt>
                <c:pt idx="16">
                  <c:v>16.283733979766101</c:v>
                </c:pt>
                <c:pt idx="17" formatCode="0.0">
                  <c:v>11.337022291202736</c:v>
                </c:pt>
                <c:pt idx="18" formatCode="0.0">
                  <c:v>8.0330431653058003</c:v>
                </c:pt>
                <c:pt idx="19" formatCode="0.0">
                  <c:v>0.59523809523809523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94-D048-874A-BECC61CC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546952448"/>
        <c:scaling>
          <c:orientation val="minMax"/>
          <c:max val="100"/>
        </c:scaling>
        <c:delete val="0"/>
        <c:axPos val="r"/>
        <c:numFmt formatCode="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46954688"/>
        <c:crosses val="max"/>
        <c:crossBetween val="between"/>
      </c:valAx>
      <c:catAx>
        <c:axId val="546954688"/>
        <c:scaling>
          <c:orientation val="minMax"/>
        </c:scaling>
        <c:delete val="1"/>
        <c:axPos val="b"/>
        <c:majorTickMark val="out"/>
        <c:minorTickMark val="none"/>
        <c:tickLblPos val="nextTo"/>
        <c:crossAx val="546952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/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Malicious Agent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(malicious!$B$685:$F$685,malicious!$H$685:$L$685,malicious!$N$685:$R$685,malicious!$T$685:$X$685)</c:f>
              <c:numCache>
                <c:formatCode>0.0</c:formatCode>
                <c:ptCount val="20"/>
                <c:pt idx="0">
                  <c:v>43.262411347517734</c:v>
                </c:pt>
                <c:pt idx="1">
                  <c:v>34.515366430260045</c:v>
                </c:pt>
                <c:pt idx="2">
                  <c:v>14.657210401891252</c:v>
                </c:pt>
                <c:pt idx="3">
                  <c:v>7.5650118203309695</c:v>
                </c:pt>
                <c:pt idx="4">
                  <c:v>0</c:v>
                </c:pt>
                <c:pt idx="5">
                  <c:v>35.593220338983052</c:v>
                </c:pt>
                <c:pt idx="6">
                  <c:v>37.288135593220339</c:v>
                </c:pt>
                <c:pt idx="7">
                  <c:v>16.949152542372879</c:v>
                </c:pt>
                <c:pt idx="8">
                  <c:v>10.16949152542373</c:v>
                </c:pt>
                <c:pt idx="9">
                  <c:v>0</c:v>
                </c:pt>
                <c:pt idx="10">
                  <c:v>65.151515151515156</c:v>
                </c:pt>
                <c:pt idx="11">
                  <c:v>26.515151515151516</c:v>
                </c:pt>
                <c:pt idx="12">
                  <c:v>3.7878787878787881</c:v>
                </c:pt>
                <c:pt idx="13">
                  <c:v>4.5454545454545459</c:v>
                </c:pt>
                <c:pt idx="14">
                  <c:v>0</c:v>
                </c:pt>
                <c:pt idx="15">
                  <c:v>37.735849056603776</c:v>
                </c:pt>
                <c:pt idx="16">
                  <c:v>45.283018867924532</c:v>
                </c:pt>
                <c:pt idx="17">
                  <c:v>11.320754716981133</c:v>
                </c:pt>
                <c:pt idx="18">
                  <c:v>5.6603773584905666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2-914F-A979-007459DF6E5F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(malicious!$B$686:$F$686,malicious!$H$686:$L$686,malicious!$N$686:$R$686,malicious!$T$686:$X$686)</c:f>
              <c:numCache>
                <c:formatCode>0.0</c:formatCode>
                <c:ptCount val="20"/>
                <c:pt idx="0">
                  <c:v>31.205673758865249</c:v>
                </c:pt>
                <c:pt idx="1">
                  <c:v>25.531914893617021</c:v>
                </c:pt>
                <c:pt idx="2">
                  <c:v>17.730496453900709</c:v>
                </c:pt>
                <c:pt idx="3">
                  <c:v>25.531914893617021</c:v>
                </c:pt>
                <c:pt idx="4">
                  <c:v>0</c:v>
                </c:pt>
                <c:pt idx="5">
                  <c:v>44</c:v>
                </c:pt>
                <c:pt idx="6">
                  <c:v>36</c:v>
                </c:pt>
                <c:pt idx="7">
                  <c:v>16</c:v>
                </c:pt>
                <c:pt idx="8">
                  <c:v>4</c:v>
                </c:pt>
                <c:pt idx="9">
                  <c:v>0</c:v>
                </c:pt>
                <c:pt idx="10">
                  <c:v>28.571428571428569</c:v>
                </c:pt>
                <c:pt idx="11">
                  <c:v>32.967032967032964</c:v>
                </c:pt>
                <c:pt idx="12">
                  <c:v>12.087912087912088</c:v>
                </c:pt>
                <c:pt idx="13">
                  <c:v>25.824175824175828</c:v>
                </c:pt>
                <c:pt idx="14">
                  <c:v>0.5494505494505495</c:v>
                </c:pt>
                <c:pt idx="15">
                  <c:v>26.315789473684209</c:v>
                </c:pt>
                <c:pt idx="16">
                  <c:v>21.052631578947366</c:v>
                </c:pt>
                <c:pt idx="17">
                  <c:v>10.526315789473683</c:v>
                </c:pt>
                <c:pt idx="18">
                  <c:v>42.105263157894733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22-914F-A979-007459DF6E5F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(malicious!$B$688:$F$688,malicious!$H$688:$L$688,malicious!$N$688:$R$688,malicious!$T$688:$X$688)</c:f>
              <c:numCache>
                <c:formatCode>0.0</c:formatCode>
                <c:ptCount val="20"/>
                <c:pt idx="0">
                  <c:v>37.171052631578952</c:v>
                </c:pt>
                <c:pt idx="1">
                  <c:v>40.460526315789473</c:v>
                </c:pt>
                <c:pt idx="2">
                  <c:v>12.171052631578947</c:v>
                </c:pt>
                <c:pt idx="3">
                  <c:v>10.197368421052632</c:v>
                </c:pt>
                <c:pt idx="4">
                  <c:v>0</c:v>
                </c:pt>
                <c:pt idx="5">
                  <c:v>18.75</c:v>
                </c:pt>
                <c:pt idx="6">
                  <c:v>50</c:v>
                </c:pt>
                <c:pt idx="7">
                  <c:v>25</c:v>
                </c:pt>
                <c:pt idx="8">
                  <c:v>6.25</c:v>
                </c:pt>
                <c:pt idx="9">
                  <c:v>0</c:v>
                </c:pt>
                <c:pt idx="10">
                  <c:v>34.285714285714285</c:v>
                </c:pt>
                <c:pt idx="11">
                  <c:v>40</c:v>
                </c:pt>
                <c:pt idx="12">
                  <c:v>11.428571428571429</c:v>
                </c:pt>
                <c:pt idx="13">
                  <c:v>14.285714285714285</c:v>
                </c:pt>
                <c:pt idx="14">
                  <c:v>0</c:v>
                </c:pt>
                <c:pt idx="15">
                  <c:v>54.237288135593218</c:v>
                </c:pt>
                <c:pt idx="16">
                  <c:v>23.728813559322035</c:v>
                </c:pt>
                <c:pt idx="17">
                  <c:v>16.949152542372879</c:v>
                </c:pt>
                <c:pt idx="18">
                  <c:v>5.0847457627118651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2-914F-A979-007459DF6E5F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(malicious!$B$687:$F$687,malicious!$H$687:$L$687,malicious!$N$687:$R$687,malicious!$T$687:$X$687)</c:f>
              <c:numCache>
                <c:formatCode>0.0</c:formatCode>
                <c:ptCount val="20"/>
                <c:pt idx="0">
                  <c:v>30.555555555555557</c:v>
                </c:pt>
                <c:pt idx="1">
                  <c:v>27.777777777777779</c:v>
                </c:pt>
                <c:pt idx="2">
                  <c:v>22.222222222222221</c:v>
                </c:pt>
                <c:pt idx="3">
                  <c:v>19.444444444444446</c:v>
                </c:pt>
                <c:pt idx="4">
                  <c:v>0</c:v>
                </c:pt>
                <c:pt idx="5">
                  <c:v>25</c:v>
                </c:pt>
                <c:pt idx="6">
                  <c:v>41.666666666666671</c:v>
                </c:pt>
                <c:pt idx="7">
                  <c:v>25</c:v>
                </c:pt>
                <c:pt idx="8">
                  <c:v>8.3333333333333321</c:v>
                </c:pt>
                <c:pt idx="9">
                  <c:v>0</c:v>
                </c:pt>
                <c:pt idx="10">
                  <c:v>30.434782608695656</c:v>
                </c:pt>
                <c:pt idx="11">
                  <c:v>33.333333333333329</c:v>
                </c:pt>
                <c:pt idx="12">
                  <c:v>18.840579710144929</c:v>
                </c:pt>
                <c:pt idx="13">
                  <c:v>15.942028985507244</c:v>
                </c:pt>
                <c:pt idx="14">
                  <c:v>1.4492753623188406</c:v>
                </c:pt>
                <c:pt idx="15">
                  <c:v>22.222222222222221</c:v>
                </c:pt>
                <c:pt idx="16">
                  <c:v>38.888888888888893</c:v>
                </c:pt>
                <c:pt idx="17">
                  <c:v>5.5555555555555554</c:v>
                </c:pt>
                <c:pt idx="18">
                  <c:v>33.333333333333329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22-914F-A979-007459DF6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5"/>
          <c:order val="5"/>
          <c:tx>
            <c:strRef>
              <c:f>malicious!$A$712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</c:spPr>
          <c:invertIfNegative val="0"/>
          <c:val>
            <c:numRef>
              <c:f>(malicious!$B$712:$F$712,malicious!$H$712:$L$712,malicious!$N$712:$R$712,malicious!$T$712:$X$712)</c:f>
              <c:numCache>
                <c:formatCode>0.0</c:formatCode>
                <c:ptCount val="20"/>
                <c:pt idx="0">
                  <c:v>7.328605200945626</c:v>
                </c:pt>
                <c:pt idx="1">
                  <c:v>8.2742316784869967</c:v>
                </c:pt>
                <c:pt idx="2">
                  <c:v>4.0189125295508275</c:v>
                </c:pt>
                <c:pt idx="3">
                  <c:v>3.0732860520094563</c:v>
                </c:pt>
                <c:pt idx="4">
                  <c:v>0</c:v>
                </c:pt>
                <c:pt idx="5">
                  <c:v>16.949152542372879</c:v>
                </c:pt>
                <c:pt idx="6">
                  <c:v>20.33898305084746</c:v>
                </c:pt>
                <c:pt idx="7">
                  <c:v>11.864406779661017</c:v>
                </c:pt>
                <c:pt idx="8">
                  <c:v>5.0847457627118651</c:v>
                </c:pt>
                <c:pt idx="9">
                  <c:v>0</c:v>
                </c:pt>
                <c:pt idx="10">
                  <c:v>28.030303030303028</c:v>
                </c:pt>
                <c:pt idx="11">
                  <c:v>22.727272727272727</c:v>
                </c:pt>
                <c:pt idx="12">
                  <c:v>1.5151515151515151</c:v>
                </c:pt>
                <c:pt idx="13">
                  <c:v>3.7878787878787881</c:v>
                </c:pt>
                <c:pt idx="14">
                  <c:v>0</c:v>
                </c:pt>
                <c:pt idx="15">
                  <c:v>35.849056603773583</c:v>
                </c:pt>
                <c:pt idx="16">
                  <c:v>43.39622641509434</c:v>
                </c:pt>
                <c:pt idx="17">
                  <c:v>7.5471698113207548</c:v>
                </c:pt>
                <c:pt idx="18">
                  <c:v>5.6603773584905666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B22-914F-A979-007459DF6E5F}"/>
            </c:ext>
          </c:extLst>
        </c:ser>
        <c:ser>
          <c:idx val="6"/>
          <c:order val="6"/>
          <c:tx>
            <c:strRef>
              <c:f>malicious!$A$713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</c:spPr>
          <c:invertIfNegative val="0"/>
          <c:val>
            <c:numRef>
              <c:f>(malicious!$B$713:$F$713,malicious!$H$713:$L$713,malicious!$N$713:$R$713,malicious!$T$713:$X$713)</c:f>
              <c:numCache>
                <c:formatCode>0.0</c:formatCode>
                <c:ptCount val="20"/>
                <c:pt idx="0">
                  <c:v>5.6737588652482271</c:v>
                </c:pt>
                <c:pt idx="1">
                  <c:v>7.8014184397163122</c:v>
                </c:pt>
                <c:pt idx="2">
                  <c:v>11.347517730496454</c:v>
                </c:pt>
                <c:pt idx="3">
                  <c:v>7.8014184397163122</c:v>
                </c:pt>
                <c:pt idx="4">
                  <c:v>0</c:v>
                </c:pt>
                <c:pt idx="5">
                  <c:v>8</c:v>
                </c:pt>
                <c:pt idx="6">
                  <c:v>16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9.3406593406593412</c:v>
                </c:pt>
                <c:pt idx="11">
                  <c:v>14.835164835164836</c:v>
                </c:pt>
                <c:pt idx="12">
                  <c:v>4.9450549450549453</c:v>
                </c:pt>
                <c:pt idx="13">
                  <c:v>10.989010989010989</c:v>
                </c:pt>
                <c:pt idx="14">
                  <c:v>0</c:v>
                </c:pt>
                <c:pt idx="15">
                  <c:v>15.789473684210526</c:v>
                </c:pt>
                <c:pt idx="16">
                  <c:v>15.789473684210526</c:v>
                </c:pt>
                <c:pt idx="17">
                  <c:v>0</c:v>
                </c:pt>
                <c:pt idx="18">
                  <c:v>36.84210526315789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22-914F-A979-007459DF6E5F}"/>
            </c:ext>
          </c:extLst>
        </c:ser>
        <c:ser>
          <c:idx val="7"/>
          <c:order val="7"/>
          <c:tx>
            <c:strRef>
              <c:f>malicious!$A$714</c:f>
              <c:strCache>
                <c:ptCount val="1"/>
                <c:pt idx="0">
                  <c:v>Olmo 3 Think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</c:spPr>
          <c:invertIfNegative val="0"/>
          <c:val>
            <c:numRef>
              <c:f>(malicious!$B$714:$F$714,malicious!$H$714:$L$714,malicious!$N$714:$R$714,malicious!$T$714:$X$714)</c:f>
              <c:numCache>
                <c:formatCode>0.0</c:formatCode>
                <c:ptCount val="20"/>
                <c:pt idx="0">
                  <c:v>8.3333333333333321</c:v>
                </c:pt>
                <c:pt idx="1">
                  <c:v>19.444444444444446</c:v>
                </c:pt>
                <c:pt idx="2">
                  <c:v>16.666666666666664</c:v>
                </c:pt>
                <c:pt idx="3">
                  <c:v>2.7777777777777777</c:v>
                </c:pt>
                <c:pt idx="4">
                  <c:v>0</c:v>
                </c:pt>
                <c:pt idx="5">
                  <c:v>8.3333333333333321</c:v>
                </c:pt>
                <c:pt idx="6">
                  <c:v>41.666666666666671</c:v>
                </c:pt>
                <c:pt idx="7">
                  <c:v>16.666666666666664</c:v>
                </c:pt>
                <c:pt idx="8">
                  <c:v>0</c:v>
                </c:pt>
                <c:pt idx="9">
                  <c:v>0</c:v>
                </c:pt>
                <c:pt idx="10">
                  <c:v>26.086956521739129</c:v>
                </c:pt>
                <c:pt idx="11">
                  <c:v>30.434782608695656</c:v>
                </c:pt>
                <c:pt idx="12">
                  <c:v>14.492753623188406</c:v>
                </c:pt>
                <c:pt idx="13">
                  <c:v>7.2463768115942031</c:v>
                </c:pt>
                <c:pt idx="14">
                  <c:v>0</c:v>
                </c:pt>
                <c:pt idx="15">
                  <c:v>11.111111111111111</c:v>
                </c:pt>
                <c:pt idx="16">
                  <c:v>27.777777777777779</c:v>
                </c:pt>
                <c:pt idx="17">
                  <c:v>5.5555555555555554</c:v>
                </c:pt>
                <c:pt idx="18">
                  <c:v>16.666666666666664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22-914F-A979-007459DF6E5F}"/>
            </c:ext>
          </c:extLst>
        </c:ser>
        <c:ser>
          <c:idx val="8"/>
          <c:order val="8"/>
          <c:tx>
            <c:strRef>
              <c:f>malicious!$A$715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D07175"/>
              </a:bgClr>
            </a:pattFill>
            <a:ln w="3175">
              <a:solidFill>
                <a:schemeClr val="tx1"/>
              </a:solidFill>
            </a:ln>
          </c:spPr>
          <c:invertIfNegative val="0"/>
          <c:val>
            <c:numRef>
              <c:f>(malicious!$B$715:$F$715,malicious!$H$715:$L$715,malicious!$N$715:$R$715,malicious!$T$715:$X$715)</c:f>
              <c:numCache>
                <c:formatCode>0.0</c:formatCode>
                <c:ptCount val="20"/>
                <c:pt idx="0">
                  <c:v>4.2763157894736841</c:v>
                </c:pt>
                <c:pt idx="1">
                  <c:v>9.2105263157894726</c:v>
                </c:pt>
                <c:pt idx="2">
                  <c:v>2.9605263157894735</c:v>
                </c:pt>
                <c:pt idx="3">
                  <c:v>3.6184210526315792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18.75</c:v>
                </c:pt>
                <c:pt idx="8">
                  <c:v>6.25</c:v>
                </c:pt>
                <c:pt idx="9">
                  <c:v>0</c:v>
                </c:pt>
                <c:pt idx="10">
                  <c:v>2.8571428571428572</c:v>
                </c:pt>
                <c:pt idx="11">
                  <c:v>22.857142857142858</c:v>
                </c:pt>
                <c:pt idx="12">
                  <c:v>7.1428571428571423</c:v>
                </c:pt>
                <c:pt idx="13">
                  <c:v>5.7142857142857144</c:v>
                </c:pt>
                <c:pt idx="14">
                  <c:v>0</c:v>
                </c:pt>
                <c:pt idx="15">
                  <c:v>3.3898305084745761</c:v>
                </c:pt>
                <c:pt idx="16">
                  <c:v>5.0847457627118651</c:v>
                </c:pt>
                <c:pt idx="17">
                  <c:v>1.6949152542372881</c:v>
                </c:pt>
                <c:pt idx="18">
                  <c:v>5.0847457627118651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B22-914F-A979-007459DF6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7602048"/>
        <c:axId val="55760025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(malicious!$B$689:$F$689,malicious!$H$689:$L$689,malicious!$N$689:$R$689,malicious!$T$689:$X$689)</c:f>
              <c:numCache>
                <c:formatCode>0.00</c:formatCode>
                <c:ptCount val="20"/>
                <c:pt idx="0">
                  <c:v>35.548673323379376</c:v>
                </c:pt>
                <c:pt idx="1">
                  <c:v>32.071396354361077</c:v>
                </c:pt>
                <c:pt idx="2" formatCode="0.0">
                  <c:v>16.695245427398284</c:v>
                </c:pt>
                <c:pt idx="3" formatCode="0.0">
                  <c:v>15.684684894861267</c:v>
                </c:pt>
                <c:pt idx="4" formatCode="0.0">
                  <c:v>0</c:v>
                </c:pt>
                <c:pt idx="5" formatCode="0.0">
                  <c:v>30.835805084745765</c:v>
                </c:pt>
                <c:pt idx="6">
                  <c:v>41.238700564971751</c:v>
                </c:pt>
                <c:pt idx="7" formatCode="0.0">
                  <c:v>20.737288135593218</c:v>
                </c:pt>
                <c:pt idx="8" formatCode="0.0">
                  <c:v>7.1882062146892656</c:v>
                </c:pt>
                <c:pt idx="9" formatCode="0.0">
                  <c:v>0</c:v>
                </c:pt>
                <c:pt idx="10" formatCode="0.0">
                  <c:v>39.610860154338418</c:v>
                </c:pt>
                <c:pt idx="11">
                  <c:v>33.203879453879452</c:v>
                </c:pt>
                <c:pt idx="12" formatCode="0.0">
                  <c:v>11.536235503626809</c:v>
                </c:pt>
                <c:pt idx="13" formatCode="0.0">
                  <c:v>15.149343410212976</c:v>
                </c:pt>
                <c:pt idx="14" formatCode="0.0">
                  <c:v>0.49968147794234752</c:v>
                </c:pt>
                <c:pt idx="15" formatCode="0.0">
                  <c:v>35.127787222025859</c:v>
                </c:pt>
                <c:pt idx="16">
                  <c:v>32.238338223770711</c:v>
                </c:pt>
                <c:pt idx="17" formatCode="0.0">
                  <c:v>11.087944651095812</c:v>
                </c:pt>
                <c:pt idx="18" formatCode="0.0">
                  <c:v>21.54592990310762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22-914F-A979-007459DF6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557600256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one"/>
        <c:spPr>
          <a:ln>
            <a:noFill/>
          </a:ln>
        </c:spPr>
        <c:crossAx val="557602048"/>
        <c:crosses val="max"/>
        <c:crossBetween val="between"/>
      </c:valAx>
      <c:catAx>
        <c:axId val="557602048"/>
        <c:scaling>
          <c:orientation val="minMax"/>
        </c:scaling>
        <c:delete val="1"/>
        <c:axPos val="b"/>
        <c:majorTickMark val="out"/>
        <c:minorTickMark val="none"/>
        <c:tickLblPos val="nextTo"/>
        <c:crossAx val="557600256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Malicious Agent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(malicious!$B$694:$F$694,malicious!$H$694:$L$694,malicious!$N$694:$R$694,malicious!$T$694:$X$694)</c:f>
              <c:numCache>
                <c:formatCode>0.0</c:formatCode>
                <c:ptCount val="20"/>
                <c:pt idx="0">
                  <c:v>18.612521150592219</c:v>
                </c:pt>
                <c:pt idx="1">
                  <c:v>56.006768189509302</c:v>
                </c:pt>
                <c:pt idx="2">
                  <c:v>11.6751269035533</c:v>
                </c:pt>
                <c:pt idx="3">
                  <c:v>13.705583756345177</c:v>
                </c:pt>
                <c:pt idx="4">
                  <c:v>0</c:v>
                </c:pt>
                <c:pt idx="5">
                  <c:v>58.108108108108105</c:v>
                </c:pt>
                <c:pt idx="6">
                  <c:v>58.108108108108105</c:v>
                </c:pt>
                <c:pt idx="7">
                  <c:v>8.1081081081081088</c:v>
                </c:pt>
                <c:pt idx="8">
                  <c:v>25.675675675675674</c:v>
                </c:pt>
                <c:pt idx="9">
                  <c:v>0</c:v>
                </c:pt>
                <c:pt idx="10">
                  <c:v>26.865671641791046</c:v>
                </c:pt>
                <c:pt idx="11">
                  <c:v>46.268656716417908</c:v>
                </c:pt>
                <c:pt idx="12">
                  <c:v>2.4875621890547266</c:v>
                </c:pt>
                <c:pt idx="13">
                  <c:v>24.378109452736318</c:v>
                </c:pt>
                <c:pt idx="14">
                  <c:v>0</c:v>
                </c:pt>
                <c:pt idx="15">
                  <c:v>9.375</c:v>
                </c:pt>
                <c:pt idx="16">
                  <c:v>42.1875</c:v>
                </c:pt>
                <c:pt idx="17">
                  <c:v>23.4375</c:v>
                </c:pt>
                <c:pt idx="18">
                  <c:v>23.4375</c:v>
                </c:pt>
                <c:pt idx="19">
                  <c:v>1.5625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7-3645-936C-423D1FB90478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(malicious!$B$695:$F$695,malicious!$H$695:$L$695,malicious!$N$695:$R$695,malicious!$T$695:$X$695)</c:f>
              <c:numCache>
                <c:formatCode>0.0</c:formatCode>
                <c:ptCount val="20"/>
                <c:pt idx="0">
                  <c:v>21.481481481481481</c:v>
                </c:pt>
                <c:pt idx="1">
                  <c:v>31.851851851851855</c:v>
                </c:pt>
                <c:pt idx="2">
                  <c:v>17.777777777777779</c:v>
                </c:pt>
                <c:pt idx="3">
                  <c:v>28.888888888888886</c:v>
                </c:pt>
                <c:pt idx="4">
                  <c:v>0</c:v>
                </c:pt>
                <c:pt idx="5">
                  <c:v>30.303030303030305</c:v>
                </c:pt>
                <c:pt idx="6">
                  <c:v>33.333333333333329</c:v>
                </c:pt>
                <c:pt idx="7">
                  <c:v>18.181818181818183</c:v>
                </c:pt>
                <c:pt idx="8">
                  <c:v>18.181818181818183</c:v>
                </c:pt>
                <c:pt idx="9">
                  <c:v>0</c:v>
                </c:pt>
                <c:pt idx="10">
                  <c:v>38.311688311688314</c:v>
                </c:pt>
                <c:pt idx="11">
                  <c:v>38.311688311688314</c:v>
                </c:pt>
                <c:pt idx="12">
                  <c:v>9.0909090909090917</c:v>
                </c:pt>
                <c:pt idx="13">
                  <c:v>42.207792207792203</c:v>
                </c:pt>
                <c:pt idx="14">
                  <c:v>0.64935064935064934</c:v>
                </c:pt>
                <c:pt idx="15">
                  <c:v>14.285714285714285</c:v>
                </c:pt>
                <c:pt idx="16">
                  <c:v>35.714285714285715</c:v>
                </c:pt>
                <c:pt idx="17">
                  <c:v>14.285714285714285</c:v>
                </c:pt>
                <c:pt idx="18">
                  <c:v>35.714285714285715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7-3645-936C-423D1FB90478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(malicious!$B$697:$F$697,malicious!$H$697:$L$697,malicious!$N$697:$R$697,malicious!$T$697:$X$697)</c:f>
              <c:numCache>
                <c:formatCode>0.0</c:formatCode>
                <c:ptCount val="20"/>
                <c:pt idx="0">
                  <c:v>29.390681003584231</c:v>
                </c:pt>
                <c:pt idx="1">
                  <c:v>38.70967741935484</c:v>
                </c:pt>
                <c:pt idx="2">
                  <c:v>12.186379928315413</c:v>
                </c:pt>
                <c:pt idx="3">
                  <c:v>19.713261648745519</c:v>
                </c:pt>
                <c:pt idx="4">
                  <c:v>0</c:v>
                </c:pt>
                <c:pt idx="5">
                  <c:v>8.3333333333333321</c:v>
                </c:pt>
                <c:pt idx="6">
                  <c:v>41.666666666666671</c:v>
                </c:pt>
                <c:pt idx="7">
                  <c:v>8.3333333333333321</c:v>
                </c:pt>
                <c:pt idx="8">
                  <c:v>41.666666666666671</c:v>
                </c:pt>
                <c:pt idx="9">
                  <c:v>0</c:v>
                </c:pt>
                <c:pt idx="10">
                  <c:v>20.27027027027027</c:v>
                </c:pt>
                <c:pt idx="11">
                  <c:v>25.675675675675674</c:v>
                </c:pt>
                <c:pt idx="12">
                  <c:v>5.4054054054054053</c:v>
                </c:pt>
                <c:pt idx="13">
                  <c:v>48.648648648648653</c:v>
                </c:pt>
                <c:pt idx="14">
                  <c:v>0</c:v>
                </c:pt>
                <c:pt idx="15">
                  <c:v>41.25</c:v>
                </c:pt>
                <c:pt idx="16">
                  <c:v>41.25</c:v>
                </c:pt>
                <c:pt idx="17">
                  <c:v>13.750000000000002</c:v>
                </c:pt>
                <c:pt idx="18">
                  <c:v>26.25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87-3645-936C-423D1FB90478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(malicious!$B$696:$F$696,malicious!$H$696:$L$696,malicious!$N$696:$R$696,malicious!$T$696:$X$696)</c:f>
              <c:numCache>
                <c:formatCode>0.0</c:formatCode>
                <c:ptCount val="20"/>
                <c:pt idx="0">
                  <c:v>7.6923076923076925</c:v>
                </c:pt>
                <c:pt idx="1">
                  <c:v>28.205128205128204</c:v>
                </c:pt>
                <c:pt idx="2">
                  <c:v>35.897435897435898</c:v>
                </c:pt>
                <c:pt idx="3">
                  <c:v>28.205128205128204</c:v>
                </c:pt>
                <c:pt idx="4">
                  <c:v>0</c:v>
                </c:pt>
                <c:pt idx="5">
                  <c:v>0</c:v>
                </c:pt>
                <c:pt idx="6">
                  <c:v>73.68421052631578</c:v>
                </c:pt>
                <c:pt idx="7">
                  <c:v>21.052631578947366</c:v>
                </c:pt>
                <c:pt idx="8">
                  <c:v>5.2631578947368416</c:v>
                </c:pt>
                <c:pt idx="9">
                  <c:v>0</c:v>
                </c:pt>
                <c:pt idx="10">
                  <c:v>3.7037037037037033</c:v>
                </c:pt>
                <c:pt idx="11">
                  <c:v>44.444444444444443</c:v>
                </c:pt>
                <c:pt idx="12">
                  <c:v>20.37037037037037</c:v>
                </c:pt>
                <c:pt idx="13">
                  <c:v>31.481481481481481</c:v>
                </c:pt>
                <c:pt idx="14">
                  <c:v>0</c:v>
                </c:pt>
                <c:pt idx="15">
                  <c:v>0</c:v>
                </c:pt>
                <c:pt idx="16">
                  <c:v>35</c:v>
                </c:pt>
                <c:pt idx="17">
                  <c:v>20</c:v>
                </c:pt>
                <c:pt idx="18">
                  <c:v>45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87-3645-936C-423D1FB90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5"/>
          <c:order val="5"/>
          <c:tx>
            <c:strRef>
              <c:f>malicious!$A$721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(malicious!$B$721:$F$721,malicious!$H$721:$L$721,malicious!$N$721:$R$721,malicious!$T$721:$X$721)</c:f>
              <c:numCache>
                <c:formatCode>0.0</c:formatCode>
                <c:ptCount val="20"/>
                <c:pt idx="0">
                  <c:v>0.33840947546531303</c:v>
                </c:pt>
                <c:pt idx="1">
                  <c:v>12.521150592216582</c:v>
                </c:pt>
                <c:pt idx="2">
                  <c:v>1.1844331641285957</c:v>
                </c:pt>
                <c:pt idx="3">
                  <c:v>3.8917089678511001</c:v>
                </c:pt>
                <c:pt idx="4">
                  <c:v>0</c:v>
                </c:pt>
                <c:pt idx="5">
                  <c:v>5.4054054054054053</c:v>
                </c:pt>
                <c:pt idx="6">
                  <c:v>5.4054054054054053</c:v>
                </c:pt>
                <c:pt idx="7">
                  <c:v>1.3513513513513513</c:v>
                </c:pt>
                <c:pt idx="8">
                  <c:v>6.756756756756757</c:v>
                </c:pt>
                <c:pt idx="9">
                  <c:v>0</c:v>
                </c:pt>
                <c:pt idx="10">
                  <c:v>0.49751243781094528</c:v>
                </c:pt>
                <c:pt idx="11">
                  <c:v>34.82587064676617</c:v>
                </c:pt>
                <c:pt idx="12">
                  <c:v>1.9900497512437811</c:v>
                </c:pt>
                <c:pt idx="13">
                  <c:v>14.427860696517413</c:v>
                </c:pt>
                <c:pt idx="14">
                  <c:v>0</c:v>
                </c:pt>
                <c:pt idx="15">
                  <c:v>3.125</c:v>
                </c:pt>
                <c:pt idx="16">
                  <c:v>32.8125</c:v>
                </c:pt>
                <c:pt idx="17">
                  <c:v>14.0625</c:v>
                </c:pt>
                <c:pt idx="18">
                  <c:v>17.1875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87-3645-936C-423D1FB90478}"/>
            </c:ext>
          </c:extLst>
        </c:ser>
        <c:ser>
          <c:idx val="6"/>
          <c:order val="6"/>
          <c:tx>
            <c:strRef>
              <c:f>malicious!$A$722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(malicious!$B$722:$F$722,malicious!$H$722:$L$722,malicious!$N$722:$R$722,malicious!$T$722:$X$722)</c:f>
              <c:numCache>
                <c:formatCode>0.0</c:formatCode>
                <c:ptCount val="20"/>
                <c:pt idx="0">
                  <c:v>1.4814814814814816</c:v>
                </c:pt>
                <c:pt idx="1">
                  <c:v>11.851851851851853</c:v>
                </c:pt>
                <c:pt idx="2">
                  <c:v>11.851851851851853</c:v>
                </c:pt>
                <c:pt idx="3">
                  <c:v>11.111111111111111</c:v>
                </c:pt>
                <c:pt idx="4">
                  <c:v>0</c:v>
                </c:pt>
                <c:pt idx="5">
                  <c:v>6.0606060606060606</c:v>
                </c:pt>
                <c:pt idx="6">
                  <c:v>18.181818181818183</c:v>
                </c:pt>
                <c:pt idx="7">
                  <c:v>18.181818181818183</c:v>
                </c:pt>
                <c:pt idx="8">
                  <c:v>0</c:v>
                </c:pt>
                <c:pt idx="9">
                  <c:v>0</c:v>
                </c:pt>
                <c:pt idx="10">
                  <c:v>18.831168831168831</c:v>
                </c:pt>
                <c:pt idx="11">
                  <c:v>18.831168831168831</c:v>
                </c:pt>
                <c:pt idx="12">
                  <c:v>3.8961038961038961</c:v>
                </c:pt>
                <c:pt idx="13">
                  <c:v>20.779220779220779</c:v>
                </c:pt>
                <c:pt idx="14">
                  <c:v>0</c:v>
                </c:pt>
                <c:pt idx="15">
                  <c:v>0</c:v>
                </c:pt>
                <c:pt idx="16">
                  <c:v>7.1428571428571423</c:v>
                </c:pt>
                <c:pt idx="17">
                  <c:v>7.1428571428571423</c:v>
                </c:pt>
                <c:pt idx="18">
                  <c:v>21.428571428571427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87-3645-936C-423D1FB90478}"/>
            </c:ext>
          </c:extLst>
        </c:ser>
        <c:ser>
          <c:idx val="7"/>
          <c:order val="7"/>
          <c:tx>
            <c:strRef>
              <c:f>malicious!$A$723</c:f>
              <c:strCache>
                <c:ptCount val="1"/>
                <c:pt idx="0">
                  <c:v>Olmo 3 Think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(malicious!$B$723:$F$723,malicious!$H$723:$L$723,malicious!$N$723:$R$723,malicious!$T$723:$X$723)</c:f>
              <c:numCache>
                <c:formatCode>0.0</c:formatCode>
                <c:ptCount val="20"/>
                <c:pt idx="0">
                  <c:v>0</c:v>
                </c:pt>
                <c:pt idx="1">
                  <c:v>12.820512820512819</c:v>
                </c:pt>
                <c:pt idx="2">
                  <c:v>17.948717948717949</c:v>
                </c:pt>
                <c:pt idx="3">
                  <c:v>12.820512820512819</c:v>
                </c:pt>
                <c:pt idx="4">
                  <c:v>0</c:v>
                </c:pt>
                <c:pt idx="5">
                  <c:v>0</c:v>
                </c:pt>
                <c:pt idx="6">
                  <c:v>26.315789473684209</c:v>
                </c:pt>
                <c:pt idx="7">
                  <c:v>10.526315789473683</c:v>
                </c:pt>
                <c:pt idx="8">
                  <c:v>0</c:v>
                </c:pt>
                <c:pt idx="9">
                  <c:v>0</c:v>
                </c:pt>
                <c:pt idx="10">
                  <c:v>3.7037037037037033</c:v>
                </c:pt>
                <c:pt idx="11">
                  <c:v>37.037037037037038</c:v>
                </c:pt>
                <c:pt idx="12">
                  <c:v>20.37037037037037</c:v>
                </c:pt>
                <c:pt idx="13">
                  <c:v>22.222222222222221</c:v>
                </c:pt>
                <c:pt idx="14">
                  <c:v>0</c:v>
                </c:pt>
                <c:pt idx="15">
                  <c:v>0</c:v>
                </c:pt>
                <c:pt idx="16">
                  <c:v>35</c:v>
                </c:pt>
                <c:pt idx="17">
                  <c:v>20</c:v>
                </c:pt>
                <c:pt idx="18">
                  <c:v>35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87-3645-936C-423D1FB90478}"/>
            </c:ext>
          </c:extLst>
        </c:ser>
        <c:ser>
          <c:idx val="8"/>
          <c:order val="8"/>
          <c:tx>
            <c:strRef>
              <c:f>malicious!$A$724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D07175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(malicious!$B$724:$F$724,malicious!$H$724:$L$724,malicious!$N$724:$R$724,malicious!$T$724:$X$724)</c:f>
              <c:numCache>
                <c:formatCode>0.0</c:formatCode>
                <c:ptCount val="20"/>
                <c:pt idx="0">
                  <c:v>0</c:v>
                </c:pt>
                <c:pt idx="1">
                  <c:v>6.4516129032258061</c:v>
                </c:pt>
                <c:pt idx="2">
                  <c:v>4.3010752688172049</c:v>
                </c:pt>
                <c:pt idx="3">
                  <c:v>5.7347670250896057</c:v>
                </c:pt>
                <c:pt idx="4">
                  <c:v>0</c:v>
                </c:pt>
                <c:pt idx="5">
                  <c:v>0</c:v>
                </c:pt>
                <c:pt idx="6">
                  <c:v>8.3333333333333321</c:v>
                </c:pt>
                <c:pt idx="7">
                  <c:v>0</c:v>
                </c:pt>
                <c:pt idx="8">
                  <c:v>8.3333333333333321</c:v>
                </c:pt>
                <c:pt idx="9">
                  <c:v>0</c:v>
                </c:pt>
                <c:pt idx="10">
                  <c:v>1.3513513513513513</c:v>
                </c:pt>
                <c:pt idx="11">
                  <c:v>17.567567567567568</c:v>
                </c:pt>
                <c:pt idx="12">
                  <c:v>4.0540540540540544</c:v>
                </c:pt>
                <c:pt idx="13">
                  <c:v>31.081081081081081</c:v>
                </c:pt>
                <c:pt idx="14">
                  <c:v>0</c:v>
                </c:pt>
                <c:pt idx="15">
                  <c:v>8.75</c:v>
                </c:pt>
                <c:pt idx="16">
                  <c:v>8.75</c:v>
                </c:pt>
                <c:pt idx="17">
                  <c:v>3.75</c:v>
                </c:pt>
                <c:pt idx="18">
                  <c:v>13.750000000000002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87-3645-936C-423D1FB90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79113344"/>
        <c:axId val="55785049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(malicious!$B$698:$F$698,malicious!$H$698:$L$698,malicious!$N$698:$R$698,malicious!$T$698:$X$698)</c:f>
              <c:numCache>
                <c:formatCode>0.00</c:formatCode>
                <c:ptCount val="20"/>
                <c:pt idx="0" formatCode="0.0">
                  <c:v>15.92877010812713</c:v>
                </c:pt>
                <c:pt idx="1">
                  <c:v>38.69335641646105</c:v>
                </c:pt>
                <c:pt idx="2" formatCode="0.0">
                  <c:v>19.384180126770598</c:v>
                </c:pt>
                <c:pt idx="3" formatCode="0.0">
                  <c:v>22.628215624776946</c:v>
                </c:pt>
                <c:pt idx="4" formatCode="0.0">
                  <c:v>0</c:v>
                </c:pt>
                <c:pt idx="5" formatCode="0.0">
                  <c:v>24.186117936117935</c:v>
                </c:pt>
                <c:pt idx="6">
                  <c:v>51.698079658605977</c:v>
                </c:pt>
                <c:pt idx="7" formatCode="0.0">
                  <c:v>13.918972800551746</c:v>
                </c:pt>
                <c:pt idx="8" formatCode="0.0">
                  <c:v>22.696829604724343</c:v>
                </c:pt>
                <c:pt idx="9" formatCode="0.0">
                  <c:v>0</c:v>
                </c:pt>
                <c:pt idx="10" formatCode="0.0">
                  <c:v>22.287833481863338</c:v>
                </c:pt>
                <c:pt idx="11">
                  <c:v>38.675116287056582</c:v>
                </c:pt>
                <c:pt idx="12" formatCode="0.0">
                  <c:v>9.3385617639348979</c:v>
                </c:pt>
                <c:pt idx="13" formatCode="0.0">
                  <c:v>36.679007947664665</c:v>
                </c:pt>
                <c:pt idx="14" formatCode="0.0">
                  <c:v>0.16233766233766234</c:v>
                </c:pt>
                <c:pt idx="15" formatCode="0.0">
                  <c:v>16.227678571428569</c:v>
                </c:pt>
                <c:pt idx="16">
                  <c:v>38.537946428571431</c:v>
                </c:pt>
                <c:pt idx="17" formatCode="0.0">
                  <c:v>17.868303571428573</c:v>
                </c:pt>
                <c:pt idx="18" formatCode="0.0">
                  <c:v>32.600446428571431</c:v>
                </c:pt>
                <c:pt idx="19" formatCode="0.0">
                  <c:v>0.390625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87-3645-936C-423D1FB90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557850496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79113344"/>
        <c:crosses val="max"/>
        <c:crossBetween val="between"/>
      </c:valAx>
      <c:catAx>
        <c:axId val="579113344"/>
        <c:scaling>
          <c:orientation val="minMax"/>
        </c:scaling>
        <c:delete val="1"/>
        <c:axPos val="b"/>
        <c:majorTickMark val="out"/>
        <c:minorTickMark val="none"/>
        <c:tickLblPos val="nextTo"/>
        <c:crossAx val="557850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Malicious Agents 1 &amp;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(malicious!$B$732:$F$732,malicious!$H$732:$L$732,malicious!$N$732:$R$732,malicious!$T$732:$X$732)</c:f>
              <c:numCache>
                <c:formatCode>0.0</c:formatCode>
                <c:ptCount val="20"/>
                <c:pt idx="0">
                  <c:v>75.728155339805824</c:v>
                </c:pt>
                <c:pt idx="1">
                  <c:v>5.825242718446602</c:v>
                </c:pt>
                <c:pt idx="2">
                  <c:v>0.97087378640776689</c:v>
                </c:pt>
                <c:pt idx="3">
                  <c:v>18.446601941747574</c:v>
                </c:pt>
                <c:pt idx="4">
                  <c:v>0</c:v>
                </c:pt>
                <c:pt idx="5">
                  <c:v>54.54545454545454</c:v>
                </c:pt>
                <c:pt idx="6">
                  <c:v>9.0909090909090917</c:v>
                </c:pt>
                <c:pt idx="7">
                  <c:v>13.636363636363635</c:v>
                </c:pt>
                <c:pt idx="8">
                  <c:v>22.727272727272727</c:v>
                </c:pt>
                <c:pt idx="9">
                  <c:v>0</c:v>
                </c:pt>
                <c:pt idx="10">
                  <c:v>50</c:v>
                </c:pt>
                <c:pt idx="11">
                  <c:v>20.588235294117645</c:v>
                </c:pt>
                <c:pt idx="12">
                  <c:v>0</c:v>
                </c:pt>
                <c:pt idx="13">
                  <c:v>29.411764705882355</c:v>
                </c:pt>
                <c:pt idx="14">
                  <c:v>0</c:v>
                </c:pt>
                <c:pt idx="15">
                  <c:v>42.857142857142854</c:v>
                </c:pt>
                <c:pt idx="16">
                  <c:v>57.142857142857139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8-384B-BBC4-E86FDD6C744F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(malicious!$B$733:$F$733,malicious!$H$733:$L$733,malicious!$N$733:$R$733,malicious!$T$733:$X$733)</c:f>
              <c:numCache>
                <c:formatCode>0.0</c:formatCode>
                <c:ptCount val="20"/>
                <c:pt idx="0">
                  <c:v>79.878048780487802</c:v>
                </c:pt>
                <c:pt idx="1">
                  <c:v>10.975609756097562</c:v>
                </c:pt>
                <c:pt idx="2">
                  <c:v>1.8292682926829267</c:v>
                </c:pt>
                <c:pt idx="3">
                  <c:v>7.3170731707317067</c:v>
                </c:pt>
                <c:pt idx="4">
                  <c:v>0</c:v>
                </c:pt>
                <c:pt idx="5">
                  <c:v>52.631578947368418</c:v>
                </c:pt>
                <c:pt idx="6">
                  <c:v>10.526315789473683</c:v>
                </c:pt>
                <c:pt idx="7">
                  <c:v>21.052631578947366</c:v>
                </c:pt>
                <c:pt idx="8">
                  <c:v>15.789473684210526</c:v>
                </c:pt>
                <c:pt idx="9">
                  <c:v>0</c:v>
                </c:pt>
                <c:pt idx="10">
                  <c:v>42.857142857142854</c:v>
                </c:pt>
                <c:pt idx="11">
                  <c:v>9.5238095238095237</c:v>
                </c:pt>
                <c:pt idx="12">
                  <c:v>9.5238095238095237</c:v>
                </c:pt>
                <c:pt idx="13">
                  <c:v>38.095238095238095</c:v>
                </c:pt>
                <c:pt idx="14">
                  <c:v>0</c:v>
                </c:pt>
                <c:pt idx="15">
                  <c:v>80</c:v>
                </c:pt>
                <c:pt idx="16">
                  <c:v>5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8-384B-BBC4-E86FDD6C744F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(malicious!$B$735:$F$735,malicious!$H$735:$L$735,malicious!$N$735:$R$735,malicious!$T$735:$X$735)</c:f>
              <c:numCache>
                <c:formatCode>0.0</c:formatCode>
                <c:ptCount val="20"/>
                <c:pt idx="0">
                  <c:v>50</c:v>
                </c:pt>
                <c:pt idx="1">
                  <c:v>25</c:v>
                </c:pt>
                <c:pt idx="2">
                  <c:v>15</c:v>
                </c:pt>
                <c:pt idx="3">
                  <c:v>10</c:v>
                </c:pt>
                <c:pt idx="4">
                  <c:v>0</c:v>
                </c:pt>
                <c:pt idx="5">
                  <c:v>40</c:v>
                </c:pt>
                <c:pt idx="6">
                  <c:v>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40</c:v>
                </c:pt>
                <c:pt idx="11">
                  <c:v>40</c:v>
                </c:pt>
                <c:pt idx="12">
                  <c:v>0</c:v>
                </c:pt>
                <c:pt idx="13">
                  <c:v>20</c:v>
                </c:pt>
                <c:pt idx="14">
                  <c:v>0</c:v>
                </c:pt>
                <c:pt idx="15">
                  <c:v>43.75</c:v>
                </c:pt>
                <c:pt idx="16">
                  <c:v>37.5</c:v>
                </c:pt>
                <c:pt idx="17">
                  <c:v>12.5</c:v>
                </c:pt>
                <c:pt idx="18">
                  <c:v>6.25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98-384B-BBC4-E86FDD6C744F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(malicious!$B$734:$F$734,malicious!$H$734:$L$734,malicious!$N$734:$R$734,malicious!$T$734:$X$734)</c:f>
              <c:numCache>
                <c:formatCode>0.0</c:formatCode>
                <c:ptCount val="20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50</c:v>
                </c:pt>
                <c:pt idx="11">
                  <c:v>50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98-384B-BBC4-E86FDD6C7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(malicious!$B$736:$F$736,malicious!$H$736:$L$736,malicious!$N$736:$R$736,malicious!$T$736:$X$736)</c:f>
              <c:numCache>
                <c:formatCode>0.00</c:formatCode>
                <c:ptCount val="20"/>
                <c:pt idx="0">
                  <c:v>51.401551030073406</c:v>
                </c:pt>
                <c:pt idx="1">
                  <c:v>35.450213118636043</c:v>
                </c:pt>
                <c:pt idx="2" formatCode="0.0">
                  <c:v>4.4500355197726735</c:v>
                </c:pt>
                <c:pt idx="3" formatCode="0.0">
                  <c:v>8.9409187781198192</c:v>
                </c:pt>
                <c:pt idx="4" formatCode="0.0">
                  <c:v>0</c:v>
                </c:pt>
                <c:pt idx="5" formatCode="0.0">
                  <c:v>36.794258373205736</c:v>
                </c:pt>
                <c:pt idx="6">
                  <c:v>4.9043062200956937</c:v>
                </c:pt>
                <c:pt idx="7" formatCode="0.0">
                  <c:v>23.672248803827749</c:v>
                </c:pt>
                <c:pt idx="8" formatCode="0.0">
                  <c:v>9.6291866028708135</c:v>
                </c:pt>
                <c:pt idx="9" formatCode="0.0">
                  <c:v>0</c:v>
                </c:pt>
                <c:pt idx="10" formatCode="0.0">
                  <c:v>45.714285714285715</c:v>
                </c:pt>
                <c:pt idx="11">
                  <c:v>30.028011204481793</c:v>
                </c:pt>
                <c:pt idx="12" formatCode="0.0">
                  <c:v>2.3809523809523809</c:v>
                </c:pt>
                <c:pt idx="13" formatCode="0.0">
                  <c:v>21.876750700280112</c:v>
                </c:pt>
                <c:pt idx="14" formatCode="0.0">
                  <c:v>0</c:v>
                </c:pt>
                <c:pt idx="15" formatCode="0.0">
                  <c:v>41.651785714285715</c:v>
                </c:pt>
                <c:pt idx="16">
                  <c:v>49.910714285714285</c:v>
                </c:pt>
                <c:pt idx="17" formatCode="0.0">
                  <c:v>3.125</c:v>
                </c:pt>
                <c:pt idx="18" formatCode="0.0">
                  <c:v>5.3125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98-384B-BBC4-E86FDD6C7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Malicious Agents 1 &amp;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(malicious!$B$741:$F$741,malicious!$H$741:$L$741,malicious!$N$741:$R$741,malicious!$T$741:$X$741)</c:f>
              <c:numCache>
                <c:formatCode>0.0</c:formatCode>
                <c:ptCount val="20"/>
                <c:pt idx="0">
                  <c:v>74.747474747474755</c:v>
                </c:pt>
                <c:pt idx="1">
                  <c:v>8.0808080808080813</c:v>
                </c:pt>
                <c:pt idx="2">
                  <c:v>0</c:v>
                </c:pt>
                <c:pt idx="3">
                  <c:v>17.171717171717169</c:v>
                </c:pt>
                <c:pt idx="4">
                  <c:v>0</c:v>
                </c:pt>
                <c:pt idx="5">
                  <c:v>66.666666666666657</c:v>
                </c:pt>
                <c:pt idx="6">
                  <c:v>25</c:v>
                </c:pt>
                <c:pt idx="7">
                  <c:v>0</c:v>
                </c:pt>
                <c:pt idx="8">
                  <c:v>8.3333333333333321</c:v>
                </c:pt>
                <c:pt idx="9">
                  <c:v>0</c:v>
                </c:pt>
                <c:pt idx="10">
                  <c:v>48.484848484848484</c:v>
                </c:pt>
                <c:pt idx="11">
                  <c:v>12.121212121212121</c:v>
                </c:pt>
                <c:pt idx="12">
                  <c:v>3.0303030303030303</c:v>
                </c:pt>
                <c:pt idx="13">
                  <c:v>36.363636363636367</c:v>
                </c:pt>
                <c:pt idx="14">
                  <c:v>0</c:v>
                </c:pt>
                <c:pt idx="15">
                  <c:v>70</c:v>
                </c:pt>
                <c:pt idx="16">
                  <c:v>20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7-ED4A-84DC-B331AA28469D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(malicious!$B$742:$F$742,malicious!$H$742:$L$742,malicious!$N$742:$R$742,malicious!$T$742:$X$742)</c:f>
              <c:numCache>
                <c:formatCode>0.0</c:formatCode>
                <c:ptCount val="20"/>
                <c:pt idx="0">
                  <c:v>72.067039106145245</c:v>
                </c:pt>
                <c:pt idx="1">
                  <c:v>12.849162011173185</c:v>
                </c:pt>
                <c:pt idx="2">
                  <c:v>2.7932960893854748</c:v>
                </c:pt>
                <c:pt idx="3">
                  <c:v>12.290502793296088</c:v>
                </c:pt>
                <c:pt idx="4">
                  <c:v>0</c:v>
                </c:pt>
                <c:pt idx="5">
                  <c:v>59.090909090909093</c:v>
                </c:pt>
                <c:pt idx="6">
                  <c:v>9.0909090909090917</c:v>
                </c:pt>
                <c:pt idx="7">
                  <c:v>9.0909090909090917</c:v>
                </c:pt>
                <c:pt idx="8">
                  <c:v>22.727272727272727</c:v>
                </c:pt>
                <c:pt idx="9">
                  <c:v>0</c:v>
                </c:pt>
                <c:pt idx="10">
                  <c:v>42.857142857142854</c:v>
                </c:pt>
                <c:pt idx="11">
                  <c:v>14.285714285714285</c:v>
                </c:pt>
                <c:pt idx="12">
                  <c:v>7.1428571428571423</c:v>
                </c:pt>
                <c:pt idx="13">
                  <c:v>35.714285714285715</c:v>
                </c:pt>
                <c:pt idx="14">
                  <c:v>0</c:v>
                </c:pt>
                <c:pt idx="15">
                  <c:v>77.777777777777786</c:v>
                </c:pt>
                <c:pt idx="16">
                  <c:v>22.222222222222221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7-ED4A-84DC-B331AA28469D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(malicious!$B$744:$F$744,malicious!$H$744:$L$744,malicious!$N$744:$R$744,malicious!$T$744:$X$744)</c:f>
              <c:numCache>
                <c:formatCode>0.0</c:formatCode>
                <c:ptCount val="20"/>
                <c:pt idx="0">
                  <c:v>25</c:v>
                </c:pt>
                <c:pt idx="1">
                  <c:v>35</c:v>
                </c:pt>
                <c:pt idx="2">
                  <c:v>20</c:v>
                </c:pt>
                <c:pt idx="3">
                  <c:v>20</c:v>
                </c:pt>
                <c:pt idx="4">
                  <c:v>0</c:v>
                </c:pt>
                <c:pt idx="5">
                  <c:v>83.333333333333343</c:v>
                </c:pt>
                <c:pt idx="6">
                  <c:v>0</c:v>
                </c:pt>
                <c:pt idx="7">
                  <c:v>16.666666666666664</c:v>
                </c:pt>
                <c:pt idx="8">
                  <c:v>0</c:v>
                </c:pt>
                <c:pt idx="9">
                  <c:v>0</c:v>
                </c:pt>
                <c:pt idx="10">
                  <c:v>52.941176470588239</c:v>
                </c:pt>
                <c:pt idx="11">
                  <c:v>29.411764705882355</c:v>
                </c:pt>
                <c:pt idx="12">
                  <c:v>5.8823529411764701</c:v>
                </c:pt>
                <c:pt idx="13">
                  <c:v>11.76470588235294</c:v>
                </c:pt>
                <c:pt idx="14">
                  <c:v>0</c:v>
                </c:pt>
                <c:pt idx="15">
                  <c:v>50</c:v>
                </c:pt>
                <c:pt idx="16">
                  <c:v>25</c:v>
                </c:pt>
                <c:pt idx="17">
                  <c:v>25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37-ED4A-84DC-B331AA28469D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(malicious!$B$743:$F$743,malicious!$H$743:$L$743,malicious!$N$743:$R$743,malicious!$T$743:$X$743)</c:f>
              <c:numCache>
                <c:formatCode>0.0</c:formatCode>
                <c:ptCount val="20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33.333333333333329</c:v>
                </c:pt>
                <c:pt idx="11">
                  <c:v>66.666666666666657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37-ED4A-84DC-B331AA284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(malicious!$B$745:$F$745,malicious!$H$745:$L$745,malicious!$N$745:$R$745,malicious!$T$745:$X$745)</c:f>
              <c:numCache>
                <c:formatCode>0.00</c:formatCode>
                <c:ptCount val="20"/>
                <c:pt idx="0">
                  <c:v>67.953628463404996</c:v>
                </c:pt>
                <c:pt idx="1">
                  <c:v>13.982492522995317</c:v>
                </c:pt>
                <c:pt idx="2" formatCode="0.0">
                  <c:v>5.6983240223463687</c:v>
                </c:pt>
                <c:pt idx="3" formatCode="0.0">
                  <c:v>12.365554991253315</c:v>
                </c:pt>
                <c:pt idx="4" formatCode="0.0">
                  <c:v>0</c:v>
                </c:pt>
                <c:pt idx="5" formatCode="0.0">
                  <c:v>52.272727272727273</c:v>
                </c:pt>
                <c:pt idx="6">
                  <c:v>8.5227272727272734</c:v>
                </c:pt>
                <c:pt idx="7" formatCode="0.0">
                  <c:v>6.4393939393939394</c:v>
                </c:pt>
                <c:pt idx="8" formatCode="0.0">
                  <c:v>7.7651515151515147</c:v>
                </c:pt>
                <c:pt idx="9" formatCode="0.0">
                  <c:v>0</c:v>
                </c:pt>
                <c:pt idx="10" formatCode="0.0">
                  <c:v>44.404125286478227</c:v>
                </c:pt>
                <c:pt idx="11">
                  <c:v>30.621339444868852</c:v>
                </c:pt>
                <c:pt idx="12" formatCode="0.0">
                  <c:v>4.0138782785841611</c:v>
                </c:pt>
                <c:pt idx="13" formatCode="0.0">
                  <c:v>20.960656990068756</c:v>
                </c:pt>
                <c:pt idx="14" formatCode="0.0">
                  <c:v>0</c:v>
                </c:pt>
                <c:pt idx="15" formatCode="0.0">
                  <c:v>49.444444444444443</c:v>
                </c:pt>
                <c:pt idx="16">
                  <c:v>41.805555555555557</c:v>
                </c:pt>
                <c:pt idx="17" formatCode="0.0">
                  <c:v>6.25</c:v>
                </c:pt>
                <c:pt idx="18" formatCode="0.0">
                  <c:v>2.5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37-ED4A-84DC-B331AA284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Malicious Agents 2 &amp;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(malicious!$B$750:$F$750,malicious!$H$750:$L$750,malicious!$N$750:$R$750,malicious!$T$750:$X$750)</c:f>
              <c:numCache>
                <c:formatCode>0.0</c:formatCode>
                <c:ptCount val="20"/>
                <c:pt idx="0">
                  <c:v>41.904761904761905</c:v>
                </c:pt>
                <c:pt idx="1">
                  <c:v>31.428571428571427</c:v>
                </c:pt>
                <c:pt idx="2">
                  <c:v>8.5714285714285712</c:v>
                </c:pt>
                <c:pt idx="3">
                  <c:v>18.095238095238095</c:v>
                </c:pt>
                <c:pt idx="4">
                  <c:v>0</c:v>
                </c:pt>
                <c:pt idx="5">
                  <c:v>21.428571428571427</c:v>
                </c:pt>
                <c:pt idx="6">
                  <c:v>64.285714285714292</c:v>
                </c:pt>
                <c:pt idx="7">
                  <c:v>0</c:v>
                </c:pt>
                <c:pt idx="8">
                  <c:v>14.285714285714285</c:v>
                </c:pt>
                <c:pt idx="9">
                  <c:v>0</c:v>
                </c:pt>
                <c:pt idx="10">
                  <c:v>50</c:v>
                </c:pt>
                <c:pt idx="11">
                  <c:v>9.375</c:v>
                </c:pt>
                <c:pt idx="12">
                  <c:v>9.375</c:v>
                </c:pt>
                <c:pt idx="13">
                  <c:v>31.25</c:v>
                </c:pt>
                <c:pt idx="14">
                  <c:v>0</c:v>
                </c:pt>
                <c:pt idx="15">
                  <c:v>85.714285714285708</c:v>
                </c:pt>
                <c:pt idx="16">
                  <c:v>0</c:v>
                </c:pt>
                <c:pt idx="17">
                  <c:v>0</c:v>
                </c:pt>
                <c:pt idx="18">
                  <c:v>14.285714285714285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5-D74B-9D64-8E1456B10EAF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(malicious!$B$751:$F$751,malicious!$H$751:$L$751,malicious!$N$751:$R$751,malicious!$T$751:$X$751)</c:f>
              <c:numCache>
                <c:formatCode>0.0</c:formatCode>
                <c:ptCount val="20"/>
                <c:pt idx="0">
                  <c:v>68.141592920353972</c:v>
                </c:pt>
                <c:pt idx="1">
                  <c:v>18.584070796460178</c:v>
                </c:pt>
                <c:pt idx="2">
                  <c:v>3.9823008849557522</c:v>
                </c:pt>
                <c:pt idx="3">
                  <c:v>9.2920353982300892</c:v>
                </c:pt>
                <c:pt idx="4">
                  <c:v>0</c:v>
                </c:pt>
                <c:pt idx="5">
                  <c:v>41.17647058823529</c:v>
                </c:pt>
                <c:pt idx="6">
                  <c:v>35.294117647058826</c:v>
                </c:pt>
                <c:pt idx="7">
                  <c:v>5.8823529411764701</c:v>
                </c:pt>
                <c:pt idx="8">
                  <c:v>17.647058823529413</c:v>
                </c:pt>
                <c:pt idx="9">
                  <c:v>0</c:v>
                </c:pt>
                <c:pt idx="10">
                  <c:v>45</c:v>
                </c:pt>
                <c:pt idx="11">
                  <c:v>10</c:v>
                </c:pt>
                <c:pt idx="12">
                  <c:v>10</c:v>
                </c:pt>
                <c:pt idx="13">
                  <c:v>35</c:v>
                </c:pt>
                <c:pt idx="14">
                  <c:v>0</c:v>
                </c:pt>
                <c:pt idx="15">
                  <c:v>50</c:v>
                </c:pt>
                <c:pt idx="16">
                  <c:v>43.75</c:v>
                </c:pt>
                <c:pt idx="17">
                  <c:v>6.25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F5-D74B-9D64-8E1456B10EAF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(malicious!$B$753:$F$753,malicious!$H$753:$L$753,malicious!$N$753:$R$753,malicious!$T$753:$X$753)</c:f>
              <c:numCache>
                <c:formatCode>0.0</c:formatCode>
                <c:ptCount val="20"/>
                <c:pt idx="0">
                  <c:v>8.3333333333333321</c:v>
                </c:pt>
                <c:pt idx="1">
                  <c:v>66.666666666666657</c:v>
                </c:pt>
                <c:pt idx="2">
                  <c:v>8.3333333333333321</c:v>
                </c:pt>
                <c:pt idx="3">
                  <c:v>16.666666666666664</c:v>
                </c:pt>
                <c:pt idx="4">
                  <c:v>0</c:v>
                </c:pt>
                <c:pt idx="5">
                  <c:v>0</c:v>
                </c:pt>
                <c:pt idx="6">
                  <c:v>66.666666666666657</c:v>
                </c:pt>
                <c:pt idx="7">
                  <c:v>0</c:v>
                </c:pt>
                <c:pt idx="8">
                  <c:v>33.333333333333329</c:v>
                </c:pt>
                <c:pt idx="9">
                  <c:v>0</c:v>
                </c:pt>
                <c:pt idx="10">
                  <c:v>41.666666666666671</c:v>
                </c:pt>
                <c:pt idx="11">
                  <c:v>25</c:v>
                </c:pt>
                <c:pt idx="12">
                  <c:v>8.3333333333333321</c:v>
                </c:pt>
                <c:pt idx="13">
                  <c:v>25</c:v>
                </c:pt>
                <c:pt idx="14">
                  <c:v>0</c:v>
                </c:pt>
                <c:pt idx="15">
                  <c:v>16.666666666666664</c:v>
                </c:pt>
                <c:pt idx="16">
                  <c:v>66.666666666666657</c:v>
                </c:pt>
                <c:pt idx="17">
                  <c:v>0</c:v>
                </c:pt>
                <c:pt idx="18">
                  <c:v>16.666666666666664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F5-D74B-9D64-8E1456B10EAF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(malicious!$B$752:$F$752,malicious!$H$752:$L$752,malicious!$N$752:$R$752,malicious!$T$752:$X$752)</c:f>
              <c:numCache>
                <c:formatCode>0.0</c:formatCode>
                <c:ptCount val="20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66.666666666666657</c:v>
                </c:pt>
                <c:pt idx="11">
                  <c:v>0</c:v>
                </c:pt>
                <c:pt idx="12">
                  <c:v>0</c:v>
                </c:pt>
                <c:pt idx="13">
                  <c:v>33.333333333333329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F5-D74B-9D64-8E1456B10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344384"/>
        <c:axId val="520346176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(malicious!$B$754:$F$754,malicious!$H$754:$L$754,malicious!$N$754:$R$754,malicious!$T$754:$X$754)</c:f>
              <c:numCache>
                <c:formatCode>0.00</c:formatCode>
                <c:ptCount val="20"/>
                <c:pt idx="0">
                  <c:v>29.594922039612303</c:v>
                </c:pt>
                <c:pt idx="1">
                  <c:v>41.669827222924567</c:v>
                </c:pt>
                <c:pt idx="2" formatCode="0.0">
                  <c:v>5.2217656974294133</c:v>
                </c:pt>
                <c:pt idx="3" formatCode="0.0">
                  <c:v>23.513485040033714</c:v>
                </c:pt>
                <c:pt idx="4" formatCode="0.0">
                  <c:v>0</c:v>
                </c:pt>
                <c:pt idx="5" formatCode="0.0">
                  <c:v>15.65126050420168</c:v>
                </c:pt>
                <c:pt idx="6">
                  <c:v>41.561624649859944</c:v>
                </c:pt>
                <c:pt idx="7" formatCode="0.0">
                  <c:v>26.470588235294116</c:v>
                </c:pt>
                <c:pt idx="8" formatCode="0.0">
                  <c:v>16.316526610644257</c:v>
                </c:pt>
                <c:pt idx="9" formatCode="0.0">
                  <c:v>0</c:v>
                </c:pt>
                <c:pt idx="10" formatCode="0.0">
                  <c:v>50.833333333333329</c:v>
                </c:pt>
                <c:pt idx="11">
                  <c:v>11.09375</c:v>
                </c:pt>
                <c:pt idx="12" formatCode="0.0">
                  <c:v>6.927083333333333</c:v>
                </c:pt>
                <c:pt idx="13" formatCode="0.0">
                  <c:v>31.145833333333332</c:v>
                </c:pt>
                <c:pt idx="14" formatCode="0.0">
                  <c:v>0</c:v>
                </c:pt>
                <c:pt idx="15" formatCode="0.0">
                  <c:v>38.095238095238095</c:v>
                </c:pt>
                <c:pt idx="16">
                  <c:v>52.604166666666664</c:v>
                </c:pt>
                <c:pt idx="17" formatCode="0.0">
                  <c:v>1.5625</c:v>
                </c:pt>
                <c:pt idx="18" formatCode="0.0">
                  <c:v>7.7380952380952372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F5-D74B-9D64-8E1456B10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Malicious Agents 1 &amp;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(malicious!$B$759:$F$759,malicious!$H$759:$L$759,malicious!$N$759:$R$759,malicious!$T$759:$X$759)</c:f>
              <c:numCache>
                <c:formatCode>0.0</c:formatCode>
                <c:ptCount val="20"/>
                <c:pt idx="0">
                  <c:v>57.894736842105267</c:v>
                </c:pt>
                <c:pt idx="1">
                  <c:v>25.730994152046783</c:v>
                </c:pt>
                <c:pt idx="2">
                  <c:v>12.865497076023392</c:v>
                </c:pt>
                <c:pt idx="3">
                  <c:v>3.5087719298245612</c:v>
                </c:pt>
                <c:pt idx="4">
                  <c:v>0</c:v>
                </c:pt>
                <c:pt idx="5">
                  <c:v>76.470588235294116</c:v>
                </c:pt>
                <c:pt idx="6">
                  <c:v>20.588235294117645</c:v>
                </c:pt>
                <c:pt idx="7">
                  <c:v>2.9411764705882351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8.125</c:v>
                </c:pt>
                <c:pt idx="12">
                  <c:v>0.625</c:v>
                </c:pt>
                <c:pt idx="13">
                  <c:v>1.25</c:v>
                </c:pt>
                <c:pt idx="14">
                  <c:v>0</c:v>
                </c:pt>
                <c:pt idx="15">
                  <c:v>57.142857142857139</c:v>
                </c:pt>
                <c:pt idx="16">
                  <c:v>35.714285714285715</c:v>
                </c:pt>
                <c:pt idx="17">
                  <c:v>0</c:v>
                </c:pt>
                <c:pt idx="18">
                  <c:v>7.1428571428571423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6-E742-93AE-BAB8715CE9C0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(malicious!$B$760:$F$760,malicious!$H$760:$L$760,malicious!$N$760:$R$760,malicious!$T$760:$X$760)</c:f>
              <c:numCache>
                <c:formatCode>0.0</c:formatCode>
                <c:ptCount val="20"/>
                <c:pt idx="0">
                  <c:v>40.689655172413794</c:v>
                </c:pt>
                <c:pt idx="1">
                  <c:v>24.137931034482758</c:v>
                </c:pt>
                <c:pt idx="2">
                  <c:v>13.793103448275861</c:v>
                </c:pt>
                <c:pt idx="3">
                  <c:v>21.379310344827587</c:v>
                </c:pt>
                <c:pt idx="4">
                  <c:v>0</c:v>
                </c:pt>
                <c:pt idx="5">
                  <c:v>56.000000000000007</c:v>
                </c:pt>
                <c:pt idx="6">
                  <c:v>28.000000000000004</c:v>
                </c:pt>
                <c:pt idx="7">
                  <c:v>4</c:v>
                </c:pt>
                <c:pt idx="8">
                  <c:v>12</c:v>
                </c:pt>
                <c:pt idx="9">
                  <c:v>0</c:v>
                </c:pt>
                <c:pt idx="10">
                  <c:v>27.941176470588236</c:v>
                </c:pt>
                <c:pt idx="11">
                  <c:v>31.617647058823529</c:v>
                </c:pt>
                <c:pt idx="12">
                  <c:v>11.76470588235294</c:v>
                </c:pt>
                <c:pt idx="13">
                  <c:v>28.676470588235293</c:v>
                </c:pt>
                <c:pt idx="14">
                  <c:v>0</c:v>
                </c:pt>
                <c:pt idx="15">
                  <c:v>42.307692307692307</c:v>
                </c:pt>
                <c:pt idx="16">
                  <c:v>11.538461538461538</c:v>
                </c:pt>
                <c:pt idx="17">
                  <c:v>3.8461538461538463</c:v>
                </c:pt>
                <c:pt idx="18">
                  <c:v>42.307692307692307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6-E742-93AE-BAB8715CE9C0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(malicious!$B$762:$F$762,malicious!$H$762:$L$762,malicious!$N$762:$R$762,malicious!$T$762:$X$762)</c:f>
              <c:numCache>
                <c:formatCode>0.0</c:formatCode>
                <c:ptCount val="20"/>
                <c:pt idx="0">
                  <c:v>58.57988165680473</c:v>
                </c:pt>
                <c:pt idx="1">
                  <c:v>31.952662721893493</c:v>
                </c:pt>
                <c:pt idx="2">
                  <c:v>4.7337278106508878</c:v>
                </c:pt>
                <c:pt idx="3">
                  <c:v>4.7337278106508878</c:v>
                </c:pt>
                <c:pt idx="4">
                  <c:v>0</c:v>
                </c:pt>
                <c:pt idx="5">
                  <c:v>63.636363636363633</c:v>
                </c:pt>
                <c:pt idx="6">
                  <c:v>36.363636363636367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90.322580645161281</c:v>
                </c:pt>
                <c:pt idx="11">
                  <c:v>6.4516129032258061</c:v>
                </c:pt>
                <c:pt idx="12">
                  <c:v>1.6129032258064515</c:v>
                </c:pt>
                <c:pt idx="13">
                  <c:v>1.6129032258064515</c:v>
                </c:pt>
                <c:pt idx="14">
                  <c:v>0</c:v>
                </c:pt>
                <c:pt idx="15">
                  <c:v>82.051282051282044</c:v>
                </c:pt>
                <c:pt idx="16">
                  <c:v>7.6923076923076925</c:v>
                </c:pt>
                <c:pt idx="17">
                  <c:v>5.1282051282051277</c:v>
                </c:pt>
                <c:pt idx="18">
                  <c:v>5.1282051282051277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26-E742-93AE-BAB8715CE9C0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(malicious!$B$761:$F$761,malicious!$H$761:$L$761,malicious!$N$761:$R$761,malicious!$T$761:$X$761)</c:f>
              <c:numCache>
                <c:formatCode>0.0</c:formatCode>
                <c:ptCount val="20"/>
                <c:pt idx="0">
                  <c:v>66.666666666666657</c:v>
                </c:pt>
                <c:pt idx="1">
                  <c:v>25</c:v>
                </c:pt>
                <c:pt idx="2">
                  <c:v>8.3333333333333321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54.838709677419352</c:v>
                </c:pt>
                <c:pt idx="11">
                  <c:v>29.032258064516132</c:v>
                </c:pt>
                <c:pt idx="12">
                  <c:v>6.4516129032258061</c:v>
                </c:pt>
                <c:pt idx="13">
                  <c:v>9.67741935483871</c:v>
                </c:pt>
                <c:pt idx="14">
                  <c:v>0</c:v>
                </c:pt>
                <c:pt idx="15">
                  <c:v>60</c:v>
                </c:pt>
                <c:pt idx="16">
                  <c:v>20</c:v>
                </c:pt>
                <c:pt idx="17">
                  <c:v>20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26-E742-93AE-BAB8715CE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5"/>
          <c:order val="5"/>
          <c:tx>
            <c:strRef>
              <c:f>malicious!$A$786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(malicious!$B$786:$F$786,malicious!$H$786:$L$786,malicious!$N$786:$R$786,malicious!$T$786:$X$786)</c:f>
              <c:numCache>
                <c:formatCode>0.0</c:formatCode>
                <c:ptCount val="20"/>
                <c:pt idx="0">
                  <c:v>28.07017543859649</c:v>
                </c:pt>
                <c:pt idx="1">
                  <c:v>10.526315789473683</c:v>
                </c:pt>
                <c:pt idx="2">
                  <c:v>6.4327485380116958</c:v>
                </c:pt>
                <c:pt idx="3">
                  <c:v>1.7543859649122806</c:v>
                </c:pt>
                <c:pt idx="4">
                  <c:v>0</c:v>
                </c:pt>
                <c:pt idx="5">
                  <c:v>41.17647058823529</c:v>
                </c:pt>
                <c:pt idx="6">
                  <c:v>5.8823529411764701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43.75</c:v>
                </c:pt>
                <c:pt idx="11">
                  <c:v>6.25</c:v>
                </c:pt>
                <c:pt idx="12">
                  <c:v>0</c:v>
                </c:pt>
                <c:pt idx="13">
                  <c:v>1.25</c:v>
                </c:pt>
                <c:pt idx="14">
                  <c:v>0</c:v>
                </c:pt>
                <c:pt idx="15">
                  <c:v>50</c:v>
                </c:pt>
                <c:pt idx="16">
                  <c:v>28.571428571428569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26-E742-93AE-BAB8715CE9C0}"/>
            </c:ext>
          </c:extLst>
        </c:ser>
        <c:ser>
          <c:idx val="6"/>
          <c:order val="6"/>
          <c:tx>
            <c:strRef>
              <c:f>malicious!$A$787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(malicious!$B$787:$F$787,malicious!$H$787:$L$787,malicious!$N$787:$R$787,malicious!$T$787:$X$787)</c:f>
              <c:numCache>
                <c:formatCode>0.0</c:formatCode>
                <c:ptCount val="20"/>
                <c:pt idx="0">
                  <c:v>22.068965517241381</c:v>
                </c:pt>
                <c:pt idx="1">
                  <c:v>15.172413793103448</c:v>
                </c:pt>
                <c:pt idx="2">
                  <c:v>6.8965517241379306</c:v>
                </c:pt>
                <c:pt idx="3">
                  <c:v>6.8965517241379306</c:v>
                </c:pt>
                <c:pt idx="4">
                  <c:v>0</c:v>
                </c:pt>
                <c:pt idx="5">
                  <c:v>28.000000000000004</c:v>
                </c:pt>
                <c:pt idx="6">
                  <c:v>8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11.76470588235294</c:v>
                </c:pt>
                <c:pt idx="11">
                  <c:v>17.647058823529413</c:v>
                </c:pt>
                <c:pt idx="12">
                  <c:v>7.3529411764705888</c:v>
                </c:pt>
                <c:pt idx="13">
                  <c:v>16.911764705882355</c:v>
                </c:pt>
                <c:pt idx="14">
                  <c:v>0</c:v>
                </c:pt>
                <c:pt idx="15">
                  <c:v>19.230769230769234</c:v>
                </c:pt>
                <c:pt idx="16">
                  <c:v>0</c:v>
                </c:pt>
                <c:pt idx="17">
                  <c:v>3.8461538461538463</c:v>
                </c:pt>
                <c:pt idx="18">
                  <c:v>26.923076923076923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26-E742-93AE-BAB8715CE9C0}"/>
            </c:ext>
          </c:extLst>
        </c:ser>
        <c:ser>
          <c:idx val="8"/>
          <c:order val="7"/>
          <c:tx>
            <c:strRef>
              <c:f>malicious!$A$789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(malicious!$B$789:$F$789,malicious!$H$789:$L$789,malicious!$N$789:$R$789,malicious!$T$789:$X$789)</c:f>
              <c:numCache>
                <c:formatCode>0.0</c:formatCode>
                <c:ptCount val="20"/>
                <c:pt idx="0">
                  <c:v>13.609467455621301</c:v>
                </c:pt>
                <c:pt idx="1">
                  <c:v>5.9171597633136095</c:v>
                </c:pt>
                <c:pt idx="2">
                  <c:v>2.3668639053254439</c:v>
                </c:pt>
                <c:pt idx="3">
                  <c:v>2.3668639053254439</c:v>
                </c:pt>
                <c:pt idx="4">
                  <c:v>0</c:v>
                </c:pt>
                <c:pt idx="5">
                  <c:v>36.363636363636367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29.032258064516132</c:v>
                </c:pt>
                <c:pt idx="11">
                  <c:v>3.225806451612903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10.256410256410255</c:v>
                </c:pt>
                <c:pt idx="16">
                  <c:v>0</c:v>
                </c:pt>
                <c:pt idx="17">
                  <c:v>2.5641025641025639</c:v>
                </c:pt>
                <c:pt idx="18">
                  <c:v>5.1282051282051277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26-E742-93AE-BAB8715CE9C0}"/>
            </c:ext>
          </c:extLst>
        </c:ser>
        <c:ser>
          <c:idx val="7"/>
          <c:order val="8"/>
          <c:tx>
            <c:strRef>
              <c:f>malicious!$A$788</c:f>
              <c:strCache>
                <c:ptCount val="1"/>
                <c:pt idx="0">
                  <c:v>Olmo 3 Think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D07175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(malicious!$B$788:$F$788,malicious!$H$788:$L$788,malicious!$N$788:$R$788,malicious!$T$788:$X$788)</c:f>
              <c:numCache>
                <c:formatCode>0.0</c:formatCode>
                <c:ptCount val="20"/>
                <c:pt idx="0">
                  <c:v>29.166666666666668</c:v>
                </c:pt>
                <c:pt idx="1">
                  <c:v>4.1666666666666661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41.935483870967744</c:v>
                </c:pt>
                <c:pt idx="11">
                  <c:v>25.806451612903224</c:v>
                </c:pt>
                <c:pt idx="12">
                  <c:v>6.4516129032258061</c:v>
                </c:pt>
                <c:pt idx="13">
                  <c:v>3.225806451612903</c:v>
                </c:pt>
                <c:pt idx="14">
                  <c:v>0</c:v>
                </c:pt>
                <c:pt idx="15">
                  <c:v>46.666666666666664</c:v>
                </c:pt>
                <c:pt idx="16">
                  <c:v>13.333333333333334</c:v>
                </c:pt>
                <c:pt idx="17">
                  <c:v>13.333333333333334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26-E742-93AE-BAB8715CE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7665792"/>
        <c:axId val="557664448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(malicious!$B$763:$F$763,malicious!$H$763:$L$763,malicious!$N$763:$R$763,malicious!$T$763:$X$763)</c:f>
              <c:numCache>
                <c:formatCode>0.00</c:formatCode>
                <c:ptCount val="20"/>
                <c:pt idx="0">
                  <c:v>55.957735084497614</c:v>
                </c:pt>
                <c:pt idx="1">
                  <c:v>26.705396977105757</c:v>
                </c:pt>
                <c:pt idx="2" formatCode="0.0">
                  <c:v>9.9314154170708697</c:v>
                </c:pt>
                <c:pt idx="3" formatCode="0.0">
                  <c:v>7.4054525213257589</c:v>
                </c:pt>
                <c:pt idx="4" formatCode="0.0">
                  <c:v>0</c:v>
                </c:pt>
                <c:pt idx="5" formatCode="0.0">
                  <c:v>74.026737967914443</c:v>
                </c:pt>
                <c:pt idx="6">
                  <c:v>21.237967914438507</c:v>
                </c:pt>
                <c:pt idx="7" formatCode="0.0">
                  <c:v>1.7352941176470589</c:v>
                </c:pt>
                <c:pt idx="8" formatCode="0.0">
                  <c:v>3</c:v>
                </c:pt>
                <c:pt idx="9" formatCode="0.0">
                  <c:v>0</c:v>
                </c:pt>
                <c:pt idx="10" formatCode="0.0">
                  <c:v>65.775616698292225</c:v>
                </c:pt>
                <c:pt idx="11">
                  <c:v>18.806629506641368</c:v>
                </c:pt>
                <c:pt idx="12" formatCode="0.0">
                  <c:v>5.1135555028462996</c:v>
                </c:pt>
                <c:pt idx="13" formatCode="0.0">
                  <c:v>10.304198292220113</c:v>
                </c:pt>
                <c:pt idx="14" formatCode="0.0">
                  <c:v>0</c:v>
                </c:pt>
                <c:pt idx="15" formatCode="0.0">
                  <c:v>60.375457875457869</c:v>
                </c:pt>
                <c:pt idx="16">
                  <c:v>18.736263736263737</c:v>
                </c:pt>
                <c:pt idx="17" formatCode="0.0">
                  <c:v>7.2435897435897436</c:v>
                </c:pt>
                <c:pt idx="18" formatCode="0.0">
                  <c:v>13.644688644688642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26-E742-93AE-BAB8715CE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557664448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7665792"/>
        <c:crosses val="max"/>
        <c:crossBetween val="between"/>
      </c:valAx>
      <c:catAx>
        <c:axId val="557665792"/>
        <c:scaling>
          <c:orientation val="minMax"/>
        </c:scaling>
        <c:delete val="1"/>
        <c:axPos val="b"/>
        <c:majorTickMark val="out"/>
        <c:minorTickMark val="none"/>
        <c:tickLblPos val="nextTo"/>
        <c:crossAx val="557664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Malicious Agents 1 &amp;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(malicious!$B$768:$F$768,malicious!$H$768:$L$768,malicious!$N$768:$R$768,malicious!$T$768:$X$768)</c:f>
              <c:numCache>
                <c:formatCode>0.0</c:formatCode>
                <c:ptCount val="20"/>
                <c:pt idx="0">
                  <c:v>37.444933920704848</c:v>
                </c:pt>
                <c:pt idx="1">
                  <c:v>38.766519823788549</c:v>
                </c:pt>
                <c:pt idx="2">
                  <c:v>11.013215859030836</c:v>
                </c:pt>
                <c:pt idx="3">
                  <c:v>12.77533039647577</c:v>
                </c:pt>
                <c:pt idx="4">
                  <c:v>0</c:v>
                </c:pt>
                <c:pt idx="5">
                  <c:v>57.142857142857139</c:v>
                </c:pt>
                <c:pt idx="6">
                  <c:v>31.428571428571427</c:v>
                </c:pt>
                <c:pt idx="7">
                  <c:v>5.7142857142857144</c:v>
                </c:pt>
                <c:pt idx="8">
                  <c:v>5.7142857142857144</c:v>
                </c:pt>
                <c:pt idx="9">
                  <c:v>0</c:v>
                </c:pt>
                <c:pt idx="10">
                  <c:v>72.592592592592595</c:v>
                </c:pt>
                <c:pt idx="11">
                  <c:v>18.518518518518519</c:v>
                </c:pt>
                <c:pt idx="12">
                  <c:v>2.9629629629629632</c:v>
                </c:pt>
                <c:pt idx="13">
                  <c:v>5.9259259259259265</c:v>
                </c:pt>
                <c:pt idx="14">
                  <c:v>0</c:v>
                </c:pt>
                <c:pt idx="15">
                  <c:v>61.111111111111114</c:v>
                </c:pt>
                <c:pt idx="16">
                  <c:v>16.666666666666664</c:v>
                </c:pt>
                <c:pt idx="17">
                  <c:v>11.111111111111111</c:v>
                </c:pt>
                <c:pt idx="18">
                  <c:v>11.111111111111111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B-8A4A-8941-372B14530AAE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(malicious!$B$769:$F$769,malicious!$H$769:$L$769,malicious!$N$769:$R$769,malicious!$T$769:$X$769)</c:f>
              <c:numCache>
                <c:formatCode>0.0</c:formatCode>
                <c:ptCount val="20"/>
                <c:pt idx="0">
                  <c:v>32</c:v>
                </c:pt>
                <c:pt idx="1">
                  <c:v>33.6</c:v>
                </c:pt>
                <c:pt idx="2">
                  <c:v>16.8</c:v>
                </c:pt>
                <c:pt idx="3">
                  <c:v>17.599999999999998</c:v>
                </c:pt>
                <c:pt idx="4">
                  <c:v>0</c:v>
                </c:pt>
                <c:pt idx="5">
                  <c:v>50</c:v>
                </c:pt>
                <c:pt idx="6">
                  <c:v>22.222222222222221</c:v>
                </c:pt>
                <c:pt idx="7">
                  <c:v>11.111111111111111</c:v>
                </c:pt>
                <c:pt idx="8">
                  <c:v>16.666666666666664</c:v>
                </c:pt>
                <c:pt idx="9">
                  <c:v>0</c:v>
                </c:pt>
                <c:pt idx="10">
                  <c:v>16.901408450704224</c:v>
                </c:pt>
                <c:pt idx="11">
                  <c:v>36.619718309859159</c:v>
                </c:pt>
                <c:pt idx="12">
                  <c:v>14.084507042253522</c:v>
                </c:pt>
                <c:pt idx="13">
                  <c:v>30.985915492957744</c:v>
                </c:pt>
                <c:pt idx="14">
                  <c:v>1.4084507042253522</c:v>
                </c:pt>
                <c:pt idx="15">
                  <c:v>19.230769230769234</c:v>
                </c:pt>
                <c:pt idx="16">
                  <c:v>26.923076923076923</c:v>
                </c:pt>
                <c:pt idx="17">
                  <c:v>11.538461538461538</c:v>
                </c:pt>
                <c:pt idx="18">
                  <c:v>42.307692307692307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B-8A4A-8941-372B14530AAE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(malicious!$B$771:$F$771,malicious!$H$771:$L$771,malicious!$N$771:$R$771,malicious!$T$771:$X$771)</c:f>
              <c:numCache>
                <c:formatCode>0.0</c:formatCode>
                <c:ptCount val="20"/>
                <c:pt idx="0">
                  <c:v>53.793103448275858</c:v>
                </c:pt>
                <c:pt idx="1">
                  <c:v>32.41379310344827</c:v>
                </c:pt>
                <c:pt idx="2">
                  <c:v>6.8965517241379306</c:v>
                </c:pt>
                <c:pt idx="3">
                  <c:v>7.5862068965517242</c:v>
                </c:pt>
                <c:pt idx="4">
                  <c:v>0</c:v>
                </c:pt>
                <c:pt idx="5">
                  <c:v>53.333333333333336</c:v>
                </c:pt>
                <c:pt idx="6">
                  <c:v>40</c:v>
                </c:pt>
                <c:pt idx="7">
                  <c:v>0</c:v>
                </c:pt>
                <c:pt idx="8">
                  <c:v>6.666666666666667</c:v>
                </c:pt>
                <c:pt idx="9">
                  <c:v>0</c:v>
                </c:pt>
                <c:pt idx="10">
                  <c:v>78.125</c:v>
                </c:pt>
                <c:pt idx="11">
                  <c:v>14.0625</c:v>
                </c:pt>
                <c:pt idx="12">
                  <c:v>1.5625</c:v>
                </c:pt>
                <c:pt idx="13">
                  <c:v>6.25</c:v>
                </c:pt>
                <c:pt idx="14">
                  <c:v>0</c:v>
                </c:pt>
                <c:pt idx="15">
                  <c:v>48.979591836734691</c:v>
                </c:pt>
                <c:pt idx="16">
                  <c:v>28.571428571428569</c:v>
                </c:pt>
                <c:pt idx="17">
                  <c:v>8.1632653061224492</c:v>
                </c:pt>
                <c:pt idx="18">
                  <c:v>14.285714285714285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EB-8A4A-8941-372B14530AAE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(malicious!$B$770:$F$770,malicious!$H$770:$L$770,malicious!$N$770:$R$770,malicious!$T$770:$X$770)</c:f>
              <c:numCache>
                <c:formatCode>0.0</c:formatCode>
                <c:ptCount val="20"/>
                <c:pt idx="0">
                  <c:v>33.333333333333329</c:v>
                </c:pt>
                <c:pt idx="1">
                  <c:v>14.285714285714285</c:v>
                </c:pt>
                <c:pt idx="2">
                  <c:v>28.571428571428569</c:v>
                </c:pt>
                <c:pt idx="3">
                  <c:v>23.809523809523807</c:v>
                </c:pt>
                <c:pt idx="4">
                  <c:v>0</c:v>
                </c:pt>
                <c:pt idx="5">
                  <c:v>50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27.500000000000004</c:v>
                </c:pt>
                <c:pt idx="11">
                  <c:v>37.5</c:v>
                </c:pt>
                <c:pt idx="12">
                  <c:v>10</c:v>
                </c:pt>
                <c:pt idx="13">
                  <c:v>25</c:v>
                </c:pt>
                <c:pt idx="14">
                  <c:v>0</c:v>
                </c:pt>
                <c:pt idx="15">
                  <c:v>42.105263157894733</c:v>
                </c:pt>
                <c:pt idx="16">
                  <c:v>26.315789473684209</c:v>
                </c:pt>
                <c:pt idx="17">
                  <c:v>21.052631578947366</c:v>
                </c:pt>
                <c:pt idx="18">
                  <c:v>10.526315789473683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EB-8A4A-8941-372B14530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5"/>
          <c:order val="5"/>
          <c:tx>
            <c:strRef>
              <c:f>malicious!$A$795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(malicious!$B$795:$F$795,malicious!$H$795:$L$795,malicious!$N$795:$R$795,malicious!$T$795:$X$795)</c:f>
              <c:numCache>
                <c:formatCode>0.0</c:formatCode>
                <c:ptCount val="20"/>
                <c:pt idx="0">
                  <c:v>12.77533039647577</c:v>
                </c:pt>
                <c:pt idx="1">
                  <c:v>14.096916299559473</c:v>
                </c:pt>
                <c:pt idx="2">
                  <c:v>3.9647577092511015</c:v>
                </c:pt>
                <c:pt idx="3">
                  <c:v>7.4889867841409687</c:v>
                </c:pt>
                <c:pt idx="4">
                  <c:v>0</c:v>
                </c:pt>
                <c:pt idx="5">
                  <c:v>14.285714285714285</c:v>
                </c:pt>
                <c:pt idx="6">
                  <c:v>11.428571428571429</c:v>
                </c:pt>
                <c:pt idx="7">
                  <c:v>0</c:v>
                </c:pt>
                <c:pt idx="8">
                  <c:v>2.8571428571428572</c:v>
                </c:pt>
                <c:pt idx="9">
                  <c:v>0</c:v>
                </c:pt>
                <c:pt idx="10">
                  <c:v>32.592592592592595</c:v>
                </c:pt>
                <c:pt idx="11">
                  <c:v>12.592592592592592</c:v>
                </c:pt>
                <c:pt idx="12">
                  <c:v>2.9629629629629632</c:v>
                </c:pt>
                <c:pt idx="13">
                  <c:v>5.9259259259259265</c:v>
                </c:pt>
                <c:pt idx="14">
                  <c:v>0</c:v>
                </c:pt>
                <c:pt idx="15">
                  <c:v>61.111111111111114</c:v>
                </c:pt>
                <c:pt idx="16">
                  <c:v>11.111111111111111</c:v>
                </c:pt>
                <c:pt idx="17">
                  <c:v>11.111111111111111</c:v>
                </c:pt>
                <c:pt idx="18">
                  <c:v>5.5555555555555554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EB-8A4A-8941-372B14530AAE}"/>
            </c:ext>
          </c:extLst>
        </c:ser>
        <c:ser>
          <c:idx val="6"/>
          <c:order val="6"/>
          <c:tx>
            <c:strRef>
              <c:f>malicious!$A$796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(malicious!$B$796:$F$796,malicious!$H$796:$L$796,malicious!$N$796:$R$796,malicious!$T$796:$X$796)</c:f>
              <c:numCache>
                <c:formatCode>0.0</c:formatCode>
                <c:ptCount val="20"/>
                <c:pt idx="0">
                  <c:v>12</c:v>
                </c:pt>
                <c:pt idx="1">
                  <c:v>15.2</c:v>
                </c:pt>
                <c:pt idx="2">
                  <c:v>8.7999999999999989</c:v>
                </c:pt>
                <c:pt idx="3">
                  <c:v>7.1999999999999993</c:v>
                </c:pt>
                <c:pt idx="4">
                  <c:v>0</c:v>
                </c:pt>
                <c:pt idx="5">
                  <c:v>11.111111111111111</c:v>
                </c:pt>
                <c:pt idx="6">
                  <c:v>11.111111111111111</c:v>
                </c:pt>
                <c:pt idx="7">
                  <c:v>5.5555555555555554</c:v>
                </c:pt>
                <c:pt idx="8">
                  <c:v>11.111111111111111</c:v>
                </c:pt>
                <c:pt idx="9">
                  <c:v>0</c:v>
                </c:pt>
                <c:pt idx="10">
                  <c:v>7.7464788732394361</c:v>
                </c:pt>
                <c:pt idx="11">
                  <c:v>19.014084507042252</c:v>
                </c:pt>
                <c:pt idx="12">
                  <c:v>9.8591549295774641</c:v>
                </c:pt>
                <c:pt idx="13">
                  <c:v>15.492957746478872</c:v>
                </c:pt>
                <c:pt idx="14">
                  <c:v>0</c:v>
                </c:pt>
                <c:pt idx="15">
                  <c:v>7.6923076923076925</c:v>
                </c:pt>
                <c:pt idx="16">
                  <c:v>15.384615384615385</c:v>
                </c:pt>
                <c:pt idx="17">
                  <c:v>3.8461538461538463</c:v>
                </c:pt>
                <c:pt idx="18">
                  <c:v>38.461538461538467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EB-8A4A-8941-372B14530AAE}"/>
            </c:ext>
          </c:extLst>
        </c:ser>
        <c:ser>
          <c:idx val="8"/>
          <c:order val="7"/>
          <c:tx>
            <c:strRef>
              <c:f>malicious!$A$798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(malicious!$B$798:$F$798,malicious!$H$798:$L$798,malicious!$N$798:$R$798,malicious!$T$798:$X$798)</c:f>
              <c:numCache>
                <c:formatCode>0.0</c:formatCode>
                <c:ptCount val="20"/>
                <c:pt idx="0">
                  <c:v>10.344827586206897</c:v>
                </c:pt>
                <c:pt idx="1">
                  <c:v>8.2758620689655178</c:v>
                </c:pt>
                <c:pt idx="2">
                  <c:v>4.1379310344827589</c:v>
                </c:pt>
                <c:pt idx="3">
                  <c:v>4.1379310344827589</c:v>
                </c:pt>
                <c:pt idx="4">
                  <c:v>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34.375</c:v>
                </c:pt>
                <c:pt idx="11">
                  <c:v>1.5625</c:v>
                </c:pt>
                <c:pt idx="12">
                  <c:v>0</c:v>
                </c:pt>
                <c:pt idx="13">
                  <c:v>6.25</c:v>
                </c:pt>
                <c:pt idx="14">
                  <c:v>0</c:v>
                </c:pt>
                <c:pt idx="15">
                  <c:v>6.1224489795918364</c:v>
                </c:pt>
                <c:pt idx="16">
                  <c:v>8.1632653061224492</c:v>
                </c:pt>
                <c:pt idx="17">
                  <c:v>2.0408163265306123</c:v>
                </c:pt>
                <c:pt idx="18">
                  <c:v>10.204081632653061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EB-8A4A-8941-372B14530AAE}"/>
            </c:ext>
          </c:extLst>
        </c:ser>
        <c:ser>
          <c:idx val="7"/>
          <c:order val="8"/>
          <c:tx>
            <c:strRef>
              <c:f>malicious!$A$797</c:f>
              <c:strCache>
                <c:ptCount val="1"/>
                <c:pt idx="0">
                  <c:v>Olmo 3 Think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D07175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(malicious!$B$797:$F$797,malicious!$H$797:$L$797,malicious!$N$797:$R$797,malicious!$T$797:$X$797)</c:f>
              <c:numCache>
                <c:formatCode>0.0</c:formatCode>
                <c:ptCount val="20"/>
                <c:pt idx="0">
                  <c:v>19.047619047619047</c:v>
                </c:pt>
                <c:pt idx="1">
                  <c:v>0</c:v>
                </c:pt>
                <c:pt idx="2">
                  <c:v>9.5238095238095237</c:v>
                </c:pt>
                <c:pt idx="3">
                  <c:v>9.5238095238095237</c:v>
                </c:pt>
                <c:pt idx="4">
                  <c:v>0</c:v>
                </c:pt>
                <c:pt idx="5">
                  <c:v>50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27.500000000000004</c:v>
                </c:pt>
                <c:pt idx="12">
                  <c:v>7.5</c:v>
                </c:pt>
                <c:pt idx="13">
                  <c:v>15</c:v>
                </c:pt>
                <c:pt idx="14">
                  <c:v>0</c:v>
                </c:pt>
                <c:pt idx="15">
                  <c:v>36.84210526315789</c:v>
                </c:pt>
                <c:pt idx="16">
                  <c:v>21.052631578947366</c:v>
                </c:pt>
                <c:pt idx="17">
                  <c:v>21.052631578947366</c:v>
                </c:pt>
                <c:pt idx="18">
                  <c:v>10.526315789473683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EB-8A4A-8941-372B14530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286016"/>
        <c:axId val="520280192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(malicious!$B$772:$F$772,malicious!$H$772:$L$772,malicious!$N$772:$R$772,malicious!$T$772:$X$772)</c:f>
              <c:numCache>
                <c:formatCode>0.00</c:formatCode>
                <c:ptCount val="20"/>
                <c:pt idx="0">
                  <c:v>39.142842675578507</c:v>
                </c:pt>
                <c:pt idx="1">
                  <c:v>29.766506803237778</c:v>
                </c:pt>
                <c:pt idx="2" formatCode="0.0">
                  <c:v>15.820299038649333</c:v>
                </c:pt>
                <c:pt idx="3" formatCode="0.0">
                  <c:v>15.442765275637823</c:v>
                </c:pt>
                <c:pt idx="4" formatCode="0.0">
                  <c:v>0</c:v>
                </c:pt>
                <c:pt idx="5" formatCode="0.0">
                  <c:v>52.61904761904762</c:v>
                </c:pt>
                <c:pt idx="6">
                  <c:v>35.912698412698411</c:v>
                </c:pt>
                <c:pt idx="7" formatCode="0.0">
                  <c:v>4.2063492063492065</c:v>
                </c:pt>
                <c:pt idx="8" formatCode="0.0">
                  <c:v>7.2619047619047619</c:v>
                </c:pt>
                <c:pt idx="9" formatCode="0.0">
                  <c:v>0</c:v>
                </c:pt>
                <c:pt idx="10" formatCode="0.0">
                  <c:v>48.779750260824201</c:v>
                </c:pt>
                <c:pt idx="11">
                  <c:v>26.675184207094418</c:v>
                </c:pt>
                <c:pt idx="12" formatCode="0.0">
                  <c:v>7.1524925013041214</c:v>
                </c:pt>
                <c:pt idx="13" formatCode="0.0">
                  <c:v>17.040460354720917</c:v>
                </c:pt>
                <c:pt idx="14" formatCode="0.0">
                  <c:v>0.35211267605633806</c:v>
                </c:pt>
                <c:pt idx="15" formatCode="0.0">
                  <c:v>42.856683834127445</c:v>
                </c:pt>
                <c:pt idx="16">
                  <c:v>24.619240408714091</c:v>
                </c:pt>
                <c:pt idx="17" formatCode="0.0">
                  <c:v>12.966367383660616</c:v>
                </c:pt>
                <c:pt idx="18" formatCode="0.0">
                  <c:v>19.557708373497846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EB-8A4A-8941-372B14530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520280192"/>
        <c:scaling>
          <c:orientation val="minMax"/>
          <c:max val="100"/>
        </c:scaling>
        <c:delete val="0"/>
        <c:axPos val="r"/>
        <c:numFmt formatCode="0.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286016"/>
        <c:crosses val="max"/>
        <c:crossBetween val="between"/>
      </c:valAx>
      <c:catAx>
        <c:axId val="520286016"/>
        <c:scaling>
          <c:orientation val="minMax"/>
        </c:scaling>
        <c:delete val="1"/>
        <c:axPos val="b"/>
        <c:majorTickMark val="out"/>
        <c:minorTickMark val="none"/>
        <c:tickLblPos val="nextTo"/>
        <c:crossAx val="520280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Malicious Agents 2 &amp;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malicious!$A$649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(malicious!$B$777:$F$777,malicious!$H$777:$L$777,malicious!$N$777:$R$777,malicious!$T$777:$X$777)</c:f>
              <c:numCache>
                <c:formatCode>0.0</c:formatCode>
                <c:ptCount val="20"/>
                <c:pt idx="0">
                  <c:v>18.333333333333332</c:v>
                </c:pt>
                <c:pt idx="1">
                  <c:v>50.833333333333329</c:v>
                </c:pt>
                <c:pt idx="2">
                  <c:v>15</c:v>
                </c:pt>
                <c:pt idx="3">
                  <c:v>15.833333333333332</c:v>
                </c:pt>
                <c:pt idx="4">
                  <c:v>0</c:v>
                </c:pt>
                <c:pt idx="5">
                  <c:v>4.3478260869565215</c:v>
                </c:pt>
                <c:pt idx="6">
                  <c:v>69.565217391304344</c:v>
                </c:pt>
                <c:pt idx="7">
                  <c:v>13.043478260869565</c:v>
                </c:pt>
                <c:pt idx="8">
                  <c:v>13.043478260869565</c:v>
                </c:pt>
                <c:pt idx="9">
                  <c:v>0</c:v>
                </c:pt>
                <c:pt idx="10">
                  <c:v>35.897435897435898</c:v>
                </c:pt>
                <c:pt idx="11">
                  <c:v>44.871794871794876</c:v>
                </c:pt>
                <c:pt idx="12">
                  <c:v>7.6923076923076925</c:v>
                </c:pt>
                <c:pt idx="13">
                  <c:v>11.538461538461538</c:v>
                </c:pt>
                <c:pt idx="14">
                  <c:v>0</c:v>
                </c:pt>
                <c:pt idx="15">
                  <c:v>0</c:v>
                </c:pt>
                <c:pt idx="16">
                  <c:v>47.058823529411761</c:v>
                </c:pt>
                <c:pt idx="17">
                  <c:v>29.411764705882355</c:v>
                </c:pt>
                <c:pt idx="18">
                  <c:v>23.52941176470588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6-1843-86A8-58B7F0CEE7D2}"/>
            </c:ext>
          </c:extLst>
        </c:ser>
        <c:ser>
          <c:idx val="1"/>
          <c:order val="1"/>
          <c:tx>
            <c:strRef>
              <c:f>malicious!$A$650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(malicious!$B$778:$F$778,malicious!$H$778:$L$778,malicious!$N$778:$R$778,malicious!$T$778:$X$778)</c:f>
              <c:numCache>
                <c:formatCode>0.0</c:formatCode>
                <c:ptCount val="20"/>
                <c:pt idx="0">
                  <c:v>16.666666666666664</c:v>
                </c:pt>
                <c:pt idx="1">
                  <c:v>33.333333333333329</c:v>
                </c:pt>
                <c:pt idx="2">
                  <c:v>26.388888888888889</c:v>
                </c:pt>
                <c:pt idx="3">
                  <c:v>23.611111111111111</c:v>
                </c:pt>
                <c:pt idx="4">
                  <c:v>0</c:v>
                </c:pt>
                <c:pt idx="5">
                  <c:v>13.333333333333334</c:v>
                </c:pt>
                <c:pt idx="6">
                  <c:v>46.666666666666664</c:v>
                </c:pt>
                <c:pt idx="7">
                  <c:v>13.333333333333334</c:v>
                </c:pt>
                <c:pt idx="8">
                  <c:v>26.666666666666668</c:v>
                </c:pt>
                <c:pt idx="9">
                  <c:v>0</c:v>
                </c:pt>
                <c:pt idx="10">
                  <c:v>6</c:v>
                </c:pt>
                <c:pt idx="11">
                  <c:v>30</c:v>
                </c:pt>
                <c:pt idx="12">
                  <c:v>13</c:v>
                </c:pt>
                <c:pt idx="13">
                  <c:v>51</c:v>
                </c:pt>
                <c:pt idx="14">
                  <c:v>0</c:v>
                </c:pt>
                <c:pt idx="15">
                  <c:v>6.25</c:v>
                </c:pt>
                <c:pt idx="16">
                  <c:v>25</c:v>
                </c:pt>
                <c:pt idx="17">
                  <c:v>6.25</c:v>
                </c:pt>
                <c:pt idx="18">
                  <c:v>62.5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46-1843-86A8-58B7F0CEE7D2}"/>
            </c:ext>
          </c:extLst>
        </c:ser>
        <c:ser>
          <c:idx val="3"/>
          <c:order val="2"/>
          <c:tx>
            <c:strRef>
              <c:f>malicious!$A$652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(malicious!$B$780:$F$780,malicious!$H$780:$L$780,malicious!$N$780:$R$780,malicious!$T$780:$X$780)</c:f>
              <c:numCache>
                <c:formatCode>0.0</c:formatCode>
                <c:ptCount val="20"/>
                <c:pt idx="0">
                  <c:v>21.232876712328768</c:v>
                </c:pt>
                <c:pt idx="1">
                  <c:v>56.164383561643838</c:v>
                </c:pt>
                <c:pt idx="2">
                  <c:v>10.95890410958904</c:v>
                </c:pt>
                <c:pt idx="3">
                  <c:v>11.643835616438356</c:v>
                </c:pt>
                <c:pt idx="4">
                  <c:v>0</c:v>
                </c:pt>
                <c:pt idx="5">
                  <c:v>12.5</c:v>
                </c:pt>
                <c:pt idx="6">
                  <c:v>50</c:v>
                </c:pt>
                <c:pt idx="7">
                  <c:v>25</c:v>
                </c:pt>
                <c:pt idx="8">
                  <c:v>12.5</c:v>
                </c:pt>
                <c:pt idx="9">
                  <c:v>0</c:v>
                </c:pt>
                <c:pt idx="10">
                  <c:v>32.352941176470587</c:v>
                </c:pt>
                <c:pt idx="11">
                  <c:v>50</c:v>
                </c:pt>
                <c:pt idx="12">
                  <c:v>0</c:v>
                </c:pt>
                <c:pt idx="13">
                  <c:v>17.647058823529413</c:v>
                </c:pt>
                <c:pt idx="14">
                  <c:v>0</c:v>
                </c:pt>
                <c:pt idx="15">
                  <c:v>43.243243243243242</c:v>
                </c:pt>
                <c:pt idx="16">
                  <c:v>37.837837837837839</c:v>
                </c:pt>
                <c:pt idx="17">
                  <c:v>5.4054054054054053</c:v>
                </c:pt>
                <c:pt idx="18">
                  <c:v>13.513513513513514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46-1843-86A8-58B7F0CEE7D2}"/>
            </c:ext>
          </c:extLst>
        </c:ser>
        <c:ser>
          <c:idx val="2"/>
          <c:order val="3"/>
          <c:tx>
            <c:strRef>
              <c:f>malicious!$A$651</c:f>
              <c:strCache>
                <c:ptCount val="1"/>
                <c:pt idx="0">
                  <c:v>Olmo 3 Think</c:v>
                </c:pt>
              </c:strCache>
            </c:strRef>
          </c:tx>
          <c:spPr>
            <a:solidFill>
              <a:srgbClr val="D07175"/>
            </a:solidFill>
            <a:ln>
              <a:noFill/>
            </a:ln>
            <a:effectLst/>
          </c:spPr>
          <c:invertIfNegative val="0"/>
          <c:cat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(malicious!$B$779:$F$779,malicious!$H$779:$L$779,malicious!$N$779:$R$779,malicious!$T$779:$X$779)</c:f>
              <c:numCache>
                <c:formatCode>0.0</c:formatCode>
                <c:ptCount val="20"/>
                <c:pt idx="0">
                  <c:v>7.1428571428571423</c:v>
                </c:pt>
                <c:pt idx="1">
                  <c:v>42.857142857142854</c:v>
                </c:pt>
                <c:pt idx="2">
                  <c:v>35.714285714285715</c:v>
                </c:pt>
                <c:pt idx="3">
                  <c:v>14.285714285714285</c:v>
                </c:pt>
                <c:pt idx="4">
                  <c:v>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</c:v>
                </c:pt>
                <c:pt idx="12">
                  <c:v>17.857142857142858</c:v>
                </c:pt>
                <c:pt idx="13">
                  <c:v>32.142857142857146</c:v>
                </c:pt>
                <c:pt idx="14">
                  <c:v>0</c:v>
                </c:pt>
                <c:pt idx="15">
                  <c:v>0</c:v>
                </c:pt>
                <c:pt idx="16">
                  <c:v>33.333333333333329</c:v>
                </c:pt>
                <c:pt idx="17">
                  <c:v>16.666666666666664</c:v>
                </c:pt>
                <c:pt idx="18">
                  <c:v>50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46-1843-86A8-58B7F0CE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344384"/>
        <c:axId val="520346176"/>
      </c:barChart>
      <c:barChart>
        <c:barDir val="col"/>
        <c:grouping val="clustered"/>
        <c:varyColors val="0"/>
        <c:ser>
          <c:idx val="5"/>
          <c:order val="5"/>
          <c:tx>
            <c:strRef>
              <c:f>malicious!$A$804</c:f>
              <c:strCache>
                <c:ptCount val="1"/>
                <c:pt idx="0">
                  <c:v>Qwen2.5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08EBF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(malicious!$B$804:$F$804,malicious!$H$804:$L$804,malicious!$N$804:$R$804,malicious!$T$804:$X$804)</c:f>
              <c:numCache>
                <c:formatCode>0.0</c:formatCode>
                <c:ptCount val="20"/>
                <c:pt idx="0">
                  <c:v>0</c:v>
                </c:pt>
                <c:pt idx="1">
                  <c:v>15</c:v>
                </c:pt>
                <c:pt idx="2">
                  <c:v>5.833333333333333</c:v>
                </c:pt>
                <c:pt idx="3">
                  <c:v>6.666666666666667</c:v>
                </c:pt>
                <c:pt idx="4">
                  <c:v>0</c:v>
                </c:pt>
                <c:pt idx="5">
                  <c:v>0</c:v>
                </c:pt>
                <c:pt idx="6">
                  <c:v>21.739130434782609</c:v>
                </c:pt>
                <c:pt idx="7">
                  <c:v>8.695652173913043</c:v>
                </c:pt>
                <c:pt idx="8">
                  <c:v>4.3478260869565215</c:v>
                </c:pt>
                <c:pt idx="9">
                  <c:v>0</c:v>
                </c:pt>
                <c:pt idx="10">
                  <c:v>3.8461538461538463</c:v>
                </c:pt>
                <c:pt idx="11">
                  <c:v>34.615384615384613</c:v>
                </c:pt>
                <c:pt idx="12">
                  <c:v>6.4102564102564097</c:v>
                </c:pt>
                <c:pt idx="13">
                  <c:v>10.256410256410255</c:v>
                </c:pt>
                <c:pt idx="14">
                  <c:v>0</c:v>
                </c:pt>
                <c:pt idx="15">
                  <c:v>0</c:v>
                </c:pt>
                <c:pt idx="16">
                  <c:v>47.058823529411761</c:v>
                </c:pt>
                <c:pt idx="17">
                  <c:v>29.411764705882355</c:v>
                </c:pt>
                <c:pt idx="18">
                  <c:v>23.52941176470588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46-1843-86A8-58B7F0CEE7D2}"/>
            </c:ext>
          </c:extLst>
        </c:ser>
        <c:ser>
          <c:idx val="6"/>
          <c:order val="6"/>
          <c:tx>
            <c:strRef>
              <c:f>malicious!$A$805</c:f>
              <c:strCache>
                <c:ptCount val="1"/>
                <c:pt idx="0">
                  <c:v>Olmo 3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E49C7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(malicious!$B$805:$F$805,malicious!$H$805:$L$805,malicious!$N$805:$R$805,malicious!$T$805:$X$805)</c:f>
              <c:numCache>
                <c:formatCode>0.0</c:formatCode>
                <c:ptCount val="20"/>
                <c:pt idx="0">
                  <c:v>0</c:v>
                </c:pt>
                <c:pt idx="1">
                  <c:v>23.611111111111111</c:v>
                </c:pt>
                <c:pt idx="2">
                  <c:v>15.277777777777779</c:v>
                </c:pt>
                <c:pt idx="3">
                  <c:v>16.666666666666664</c:v>
                </c:pt>
                <c:pt idx="4">
                  <c:v>0</c:v>
                </c:pt>
                <c:pt idx="5">
                  <c:v>6.666666666666667</c:v>
                </c:pt>
                <c:pt idx="6">
                  <c:v>26.666666666666668</c:v>
                </c:pt>
                <c:pt idx="7">
                  <c:v>13.333333333333334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15</c:v>
                </c:pt>
                <c:pt idx="12">
                  <c:v>10</c:v>
                </c:pt>
                <c:pt idx="13">
                  <c:v>32</c:v>
                </c:pt>
                <c:pt idx="14">
                  <c:v>0</c:v>
                </c:pt>
                <c:pt idx="15">
                  <c:v>0</c:v>
                </c:pt>
                <c:pt idx="16">
                  <c:v>12.5</c:v>
                </c:pt>
                <c:pt idx="17">
                  <c:v>6.25</c:v>
                </c:pt>
                <c:pt idx="18">
                  <c:v>56.25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46-1843-86A8-58B7F0CEE7D2}"/>
            </c:ext>
          </c:extLst>
        </c:ser>
        <c:ser>
          <c:idx val="8"/>
          <c:order val="7"/>
          <c:tx>
            <c:strRef>
              <c:f>malicious!$A$807</c:f>
              <c:strCache>
                <c:ptCount val="1"/>
                <c:pt idx="0">
                  <c:v>Llama 3.2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77BA86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(malicious!$B$807:$F$807,malicious!$H$807:$L$807,malicious!$N$807:$R$807,malicious!$T$807:$X$807)</c:f>
              <c:numCache>
                <c:formatCode>0.0</c:formatCode>
                <c:ptCount val="20"/>
                <c:pt idx="0">
                  <c:v>0</c:v>
                </c:pt>
                <c:pt idx="1">
                  <c:v>17.123287671232877</c:v>
                </c:pt>
                <c:pt idx="2">
                  <c:v>2.054794520547945</c:v>
                </c:pt>
                <c:pt idx="3">
                  <c:v>8.2191780821917799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12.5</c:v>
                </c:pt>
                <c:pt idx="8">
                  <c:v>12.5</c:v>
                </c:pt>
                <c:pt idx="9">
                  <c:v>0</c:v>
                </c:pt>
                <c:pt idx="10">
                  <c:v>0</c:v>
                </c:pt>
                <c:pt idx="11">
                  <c:v>11.76470588235294</c:v>
                </c:pt>
                <c:pt idx="12">
                  <c:v>0</c:v>
                </c:pt>
                <c:pt idx="13">
                  <c:v>5.8823529411764701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2.7027027027027026</c:v>
                </c:pt>
                <c:pt idx="18">
                  <c:v>8.1081081081081088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46-1843-86A8-58B7F0CEE7D2}"/>
            </c:ext>
          </c:extLst>
        </c:ser>
        <c:ser>
          <c:idx val="7"/>
          <c:order val="8"/>
          <c:tx>
            <c:strRef>
              <c:f>malicious!$A$806</c:f>
              <c:strCache>
                <c:ptCount val="1"/>
                <c:pt idx="0">
                  <c:v>Olmo 3 Think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rgbClr val="D07175"/>
              </a:bgClr>
            </a:pattFill>
            <a:ln w="3175">
              <a:solidFill>
                <a:schemeClr val="tx1"/>
              </a:solidFill>
            </a:ln>
            <a:effectLst/>
          </c:spPr>
          <c:invertIfNegative val="0"/>
          <c:val>
            <c:numRef>
              <c:f>(malicious!$B$806:$F$806,malicious!$H$806:$L$806,malicious!$N$806:$R$806,malicious!$T$806:$X$806)</c:f>
              <c:numCache>
                <c:formatCode>0.0</c:formatCode>
                <c:ptCount val="20"/>
                <c:pt idx="0">
                  <c:v>0</c:v>
                </c:pt>
                <c:pt idx="1">
                  <c:v>28.571428571428569</c:v>
                </c:pt>
                <c:pt idx="2">
                  <c:v>21.428571428571427</c:v>
                </c:pt>
                <c:pt idx="3">
                  <c:v>7.1428571428571423</c:v>
                </c:pt>
                <c:pt idx="4">
                  <c:v>0</c:v>
                </c:pt>
                <c:pt idx="5">
                  <c:v>0</c:v>
                </c:pt>
                <c:pt idx="6">
                  <c:v>66.666666666666657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46.428571428571431</c:v>
                </c:pt>
                <c:pt idx="12">
                  <c:v>17.857142857142858</c:v>
                </c:pt>
                <c:pt idx="13">
                  <c:v>21.428571428571427</c:v>
                </c:pt>
                <c:pt idx="14">
                  <c:v>0</c:v>
                </c:pt>
                <c:pt idx="15">
                  <c:v>0</c:v>
                </c:pt>
                <c:pt idx="16">
                  <c:v>16.666666666666664</c:v>
                </c:pt>
                <c:pt idx="17">
                  <c:v>16.666666666666664</c:v>
                </c:pt>
                <c:pt idx="18">
                  <c:v>50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46-1843-86A8-58B7F0CE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3147008"/>
        <c:axId val="563146560"/>
      </c:barChart>
      <c:scatterChart>
        <c:scatterStyle val="lineMarker"/>
        <c:varyColors val="0"/>
        <c:ser>
          <c:idx val="4"/>
          <c:order val="4"/>
          <c:tx>
            <c:strRef>
              <c:f>malicious!$A$653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6"/>
            <c:spPr>
              <a:noFill/>
              <a:ln w="19050" cap="flat" cmpd="sng" algn="ctr">
                <a:solidFill>
                  <a:schemeClr val="tx1"/>
                </a:solidFill>
                <a:prstDash val="sysDash"/>
                <a:round/>
              </a:ln>
              <a:effectLst/>
            </c:spPr>
          </c:errBars>
          <c:xVal>
            <c:multiLvlStrRef>
              <c:f>(malicious!$B$647:$F$648,malicious!$H$647:$L$648,malicious!$N$647:$R$648,malicious!$T$647:$X$648)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xVal>
          <c:yVal>
            <c:numRef>
              <c:f>(malicious!$B$781:$F$781,malicious!$H$781:$L$781,malicious!$N$781:$R$781,malicious!$T$781:$X$781)</c:f>
              <c:numCache>
                <c:formatCode>0.00</c:formatCode>
                <c:ptCount val="20"/>
                <c:pt idx="0">
                  <c:v>15.843933463796477</c:v>
                </c:pt>
                <c:pt idx="1">
                  <c:v>45.797048271363337</c:v>
                </c:pt>
                <c:pt idx="2" formatCode="0.0">
                  <c:v>22.015519678190913</c:v>
                </c:pt>
                <c:pt idx="3" formatCode="0.0">
                  <c:v>16.343498586649272</c:v>
                </c:pt>
                <c:pt idx="4" formatCode="0.0">
                  <c:v>0</c:v>
                </c:pt>
                <c:pt idx="5" formatCode="0.0">
                  <c:v>7.5452898550724639</c:v>
                </c:pt>
                <c:pt idx="6">
                  <c:v>66.55797101449275</c:v>
                </c:pt>
                <c:pt idx="7" formatCode="0.0">
                  <c:v>12.844202898550725</c:v>
                </c:pt>
                <c:pt idx="8" formatCode="0.0">
                  <c:v>13.052536231884059</c:v>
                </c:pt>
                <c:pt idx="9" formatCode="0.0">
                  <c:v>0</c:v>
                </c:pt>
                <c:pt idx="10" formatCode="0.0">
                  <c:v>18.562594268476623</c:v>
                </c:pt>
                <c:pt idx="11">
                  <c:v>43.717948717948715</c:v>
                </c:pt>
                <c:pt idx="12" formatCode="0.0">
                  <c:v>9.6373626373626387</c:v>
                </c:pt>
                <c:pt idx="13" formatCode="0.0">
                  <c:v>28.082094376212027</c:v>
                </c:pt>
                <c:pt idx="14" formatCode="0.0">
                  <c:v>0</c:v>
                </c:pt>
                <c:pt idx="15" formatCode="0.0">
                  <c:v>12.373310810810811</c:v>
                </c:pt>
                <c:pt idx="16">
                  <c:v>35.807498675145737</c:v>
                </c:pt>
                <c:pt idx="17" formatCode="0.0">
                  <c:v>14.433459194488606</c:v>
                </c:pt>
                <c:pt idx="18" formatCode="0.0">
                  <c:v>37.38573131955485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46-1843-86A8-58B7F0CE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44384"/>
        <c:axId val="520346176"/>
      </c:scatterChart>
      <c:catAx>
        <c:axId val="5203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6176"/>
        <c:crosses val="autoZero"/>
        <c:auto val="1"/>
        <c:lblAlgn val="ctr"/>
        <c:lblOffset val="100"/>
        <c:noMultiLvlLbl val="0"/>
      </c:catAx>
      <c:valAx>
        <c:axId val="52034617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</a:t>
                </a:r>
                <a:r>
                  <a:rPr lang="en-GB" sz="1300" baseline="0">
                    <a:solidFill>
                      <a:schemeClr val="tx1"/>
                    </a:solidFill>
                  </a:rPr>
                  <a:t> (%)</a:t>
                </a:r>
                <a:endParaRPr lang="en-GB" sz="13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20344384"/>
        <c:crosses val="autoZero"/>
        <c:crossBetween val="between"/>
      </c:valAx>
      <c:valAx>
        <c:axId val="563146560"/>
        <c:scaling>
          <c:orientation val="minMax"/>
          <c:max val="100"/>
        </c:scaling>
        <c:delete val="0"/>
        <c:axPos val="r"/>
        <c:numFmt formatCode="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63147008"/>
        <c:crosses val="max"/>
        <c:crossBetween val="between"/>
      </c:valAx>
      <c:catAx>
        <c:axId val="563147008"/>
        <c:scaling>
          <c:orientation val="minMax"/>
        </c:scaling>
        <c:delete val="1"/>
        <c:axPos val="b"/>
        <c:majorTickMark val="out"/>
        <c:minorTickMark val="none"/>
        <c:tickLblPos val="nextTo"/>
        <c:crossAx val="563146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Both Share-Mode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'share-mode'!$A$190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('share-mode'!$B$190:$F$190,'share-mode'!$H$190:$L$190,'share-mode'!$N$190:$R$190,'share-mode'!$T$190:$X$190)</c:f>
              <c:numCache>
                <c:formatCode>0.0</c:formatCode>
                <c:ptCount val="20"/>
                <c:pt idx="0">
                  <c:v>81.226053639846739</c:v>
                </c:pt>
                <c:pt idx="1">
                  <c:v>6.5134099616858236</c:v>
                </c:pt>
                <c:pt idx="2">
                  <c:v>0.76628352490421447</c:v>
                </c:pt>
                <c:pt idx="3">
                  <c:v>11.494252873563218</c:v>
                </c:pt>
                <c:pt idx="4">
                  <c:v>0</c:v>
                </c:pt>
                <c:pt idx="5">
                  <c:v>82.608695652173907</c:v>
                </c:pt>
                <c:pt idx="6">
                  <c:v>8.695652173913043</c:v>
                </c:pt>
                <c:pt idx="7">
                  <c:v>4.3478260869565215</c:v>
                </c:pt>
                <c:pt idx="8">
                  <c:v>4.3478260869565215</c:v>
                </c:pt>
                <c:pt idx="9">
                  <c:v>0</c:v>
                </c:pt>
                <c:pt idx="10">
                  <c:v>78.656126482213438</c:v>
                </c:pt>
                <c:pt idx="11">
                  <c:v>4.7430830039525684</c:v>
                </c:pt>
                <c:pt idx="12">
                  <c:v>0.79051383399209485</c:v>
                </c:pt>
                <c:pt idx="13">
                  <c:v>15.810276679841898</c:v>
                </c:pt>
                <c:pt idx="14">
                  <c:v>0</c:v>
                </c:pt>
                <c:pt idx="15">
                  <c:v>98.76543209876543</c:v>
                </c:pt>
                <c:pt idx="16">
                  <c:v>1.2345679012345678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D-4242-B434-AD5B2FA867F7}"/>
            </c:ext>
          </c:extLst>
        </c:ser>
        <c:ser>
          <c:idx val="1"/>
          <c:order val="1"/>
          <c:tx>
            <c:strRef>
              <c:f>'share-mode'!$A$191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('share-mode'!$B$191:$F$191,'share-mode'!$H$191:$L$191,'share-mode'!$N$191:$R$191,'share-mode'!$T$191:$X$191)</c:f>
              <c:numCache>
                <c:formatCode>0.0</c:formatCode>
                <c:ptCount val="20"/>
                <c:pt idx="0">
                  <c:v>75.995449374288953</c:v>
                </c:pt>
                <c:pt idx="1">
                  <c:v>11.831626848691695</c:v>
                </c:pt>
                <c:pt idx="2">
                  <c:v>3.7542662116040959</c:v>
                </c:pt>
                <c:pt idx="3">
                  <c:v>8.4186575654152449</c:v>
                </c:pt>
                <c:pt idx="4">
                  <c:v>0</c:v>
                </c:pt>
                <c:pt idx="5">
                  <c:v>66.666666666666657</c:v>
                </c:pt>
                <c:pt idx="6">
                  <c:v>13.333333333333334</c:v>
                </c:pt>
                <c:pt idx="7">
                  <c:v>8.3333333333333321</c:v>
                </c:pt>
                <c:pt idx="8">
                  <c:v>11.666666666666666</c:v>
                </c:pt>
                <c:pt idx="9">
                  <c:v>0</c:v>
                </c:pt>
                <c:pt idx="10">
                  <c:v>83.146067415730343</c:v>
                </c:pt>
                <c:pt idx="11">
                  <c:v>6.7415730337078648</c:v>
                </c:pt>
                <c:pt idx="12">
                  <c:v>0</c:v>
                </c:pt>
                <c:pt idx="13">
                  <c:v>10.112359550561797</c:v>
                </c:pt>
                <c:pt idx="14">
                  <c:v>0</c:v>
                </c:pt>
                <c:pt idx="15">
                  <c:v>77.981651376146786</c:v>
                </c:pt>
                <c:pt idx="16">
                  <c:v>15.596330275229359</c:v>
                </c:pt>
                <c:pt idx="17">
                  <c:v>3.669724770642202</c:v>
                </c:pt>
                <c:pt idx="18">
                  <c:v>2.7522935779816518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D-4242-B434-AD5B2FA867F7}"/>
            </c:ext>
          </c:extLst>
        </c:ser>
        <c:ser>
          <c:idx val="2"/>
          <c:order val="2"/>
          <c:tx>
            <c:strRef>
              <c:f>'share-mode'!$A$192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('share-mode'!$B$192:$F$192,'share-mode'!$H$192:$L$192,'share-mode'!$N$192:$R$192,'share-mode'!$T$192:$X$192)</c:f>
              <c:numCache>
                <c:formatCode>0.0</c:formatCode>
                <c:ptCount val="20"/>
                <c:pt idx="0">
                  <c:v>33.333333333333329</c:v>
                </c:pt>
                <c:pt idx="1">
                  <c:v>33.333333333333329</c:v>
                </c:pt>
                <c:pt idx="2">
                  <c:v>14.814814814814813</c:v>
                </c:pt>
                <c:pt idx="3">
                  <c:v>18.518518518518519</c:v>
                </c:pt>
                <c:pt idx="4">
                  <c:v>0</c:v>
                </c:pt>
                <c:pt idx="5">
                  <c:v>37.5</c:v>
                </c:pt>
                <c:pt idx="6">
                  <c:v>0</c:v>
                </c:pt>
                <c:pt idx="7">
                  <c:v>43.75</c:v>
                </c:pt>
                <c:pt idx="8">
                  <c:v>18.75</c:v>
                </c:pt>
                <c:pt idx="9">
                  <c:v>0</c:v>
                </c:pt>
                <c:pt idx="10">
                  <c:v>40</c:v>
                </c:pt>
                <c:pt idx="11">
                  <c:v>25.882352941176475</c:v>
                </c:pt>
                <c:pt idx="12">
                  <c:v>14.117647058823529</c:v>
                </c:pt>
                <c:pt idx="13">
                  <c:v>20</c:v>
                </c:pt>
                <c:pt idx="14">
                  <c:v>0</c:v>
                </c:pt>
                <c:pt idx="15">
                  <c:v>47.368421052631575</c:v>
                </c:pt>
                <c:pt idx="16">
                  <c:v>26.315789473684209</c:v>
                </c:pt>
                <c:pt idx="17">
                  <c:v>7.8947368421052628</c:v>
                </c:pt>
                <c:pt idx="18">
                  <c:v>18.421052631578945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D-4242-B434-AD5B2FA86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'share-mode'!$A$193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('share-mode'!$B$193:$F$193,'share-mode'!$H$193:$L$193,'share-mode'!$N$193:$R$193,'share-mode'!$T$193:$X$193)</c:f>
              <c:numCache>
                <c:formatCode>0.00</c:formatCode>
                <c:ptCount val="20"/>
                <c:pt idx="0" formatCode="0.0">
                  <c:v>63.518278782489666</c:v>
                </c:pt>
                <c:pt idx="1">
                  <c:v>17.226123381236949</c:v>
                </c:pt>
                <c:pt idx="2" formatCode="0.0">
                  <c:v>6.4451215171077081</c:v>
                </c:pt>
                <c:pt idx="3" formatCode="0.0">
                  <c:v>12.810476319165661</c:v>
                </c:pt>
                <c:pt idx="4" formatCode="0.0">
                  <c:v>0</c:v>
                </c:pt>
                <c:pt idx="5" formatCode="0.0">
                  <c:v>62.25845410628019</c:v>
                </c:pt>
                <c:pt idx="6">
                  <c:v>7.3429951690821254</c:v>
                </c:pt>
                <c:pt idx="7" formatCode="0.0">
                  <c:v>18.810386473429951</c:v>
                </c:pt>
                <c:pt idx="8" formatCode="0.0">
                  <c:v>11.588164251207729</c:v>
                </c:pt>
                <c:pt idx="9" formatCode="0.0">
                  <c:v>0</c:v>
                </c:pt>
                <c:pt idx="10" formatCode="0.0">
                  <c:v>67.26739796598126</c:v>
                </c:pt>
                <c:pt idx="11">
                  <c:v>12.455669659612303</c:v>
                </c:pt>
                <c:pt idx="12" formatCode="0.0">
                  <c:v>4.9693869642718749</c:v>
                </c:pt>
                <c:pt idx="13" formatCode="0.0">
                  <c:v>15.307545410134566</c:v>
                </c:pt>
                <c:pt idx="14" formatCode="0.0">
                  <c:v>0</c:v>
                </c:pt>
                <c:pt idx="15" formatCode="0.0">
                  <c:v>74.70516817584793</c:v>
                </c:pt>
                <c:pt idx="16">
                  <c:v>14.382229216716047</c:v>
                </c:pt>
                <c:pt idx="17" formatCode="0.0">
                  <c:v>3.8548205375824884</c:v>
                </c:pt>
                <c:pt idx="18" formatCode="0.0">
                  <c:v>7.0577820698535332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3D-4242-B434-AD5B2FA86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  <c:spPr>
        <a:ln>
          <a:solidFill>
            <a:srgbClr val="D9D9D9"/>
          </a:solidFill>
        </a:ln>
      </c:spPr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Reasoning Share-Mode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'share-mode'!$A$198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('share-mode'!$B$198:$F$198,'share-mode'!$H$198:$L$198,'share-mode'!$N$198:$R$198,'share-mode'!$T$198:$W$198)</c:f>
              <c:numCache>
                <c:formatCode>0.0</c:formatCode>
                <c:ptCount val="19"/>
                <c:pt idx="0">
                  <c:v>68.148148148148152</c:v>
                </c:pt>
                <c:pt idx="1">
                  <c:v>10</c:v>
                </c:pt>
                <c:pt idx="2">
                  <c:v>1.8518518518518516</c:v>
                </c:pt>
                <c:pt idx="3">
                  <c:v>20</c:v>
                </c:pt>
                <c:pt idx="4">
                  <c:v>0</c:v>
                </c:pt>
                <c:pt idx="5">
                  <c:v>62</c:v>
                </c:pt>
                <c:pt idx="6">
                  <c:v>18</c:v>
                </c:pt>
                <c:pt idx="7">
                  <c:v>2</c:v>
                </c:pt>
                <c:pt idx="8">
                  <c:v>18</c:v>
                </c:pt>
                <c:pt idx="9">
                  <c:v>0</c:v>
                </c:pt>
                <c:pt idx="10">
                  <c:v>76.886792452830193</c:v>
                </c:pt>
                <c:pt idx="11">
                  <c:v>9.9056603773584904</c:v>
                </c:pt>
                <c:pt idx="12">
                  <c:v>0.47169811320754718</c:v>
                </c:pt>
                <c:pt idx="13">
                  <c:v>12.735849056603774</c:v>
                </c:pt>
                <c:pt idx="14">
                  <c:v>0</c:v>
                </c:pt>
                <c:pt idx="15">
                  <c:v>95.180722891566262</c:v>
                </c:pt>
                <c:pt idx="16">
                  <c:v>3.6144578313253009</c:v>
                </c:pt>
                <c:pt idx="17">
                  <c:v>1.2048192771084338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1-8C40-9DE1-EE221318BFEC}"/>
            </c:ext>
          </c:extLst>
        </c:ser>
        <c:ser>
          <c:idx val="1"/>
          <c:order val="1"/>
          <c:tx>
            <c:strRef>
              <c:f>'share-mode'!$A$199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('share-mode'!$B$199:$F$199,'share-mode'!$H$199:$L$199,'share-mode'!$N$199:$R$199,'share-mode'!$T$199:$X$199)</c:f>
              <c:numCache>
                <c:formatCode>0.0</c:formatCode>
                <c:ptCount val="20"/>
                <c:pt idx="0">
                  <c:v>73.917869034406209</c:v>
                </c:pt>
                <c:pt idx="1">
                  <c:v>14.095449500554938</c:v>
                </c:pt>
                <c:pt idx="2">
                  <c:v>2.4417314095449503</c:v>
                </c:pt>
                <c:pt idx="3">
                  <c:v>9.5449500554938957</c:v>
                </c:pt>
                <c:pt idx="4">
                  <c:v>0</c:v>
                </c:pt>
                <c:pt idx="5">
                  <c:v>79.166666666666657</c:v>
                </c:pt>
                <c:pt idx="6">
                  <c:v>14.583333333333334</c:v>
                </c:pt>
                <c:pt idx="7">
                  <c:v>2.083333333333333</c:v>
                </c:pt>
                <c:pt idx="8">
                  <c:v>4.1666666666666661</c:v>
                </c:pt>
                <c:pt idx="9">
                  <c:v>0</c:v>
                </c:pt>
                <c:pt idx="10">
                  <c:v>67.901234567901241</c:v>
                </c:pt>
                <c:pt idx="11">
                  <c:v>19.753086419753085</c:v>
                </c:pt>
                <c:pt idx="12">
                  <c:v>3.7037037037037033</c:v>
                </c:pt>
                <c:pt idx="13">
                  <c:v>8.6419753086419746</c:v>
                </c:pt>
                <c:pt idx="14">
                  <c:v>0</c:v>
                </c:pt>
                <c:pt idx="15">
                  <c:v>70.909090909090907</c:v>
                </c:pt>
                <c:pt idx="16">
                  <c:v>13.636363636363635</c:v>
                </c:pt>
                <c:pt idx="17">
                  <c:v>6.3636363636363633</c:v>
                </c:pt>
                <c:pt idx="18">
                  <c:v>9.0909090909090917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1-8C40-9DE1-EE221318BFEC}"/>
            </c:ext>
          </c:extLst>
        </c:ser>
        <c:ser>
          <c:idx val="2"/>
          <c:order val="2"/>
          <c:tx>
            <c:strRef>
              <c:f>'share-mode'!$A$200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('share-mode'!$B$200:$F$200,'share-mode'!$H$200:$L$200,'share-mode'!$N$200:$R$200,'share-mode'!$T$200:$X$200)</c:f>
              <c:numCache>
                <c:formatCode>0.0</c:formatCode>
                <c:ptCount val="20"/>
                <c:pt idx="0">
                  <c:v>27.956989247311824</c:v>
                </c:pt>
                <c:pt idx="1">
                  <c:v>28.49462365591398</c:v>
                </c:pt>
                <c:pt idx="2">
                  <c:v>23.118279569892472</c:v>
                </c:pt>
                <c:pt idx="3">
                  <c:v>20.43010752688172</c:v>
                </c:pt>
                <c:pt idx="4">
                  <c:v>0</c:v>
                </c:pt>
                <c:pt idx="5">
                  <c:v>26.315789473684209</c:v>
                </c:pt>
                <c:pt idx="6">
                  <c:v>42.105263157894733</c:v>
                </c:pt>
                <c:pt idx="7">
                  <c:v>26.315789473684209</c:v>
                </c:pt>
                <c:pt idx="8">
                  <c:v>5.2631578947368416</c:v>
                </c:pt>
                <c:pt idx="9">
                  <c:v>0</c:v>
                </c:pt>
                <c:pt idx="10">
                  <c:v>33.673469387755098</c:v>
                </c:pt>
                <c:pt idx="11">
                  <c:v>28.571428571428569</c:v>
                </c:pt>
                <c:pt idx="12">
                  <c:v>14.285714285714285</c:v>
                </c:pt>
                <c:pt idx="13">
                  <c:v>23.469387755102041</c:v>
                </c:pt>
                <c:pt idx="14">
                  <c:v>0</c:v>
                </c:pt>
                <c:pt idx="15">
                  <c:v>44</c:v>
                </c:pt>
                <c:pt idx="16">
                  <c:v>20</c:v>
                </c:pt>
                <c:pt idx="17">
                  <c:v>24</c:v>
                </c:pt>
                <c:pt idx="18">
                  <c:v>12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1-8C40-9DE1-EE221318B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'share-mode'!$A$193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('share-mode'!$B$201:$F$201,'share-mode'!$H$201:$L$201,'share-mode'!$N$201:$R$201,'share-mode'!$T$201:$X$201)</c:f>
              <c:numCache>
                <c:formatCode>0.00</c:formatCode>
                <c:ptCount val="20"/>
                <c:pt idx="0" formatCode="0.0">
                  <c:v>56.674335476622069</c:v>
                </c:pt>
                <c:pt idx="1">
                  <c:v>17.530024385489639</c:v>
                </c:pt>
                <c:pt idx="2" formatCode="0.0">
                  <c:v>9.1372876104297571</c:v>
                </c:pt>
                <c:pt idx="3" formatCode="0.0">
                  <c:v>16.658352527458536</c:v>
                </c:pt>
                <c:pt idx="4" formatCode="0.0">
                  <c:v>0</c:v>
                </c:pt>
                <c:pt idx="5" formatCode="0.0">
                  <c:v>55.827485380116961</c:v>
                </c:pt>
                <c:pt idx="6">
                  <c:v>24.896198830409357</c:v>
                </c:pt>
                <c:pt idx="7" formatCode="0.0">
                  <c:v>10.133040935672513</c:v>
                </c:pt>
                <c:pt idx="8" formatCode="0.0">
                  <c:v>9.1432748538011683</c:v>
                </c:pt>
                <c:pt idx="9" formatCode="0.0">
                  <c:v>0</c:v>
                </c:pt>
                <c:pt idx="10" formatCode="0.0">
                  <c:v>59.487165469495501</c:v>
                </c:pt>
                <c:pt idx="11">
                  <c:v>19.41005845618005</c:v>
                </c:pt>
                <c:pt idx="12" formatCode="0.0">
                  <c:v>6.1537053675418454</c:v>
                </c:pt>
                <c:pt idx="13" formatCode="0.0">
                  <c:v>14.949070706782598</c:v>
                </c:pt>
                <c:pt idx="14" formatCode="0.0">
                  <c:v>0</c:v>
                </c:pt>
                <c:pt idx="15" formatCode="0.0">
                  <c:v>70.029937933552389</c:v>
                </c:pt>
                <c:pt idx="16">
                  <c:v>12.416940489229646</c:v>
                </c:pt>
                <c:pt idx="17" formatCode="0.0">
                  <c:v>10.522818546914932</c:v>
                </c:pt>
                <c:pt idx="18" formatCode="0.0">
                  <c:v>7.0303030303030312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11-8C40-9DE1-EE221318B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Recovery Potential Convergence, Answer Share-Mode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'share-mode'!$A$206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('share-mode'!$B$206:$F$206,'share-mode'!$H$206:$L$206,'share-mode'!$N$206:$R$206,'share-mode'!$T$206:$X$206)</c:f>
              <c:numCache>
                <c:formatCode>0.0</c:formatCode>
                <c:ptCount val="20"/>
                <c:pt idx="0">
                  <c:v>70.72072072072072</c:v>
                </c:pt>
                <c:pt idx="1">
                  <c:v>6.756756756756757</c:v>
                </c:pt>
                <c:pt idx="2">
                  <c:v>3.1531531531531529</c:v>
                </c:pt>
                <c:pt idx="3">
                  <c:v>19.36936936936937</c:v>
                </c:pt>
                <c:pt idx="4">
                  <c:v>0</c:v>
                </c:pt>
                <c:pt idx="5">
                  <c:v>69.090909090909093</c:v>
                </c:pt>
                <c:pt idx="6">
                  <c:v>7.2727272727272725</c:v>
                </c:pt>
                <c:pt idx="7">
                  <c:v>10.909090909090908</c:v>
                </c:pt>
                <c:pt idx="8">
                  <c:v>12.727272727272727</c:v>
                </c:pt>
                <c:pt idx="9">
                  <c:v>0</c:v>
                </c:pt>
                <c:pt idx="10">
                  <c:v>73.451327433628322</c:v>
                </c:pt>
                <c:pt idx="11">
                  <c:v>7.9646017699115044</c:v>
                </c:pt>
                <c:pt idx="12">
                  <c:v>1.7699115044247788</c:v>
                </c:pt>
                <c:pt idx="13">
                  <c:v>16.814159292035399</c:v>
                </c:pt>
                <c:pt idx="14">
                  <c:v>0</c:v>
                </c:pt>
                <c:pt idx="15">
                  <c:v>88.52459016393442</c:v>
                </c:pt>
                <c:pt idx="16">
                  <c:v>11.475409836065573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7-D14E-9307-6E8F6F6F772A}"/>
            </c:ext>
          </c:extLst>
        </c:ser>
        <c:ser>
          <c:idx val="1"/>
          <c:order val="1"/>
          <c:tx>
            <c:strRef>
              <c:f>'share-mode'!$A$207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('share-mode'!$B$207:$F$207,'share-mode'!$H$207:$L$207,'share-mode'!$N$207:$R$207,'share-mode'!$T$207:$X$207)</c:f>
              <c:numCache>
                <c:formatCode>0.0</c:formatCode>
                <c:ptCount val="20"/>
                <c:pt idx="0">
                  <c:v>69.851116625310169</c:v>
                </c:pt>
                <c:pt idx="1">
                  <c:v>14.267990074441686</c:v>
                </c:pt>
                <c:pt idx="2">
                  <c:v>4.7146401985111659</c:v>
                </c:pt>
                <c:pt idx="3">
                  <c:v>11.166253101736972</c:v>
                </c:pt>
                <c:pt idx="4">
                  <c:v>0</c:v>
                </c:pt>
                <c:pt idx="5">
                  <c:v>65.306122448979593</c:v>
                </c:pt>
                <c:pt idx="6">
                  <c:v>18.367346938775512</c:v>
                </c:pt>
                <c:pt idx="7">
                  <c:v>6.1224489795918364</c:v>
                </c:pt>
                <c:pt idx="8">
                  <c:v>10.204081632653061</c:v>
                </c:pt>
                <c:pt idx="9">
                  <c:v>0</c:v>
                </c:pt>
                <c:pt idx="10">
                  <c:v>78.160919540229884</c:v>
                </c:pt>
                <c:pt idx="11">
                  <c:v>9.1954022988505741</c:v>
                </c:pt>
                <c:pt idx="12">
                  <c:v>3.4482758620689653</c:v>
                </c:pt>
                <c:pt idx="13">
                  <c:v>9.1954022988505741</c:v>
                </c:pt>
                <c:pt idx="14">
                  <c:v>0</c:v>
                </c:pt>
                <c:pt idx="15">
                  <c:v>69.369369369369366</c:v>
                </c:pt>
                <c:pt idx="16">
                  <c:v>15.315315315315313</c:v>
                </c:pt>
                <c:pt idx="17">
                  <c:v>10.810810810810811</c:v>
                </c:pt>
                <c:pt idx="18">
                  <c:v>4.5045045045045047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F7-D14E-9307-6E8F6F6F772A}"/>
            </c:ext>
          </c:extLst>
        </c:ser>
        <c:ser>
          <c:idx val="2"/>
          <c:order val="2"/>
          <c:tx>
            <c:strRef>
              <c:f>'share-mode'!$A$208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('share-mode'!$B$208:$F$208,'share-mode'!$H$208:$L$208,'share-mode'!$N$208:$R$208,'share-mode'!$T$208:$X$208)</c:f>
              <c:numCache>
                <c:formatCode>0.0</c:formatCode>
                <c:ptCount val="20"/>
                <c:pt idx="0">
                  <c:v>28.18181818181818</c:v>
                </c:pt>
                <c:pt idx="1">
                  <c:v>34.545454545454547</c:v>
                </c:pt>
                <c:pt idx="2">
                  <c:v>13.636363636363635</c:v>
                </c:pt>
                <c:pt idx="3">
                  <c:v>23.636363636363637</c:v>
                </c:pt>
                <c:pt idx="4">
                  <c:v>0</c:v>
                </c:pt>
                <c:pt idx="5">
                  <c:v>66.666666666666657</c:v>
                </c:pt>
                <c:pt idx="6">
                  <c:v>20</c:v>
                </c:pt>
                <c:pt idx="7">
                  <c:v>6.666666666666667</c:v>
                </c:pt>
                <c:pt idx="8">
                  <c:v>6.666666666666667</c:v>
                </c:pt>
                <c:pt idx="9">
                  <c:v>0</c:v>
                </c:pt>
                <c:pt idx="10">
                  <c:v>39.080459770114942</c:v>
                </c:pt>
                <c:pt idx="11">
                  <c:v>21.839080459770116</c:v>
                </c:pt>
                <c:pt idx="12">
                  <c:v>16.091954022988507</c:v>
                </c:pt>
                <c:pt idx="13">
                  <c:v>22.988505747126435</c:v>
                </c:pt>
                <c:pt idx="14">
                  <c:v>0</c:v>
                </c:pt>
                <c:pt idx="15">
                  <c:v>39.682539682539684</c:v>
                </c:pt>
                <c:pt idx="16">
                  <c:v>28.571428571428569</c:v>
                </c:pt>
                <c:pt idx="17">
                  <c:v>14.285714285714285</c:v>
                </c:pt>
                <c:pt idx="18">
                  <c:v>17.460317460317459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F7-D14E-9307-6E8F6F6F7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'share-mode'!$A$209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('share-mode'!$B$209:$F$209,'share-mode'!$H$209:$K$209,'share-mode'!$L$209,'share-mode'!$N$209:$R$209,'share-mode'!$T$209:$X$209)</c:f>
              <c:numCache>
                <c:formatCode>0.00</c:formatCode>
                <c:ptCount val="20"/>
                <c:pt idx="0" formatCode="0.0">
                  <c:v>56.251218509283028</c:v>
                </c:pt>
                <c:pt idx="1">
                  <c:v>18.523400458884328</c:v>
                </c:pt>
                <c:pt idx="2" formatCode="0.0">
                  <c:v>7.1680523293426512</c:v>
                </c:pt>
                <c:pt idx="3" formatCode="0.0">
                  <c:v>18.057328702489993</c:v>
                </c:pt>
                <c:pt idx="4" formatCode="0.0">
                  <c:v>0</c:v>
                </c:pt>
                <c:pt idx="5" formatCode="0.0">
                  <c:v>67.021232735518453</c:v>
                </c:pt>
                <c:pt idx="6">
                  <c:v>15.213358070500929</c:v>
                </c:pt>
                <c:pt idx="7" formatCode="0.0">
                  <c:v>7.8994021851164709</c:v>
                </c:pt>
                <c:pt idx="8" formatCode="0.0">
                  <c:v>9.8660070088641518</c:v>
                </c:pt>
                <c:pt idx="9" formatCode="0.0">
                  <c:v>0</c:v>
                </c:pt>
                <c:pt idx="10" formatCode="0.0">
                  <c:v>63.564235581324375</c:v>
                </c:pt>
                <c:pt idx="11">
                  <c:v>12.999694842844065</c:v>
                </c:pt>
                <c:pt idx="12" formatCode="0.0">
                  <c:v>7.1033804631607502</c:v>
                </c:pt>
                <c:pt idx="13" formatCode="0.0">
                  <c:v>16.332689112670803</c:v>
                </c:pt>
                <c:pt idx="14" formatCode="0.0">
                  <c:v>0</c:v>
                </c:pt>
                <c:pt idx="15" formatCode="0.0">
                  <c:v>65.858833071947814</c:v>
                </c:pt>
                <c:pt idx="16">
                  <c:v>18.454051240936483</c:v>
                </c:pt>
                <c:pt idx="17" formatCode="0.0">
                  <c:v>8.3655083655083651</c:v>
                </c:pt>
                <c:pt idx="18" formatCode="0.0">
                  <c:v>7.3216073216073214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F7-D14E-9307-6E8F6F6F7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Both Share-Mode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'share-mode'!$A$215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('share-mode'!$B$215:$F$215,'share-mode'!$H$215:$L$215,'share-mode'!$N$215:$R$215,'share-mode'!$T$215:$X$215)</c:f>
              <c:numCache>
                <c:formatCode>0.0</c:formatCode>
                <c:ptCount val="20"/>
                <c:pt idx="0">
                  <c:v>86.734693877551024</c:v>
                </c:pt>
                <c:pt idx="1">
                  <c:v>9.183673469387756</c:v>
                </c:pt>
                <c:pt idx="2">
                  <c:v>0</c:v>
                </c:pt>
                <c:pt idx="3">
                  <c:v>4.0816326530612246</c:v>
                </c:pt>
                <c:pt idx="4">
                  <c:v>0</c:v>
                </c:pt>
                <c:pt idx="5">
                  <c:v>83.333333333333343</c:v>
                </c:pt>
                <c:pt idx="6">
                  <c:v>0</c:v>
                </c:pt>
                <c:pt idx="7">
                  <c:v>0</c:v>
                </c:pt>
                <c:pt idx="8">
                  <c:v>16.666666666666664</c:v>
                </c:pt>
                <c:pt idx="9">
                  <c:v>0</c:v>
                </c:pt>
                <c:pt idx="10">
                  <c:v>94.505494505494497</c:v>
                </c:pt>
                <c:pt idx="11">
                  <c:v>2.197802197802198</c:v>
                </c:pt>
                <c:pt idx="12">
                  <c:v>1.098901098901099</c:v>
                </c:pt>
                <c:pt idx="13">
                  <c:v>2.197802197802198</c:v>
                </c:pt>
                <c:pt idx="14">
                  <c:v>0</c:v>
                </c:pt>
                <c:pt idx="15">
                  <c:v>97.959183673469383</c:v>
                </c:pt>
                <c:pt idx="16">
                  <c:v>0</c:v>
                </c:pt>
                <c:pt idx="17">
                  <c:v>0</c:v>
                </c:pt>
                <c:pt idx="18">
                  <c:v>2.0408163265306123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C-2548-9A29-4E7C05386238}"/>
            </c:ext>
          </c:extLst>
        </c:ser>
        <c:ser>
          <c:idx val="1"/>
          <c:order val="1"/>
          <c:tx>
            <c:strRef>
              <c:f>'share-mode'!$A$216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('share-mode'!$B$216:$F$216,'share-mode'!$H$216:$L$216,'share-mode'!$N$216:$R$216,'share-mode'!$T$216:$X$216)</c:f>
              <c:numCache>
                <c:formatCode>0.0</c:formatCode>
                <c:ptCount val="20"/>
                <c:pt idx="0">
                  <c:v>54.430379746835442</c:v>
                </c:pt>
                <c:pt idx="1">
                  <c:v>15.18987341772152</c:v>
                </c:pt>
                <c:pt idx="2">
                  <c:v>8.8607594936708853</c:v>
                </c:pt>
                <c:pt idx="3">
                  <c:v>21.518987341772153</c:v>
                </c:pt>
                <c:pt idx="4">
                  <c:v>0</c:v>
                </c:pt>
                <c:pt idx="5">
                  <c:v>84.210526315789465</c:v>
                </c:pt>
                <c:pt idx="6">
                  <c:v>5.2631578947368416</c:v>
                </c:pt>
                <c:pt idx="7">
                  <c:v>5.2631578947368416</c:v>
                </c:pt>
                <c:pt idx="8">
                  <c:v>5.2631578947368416</c:v>
                </c:pt>
                <c:pt idx="9">
                  <c:v>0</c:v>
                </c:pt>
                <c:pt idx="10">
                  <c:v>29.943502824858758</c:v>
                </c:pt>
                <c:pt idx="11">
                  <c:v>8.4745762711864394</c:v>
                </c:pt>
                <c:pt idx="12">
                  <c:v>4.5197740112994351</c:v>
                </c:pt>
                <c:pt idx="13">
                  <c:v>56.497175141242941</c:v>
                </c:pt>
                <c:pt idx="14">
                  <c:v>0.56497175141242939</c:v>
                </c:pt>
                <c:pt idx="15">
                  <c:v>26.47058823529412</c:v>
                </c:pt>
                <c:pt idx="16">
                  <c:v>23.52941176470588</c:v>
                </c:pt>
                <c:pt idx="17">
                  <c:v>8.8235294117647065</c:v>
                </c:pt>
                <c:pt idx="18">
                  <c:v>41.17647058823529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C-2548-9A29-4E7C05386238}"/>
            </c:ext>
          </c:extLst>
        </c:ser>
        <c:ser>
          <c:idx val="2"/>
          <c:order val="2"/>
          <c:tx>
            <c:strRef>
              <c:f>'share-mode'!$A$217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('share-mode'!$B$217:$F$217,'share-mode'!$H$217:$L$217,'share-mode'!$N$217:$R$217,'share-mode'!$T$217:$X$217)</c:f>
              <c:numCache>
                <c:formatCode>0.0</c:formatCode>
                <c:ptCount val="20"/>
                <c:pt idx="0">
                  <c:v>39.23444976076555</c:v>
                </c:pt>
                <c:pt idx="1">
                  <c:v>34.449760765550238</c:v>
                </c:pt>
                <c:pt idx="2">
                  <c:v>19.138755980861244</c:v>
                </c:pt>
                <c:pt idx="3">
                  <c:v>7.1770334928229662</c:v>
                </c:pt>
                <c:pt idx="4">
                  <c:v>0</c:v>
                </c:pt>
                <c:pt idx="5">
                  <c:v>14.814814814814813</c:v>
                </c:pt>
                <c:pt idx="6">
                  <c:v>59.259259259259252</c:v>
                </c:pt>
                <c:pt idx="7">
                  <c:v>22.222222222222221</c:v>
                </c:pt>
                <c:pt idx="8">
                  <c:v>3.7037037037037033</c:v>
                </c:pt>
                <c:pt idx="9">
                  <c:v>0</c:v>
                </c:pt>
                <c:pt idx="10">
                  <c:v>36</c:v>
                </c:pt>
                <c:pt idx="11">
                  <c:v>24</c:v>
                </c:pt>
                <c:pt idx="12">
                  <c:v>16</c:v>
                </c:pt>
                <c:pt idx="13">
                  <c:v>24</c:v>
                </c:pt>
                <c:pt idx="14">
                  <c:v>0</c:v>
                </c:pt>
                <c:pt idx="15">
                  <c:v>47.5</c:v>
                </c:pt>
                <c:pt idx="16">
                  <c:v>20</c:v>
                </c:pt>
                <c:pt idx="17">
                  <c:v>7.5</c:v>
                </c:pt>
                <c:pt idx="18">
                  <c:v>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7C-2548-9A29-4E7C05386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'share-mode'!$A$209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('share-mode'!$B$218:$F$218,'share-mode'!$H$218:$L$218,'share-mode'!$N$218:$R$218,'share-mode'!$T$218:$X$218)</c:f>
              <c:numCache>
                <c:formatCode>0.00</c:formatCode>
                <c:ptCount val="20"/>
                <c:pt idx="0" formatCode="0.0">
                  <c:v>60.133174461717346</c:v>
                </c:pt>
                <c:pt idx="1">
                  <c:v>19.607769217553173</c:v>
                </c:pt>
                <c:pt idx="2" formatCode="0.0">
                  <c:v>9.3331718248440438</c:v>
                </c:pt>
                <c:pt idx="3" formatCode="0.0">
                  <c:v>10.925884495885448</c:v>
                </c:pt>
                <c:pt idx="4" formatCode="0.0">
                  <c:v>0</c:v>
                </c:pt>
                <c:pt idx="5" formatCode="0.0">
                  <c:v>60.786224821312537</c:v>
                </c:pt>
                <c:pt idx="6">
                  <c:v>21.507472384665363</c:v>
                </c:pt>
                <c:pt idx="7" formatCode="0.0">
                  <c:v>9.1617933723196874</c:v>
                </c:pt>
                <c:pt idx="8" formatCode="0.0">
                  <c:v>8.5445094217024025</c:v>
                </c:pt>
                <c:pt idx="9" formatCode="0.0">
                  <c:v>0</c:v>
                </c:pt>
                <c:pt idx="10" formatCode="0.0">
                  <c:v>53.482999110117753</c:v>
                </c:pt>
                <c:pt idx="11">
                  <c:v>11.557459489662881</c:v>
                </c:pt>
                <c:pt idx="12" formatCode="0.0">
                  <c:v>7.2062250367335112</c:v>
                </c:pt>
                <c:pt idx="13" formatCode="0.0">
                  <c:v>27.564992446348381</c:v>
                </c:pt>
                <c:pt idx="14" formatCode="0.0">
                  <c:v>0.18832391713747645</c:v>
                </c:pt>
                <c:pt idx="15" formatCode="0.0">
                  <c:v>57.309923969587828</c:v>
                </c:pt>
                <c:pt idx="16">
                  <c:v>14.509803921568627</c:v>
                </c:pt>
                <c:pt idx="17" formatCode="0.0">
                  <c:v>5.4411764705882355</c:v>
                </c:pt>
                <c:pt idx="18" formatCode="0.0">
                  <c:v>22.739095638255304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7C-2548-9A29-4E7C05386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Reasoning Share-Mode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'share-mode'!$A$215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('share-mode'!$B$223:$F$223,'share-mode'!$H$223:$L$223,'share-mode'!$N$223:$R$223,'share-mode'!$T$223:$X$223)</c:f>
              <c:numCache>
                <c:formatCode>0.0</c:formatCode>
                <c:ptCount val="20"/>
                <c:pt idx="0">
                  <c:v>79.775280898876403</c:v>
                </c:pt>
                <c:pt idx="1">
                  <c:v>13.48314606741573</c:v>
                </c:pt>
                <c:pt idx="2">
                  <c:v>4.4943820224719104</c:v>
                </c:pt>
                <c:pt idx="3">
                  <c:v>2.2471910112359552</c:v>
                </c:pt>
                <c:pt idx="4">
                  <c:v>0</c:v>
                </c:pt>
                <c:pt idx="5">
                  <c:v>70.833333333333343</c:v>
                </c:pt>
                <c:pt idx="6">
                  <c:v>4.1666666666666661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82.51748251748252</c:v>
                </c:pt>
                <c:pt idx="11">
                  <c:v>6.6433566433566433</c:v>
                </c:pt>
                <c:pt idx="12">
                  <c:v>0</c:v>
                </c:pt>
                <c:pt idx="13">
                  <c:v>10.839160839160838</c:v>
                </c:pt>
                <c:pt idx="14">
                  <c:v>0</c:v>
                </c:pt>
                <c:pt idx="15">
                  <c:v>81.081081081081081</c:v>
                </c:pt>
                <c:pt idx="16">
                  <c:v>0</c:v>
                </c:pt>
                <c:pt idx="17">
                  <c:v>2.7027027027027026</c:v>
                </c:pt>
                <c:pt idx="18">
                  <c:v>16.216216216216218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8-6047-AEFE-0FA4600FE193}"/>
            </c:ext>
          </c:extLst>
        </c:ser>
        <c:ser>
          <c:idx val="1"/>
          <c:order val="1"/>
          <c:tx>
            <c:strRef>
              <c:f>'share-mode'!$A$216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('share-mode'!$B$224:$F$224,'share-mode'!$H$224:$L$224,'share-mode'!$N$224:$R$224,'share-mode'!$T$224:$X$224)</c:f>
              <c:numCache>
                <c:formatCode>0.0</c:formatCode>
                <c:ptCount val="20"/>
                <c:pt idx="0">
                  <c:v>57.142857142857139</c:v>
                </c:pt>
                <c:pt idx="1">
                  <c:v>14.285714285714285</c:v>
                </c:pt>
                <c:pt idx="2">
                  <c:v>9.0909090909090917</c:v>
                </c:pt>
                <c:pt idx="3">
                  <c:v>19.480519480519483</c:v>
                </c:pt>
                <c:pt idx="4">
                  <c:v>0</c:v>
                </c:pt>
                <c:pt idx="5">
                  <c:v>65.217391304347828</c:v>
                </c:pt>
                <c:pt idx="6">
                  <c:v>17.391304347826086</c:v>
                </c:pt>
                <c:pt idx="7">
                  <c:v>0</c:v>
                </c:pt>
                <c:pt idx="8">
                  <c:v>17.391304347826086</c:v>
                </c:pt>
                <c:pt idx="9">
                  <c:v>0</c:v>
                </c:pt>
                <c:pt idx="10">
                  <c:v>20.276497695852534</c:v>
                </c:pt>
                <c:pt idx="11">
                  <c:v>11.52073732718894</c:v>
                </c:pt>
                <c:pt idx="12">
                  <c:v>3.6866359447004609</c:v>
                </c:pt>
                <c:pt idx="13">
                  <c:v>64.516129032258064</c:v>
                </c:pt>
                <c:pt idx="14">
                  <c:v>0</c:v>
                </c:pt>
                <c:pt idx="15">
                  <c:v>41.379310344827587</c:v>
                </c:pt>
                <c:pt idx="16">
                  <c:v>24.137931034482758</c:v>
                </c:pt>
                <c:pt idx="17">
                  <c:v>3.4482758620689653</c:v>
                </c:pt>
                <c:pt idx="18">
                  <c:v>31.03448275862069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8-6047-AEFE-0FA4600FE193}"/>
            </c:ext>
          </c:extLst>
        </c:ser>
        <c:ser>
          <c:idx val="2"/>
          <c:order val="2"/>
          <c:tx>
            <c:strRef>
              <c:f>'share-mode'!$A$217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('share-mode'!$N$225:$Q$225,'share-mode'!$R$225,'share-mode'!$T$225:$X$225,'share-mode'!$H$225:$L$225,'share-mode'!$B$225:$F$225)</c:f>
              <c:numCache>
                <c:formatCode>0.0</c:formatCode>
                <c:ptCount val="20"/>
                <c:pt idx="0">
                  <c:v>41.666666666666671</c:v>
                </c:pt>
                <c:pt idx="1">
                  <c:v>19.047619047619047</c:v>
                </c:pt>
                <c:pt idx="2">
                  <c:v>9.5238095238095237</c:v>
                </c:pt>
                <c:pt idx="3">
                  <c:v>29.761904761904763</c:v>
                </c:pt>
                <c:pt idx="4">
                  <c:v>0</c:v>
                </c:pt>
                <c:pt idx="5">
                  <c:v>33.802816901408448</c:v>
                </c:pt>
                <c:pt idx="6">
                  <c:v>29.577464788732392</c:v>
                </c:pt>
                <c:pt idx="7">
                  <c:v>22.535211267605636</c:v>
                </c:pt>
                <c:pt idx="8">
                  <c:v>14.084507042253522</c:v>
                </c:pt>
                <c:pt idx="9">
                  <c:v>0</c:v>
                </c:pt>
                <c:pt idx="10">
                  <c:v>18.518518518518519</c:v>
                </c:pt>
                <c:pt idx="11">
                  <c:v>48.148148148148145</c:v>
                </c:pt>
                <c:pt idx="12">
                  <c:v>11.111111111111111</c:v>
                </c:pt>
                <c:pt idx="13">
                  <c:v>22.222222222222221</c:v>
                </c:pt>
                <c:pt idx="14">
                  <c:v>0</c:v>
                </c:pt>
                <c:pt idx="15">
                  <c:v>42.211055276381906</c:v>
                </c:pt>
                <c:pt idx="16">
                  <c:v>39.195979899497488</c:v>
                </c:pt>
                <c:pt idx="17">
                  <c:v>13.5678391959799</c:v>
                </c:pt>
                <c:pt idx="18">
                  <c:v>5.025125628140704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8-6047-AEFE-0FA4600FE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'share-mode'!$A$209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('share-mode'!$B$226:$F$226,'share-mode'!$H$226:$L$226,'share-mode'!$N$226:$R$226,'share-mode'!$T$226:$X$226)</c:f>
              <c:numCache>
                <c:formatCode>0.00</c:formatCode>
                <c:ptCount val="20"/>
                <c:pt idx="0" formatCode="0.0">
                  <c:v>59.709731106038475</c:v>
                </c:pt>
                <c:pt idx="1">
                  <c:v>22.321613417542505</c:v>
                </c:pt>
                <c:pt idx="2" formatCode="0.0">
                  <c:v>9.0510434364536341</c:v>
                </c:pt>
                <c:pt idx="3" formatCode="0.0">
                  <c:v>8.9176120399653804</c:v>
                </c:pt>
                <c:pt idx="4" formatCode="0.0">
                  <c:v>0</c:v>
                </c:pt>
                <c:pt idx="5" formatCode="0.0">
                  <c:v>51.523081052066573</c:v>
                </c:pt>
                <c:pt idx="6">
                  <c:v>23.235373054213635</c:v>
                </c:pt>
                <c:pt idx="7" formatCode="0.0">
                  <c:v>3.7037037037037037</c:v>
                </c:pt>
                <c:pt idx="8" formatCode="0.0">
                  <c:v>21.537842190016104</c:v>
                </c:pt>
                <c:pt idx="9" formatCode="0.0">
                  <c:v>0</c:v>
                </c:pt>
                <c:pt idx="10" formatCode="0.0">
                  <c:v>48.15354896000057</c:v>
                </c:pt>
                <c:pt idx="11">
                  <c:v>12.403904339388211</c:v>
                </c:pt>
                <c:pt idx="12" formatCode="0.0">
                  <c:v>4.4034818228366612</c:v>
                </c:pt>
                <c:pt idx="13" formatCode="0.0">
                  <c:v>35.039064877774557</c:v>
                </c:pt>
                <c:pt idx="14" formatCode="0.0">
                  <c:v>0</c:v>
                </c:pt>
                <c:pt idx="15" formatCode="0.0">
                  <c:v>52.087736109105698</c:v>
                </c:pt>
                <c:pt idx="16">
                  <c:v>17.905131941071716</c:v>
                </c:pt>
                <c:pt idx="17" formatCode="0.0">
                  <c:v>9.5620632774591012</c:v>
                </c:pt>
                <c:pt idx="18" formatCode="0.0">
                  <c:v>20.445068672363476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28-6047-AEFE-0FA4600FE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>
                <a:solidFill>
                  <a:schemeClr val="tx1"/>
                </a:solidFill>
              </a:defRPr>
            </a:pPr>
            <a:r>
              <a:rPr lang="en-GB" sz="1700" b="1" i="0" u="none" strike="noStrike" kern="1200" spc="0" baseline="0">
                <a:solidFill>
                  <a:schemeClr val="tx1"/>
                </a:solidFill>
              </a:rPr>
              <a:t>Propagation Rate Convergence, Answer Share-Mode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'share-mode'!$A$215</c:f>
              <c:strCache>
                <c:ptCount val="1"/>
                <c:pt idx="0">
                  <c:v>Qwen2.5</c:v>
                </c:pt>
              </c:strCache>
            </c:strRef>
          </c:tx>
          <c:spPr>
            <a:solidFill>
              <a:srgbClr val="708EBF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('share-mode'!$B$231:$F$231,'share-mode'!$H$231:$L$231,'share-mode'!$N$231:$R$231,'share-mode'!$T$231:$X$231)</c:f>
              <c:numCache>
                <c:formatCode>0.0</c:formatCode>
                <c:ptCount val="20"/>
                <c:pt idx="0">
                  <c:v>77.777777777777786</c:v>
                </c:pt>
                <c:pt idx="1">
                  <c:v>9.5238095238095237</c:v>
                </c:pt>
                <c:pt idx="2">
                  <c:v>0</c:v>
                </c:pt>
                <c:pt idx="3">
                  <c:v>12.698412698412698</c:v>
                </c:pt>
                <c:pt idx="4">
                  <c:v>0</c:v>
                </c:pt>
                <c:pt idx="5">
                  <c:v>72</c:v>
                </c:pt>
                <c:pt idx="6">
                  <c:v>8</c:v>
                </c:pt>
                <c:pt idx="7">
                  <c:v>8</c:v>
                </c:pt>
                <c:pt idx="8">
                  <c:v>12</c:v>
                </c:pt>
                <c:pt idx="9">
                  <c:v>0</c:v>
                </c:pt>
                <c:pt idx="10">
                  <c:v>89.433962264150949</c:v>
                </c:pt>
                <c:pt idx="11">
                  <c:v>3.0188679245283021</c:v>
                </c:pt>
                <c:pt idx="12">
                  <c:v>0</c:v>
                </c:pt>
                <c:pt idx="13">
                  <c:v>7.5471698113207548</c:v>
                </c:pt>
                <c:pt idx="14">
                  <c:v>0</c:v>
                </c:pt>
                <c:pt idx="15">
                  <c:v>45.714285714285715</c:v>
                </c:pt>
                <c:pt idx="16">
                  <c:v>2.8571428571428572</c:v>
                </c:pt>
                <c:pt idx="17">
                  <c:v>0</c:v>
                </c:pt>
                <c:pt idx="18">
                  <c:v>51.428571428571423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7-4D49-94C7-E923A1DD03EF}"/>
            </c:ext>
          </c:extLst>
        </c:ser>
        <c:ser>
          <c:idx val="1"/>
          <c:order val="1"/>
          <c:tx>
            <c:strRef>
              <c:f>'share-mode'!$A$216</c:f>
              <c:strCache>
                <c:ptCount val="1"/>
                <c:pt idx="0">
                  <c:v>Olmo 3</c:v>
                </c:pt>
              </c:strCache>
            </c:strRef>
          </c:tx>
          <c:spPr>
            <a:solidFill>
              <a:srgbClr val="E49C7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('share-mode'!$B$232:$F$232,'share-mode'!$H$232:$L$232,'share-mode'!$N$232:$R$232,'share-mode'!$T$232:$X$232)</c:f>
              <c:numCache>
                <c:formatCode>0.0</c:formatCode>
                <c:ptCount val="20"/>
                <c:pt idx="0">
                  <c:v>51.19047619047619</c:v>
                </c:pt>
                <c:pt idx="1">
                  <c:v>13.095238095238097</c:v>
                </c:pt>
                <c:pt idx="2">
                  <c:v>5.9523809523809517</c:v>
                </c:pt>
                <c:pt idx="3">
                  <c:v>29.761904761904763</c:v>
                </c:pt>
                <c:pt idx="4">
                  <c:v>0</c:v>
                </c:pt>
                <c:pt idx="5">
                  <c:v>83.333333333333343</c:v>
                </c:pt>
                <c:pt idx="6">
                  <c:v>5.5555555555555554</c:v>
                </c:pt>
                <c:pt idx="7">
                  <c:v>0</c:v>
                </c:pt>
                <c:pt idx="8">
                  <c:v>11.111111111111111</c:v>
                </c:pt>
                <c:pt idx="9">
                  <c:v>0</c:v>
                </c:pt>
                <c:pt idx="10">
                  <c:v>36.904761904761905</c:v>
                </c:pt>
                <c:pt idx="11">
                  <c:v>14.285714285714285</c:v>
                </c:pt>
                <c:pt idx="12">
                  <c:v>3.5714285714285712</c:v>
                </c:pt>
                <c:pt idx="13">
                  <c:v>45.238095238095241</c:v>
                </c:pt>
                <c:pt idx="14">
                  <c:v>0</c:v>
                </c:pt>
                <c:pt idx="15">
                  <c:v>36.666666666666664</c:v>
                </c:pt>
                <c:pt idx="16">
                  <c:v>6.666666666666667</c:v>
                </c:pt>
                <c:pt idx="17">
                  <c:v>10</c:v>
                </c:pt>
                <c:pt idx="18">
                  <c:v>46.666666666666664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7-4D49-94C7-E923A1DD03EF}"/>
            </c:ext>
          </c:extLst>
        </c:ser>
        <c:ser>
          <c:idx val="2"/>
          <c:order val="2"/>
          <c:tx>
            <c:strRef>
              <c:f>'share-mode'!$A$217</c:f>
              <c:strCache>
                <c:ptCount val="1"/>
                <c:pt idx="0">
                  <c:v>Llama 3.2</c:v>
                </c:pt>
              </c:strCache>
            </c:strRef>
          </c:tx>
          <c:spPr>
            <a:solidFill>
              <a:srgbClr val="77BA86"/>
            </a:solidFill>
          </c:spPr>
          <c:invertIfNegative val="0"/>
          <c:cat>
            <c:multiLvlStrRef>
              <c:f>('share-mode'!$B$188:$F$189,'share-mode'!$H$188:$L$189,'share-mode'!$N$188:$R$189,'share-mode'!$T$188:$X$189)</c:f>
              <c:multiLvlStrCache>
                <c:ptCount val="20"/>
                <c:lvl>
                  <c:pt idx="0">
                    <c:v>Round 1</c:v>
                  </c:pt>
                  <c:pt idx="1">
                    <c:v>Round 2</c:v>
                  </c:pt>
                  <c:pt idx="2">
                    <c:v>Round 3 </c:v>
                  </c:pt>
                  <c:pt idx="3">
                    <c:v>Final round</c:v>
                  </c:pt>
                  <c:pt idx="4">
                    <c:v>UCR</c:v>
                  </c:pt>
                  <c:pt idx="5">
                    <c:v>Round 1</c:v>
                  </c:pt>
                  <c:pt idx="6">
                    <c:v>Round 2</c:v>
                  </c:pt>
                  <c:pt idx="7">
                    <c:v>Round 3 </c:v>
                  </c:pt>
                  <c:pt idx="8">
                    <c:v>Final round</c:v>
                  </c:pt>
                  <c:pt idx="9">
                    <c:v>UCR</c:v>
                  </c:pt>
                  <c:pt idx="10">
                    <c:v>Round 1</c:v>
                  </c:pt>
                  <c:pt idx="11">
                    <c:v>Round 2</c:v>
                  </c:pt>
                  <c:pt idx="12">
                    <c:v>Round 3 </c:v>
                  </c:pt>
                  <c:pt idx="13">
                    <c:v>Final round</c:v>
                  </c:pt>
                  <c:pt idx="14">
                    <c:v>UCR</c:v>
                  </c:pt>
                  <c:pt idx="15">
                    <c:v>Round 1</c:v>
                  </c:pt>
                  <c:pt idx="16">
                    <c:v>Round 2</c:v>
                  </c:pt>
                  <c:pt idx="17">
                    <c:v>Round 3 </c:v>
                  </c:pt>
                  <c:pt idx="18">
                    <c:v>Final round</c:v>
                  </c:pt>
                  <c:pt idx="19">
                    <c:v>UCR</c:v>
                  </c:pt>
                </c:lvl>
                <c:lvl>
                  <c:pt idx="0">
                    <c:v>GSM8K</c:v>
                  </c:pt>
                  <c:pt idx="5">
                    <c:v>MMLU</c:v>
                  </c:pt>
                  <c:pt idx="10">
                    <c:v>StrategyQA </c:v>
                  </c:pt>
                  <c:pt idx="15">
                    <c:v>Sports</c:v>
                  </c:pt>
                </c:lvl>
              </c:multiLvlStrCache>
            </c:multiLvlStrRef>
          </c:cat>
          <c:val>
            <c:numRef>
              <c:f>('share-mode'!$B$233:$F$233,'share-mode'!$H$233:$L$233,'share-mode'!$N$233:$R$233,'share-mode'!$T$233:$X$233)</c:f>
              <c:numCache>
                <c:formatCode>0.0</c:formatCode>
                <c:ptCount val="20"/>
                <c:pt idx="0">
                  <c:v>49.565217391304351</c:v>
                </c:pt>
                <c:pt idx="1">
                  <c:v>26.956521739130434</c:v>
                </c:pt>
                <c:pt idx="2">
                  <c:v>17.391304347826086</c:v>
                </c:pt>
                <c:pt idx="3">
                  <c:v>6.0869565217391308</c:v>
                </c:pt>
                <c:pt idx="4">
                  <c:v>0</c:v>
                </c:pt>
                <c:pt idx="5">
                  <c:v>8.3333333333333321</c:v>
                </c:pt>
                <c:pt idx="6">
                  <c:v>33.333333333333329</c:v>
                </c:pt>
                <c:pt idx="7">
                  <c:v>16.666666666666664</c:v>
                </c:pt>
                <c:pt idx="8">
                  <c:v>41.666666666666671</c:v>
                </c:pt>
                <c:pt idx="9">
                  <c:v>0</c:v>
                </c:pt>
                <c:pt idx="10">
                  <c:v>32.894736842105267</c:v>
                </c:pt>
                <c:pt idx="11">
                  <c:v>15.789473684210526</c:v>
                </c:pt>
                <c:pt idx="12">
                  <c:v>17.105263157894736</c:v>
                </c:pt>
                <c:pt idx="13">
                  <c:v>34.210526315789473</c:v>
                </c:pt>
                <c:pt idx="14">
                  <c:v>0</c:v>
                </c:pt>
                <c:pt idx="15">
                  <c:v>42.1875</c:v>
                </c:pt>
                <c:pt idx="16">
                  <c:v>29.6875</c:v>
                </c:pt>
                <c:pt idx="17">
                  <c:v>12.5</c:v>
                </c:pt>
                <c:pt idx="18">
                  <c:v>15.625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7-4D49-94C7-E923A1DD0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644864"/>
        <c:axId val="229638144"/>
      </c:barChart>
      <c:scatterChart>
        <c:scatterStyle val="lineMarker"/>
        <c:varyColors val="0"/>
        <c:ser>
          <c:idx val="3"/>
          <c:order val="3"/>
          <c:tx>
            <c:strRef>
              <c:f>'share-mode'!$A$209</c:f>
              <c:strCache>
                <c:ptCount val="1"/>
                <c:pt idx="0">
                  <c:v>AVERAGE</c:v>
                </c:pt>
              </c:strCache>
            </c:strRef>
          </c:tx>
          <c:spPr>
            <a:ln w="25400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fixedVal"/>
            <c:noEndCap val="1"/>
            <c:val val="0.33"/>
            <c:spPr>
              <a:ln w="19050">
                <a:solidFill>
                  <a:schemeClr val="tx1"/>
                </a:solidFill>
                <a:prstDash val="sysDash"/>
              </a:ln>
            </c:spPr>
          </c:errBars>
          <c:yVal>
            <c:numRef>
              <c:f>('share-mode'!$B$234:$F$234,'share-mode'!$H$234:$L$234,'share-mode'!$N$234:$R$234,'share-mode'!$T$234:$X$234)</c:f>
              <c:numCache>
                <c:formatCode>0.00</c:formatCode>
                <c:ptCount val="20"/>
                <c:pt idx="0" formatCode="0.0">
                  <c:v>59.511157119852776</c:v>
                </c:pt>
                <c:pt idx="1">
                  <c:v>16.525189786059354</c:v>
                </c:pt>
                <c:pt idx="2" formatCode="0.0">
                  <c:v>7.7812284334023465</c:v>
                </c:pt>
                <c:pt idx="3" formatCode="0.0">
                  <c:v>16.18242466068553</c:v>
                </c:pt>
                <c:pt idx="4" formatCode="0.0">
                  <c:v>0</c:v>
                </c:pt>
                <c:pt idx="5" formatCode="0.0">
                  <c:v>54.555555555555564</c:v>
                </c:pt>
                <c:pt idx="6">
                  <c:v>15.629629629629628</c:v>
                </c:pt>
                <c:pt idx="7" formatCode="0.0">
                  <c:v>8.2222222222222214</c:v>
                </c:pt>
                <c:pt idx="8" formatCode="0.0">
                  <c:v>21.592592592592595</c:v>
                </c:pt>
                <c:pt idx="9" formatCode="0.0">
                  <c:v>0</c:v>
                </c:pt>
                <c:pt idx="10" formatCode="0.0">
                  <c:v>53.077820337006038</c:v>
                </c:pt>
                <c:pt idx="11">
                  <c:v>11.031351964817704</c:v>
                </c:pt>
                <c:pt idx="12" formatCode="0.0">
                  <c:v>6.8922305764411034</c:v>
                </c:pt>
                <c:pt idx="13" formatCode="0.0">
                  <c:v>28.998597121735155</c:v>
                </c:pt>
                <c:pt idx="14" formatCode="0.0">
                  <c:v>0</c:v>
                </c:pt>
                <c:pt idx="15" formatCode="0.0">
                  <c:v>41.522817460317462</c:v>
                </c:pt>
                <c:pt idx="16">
                  <c:v>13.070436507936508</c:v>
                </c:pt>
                <c:pt idx="17" formatCode="0.0">
                  <c:v>7.5</c:v>
                </c:pt>
                <c:pt idx="18" formatCode="0.0">
                  <c:v>37.906746031746032</c:v>
                </c:pt>
                <c:pt idx="19" formatCode="0.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B7-4D49-94C7-E923A1DD0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44864"/>
        <c:axId val="229638144"/>
      </c:scatterChart>
      <c:catAx>
        <c:axId val="2296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38144"/>
        <c:crosses val="autoZero"/>
        <c:auto val="1"/>
        <c:lblAlgn val="ctr"/>
        <c:lblOffset val="100"/>
        <c:noMultiLvlLbl val="0"/>
      </c:catAx>
      <c:valAx>
        <c:axId val="22963814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>
                    <a:solidFill>
                      <a:schemeClr val="tx1"/>
                    </a:solidFill>
                  </a:defRPr>
                </a:pPr>
                <a:r>
                  <a:rPr lang="en-GB" sz="1300">
                    <a:solidFill>
                      <a:schemeClr val="tx1"/>
                    </a:solidFill>
                  </a:rPr>
                  <a:t>Convergence rate (%) 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chemeClr val="tx1"/>
                </a:solidFill>
              </a:defRPr>
            </a:pPr>
            <a:endParaRPr lang="en-DK"/>
          </a:p>
        </c:txPr>
        <c:crossAx val="229644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>
              <a:solidFill>
                <a:schemeClr val="tx1"/>
              </a:solidFill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18" Type="http://schemas.openxmlformats.org/officeDocument/2006/relationships/chart" Target="../charts/chart30.xml"/><Relationship Id="rId3" Type="http://schemas.openxmlformats.org/officeDocument/2006/relationships/chart" Target="../charts/chart15.xml"/><Relationship Id="rId21" Type="http://schemas.openxmlformats.org/officeDocument/2006/relationships/chart" Target="../charts/chart33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17" Type="http://schemas.openxmlformats.org/officeDocument/2006/relationships/chart" Target="../charts/chart29.xml"/><Relationship Id="rId2" Type="http://schemas.openxmlformats.org/officeDocument/2006/relationships/chart" Target="../charts/chart14.xml"/><Relationship Id="rId16" Type="http://schemas.openxmlformats.org/officeDocument/2006/relationships/chart" Target="../charts/chart28.xml"/><Relationship Id="rId20" Type="http://schemas.openxmlformats.org/officeDocument/2006/relationships/chart" Target="../charts/chart32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24" Type="http://schemas.openxmlformats.org/officeDocument/2006/relationships/chart" Target="../charts/chart36.xml"/><Relationship Id="rId5" Type="http://schemas.openxmlformats.org/officeDocument/2006/relationships/chart" Target="../charts/chart17.xml"/><Relationship Id="rId15" Type="http://schemas.openxmlformats.org/officeDocument/2006/relationships/chart" Target="../charts/chart27.xml"/><Relationship Id="rId23" Type="http://schemas.openxmlformats.org/officeDocument/2006/relationships/chart" Target="../charts/chart35.xml"/><Relationship Id="rId10" Type="http://schemas.openxmlformats.org/officeDocument/2006/relationships/chart" Target="../charts/chart22.xml"/><Relationship Id="rId19" Type="http://schemas.openxmlformats.org/officeDocument/2006/relationships/chart" Target="../charts/chart31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Relationship Id="rId22" Type="http://schemas.openxmlformats.org/officeDocument/2006/relationships/chart" Target="../charts/chart3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12" Type="http://schemas.openxmlformats.org/officeDocument/2006/relationships/chart" Target="../charts/chart48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11" Type="http://schemas.openxmlformats.org/officeDocument/2006/relationships/chart" Target="../charts/chart47.xml"/><Relationship Id="rId5" Type="http://schemas.openxmlformats.org/officeDocument/2006/relationships/chart" Target="../charts/chart41.xml"/><Relationship Id="rId10" Type="http://schemas.openxmlformats.org/officeDocument/2006/relationships/chart" Target="../charts/chart46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12" Type="http://schemas.openxmlformats.org/officeDocument/2006/relationships/chart" Target="../charts/chart60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11" Type="http://schemas.openxmlformats.org/officeDocument/2006/relationships/chart" Target="../charts/chart59.xml"/><Relationship Id="rId5" Type="http://schemas.openxmlformats.org/officeDocument/2006/relationships/chart" Target="../charts/chart53.xml"/><Relationship Id="rId10" Type="http://schemas.openxmlformats.org/officeDocument/2006/relationships/chart" Target="../charts/chart58.xml"/><Relationship Id="rId4" Type="http://schemas.openxmlformats.org/officeDocument/2006/relationships/chart" Target="../charts/chart52.xml"/><Relationship Id="rId9" Type="http://schemas.openxmlformats.org/officeDocument/2006/relationships/chart" Target="../charts/chart5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571499</xdr:colOff>
      <xdr:row>481</xdr:row>
      <xdr:rowOff>57853</xdr:rowOff>
    </xdr:from>
    <xdr:to>
      <xdr:col>44</xdr:col>
      <xdr:colOff>642958</xdr:colOff>
      <xdr:row>505</xdr:row>
      <xdr:rowOff>149970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31E6A-D897-8A46-B68B-64CB9F079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71965</xdr:colOff>
      <xdr:row>480</xdr:row>
      <xdr:rowOff>169332</xdr:rowOff>
    </xdr:from>
    <xdr:to>
      <xdr:col>62</xdr:col>
      <xdr:colOff>143424</xdr:colOff>
      <xdr:row>505</xdr:row>
      <xdr:rowOff>70949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CC052A-8CF6-5F42-B6DB-49130CAC1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63</xdr:col>
      <xdr:colOff>71965</xdr:colOff>
      <xdr:row>481</xdr:row>
      <xdr:rowOff>16931</xdr:rowOff>
    </xdr:from>
    <xdr:to>
      <xdr:col>79</xdr:col>
      <xdr:colOff>143424</xdr:colOff>
      <xdr:row>505</xdr:row>
      <xdr:rowOff>109048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F0A390-737F-1849-B54A-BE51194D5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0</xdr:colOff>
      <xdr:row>509</xdr:row>
      <xdr:rowOff>-1</xdr:rowOff>
    </xdr:from>
    <xdr:to>
      <xdr:col>44</xdr:col>
      <xdr:colOff>71459</xdr:colOff>
      <xdr:row>532</xdr:row>
      <xdr:rowOff>49783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D16A4C-EAE8-4148-965C-771741AA3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448731</xdr:colOff>
      <xdr:row>509</xdr:row>
      <xdr:rowOff>21167</xdr:rowOff>
    </xdr:from>
    <xdr:to>
      <xdr:col>61</xdr:col>
      <xdr:colOff>520190</xdr:colOff>
      <xdr:row>532</xdr:row>
      <xdr:rowOff>70951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55F5E3-2D29-8F4E-97B5-4B1CACA2D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62</xdr:col>
      <xdr:colOff>613833</xdr:colOff>
      <xdr:row>509</xdr:row>
      <xdr:rowOff>148166</xdr:rowOff>
    </xdr:from>
    <xdr:to>
      <xdr:col>79</xdr:col>
      <xdr:colOff>7958</xdr:colOff>
      <xdr:row>533</xdr:row>
      <xdr:rowOff>7450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671A92-4C92-9742-B7D8-349260C05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321733</xdr:colOff>
      <xdr:row>561</xdr:row>
      <xdr:rowOff>101599</xdr:rowOff>
    </xdr:from>
    <xdr:to>
      <xdr:col>44</xdr:col>
      <xdr:colOff>393192</xdr:colOff>
      <xdr:row>584</xdr:row>
      <xdr:rowOff>363049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D6B1E9-9BC9-DE48-AB4D-9BC92A22D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0</xdr:colOff>
      <xdr:row>585</xdr:row>
      <xdr:rowOff>190499</xdr:rowOff>
    </xdr:from>
    <xdr:to>
      <xdr:col>44</xdr:col>
      <xdr:colOff>71459</xdr:colOff>
      <xdr:row>609</xdr:row>
      <xdr:rowOff>49783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CF50826-238E-5448-9632-8B3C86545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677332</xdr:colOff>
      <xdr:row>561</xdr:row>
      <xdr:rowOff>63500</xdr:rowOff>
    </xdr:from>
    <xdr:to>
      <xdr:col>62</xdr:col>
      <xdr:colOff>71458</xdr:colOff>
      <xdr:row>584</xdr:row>
      <xdr:rowOff>324950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88EF36-CAB9-6C4F-B3F0-3D8251628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62</xdr:col>
      <xdr:colOff>592668</xdr:colOff>
      <xdr:row>561</xdr:row>
      <xdr:rowOff>42333</xdr:rowOff>
    </xdr:from>
    <xdr:to>
      <xdr:col>78</xdr:col>
      <xdr:colOff>664126</xdr:colOff>
      <xdr:row>584</xdr:row>
      <xdr:rowOff>303783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CC84DBA-A5B7-9A47-BDE5-83D96778A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45</xdr:col>
      <xdr:colOff>529165</xdr:colOff>
      <xdr:row>585</xdr:row>
      <xdr:rowOff>190499</xdr:rowOff>
    </xdr:from>
    <xdr:to>
      <xdr:col>61</xdr:col>
      <xdr:colOff>600624</xdr:colOff>
      <xdr:row>609</xdr:row>
      <xdr:rowOff>49783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4925414-AFEC-D942-982C-83D668A60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62</xdr:col>
      <xdr:colOff>635001</xdr:colOff>
      <xdr:row>586</xdr:row>
      <xdr:rowOff>42333</xdr:rowOff>
    </xdr:from>
    <xdr:to>
      <xdr:col>79</xdr:col>
      <xdr:colOff>29126</xdr:colOff>
      <xdr:row>609</xdr:row>
      <xdr:rowOff>92117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DDB0181-17E2-6B4C-8D36-E6BD4CFBD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770466</xdr:colOff>
      <xdr:row>469</xdr:row>
      <xdr:rowOff>160865</xdr:rowOff>
    </xdr:from>
    <xdr:to>
      <xdr:col>46</xdr:col>
      <xdr:colOff>96858</xdr:colOff>
      <xdr:row>496</xdr:row>
      <xdr:rowOff>147149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FF4DA-5399-AC42-ABED-D33C6D5BB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677332</xdr:colOff>
      <xdr:row>469</xdr:row>
      <xdr:rowOff>110066</xdr:rowOff>
    </xdr:from>
    <xdr:to>
      <xdr:col>63</xdr:col>
      <xdr:colOff>71457</xdr:colOff>
      <xdr:row>496</xdr:row>
      <xdr:rowOff>96350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2683AE-B1AB-D04B-933B-81E56594D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63</xdr:col>
      <xdr:colOff>601132</xdr:colOff>
      <xdr:row>469</xdr:row>
      <xdr:rowOff>135466</xdr:rowOff>
    </xdr:from>
    <xdr:to>
      <xdr:col>79</xdr:col>
      <xdr:colOff>672591</xdr:colOff>
      <xdr:row>496</xdr:row>
      <xdr:rowOff>121750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8E76A7-6CA9-FE45-B372-224505869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752190</xdr:colOff>
      <xdr:row>497</xdr:row>
      <xdr:rowOff>136808</xdr:rowOff>
    </xdr:from>
    <xdr:to>
      <xdr:col>46</xdr:col>
      <xdr:colOff>82815</xdr:colOff>
      <xdr:row>524</xdr:row>
      <xdr:rowOff>123092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13A7CE-C12E-5B45-8E71-C4CF88690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630766</xdr:colOff>
      <xdr:row>497</xdr:row>
      <xdr:rowOff>182032</xdr:rowOff>
    </xdr:from>
    <xdr:to>
      <xdr:col>63</xdr:col>
      <xdr:colOff>24891</xdr:colOff>
      <xdr:row>524</xdr:row>
      <xdr:rowOff>168316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F55793-C6EB-694E-8ADA-B0D19EE09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63</xdr:col>
      <xdr:colOff>647699</xdr:colOff>
      <xdr:row>498</xdr:row>
      <xdr:rowOff>25400</xdr:rowOff>
    </xdr:from>
    <xdr:to>
      <xdr:col>80</xdr:col>
      <xdr:colOff>41825</xdr:colOff>
      <xdr:row>525</xdr:row>
      <xdr:rowOff>11684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513BAC-4468-7C40-866C-E1C0093D7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809496</xdr:colOff>
      <xdr:row>525</xdr:row>
      <xdr:rowOff>125451</xdr:rowOff>
    </xdr:from>
    <xdr:to>
      <xdr:col>46</xdr:col>
      <xdr:colOff>140121</xdr:colOff>
      <xdr:row>552</xdr:row>
      <xdr:rowOff>111735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3432EE3-DD8D-C646-B398-B0D78FB11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499533</xdr:colOff>
      <xdr:row>525</xdr:row>
      <xdr:rowOff>148167</xdr:rowOff>
    </xdr:from>
    <xdr:to>
      <xdr:col>62</xdr:col>
      <xdr:colOff>570992</xdr:colOff>
      <xdr:row>552</xdr:row>
      <xdr:rowOff>134451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F5CBEEE-42C6-7A43-9E2C-955FB8085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63</xdr:col>
      <xdr:colOff>584199</xdr:colOff>
      <xdr:row>527</xdr:row>
      <xdr:rowOff>63499</xdr:rowOff>
    </xdr:from>
    <xdr:to>
      <xdr:col>79</xdr:col>
      <xdr:colOff>655658</xdr:colOff>
      <xdr:row>554</xdr:row>
      <xdr:rowOff>49783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ECEDB73-43FF-1246-9016-4308F49BA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772634</xdr:colOff>
      <xdr:row>553</xdr:row>
      <xdr:rowOff>44914</xdr:rowOff>
    </xdr:from>
    <xdr:to>
      <xdr:col>46</xdr:col>
      <xdr:colOff>103259</xdr:colOff>
      <xdr:row>580</xdr:row>
      <xdr:rowOff>31198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0FDF25-545C-2B4F-A090-4D2455BC7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554566</xdr:colOff>
      <xdr:row>553</xdr:row>
      <xdr:rowOff>156633</xdr:rowOff>
    </xdr:from>
    <xdr:to>
      <xdr:col>62</xdr:col>
      <xdr:colOff>626025</xdr:colOff>
      <xdr:row>580</xdr:row>
      <xdr:rowOff>142917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797A537-2471-5E41-B771-E8313ACAC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64</xdr:col>
      <xdr:colOff>0</xdr:colOff>
      <xdr:row>556</xdr:row>
      <xdr:rowOff>177800</xdr:rowOff>
    </xdr:from>
    <xdr:to>
      <xdr:col>80</xdr:col>
      <xdr:colOff>71459</xdr:colOff>
      <xdr:row>583</xdr:row>
      <xdr:rowOff>164084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5014D03-11CA-FC47-BB9E-039B3AD19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61</xdr:col>
      <xdr:colOff>311509</xdr:colOff>
      <xdr:row>662</xdr:row>
      <xdr:rowOff>83868</xdr:rowOff>
    </xdr:from>
    <xdr:to>
      <xdr:col>77</xdr:col>
      <xdr:colOff>454896</xdr:colOff>
      <xdr:row>684</xdr:row>
      <xdr:rowOff>31115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D3FD9-6E38-9242-8878-432906129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78</xdr:col>
      <xdr:colOff>0</xdr:colOff>
      <xdr:row>662</xdr:row>
      <xdr:rowOff>0</xdr:rowOff>
    </xdr:from>
    <xdr:to>
      <xdr:col>94</xdr:col>
      <xdr:colOff>143387</xdr:colOff>
      <xdr:row>683</xdr:row>
      <xdr:rowOff>150926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DB27D8F-F192-334A-9B47-EDFF152AB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95</xdr:col>
      <xdr:colOff>0</xdr:colOff>
      <xdr:row>662</xdr:row>
      <xdr:rowOff>0</xdr:rowOff>
    </xdr:from>
    <xdr:to>
      <xdr:col>111</xdr:col>
      <xdr:colOff>143386</xdr:colOff>
      <xdr:row>683</xdr:row>
      <xdr:rowOff>150926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E1D2A1C-266C-FE4F-AF68-69FD935D8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371415</xdr:colOff>
      <xdr:row>685</xdr:row>
      <xdr:rowOff>143774</xdr:rowOff>
    </xdr:from>
    <xdr:to>
      <xdr:col>77</xdr:col>
      <xdr:colOff>514802</xdr:colOff>
      <xdr:row>706</xdr:row>
      <xdr:rowOff>79040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853BA7B-C4B8-764D-BEF6-DD8C8BC7B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78</xdr:col>
      <xdr:colOff>119811</xdr:colOff>
      <xdr:row>685</xdr:row>
      <xdr:rowOff>143774</xdr:rowOff>
    </xdr:from>
    <xdr:to>
      <xdr:col>94</xdr:col>
      <xdr:colOff>263198</xdr:colOff>
      <xdr:row>706</xdr:row>
      <xdr:rowOff>79040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6B93089-D8FF-B548-B849-934AEA227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95</xdr:col>
      <xdr:colOff>0</xdr:colOff>
      <xdr:row>686</xdr:row>
      <xdr:rowOff>0</xdr:rowOff>
    </xdr:from>
    <xdr:to>
      <xdr:col>111</xdr:col>
      <xdr:colOff>143386</xdr:colOff>
      <xdr:row>706</xdr:row>
      <xdr:rowOff>126964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B39350F-0651-254C-992B-078D1ADE1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62</xdr:col>
      <xdr:colOff>0</xdr:colOff>
      <xdr:row>716</xdr:row>
      <xdr:rowOff>0</xdr:rowOff>
    </xdr:from>
    <xdr:to>
      <xdr:col>78</xdr:col>
      <xdr:colOff>143386</xdr:colOff>
      <xdr:row>734</xdr:row>
      <xdr:rowOff>342624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A845245-0047-A64C-B240-7DB37D1C8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79</xdr:col>
      <xdr:colOff>0</xdr:colOff>
      <xdr:row>716</xdr:row>
      <xdr:rowOff>0</xdr:rowOff>
    </xdr:from>
    <xdr:to>
      <xdr:col>95</xdr:col>
      <xdr:colOff>143387</xdr:colOff>
      <xdr:row>734</xdr:row>
      <xdr:rowOff>342624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34095D2-B7FF-994F-9A7F-6ECD89328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96</xdr:col>
      <xdr:colOff>0</xdr:colOff>
      <xdr:row>716</xdr:row>
      <xdr:rowOff>0</xdr:rowOff>
    </xdr:from>
    <xdr:to>
      <xdr:col>112</xdr:col>
      <xdr:colOff>143387</xdr:colOff>
      <xdr:row>734</xdr:row>
      <xdr:rowOff>342624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2FB3631-4D02-6E49-A026-AF9F66480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62</xdr:col>
      <xdr:colOff>0</xdr:colOff>
      <xdr:row>748</xdr:row>
      <xdr:rowOff>0</xdr:rowOff>
    </xdr:from>
    <xdr:to>
      <xdr:col>78</xdr:col>
      <xdr:colOff>143386</xdr:colOff>
      <xdr:row>768</xdr:row>
      <xdr:rowOff>162907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3257907-1CCD-5C41-AE3B-485669FE5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79</xdr:col>
      <xdr:colOff>0</xdr:colOff>
      <xdr:row>748</xdr:row>
      <xdr:rowOff>0</xdr:rowOff>
    </xdr:from>
    <xdr:to>
      <xdr:col>95</xdr:col>
      <xdr:colOff>143387</xdr:colOff>
      <xdr:row>768</xdr:row>
      <xdr:rowOff>162907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A6C18B7-1B54-EB44-8DE1-8D66035DD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96</xdr:col>
      <xdr:colOff>0</xdr:colOff>
      <xdr:row>748</xdr:row>
      <xdr:rowOff>0</xdr:rowOff>
    </xdr:from>
    <xdr:to>
      <xdr:col>112</xdr:col>
      <xdr:colOff>143387</xdr:colOff>
      <xdr:row>768</xdr:row>
      <xdr:rowOff>162907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764E64E-C65D-5A4E-B3EC-F2EB85213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12699</xdr:colOff>
      <xdr:row>478</xdr:row>
      <xdr:rowOff>63499</xdr:rowOff>
    </xdr:from>
    <xdr:to>
      <xdr:col>45</xdr:col>
      <xdr:colOff>295824</xdr:colOff>
      <xdr:row>502</xdr:row>
      <xdr:rowOff>367283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0976C-746B-3245-B329-4DA18FAB8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355599</xdr:colOff>
      <xdr:row>478</xdr:row>
      <xdr:rowOff>76199</xdr:rowOff>
    </xdr:from>
    <xdr:to>
      <xdr:col>62</xdr:col>
      <xdr:colOff>427057</xdr:colOff>
      <xdr:row>502</xdr:row>
      <xdr:rowOff>379983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20905F-CC8B-8743-9358-2CDBFF9E7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63</xdr:col>
      <xdr:colOff>507999</xdr:colOff>
      <xdr:row>478</xdr:row>
      <xdr:rowOff>25399</xdr:rowOff>
    </xdr:from>
    <xdr:to>
      <xdr:col>79</xdr:col>
      <xdr:colOff>579458</xdr:colOff>
      <xdr:row>502</xdr:row>
      <xdr:rowOff>329183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BB4227-2F0C-174D-8DE1-75F1F6C13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12699</xdr:colOff>
      <xdr:row>505</xdr:row>
      <xdr:rowOff>105832</xdr:rowOff>
    </xdr:from>
    <xdr:to>
      <xdr:col>45</xdr:col>
      <xdr:colOff>295824</xdr:colOff>
      <xdr:row>528</xdr:row>
      <xdr:rowOff>155616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507F81-6A5C-2741-A4B9-411380610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368300</xdr:colOff>
      <xdr:row>505</xdr:row>
      <xdr:rowOff>114300</xdr:rowOff>
    </xdr:from>
    <xdr:to>
      <xdr:col>62</xdr:col>
      <xdr:colOff>439758</xdr:colOff>
      <xdr:row>528</xdr:row>
      <xdr:rowOff>164084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B7BBC6-608F-1E45-AD48-682C79798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63</xdr:col>
      <xdr:colOff>529167</xdr:colOff>
      <xdr:row>505</xdr:row>
      <xdr:rowOff>105833</xdr:rowOff>
    </xdr:from>
    <xdr:to>
      <xdr:col>79</xdr:col>
      <xdr:colOff>600626</xdr:colOff>
      <xdr:row>528</xdr:row>
      <xdr:rowOff>155617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06DBCF-AE45-B24F-8D2F-8E6A19EBA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21167</xdr:colOff>
      <xdr:row>530</xdr:row>
      <xdr:rowOff>84665</xdr:rowOff>
    </xdr:from>
    <xdr:to>
      <xdr:col>45</xdr:col>
      <xdr:colOff>304292</xdr:colOff>
      <xdr:row>553</xdr:row>
      <xdr:rowOff>155616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29F859-E525-5D46-9147-B0DB6826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444500</xdr:colOff>
      <xdr:row>530</xdr:row>
      <xdr:rowOff>190498</xdr:rowOff>
    </xdr:from>
    <xdr:to>
      <xdr:col>62</xdr:col>
      <xdr:colOff>515958</xdr:colOff>
      <xdr:row>554</xdr:row>
      <xdr:rowOff>70949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EA03C0-33B8-C345-93C9-DDBDCF256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63</xdr:col>
      <xdr:colOff>508000</xdr:colOff>
      <xdr:row>530</xdr:row>
      <xdr:rowOff>169331</xdr:rowOff>
    </xdr:from>
    <xdr:to>
      <xdr:col>79</xdr:col>
      <xdr:colOff>579459</xdr:colOff>
      <xdr:row>554</xdr:row>
      <xdr:rowOff>49782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0515613-16AA-804E-8D50-B041FF86E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0</xdr:colOff>
      <xdr:row>556</xdr:row>
      <xdr:rowOff>0</xdr:rowOff>
    </xdr:from>
    <xdr:to>
      <xdr:col>45</xdr:col>
      <xdr:colOff>283125</xdr:colOff>
      <xdr:row>579</xdr:row>
      <xdr:rowOff>49784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8CF5B4-2C35-7343-A69C-AF8A02A85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359833</xdr:colOff>
      <xdr:row>556</xdr:row>
      <xdr:rowOff>21166</xdr:rowOff>
    </xdr:from>
    <xdr:to>
      <xdr:col>62</xdr:col>
      <xdr:colOff>431291</xdr:colOff>
      <xdr:row>579</xdr:row>
      <xdr:rowOff>70950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8286852-6DE3-374A-88E2-836E16087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63</xdr:col>
      <xdr:colOff>550333</xdr:colOff>
      <xdr:row>556</xdr:row>
      <xdr:rowOff>0</xdr:rowOff>
    </xdr:from>
    <xdr:to>
      <xdr:col>79</xdr:col>
      <xdr:colOff>621792</xdr:colOff>
      <xdr:row>579</xdr:row>
      <xdr:rowOff>49784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79A5118-C60E-894D-A96D-70FFAAA50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636994</xdr:colOff>
      <xdr:row>645</xdr:row>
      <xdr:rowOff>98323</xdr:rowOff>
    </xdr:from>
    <xdr:to>
      <xdr:col>43</xdr:col>
      <xdr:colOff>72775</xdr:colOff>
      <xdr:row>672</xdr:row>
      <xdr:rowOff>20091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DA50FD-909B-F6DE-AEA5-12B50436F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659154</xdr:colOff>
      <xdr:row>645</xdr:row>
      <xdr:rowOff>102843</xdr:rowOff>
    </xdr:from>
    <xdr:to>
      <xdr:col>60</xdr:col>
      <xdr:colOff>53279</xdr:colOff>
      <xdr:row>672</xdr:row>
      <xdr:rowOff>24611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67182A-F9F7-1A41-8EC8-F14085A22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60</xdr:col>
      <xdr:colOff>438363</xdr:colOff>
      <xdr:row>645</xdr:row>
      <xdr:rowOff>35449</xdr:rowOff>
    </xdr:from>
    <xdr:to>
      <xdr:col>76</xdr:col>
      <xdr:colOff>509822</xdr:colOff>
      <xdr:row>671</xdr:row>
      <xdr:rowOff>148733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235DDA-D019-EB40-987E-57BC74741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613833</xdr:colOff>
      <xdr:row>673</xdr:row>
      <xdr:rowOff>105832</xdr:rowOff>
    </xdr:from>
    <xdr:to>
      <xdr:col>43</xdr:col>
      <xdr:colOff>49614</xdr:colOff>
      <xdr:row>700</xdr:row>
      <xdr:rowOff>27600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485BBB-A527-9048-9A74-5900D16F9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33864</xdr:colOff>
      <xdr:row>672</xdr:row>
      <xdr:rowOff>135467</xdr:rowOff>
    </xdr:from>
    <xdr:to>
      <xdr:col>60</xdr:col>
      <xdr:colOff>105323</xdr:colOff>
      <xdr:row>699</xdr:row>
      <xdr:rowOff>57235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C3DE0D8-6EC4-D641-9A5D-AC2111BAE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60</xdr:col>
      <xdr:colOff>571499</xdr:colOff>
      <xdr:row>673</xdr:row>
      <xdr:rowOff>38098</xdr:rowOff>
    </xdr:from>
    <xdr:to>
      <xdr:col>76</xdr:col>
      <xdr:colOff>642958</xdr:colOff>
      <xdr:row>699</xdr:row>
      <xdr:rowOff>151382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FD50B5-3CB7-D940-B5C9-84ADAE93B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635001</xdr:colOff>
      <xdr:row>701</xdr:row>
      <xdr:rowOff>67732</xdr:rowOff>
    </xdr:from>
    <xdr:to>
      <xdr:col>43</xdr:col>
      <xdr:colOff>70782</xdr:colOff>
      <xdr:row>727</xdr:row>
      <xdr:rowOff>181016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9FE163-9219-7F42-997C-4C81DDED1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465665</xdr:colOff>
      <xdr:row>701</xdr:row>
      <xdr:rowOff>88899</xdr:rowOff>
    </xdr:from>
    <xdr:to>
      <xdr:col>59</xdr:col>
      <xdr:colOff>537123</xdr:colOff>
      <xdr:row>728</xdr:row>
      <xdr:rowOff>10667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210B02-EB1C-0E4E-BCA8-47021B17A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60</xdr:col>
      <xdr:colOff>524932</xdr:colOff>
      <xdr:row>701</xdr:row>
      <xdr:rowOff>101601</xdr:rowOff>
    </xdr:from>
    <xdr:to>
      <xdr:col>76</xdr:col>
      <xdr:colOff>596391</xdr:colOff>
      <xdr:row>728</xdr:row>
      <xdr:rowOff>23369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260FD60-B1C5-134A-9542-B3834D0B3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0</xdr:colOff>
      <xdr:row>735</xdr:row>
      <xdr:rowOff>0</xdr:rowOff>
    </xdr:from>
    <xdr:to>
      <xdr:col>42</xdr:col>
      <xdr:colOff>113792</xdr:colOff>
      <xdr:row>756</xdr:row>
      <xdr:rowOff>240284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719D98F-4ADE-EA4F-A4F2-0792D6231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44</xdr:col>
      <xdr:colOff>84666</xdr:colOff>
      <xdr:row>734</xdr:row>
      <xdr:rowOff>186266</xdr:rowOff>
    </xdr:from>
    <xdr:to>
      <xdr:col>60</xdr:col>
      <xdr:colOff>156125</xdr:colOff>
      <xdr:row>756</xdr:row>
      <xdr:rowOff>214883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7B4F130-278B-D943-B15D-6A36E7F0D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61</xdr:col>
      <xdr:colOff>101599</xdr:colOff>
      <xdr:row>734</xdr:row>
      <xdr:rowOff>169332</xdr:rowOff>
    </xdr:from>
    <xdr:to>
      <xdr:col>77</xdr:col>
      <xdr:colOff>173057</xdr:colOff>
      <xdr:row>756</xdr:row>
      <xdr:rowOff>197949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BFF017C-CE5E-BE42-8621-6664EC032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431566</xdr:colOff>
      <xdr:row>157</xdr:row>
      <xdr:rowOff>100675</xdr:rowOff>
    </xdr:from>
    <xdr:to>
      <xdr:col>34</xdr:col>
      <xdr:colOff>608858</xdr:colOff>
      <xdr:row>184</xdr:row>
      <xdr:rowOff>86959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0E70F-F7D8-FE53-5D58-F88B44569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377297</xdr:colOff>
      <xdr:row>186</xdr:row>
      <xdr:rowOff>4821</xdr:rowOff>
    </xdr:from>
    <xdr:to>
      <xdr:col>47</xdr:col>
      <xdr:colOff>448756</xdr:colOff>
      <xdr:row>212</xdr:row>
      <xdr:rowOff>118105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7FDE19-B513-6F41-A293-8E8049464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335612</xdr:colOff>
      <xdr:row>214</xdr:row>
      <xdr:rowOff>105377</xdr:rowOff>
    </xdr:from>
    <xdr:to>
      <xdr:col>47</xdr:col>
      <xdr:colOff>407071</xdr:colOff>
      <xdr:row>241</xdr:row>
      <xdr:rowOff>28161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748993-CFF3-F142-A056-116F879EB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470830</xdr:colOff>
      <xdr:row>242</xdr:row>
      <xdr:rowOff>60403</xdr:rowOff>
    </xdr:from>
    <xdr:to>
      <xdr:col>46</xdr:col>
      <xdr:colOff>542288</xdr:colOff>
      <xdr:row>269</xdr:row>
      <xdr:rowOff>46687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3FD40B-D84D-1042-AB05-B009367C0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650488</xdr:colOff>
      <xdr:row>270</xdr:row>
      <xdr:rowOff>123901</xdr:rowOff>
    </xdr:from>
    <xdr:to>
      <xdr:col>46</xdr:col>
      <xdr:colOff>44613</xdr:colOff>
      <xdr:row>297</xdr:row>
      <xdr:rowOff>110185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8ECEAC-523E-7A40-B5FD-5283A0B11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300</xdr:row>
      <xdr:rowOff>-1</xdr:rowOff>
    </xdr:from>
    <xdr:to>
      <xdr:col>46</xdr:col>
      <xdr:colOff>71458</xdr:colOff>
      <xdr:row>326</xdr:row>
      <xdr:rowOff>176783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DF7083B-4336-2B48-9CF4-87DAA1621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9654-A284-3C40-8C43-6F17F2C4A60B}">
  <dimension ref="A1:AY631"/>
  <sheetViews>
    <sheetView topLeftCell="AF1" zoomScale="60" zoomScaleNormal="60" workbookViewId="0">
      <pane ySplit="1" topLeftCell="A553" activePane="bottomLeft" state="frozen"/>
      <selection activeCell="E1" sqref="E1"/>
      <selection pane="bottomLeft" activeCell="CC508" sqref="CC508"/>
    </sheetView>
  </sheetViews>
  <sheetFormatPr baseColWidth="10" defaultColWidth="8.83203125" defaultRowHeight="15" x14ac:dyDescent="0.2"/>
  <cols>
    <col min="1" max="2" width="20" customWidth="1"/>
    <col min="3" max="3" width="8" customWidth="1"/>
    <col min="4" max="4" width="12" customWidth="1"/>
    <col min="5" max="5" width="20" customWidth="1"/>
    <col min="6" max="6" width="12" customWidth="1"/>
    <col min="7" max="7" width="18" customWidth="1"/>
    <col min="8" max="8" width="14" customWidth="1"/>
    <col min="9" max="14" width="20" customWidth="1"/>
    <col min="15" max="15" width="13" customWidth="1"/>
    <col min="26" max="26" width="11.1640625" customWidth="1"/>
    <col min="30" max="30" width="10" bestFit="1" customWidth="1"/>
    <col min="32" max="32" width="14.5" bestFit="1" customWidth="1"/>
    <col min="33" max="33" width="15.83203125" bestFit="1" customWidth="1"/>
    <col min="39" max="39" width="13.83203125" bestFit="1" customWidth="1"/>
    <col min="40" max="40" width="15.1640625" bestFit="1" customWidth="1"/>
    <col min="42" max="42" width="11.6640625" bestFit="1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103</v>
      </c>
      <c r="B2" t="s">
        <v>16</v>
      </c>
      <c r="C2" t="s">
        <v>17</v>
      </c>
      <c r="D2" t="s">
        <v>75</v>
      </c>
      <c r="E2" t="s">
        <v>106</v>
      </c>
      <c r="F2">
        <v>3</v>
      </c>
      <c r="G2" t="s">
        <v>19</v>
      </c>
      <c r="H2" t="s">
        <v>20</v>
      </c>
      <c r="I2">
        <v>212</v>
      </c>
      <c r="J2">
        <v>85</v>
      </c>
      <c r="K2">
        <v>0</v>
      </c>
      <c r="L2">
        <v>261</v>
      </c>
      <c r="M2">
        <v>98</v>
      </c>
      <c r="N2">
        <v>0</v>
      </c>
      <c r="O2">
        <v>997</v>
      </c>
    </row>
    <row r="3" spans="1:15" x14ac:dyDescent="0.2">
      <c r="A3" t="s">
        <v>103</v>
      </c>
      <c r="B3" t="s">
        <v>16</v>
      </c>
      <c r="C3" t="s">
        <v>17</v>
      </c>
      <c r="D3" t="s">
        <v>75</v>
      </c>
      <c r="E3" t="s">
        <v>106</v>
      </c>
      <c r="F3">
        <v>3</v>
      </c>
      <c r="G3" t="s">
        <v>19</v>
      </c>
      <c r="H3" t="s">
        <v>21</v>
      </c>
      <c r="I3">
        <v>17</v>
      </c>
      <c r="J3">
        <v>9</v>
      </c>
      <c r="K3">
        <v>0</v>
      </c>
      <c r="L3">
        <v>261</v>
      </c>
      <c r="M3">
        <v>98</v>
      </c>
      <c r="N3">
        <v>0</v>
      </c>
      <c r="O3">
        <v>997</v>
      </c>
    </row>
    <row r="4" spans="1:15" x14ac:dyDescent="0.2">
      <c r="A4" t="s">
        <v>103</v>
      </c>
      <c r="B4" t="s">
        <v>16</v>
      </c>
      <c r="C4" t="s">
        <v>17</v>
      </c>
      <c r="D4" t="s">
        <v>75</v>
      </c>
      <c r="E4" t="s">
        <v>106</v>
      </c>
      <c r="F4">
        <v>3</v>
      </c>
      <c r="G4" t="s">
        <v>19</v>
      </c>
      <c r="H4" t="s">
        <v>22</v>
      </c>
      <c r="I4">
        <v>2</v>
      </c>
      <c r="J4">
        <v>0</v>
      </c>
      <c r="K4">
        <v>0</v>
      </c>
      <c r="L4">
        <v>261</v>
      </c>
      <c r="M4">
        <v>98</v>
      </c>
      <c r="N4">
        <v>0</v>
      </c>
      <c r="O4">
        <v>997</v>
      </c>
    </row>
    <row r="5" spans="1:15" x14ac:dyDescent="0.2">
      <c r="A5" t="s">
        <v>103</v>
      </c>
      <c r="B5" t="s">
        <v>16</v>
      </c>
      <c r="C5" t="s">
        <v>17</v>
      </c>
      <c r="D5" t="s">
        <v>75</v>
      </c>
      <c r="E5" t="s">
        <v>106</v>
      </c>
      <c r="F5">
        <v>3</v>
      </c>
      <c r="G5" t="s">
        <v>19</v>
      </c>
      <c r="H5" t="s">
        <v>23</v>
      </c>
      <c r="I5">
        <v>30</v>
      </c>
      <c r="J5">
        <v>4</v>
      </c>
      <c r="K5">
        <v>0</v>
      </c>
      <c r="L5">
        <v>261</v>
      </c>
      <c r="M5">
        <v>98</v>
      </c>
      <c r="N5">
        <v>0</v>
      </c>
      <c r="O5">
        <v>997</v>
      </c>
    </row>
    <row r="6" spans="1:15" x14ac:dyDescent="0.2">
      <c r="A6" t="s">
        <v>103</v>
      </c>
      <c r="B6" t="s">
        <v>16</v>
      </c>
      <c r="C6" t="s">
        <v>17</v>
      </c>
      <c r="D6" t="s">
        <v>75</v>
      </c>
      <c r="E6" t="s">
        <v>106</v>
      </c>
      <c r="F6">
        <v>3</v>
      </c>
      <c r="G6" t="s">
        <v>19</v>
      </c>
      <c r="H6" t="s">
        <v>24</v>
      </c>
      <c r="I6">
        <v>0</v>
      </c>
      <c r="J6">
        <v>0</v>
      </c>
      <c r="K6">
        <v>0</v>
      </c>
      <c r="L6">
        <v>261</v>
      </c>
      <c r="M6">
        <v>98</v>
      </c>
      <c r="N6">
        <v>0</v>
      </c>
      <c r="O6">
        <v>997</v>
      </c>
    </row>
    <row r="7" spans="1:15" x14ac:dyDescent="0.2">
      <c r="A7" t="s">
        <v>103</v>
      </c>
      <c r="B7" t="s">
        <v>16</v>
      </c>
      <c r="C7" t="s">
        <v>17</v>
      </c>
      <c r="D7" t="s">
        <v>75</v>
      </c>
      <c r="E7" t="s">
        <v>185</v>
      </c>
      <c r="F7">
        <v>3</v>
      </c>
      <c r="G7" t="s">
        <v>130</v>
      </c>
      <c r="H7" t="s">
        <v>20</v>
      </c>
      <c r="I7">
        <v>204</v>
      </c>
      <c r="J7">
        <v>95</v>
      </c>
      <c r="K7">
        <v>55</v>
      </c>
      <c r="L7">
        <v>239</v>
      </c>
      <c r="M7">
        <v>129</v>
      </c>
      <c r="N7">
        <v>78</v>
      </c>
      <c r="O7">
        <v>938</v>
      </c>
    </row>
    <row r="8" spans="1:15" x14ac:dyDescent="0.2">
      <c r="A8" t="s">
        <v>103</v>
      </c>
      <c r="B8" t="s">
        <v>16</v>
      </c>
      <c r="C8" t="s">
        <v>17</v>
      </c>
      <c r="D8" t="s">
        <v>75</v>
      </c>
      <c r="E8" t="s">
        <v>185</v>
      </c>
      <c r="F8">
        <v>3</v>
      </c>
      <c r="G8" t="s">
        <v>130</v>
      </c>
      <c r="H8" t="s">
        <v>21</v>
      </c>
      <c r="I8">
        <v>19</v>
      </c>
      <c r="J8">
        <v>22</v>
      </c>
      <c r="K8">
        <v>13</v>
      </c>
      <c r="L8">
        <v>239</v>
      </c>
      <c r="M8">
        <v>129</v>
      </c>
      <c r="N8">
        <v>78</v>
      </c>
      <c r="O8">
        <v>938</v>
      </c>
    </row>
    <row r="9" spans="1:15" x14ac:dyDescent="0.2">
      <c r="A9" t="s">
        <v>103</v>
      </c>
      <c r="B9" t="s">
        <v>16</v>
      </c>
      <c r="C9" t="s">
        <v>17</v>
      </c>
      <c r="D9" t="s">
        <v>75</v>
      </c>
      <c r="E9" t="s">
        <v>185</v>
      </c>
      <c r="F9">
        <v>3</v>
      </c>
      <c r="G9" t="s">
        <v>130</v>
      </c>
      <c r="H9" t="s">
        <v>22</v>
      </c>
      <c r="I9">
        <v>1</v>
      </c>
      <c r="J9">
        <v>5</v>
      </c>
      <c r="K9">
        <v>5</v>
      </c>
      <c r="L9">
        <v>239</v>
      </c>
      <c r="M9">
        <v>129</v>
      </c>
      <c r="N9">
        <v>78</v>
      </c>
      <c r="O9">
        <v>938</v>
      </c>
    </row>
    <row r="10" spans="1:15" x14ac:dyDescent="0.2">
      <c r="A10" t="s">
        <v>103</v>
      </c>
      <c r="B10" t="s">
        <v>16</v>
      </c>
      <c r="C10" t="s">
        <v>17</v>
      </c>
      <c r="D10" t="s">
        <v>75</v>
      </c>
      <c r="E10" t="s">
        <v>185</v>
      </c>
      <c r="F10">
        <v>3</v>
      </c>
      <c r="G10" t="s">
        <v>130</v>
      </c>
      <c r="H10" t="s">
        <v>23</v>
      </c>
      <c r="I10">
        <v>15</v>
      </c>
      <c r="J10">
        <v>7</v>
      </c>
      <c r="K10">
        <v>5</v>
      </c>
      <c r="L10">
        <v>239</v>
      </c>
      <c r="M10">
        <v>129</v>
      </c>
      <c r="N10">
        <v>78</v>
      </c>
      <c r="O10">
        <v>938</v>
      </c>
    </row>
    <row r="11" spans="1:15" x14ac:dyDescent="0.2">
      <c r="A11" t="s">
        <v>103</v>
      </c>
      <c r="B11" t="s">
        <v>16</v>
      </c>
      <c r="C11" t="s">
        <v>17</v>
      </c>
      <c r="D11" t="s">
        <v>75</v>
      </c>
      <c r="E11" t="s">
        <v>185</v>
      </c>
      <c r="F11">
        <v>3</v>
      </c>
      <c r="G11" t="s">
        <v>130</v>
      </c>
      <c r="H11" t="s">
        <v>24</v>
      </c>
      <c r="I11">
        <v>0</v>
      </c>
      <c r="J11">
        <v>0</v>
      </c>
      <c r="K11">
        <v>0</v>
      </c>
      <c r="L11">
        <v>239</v>
      </c>
      <c r="M11">
        <v>129</v>
      </c>
      <c r="N11">
        <v>78</v>
      </c>
      <c r="O11">
        <v>938</v>
      </c>
    </row>
    <row r="12" spans="1:15" x14ac:dyDescent="0.2">
      <c r="A12" t="s">
        <v>103</v>
      </c>
      <c r="B12" t="s">
        <v>16</v>
      </c>
      <c r="C12" t="s">
        <v>17</v>
      </c>
      <c r="D12" t="s">
        <v>75</v>
      </c>
      <c r="E12" t="s">
        <v>184</v>
      </c>
      <c r="F12">
        <v>3</v>
      </c>
      <c r="G12" t="s">
        <v>128</v>
      </c>
      <c r="H12" t="s">
        <v>20</v>
      </c>
      <c r="I12">
        <v>147</v>
      </c>
      <c r="J12">
        <v>56</v>
      </c>
      <c r="K12">
        <v>14</v>
      </c>
      <c r="L12">
        <v>204</v>
      </c>
      <c r="M12">
        <v>85</v>
      </c>
      <c r="N12">
        <v>31</v>
      </c>
      <c r="O12">
        <v>909</v>
      </c>
    </row>
    <row r="13" spans="1:15" x14ac:dyDescent="0.2">
      <c r="A13" t="s">
        <v>103</v>
      </c>
      <c r="B13" t="s">
        <v>16</v>
      </c>
      <c r="C13" t="s">
        <v>17</v>
      </c>
      <c r="D13" t="s">
        <v>75</v>
      </c>
      <c r="E13" t="s">
        <v>184</v>
      </c>
      <c r="F13">
        <v>3</v>
      </c>
      <c r="G13" t="s">
        <v>128</v>
      </c>
      <c r="H13" t="s">
        <v>21</v>
      </c>
      <c r="I13">
        <v>26</v>
      </c>
      <c r="J13">
        <v>25</v>
      </c>
      <c r="K13">
        <v>14</v>
      </c>
      <c r="L13">
        <v>204</v>
      </c>
      <c r="M13">
        <v>85</v>
      </c>
      <c r="N13">
        <v>31</v>
      </c>
      <c r="O13">
        <v>909</v>
      </c>
    </row>
    <row r="14" spans="1:15" x14ac:dyDescent="0.2">
      <c r="A14" t="s">
        <v>103</v>
      </c>
      <c r="B14" t="s">
        <v>16</v>
      </c>
      <c r="C14" t="s">
        <v>17</v>
      </c>
      <c r="D14" t="s">
        <v>75</v>
      </c>
      <c r="E14" t="s">
        <v>184</v>
      </c>
      <c r="F14">
        <v>3</v>
      </c>
      <c r="G14" t="s">
        <v>128</v>
      </c>
      <c r="H14" t="s">
        <v>22</v>
      </c>
      <c r="I14">
        <v>3</v>
      </c>
      <c r="J14">
        <v>3</v>
      </c>
      <c r="K14">
        <v>2</v>
      </c>
      <c r="L14">
        <v>204</v>
      </c>
      <c r="M14">
        <v>85</v>
      </c>
      <c r="N14">
        <v>31</v>
      </c>
      <c r="O14">
        <v>909</v>
      </c>
    </row>
    <row r="15" spans="1:15" x14ac:dyDescent="0.2">
      <c r="A15" t="s">
        <v>103</v>
      </c>
      <c r="B15" t="s">
        <v>16</v>
      </c>
      <c r="C15" t="s">
        <v>17</v>
      </c>
      <c r="D15" t="s">
        <v>75</v>
      </c>
      <c r="E15" t="s">
        <v>184</v>
      </c>
      <c r="F15">
        <v>3</v>
      </c>
      <c r="G15" t="s">
        <v>128</v>
      </c>
      <c r="H15" t="s">
        <v>23</v>
      </c>
      <c r="I15">
        <v>28</v>
      </c>
      <c r="J15">
        <v>1</v>
      </c>
      <c r="K15">
        <v>1</v>
      </c>
      <c r="L15">
        <v>204</v>
      </c>
      <c r="M15">
        <v>85</v>
      </c>
      <c r="N15">
        <v>31</v>
      </c>
      <c r="O15">
        <v>909</v>
      </c>
    </row>
    <row r="16" spans="1:15" x14ac:dyDescent="0.2">
      <c r="A16" t="s">
        <v>103</v>
      </c>
      <c r="B16" t="s">
        <v>16</v>
      </c>
      <c r="C16" t="s">
        <v>17</v>
      </c>
      <c r="D16" t="s">
        <v>75</v>
      </c>
      <c r="E16" t="s">
        <v>184</v>
      </c>
      <c r="F16">
        <v>3</v>
      </c>
      <c r="G16" t="s">
        <v>128</v>
      </c>
      <c r="H16" t="s">
        <v>24</v>
      </c>
      <c r="I16">
        <v>0</v>
      </c>
      <c r="J16">
        <v>0</v>
      </c>
      <c r="K16">
        <v>0</v>
      </c>
      <c r="L16">
        <v>204</v>
      </c>
      <c r="M16">
        <v>85</v>
      </c>
      <c r="N16">
        <v>31</v>
      </c>
      <c r="O16">
        <v>909</v>
      </c>
    </row>
    <row r="17" spans="1:15" x14ac:dyDescent="0.2">
      <c r="A17" t="s">
        <v>103</v>
      </c>
      <c r="B17" t="s">
        <v>16</v>
      </c>
      <c r="C17" t="s">
        <v>17</v>
      </c>
      <c r="D17" t="s">
        <v>75</v>
      </c>
      <c r="E17" t="s">
        <v>183</v>
      </c>
      <c r="F17">
        <v>3</v>
      </c>
      <c r="G17" t="s">
        <v>126</v>
      </c>
      <c r="H17" t="s">
        <v>20</v>
      </c>
      <c r="I17">
        <v>129</v>
      </c>
      <c r="J17">
        <v>36</v>
      </c>
      <c r="K17">
        <v>0</v>
      </c>
      <c r="L17">
        <v>194</v>
      </c>
      <c r="M17">
        <v>72</v>
      </c>
      <c r="N17">
        <v>16</v>
      </c>
      <c r="O17">
        <v>897</v>
      </c>
    </row>
    <row r="18" spans="1:15" x14ac:dyDescent="0.2">
      <c r="A18" t="s">
        <v>103</v>
      </c>
      <c r="B18" t="s">
        <v>16</v>
      </c>
      <c r="C18" t="s">
        <v>17</v>
      </c>
      <c r="D18" t="s">
        <v>75</v>
      </c>
      <c r="E18" t="s">
        <v>183</v>
      </c>
      <c r="F18">
        <v>3</v>
      </c>
      <c r="G18" t="s">
        <v>126</v>
      </c>
      <c r="H18" t="s">
        <v>21</v>
      </c>
      <c r="I18">
        <v>24</v>
      </c>
      <c r="J18">
        <v>17</v>
      </c>
      <c r="K18">
        <v>6</v>
      </c>
      <c r="L18">
        <v>194</v>
      </c>
      <c r="M18">
        <v>72</v>
      </c>
      <c r="N18">
        <v>16</v>
      </c>
      <c r="O18">
        <v>897</v>
      </c>
    </row>
    <row r="19" spans="1:15" x14ac:dyDescent="0.2">
      <c r="A19" t="s">
        <v>103</v>
      </c>
      <c r="B19" t="s">
        <v>16</v>
      </c>
      <c r="C19" t="s">
        <v>17</v>
      </c>
      <c r="D19" t="s">
        <v>75</v>
      </c>
      <c r="E19" t="s">
        <v>183</v>
      </c>
      <c r="F19">
        <v>3</v>
      </c>
      <c r="G19" t="s">
        <v>126</v>
      </c>
      <c r="H19" t="s">
        <v>22</v>
      </c>
      <c r="I19">
        <v>9</v>
      </c>
      <c r="J19">
        <v>11</v>
      </c>
      <c r="K19">
        <v>4</v>
      </c>
      <c r="L19">
        <v>194</v>
      </c>
      <c r="M19">
        <v>72</v>
      </c>
      <c r="N19">
        <v>16</v>
      </c>
      <c r="O19">
        <v>897</v>
      </c>
    </row>
    <row r="20" spans="1:15" x14ac:dyDescent="0.2">
      <c r="A20" t="s">
        <v>103</v>
      </c>
      <c r="B20" t="s">
        <v>16</v>
      </c>
      <c r="C20" t="s">
        <v>17</v>
      </c>
      <c r="D20" t="s">
        <v>75</v>
      </c>
      <c r="E20" t="s">
        <v>183</v>
      </c>
      <c r="F20">
        <v>3</v>
      </c>
      <c r="G20" t="s">
        <v>126</v>
      </c>
      <c r="H20" t="s">
        <v>23</v>
      </c>
      <c r="I20">
        <v>32</v>
      </c>
      <c r="J20">
        <v>8</v>
      </c>
      <c r="K20">
        <v>6</v>
      </c>
      <c r="L20">
        <v>194</v>
      </c>
      <c r="M20">
        <v>72</v>
      </c>
      <c r="N20">
        <v>16</v>
      </c>
      <c r="O20">
        <v>897</v>
      </c>
    </row>
    <row r="21" spans="1:15" x14ac:dyDescent="0.2">
      <c r="A21" t="s">
        <v>103</v>
      </c>
      <c r="B21" t="s">
        <v>16</v>
      </c>
      <c r="C21" t="s">
        <v>17</v>
      </c>
      <c r="D21" t="s">
        <v>75</v>
      </c>
      <c r="E21" t="s">
        <v>183</v>
      </c>
      <c r="F21">
        <v>3</v>
      </c>
      <c r="G21" t="s">
        <v>126</v>
      </c>
      <c r="H21" t="s">
        <v>24</v>
      </c>
      <c r="I21">
        <v>0</v>
      </c>
      <c r="J21">
        <v>0</v>
      </c>
      <c r="K21">
        <v>0</v>
      </c>
      <c r="L21">
        <v>194</v>
      </c>
      <c r="M21">
        <v>72</v>
      </c>
      <c r="N21">
        <v>16</v>
      </c>
      <c r="O21">
        <v>897</v>
      </c>
    </row>
    <row r="22" spans="1:15" x14ac:dyDescent="0.2">
      <c r="A22" t="s">
        <v>91</v>
      </c>
      <c r="B22" t="s">
        <v>16</v>
      </c>
      <c r="C22" t="s">
        <v>17</v>
      </c>
      <c r="D22" t="s">
        <v>75</v>
      </c>
      <c r="E22" t="s">
        <v>94</v>
      </c>
      <c r="F22">
        <v>3</v>
      </c>
      <c r="G22" t="s">
        <v>19</v>
      </c>
      <c r="H22" t="s">
        <v>20</v>
      </c>
      <c r="I22">
        <v>38</v>
      </c>
      <c r="J22">
        <v>15</v>
      </c>
      <c r="K22">
        <v>0</v>
      </c>
      <c r="L22">
        <v>46</v>
      </c>
      <c r="M22">
        <v>18</v>
      </c>
      <c r="N22">
        <v>0</v>
      </c>
      <c r="O22">
        <v>996</v>
      </c>
    </row>
    <row r="23" spans="1:15" x14ac:dyDescent="0.2">
      <c r="A23" t="s">
        <v>91</v>
      </c>
      <c r="B23" t="s">
        <v>16</v>
      </c>
      <c r="C23" t="s">
        <v>17</v>
      </c>
      <c r="D23" t="s">
        <v>75</v>
      </c>
      <c r="E23" t="s">
        <v>94</v>
      </c>
      <c r="F23">
        <v>3</v>
      </c>
      <c r="G23" t="s">
        <v>19</v>
      </c>
      <c r="H23" t="s">
        <v>21</v>
      </c>
      <c r="I23">
        <v>4</v>
      </c>
      <c r="J23">
        <v>0</v>
      </c>
      <c r="K23">
        <v>0</v>
      </c>
      <c r="L23">
        <v>46</v>
      </c>
      <c r="M23">
        <v>18</v>
      </c>
      <c r="N23">
        <v>0</v>
      </c>
      <c r="O23">
        <v>996</v>
      </c>
    </row>
    <row r="24" spans="1:15" x14ac:dyDescent="0.2">
      <c r="A24" t="s">
        <v>91</v>
      </c>
      <c r="B24" t="s">
        <v>16</v>
      </c>
      <c r="C24" t="s">
        <v>17</v>
      </c>
      <c r="D24" t="s">
        <v>75</v>
      </c>
      <c r="E24" t="s">
        <v>94</v>
      </c>
      <c r="F24">
        <v>3</v>
      </c>
      <c r="G24" t="s">
        <v>19</v>
      </c>
      <c r="H24" t="s">
        <v>22</v>
      </c>
      <c r="I24">
        <v>2</v>
      </c>
      <c r="J24">
        <v>0</v>
      </c>
      <c r="K24">
        <v>0</v>
      </c>
      <c r="L24">
        <v>46</v>
      </c>
      <c r="M24">
        <v>18</v>
      </c>
      <c r="N24">
        <v>0</v>
      </c>
      <c r="O24">
        <v>996</v>
      </c>
    </row>
    <row r="25" spans="1:15" x14ac:dyDescent="0.2">
      <c r="A25" t="s">
        <v>91</v>
      </c>
      <c r="B25" t="s">
        <v>16</v>
      </c>
      <c r="C25" t="s">
        <v>17</v>
      </c>
      <c r="D25" t="s">
        <v>75</v>
      </c>
      <c r="E25" t="s">
        <v>94</v>
      </c>
      <c r="F25">
        <v>3</v>
      </c>
      <c r="G25" t="s">
        <v>19</v>
      </c>
      <c r="H25" t="s">
        <v>23</v>
      </c>
      <c r="I25">
        <v>2</v>
      </c>
      <c r="J25">
        <v>3</v>
      </c>
      <c r="K25">
        <v>0</v>
      </c>
      <c r="L25">
        <v>46</v>
      </c>
      <c r="M25">
        <v>18</v>
      </c>
      <c r="N25">
        <v>0</v>
      </c>
      <c r="O25">
        <v>996</v>
      </c>
    </row>
    <row r="26" spans="1:15" x14ac:dyDescent="0.2">
      <c r="A26" t="s">
        <v>91</v>
      </c>
      <c r="B26" t="s">
        <v>16</v>
      </c>
      <c r="C26" t="s">
        <v>17</v>
      </c>
      <c r="D26" t="s">
        <v>75</v>
      </c>
      <c r="E26" t="s">
        <v>94</v>
      </c>
      <c r="F26">
        <v>3</v>
      </c>
      <c r="G26" t="s">
        <v>19</v>
      </c>
      <c r="H26" t="s">
        <v>24</v>
      </c>
      <c r="I26">
        <v>0</v>
      </c>
      <c r="J26">
        <v>0</v>
      </c>
      <c r="K26">
        <v>0</v>
      </c>
      <c r="L26">
        <v>46</v>
      </c>
      <c r="M26">
        <v>18</v>
      </c>
      <c r="N26">
        <v>0</v>
      </c>
      <c r="O26">
        <v>996</v>
      </c>
    </row>
    <row r="27" spans="1:15" x14ac:dyDescent="0.2">
      <c r="A27" t="s">
        <v>91</v>
      </c>
      <c r="B27" t="s">
        <v>16</v>
      </c>
      <c r="C27" t="s">
        <v>17</v>
      </c>
      <c r="D27" t="s">
        <v>75</v>
      </c>
      <c r="E27" t="s">
        <v>182</v>
      </c>
      <c r="F27">
        <v>3</v>
      </c>
      <c r="G27" t="s">
        <v>130</v>
      </c>
      <c r="H27" t="s">
        <v>20</v>
      </c>
      <c r="I27">
        <v>30</v>
      </c>
      <c r="J27">
        <v>30</v>
      </c>
      <c r="K27">
        <v>23</v>
      </c>
      <c r="L27">
        <v>37</v>
      </c>
      <c r="M27">
        <v>47</v>
      </c>
      <c r="N27">
        <v>36</v>
      </c>
      <c r="O27">
        <v>970</v>
      </c>
    </row>
    <row r="28" spans="1:15" x14ac:dyDescent="0.2">
      <c r="A28" t="s">
        <v>91</v>
      </c>
      <c r="B28" t="s">
        <v>16</v>
      </c>
      <c r="C28" t="s">
        <v>17</v>
      </c>
      <c r="D28" t="s">
        <v>75</v>
      </c>
      <c r="E28" t="s">
        <v>182</v>
      </c>
      <c r="F28">
        <v>3</v>
      </c>
      <c r="G28" t="s">
        <v>130</v>
      </c>
      <c r="H28" t="s">
        <v>21</v>
      </c>
      <c r="I28">
        <v>2</v>
      </c>
      <c r="J28">
        <v>14</v>
      </c>
      <c r="K28">
        <v>12</v>
      </c>
      <c r="L28">
        <v>37</v>
      </c>
      <c r="M28">
        <v>47</v>
      </c>
      <c r="N28">
        <v>36</v>
      </c>
      <c r="O28">
        <v>970</v>
      </c>
    </row>
    <row r="29" spans="1:15" x14ac:dyDescent="0.2">
      <c r="A29" t="s">
        <v>91</v>
      </c>
      <c r="B29" t="s">
        <v>16</v>
      </c>
      <c r="C29" t="s">
        <v>17</v>
      </c>
      <c r="D29" t="s">
        <v>75</v>
      </c>
      <c r="E29" t="s">
        <v>182</v>
      </c>
      <c r="F29">
        <v>3</v>
      </c>
      <c r="G29" t="s">
        <v>130</v>
      </c>
      <c r="H29" t="s">
        <v>22</v>
      </c>
      <c r="I29">
        <v>3</v>
      </c>
      <c r="J29">
        <v>3</v>
      </c>
      <c r="K29">
        <v>1</v>
      </c>
      <c r="L29">
        <v>37</v>
      </c>
      <c r="M29">
        <v>47</v>
      </c>
      <c r="N29">
        <v>36</v>
      </c>
      <c r="O29">
        <v>970</v>
      </c>
    </row>
    <row r="30" spans="1:15" x14ac:dyDescent="0.2">
      <c r="A30" t="s">
        <v>91</v>
      </c>
      <c r="B30" t="s">
        <v>16</v>
      </c>
      <c r="C30" t="s">
        <v>17</v>
      </c>
      <c r="D30" t="s">
        <v>75</v>
      </c>
      <c r="E30" t="s">
        <v>182</v>
      </c>
      <c r="F30">
        <v>3</v>
      </c>
      <c r="G30" t="s">
        <v>130</v>
      </c>
      <c r="H30" t="s">
        <v>23</v>
      </c>
      <c r="I30">
        <v>2</v>
      </c>
      <c r="J30">
        <v>0</v>
      </c>
      <c r="K30">
        <v>0</v>
      </c>
      <c r="L30">
        <v>37</v>
      </c>
      <c r="M30">
        <v>47</v>
      </c>
      <c r="N30">
        <v>36</v>
      </c>
      <c r="O30">
        <v>970</v>
      </c>
    </row>
    <row r="31" spans="1:15" x14ac:dyDescent="0.2">
      <c r="A31" t="s">
        <v>91</v>
      </c>
      <c r="B31" t="s">
        <v>16</v>
      </c>
      <c r="C31" t="s">
        <v>17</v>
      </c>
      <c r="D31" t="s">
        <v>75</v>
      </c>
      <c r="E31" t="s">
        <v>182</v>
      </c>
      <c r="F31">
        <v>3</v>
      </c>
      <c r="G31" t="s">
        <v>130</v>
      </c>
      <c r="H31" t="s">
        <v>24</v>
      </c>
      <c r="I31">
        <v>0</v>
      </c>
      <c r="J31">
        <v>0</v>
      </c>
      <c r="K31">
        <v>0</v>
      </c>
      <c r="L31">
        <v>37</v>
      </c>
      <c r="M31">
        <v>47</v>
      </c>
      <c r="N31">
        <v>36</v>
      </c>
      <c r="O31">
        <v>970</v>
      </c>
    </row>
    <row r="32" spans="1:15" x14ac:dyDescent="0.2">
      <c r="A32" t="s">
        <v>91</v>
      </c>
      <c r="B32" t="s">
        <v>16</v>
      </c>
      <c r="C32" t="s">
        <v>17</v>
      </c>
      <c r="D32" t="s">
        <v>75</v>
      </c>
      <c r="E32" t="s">
        <v>181</v>
      </c>
      <c r="F32">
        <v>3</v>
      </c>
      <c r="G32" t="s">
        <v>128</v>
      </c>
      <c r="H32" t="s">
        <v>20</v>
      </c>
      <c r="I32">
        <v>23</v>
      </c>
      <c r="J32">
        <v>10</v>
      </c>
      <c r="K32">
        <v>5</v>
      </c>
      <c r="L32">
        <v>38</v>
      </c>
      <c r="M32">
        <v>25</v>
      </c>
      <c r="N32">
        <v>17</v>
      </c>
      <c r="O32">
        <v>942</v>
      </c>
    </row>
    <row r="33" spans="1:15" x14ac:dyDescent="0.2">
      <c r="A33" t="s">
        <v>91</v>
      </c>
      <c r="B33" t="s">
        <v>16</v>
      </c>
      <c r="C33" t="s">
        <v>17</v>
      </c>
      <c r="D33" t="s">
        <v>75</v>
      </c>
      <c r="E33" t="s">
        <v>181</v>
      </c>
      <c r="F33">
        <v>3</v>
      </c>
      <c r="G33" t="s">
        <v>128</v>
      </c>
      <c r="H33" t="s">
        <v>21</v>
      </c>
      <c r="I33">
        <v>6</v>
      </c>
      <c r="J33">
        <v>11</v>
      </c>
      <c r="K33">
        <v>8</v>
      </c>
      <c r="L33">
        <v>38</v>
      </c>
      <c r="M33">
        <v>25</v>
      </c>
      <c r="N33">
        <v>17</v>
      </c>
      <c r="O33">
        <v>942</v>
      </c>
    </row>
    <row r="34" spans="1:15" x14ac:dyDescent="0.2">
      <c r="A34" t="s">
        <v>91</v>
      </c>
      <c r="B34" t="s">
        <v>16</v>
      </c>
      <c r="C34" t="s">
        <v>17</v>
      </c>
      <c r="D34" t="s">
        <v>75</v>
      </c>
      <c r="E34" t="s">
        <v>181</v>
      </c>
      <c r="F34">
        <v>3</v>
      </c>
      <c r="G34" t="s">
        <v>128</v>
      </c>
      <c r="H34" t="s">
        <v>22</v>
      </c>
      <c r="I34">
        <v>4</v>
      </c>
      <c r="J34">
        <v>3</v>
      </c>
      <c r="K34">
        <v>3</v>
      </c>
      <c r="L34">
        <v>38</v>
      </c>
      <c r="M34">
        <v>25</v>
      </c>
      <c r="N34">
        <v>17</v>
      </c>
      <c r="O34">
        <v>942</v>
      </c>
    </row>
    <row r="35" spans="1:15" x14ac:dyDescent="0.2">
      <c r="A35" t="s">
        <v>91</v>
      </c>
      <c r="B35" t="s">
        <v>16</v>
      </c>
      <c r="C35" t="s">
        <v>17</v>
      </c>
      <c r="D35" t="s">
        <v>75</v>
      </c>
      <c r="E35" t="s">
        <v>181</v>
      </c>
      <c r="F35">
        <v>3</v>
      </c>
      <c r="G35" t="s">
        <v>128</v>
      </c>
      <c r="H35" t="s">
        <v>23</v>
      </c>
      <c r="I35">
        <v>5</v>
      </c>
      <c r="J35">
        <v>1</v>
      </c>
      <c r="K35">
        <v>1</v>
      </c>
      <c r="L35">
        <v>38</v>
      </c>
      <c r="M35">
        <v>25</v>
      </c>
      <c r="N35">
        <v>17</v>
      </c>
      <c r="O35">
        <v>942</v>
      </c>
    </row>
    <row r="36" spans="1:15" x14ac:dyDescent="0.2">
      <c r="A36" t="s">
        <v>91</v>
      </c>
      <c r="B36" t="s">
        <v>16</v>
      </c>
      <c r="C36" t="s">
        <v>17</v>
      </c>
      <c r="D36" t="s">
        <v>75</v>
      </c>
      <c r="E36" t="s">
        <v>181</v>
      </c>
      <c r="F36">
        <v>3</v>
      </c>
      <c r="G36" t="s">
        <v>128</v>
      </c>
      <c r="H36" t="s">
        <v>24</v>
      </c>
      <c r="I36">
        <v>0</v>
      </c>
      <c r="J36">
        <v>0</v>
      </c>
      <c r="K36">
        <v>0</v>
      </c>
      <c r="L36">
        <v>38</v>
      </c>
      <c r="M36">
        <v>25</v>
      </c>
      <c r="N36">
        <v>17</v>
      </c>
      <c r="O36">
        <v>942</v>
      </c>
    </row>
    <row r="37" spans="1:15" x14ac:dyDescent="0.2">
      <c r="A37" t="s">
        <v>91</v>
      </c>
      <c r="B37" t="s">
        <v>16</v>
      </c>
      <c r="C37" t="s">
        <v>17</v>
      </c>
      <c r="D37" t="s">
        <v>75</v>
      </c>
      <c r="E37" t="s">
        <v>180</v>
      </c>
      <c r="F37">
        <v>3</v>
      </c>
      <c r="G37" t="s">
        <v>126</v>
      </c>
      <c r="H37" t="s">
        <v>20</v>
      </c>
      <c r="I37">
        <v>19</v>
      </c>
      <c r="J37">
        <v>4</v>
      </c>
      <c r="K37">
        <v>0</v>
      </c>
      <c r="L37">
        <v>28</v>
      </c>
      <c r="M37">
        <v>22</v>
      </c>
      <c r="N37">
        <v>14</v>
      </c>
      <c r="O37">
        <v>934</v>
      </c>
    </row>
    <row r="38" spans="1:15" x14ac:dyDescent="0.2">
      <c r="A38" t="s">
        <v>91</v>
      </c>
      <c r="B38" t="s">
        <v>16</v>
      </c>
      <c r="C38" t="s">
        <v>17</v>
      </c>
      <c r="D38" t="s">
        <v>75</v>
      </c>
      <c r="E38" t="s">
        <v>180</v>
      </c>
      <c r="F38">
        <v>3</v>
      </c>
      <c r="G38" t="s">
        <v>126</v>
      </c>
      <c r="H38" t="s">
        <v>21</v>
      </c>
      <c r="I38">
        <v>2</v>
      </c>
      <c r="J38">
        <v>6</v>
      </c>
      <c r="K38">
        <v>4</v>
      </c>
      <c r="L38">
        <v>28</v>
      </c>
      <c r="M38">
        <v>22</v>
      </c>
      <c r="N38">
        <v>14</v>
      </c>
      <c r="O38">
        <v>934</v>
      </c>
    </row>
    <row r="39" spans="1:15" x14ac:dyDescent="0.2">
      <c r="A39" t="s">
        <v>91</v>
      </c>
      <c r="B39" t="s">
        <v>16</v>
      </c>
      <c r="C39" t="s">
        <v>17</v>
      </c>
      <c r="D39" t="s">
        <v>75</v>
      </c>
      <c r="E39" t="s">
        <v>180</v>
      </c>
      <c r="F39">
        <v>3</v>
      </c>
      <c r="G39" t="s">
        <v>126</v>
      </c>
      <c r="H39" t="s">
        <v>22</v>
      </c>
      <c r="I39">
        <v>0</v>
      </c>
      <c r="J39">
        <v>8</v>
      </c>
      <c r="K39">
        <v>7</v>
      </c>
      <c r="L39">
        <v>28</v>
      </c>
      <c r="M39">
        <v>22</v>
      </c>
      <c r="N39">
        <v>14</v>
      </c>
      <c r="O39">
        <v>934</v>
      </c>
    </row>
    <row r="40" spans="1:15" x14ac:dyDescent="0.2">
      <c r="A40" t="s">
        <v>91</v>
      </c>
      <c r="B40" t="s">
        <v>16</v>
      </c>
      <c r="C40" t="s">
        <v>17</v>
      </c>
      <c r="D40" t="s">
        <v>75</v>
      </c>
      <c r="E40" t="s">
        <v>180</v>
      </c>
      <c r="F40">
        <v>3</v>
      </c>
      <c r="G40" t="s">
        <v>126</v>
      </c>
      <c r="H40" t="s">
        <v>23</v>
      </c>
      <c r="I40">
        <v>7</v>
      </c>
      <c r="J40">
        <v>4</v>
      </c>
      <c r="K40">
        <v>3</v>
      </c>
      <c r="L40">
        <v>28</v>
      </c>
      <c r="M40">
        <v>22</v>
      </c>
      <c r="N40">
        <v>14</v>
      </c>
      <c r="O40">
        <v>934</v>
      </c>
    </row>
    <row r="41" spans="1:15" x14ac:dyDescent="0.2">
      <c r="A41" t="s">
        <v>91</v>
      </c>
      <c r="B41" t="s">
        <v>16</v>
      </c>
      <c r="C41" t="s">
        <v>17</v>
      </c>
      <c r="D41" t="s">
        <v>75</v>
      </c>
      <c r="E41" t="s">
        <v>180</v>
      </c>
      <c r="F41">
        <v>3</v>
      </c>
      <c r="G41" t="s">
        <v>126</v>
      </c>
      <c r="H41" t="s">
        <v>24</v>
      </c>
      <c r="I41">
        <v>0</v>
      </c>
      <c r="J41">
        <v>0</v>
      </c>
      <c r="K41">
        <v>0</v>
      </c>
      <c r="L41">
        <v>28</v>
      </c>
      <c r="M41">
        <v>22</v>
      </c>
      <c r="N41">
        <v>14</v>
      </c>
      <c r="O41">
        <v>934</v>
      </c>
    </row>
    <row r="42" spans="1:15" x14ac:dyDescent="0.2">
      <c r="A42" t="s">
        <v>76</v>
      </c>
      <c r="B42" t="s">
        <v>16</v>
      </c>
      <c r="C42" t="s">
        <v>17</v>
      </c>
      <c r="D42" t="s">
        <v>75</v>
      </c>
      <c r="E42" t="s">
        <v>81</v>
      </c>
      <c r="F42">
        <v>3</v>
      </c>
      <c r="G42" t="s">
        <v>19</v>
      </c>
      <c r="H42" t="s">
        <v>20</v>
      </c>
      <c r="I42">
        <v>199</v>
      </c>
      <c r="J42">
        <v>258</v>
      </c>
      <c r="K42">
        <v>0</v>
      </c>
      <c r="L42">
        <v>253</v>
      </c>
      <c r="M42">
        <v>273</v>
      </c>
      <c r="N42">
        <v>0</v>
      </c>
      <c r="O42">
        <v>685</v>
      </c>
    </row>
    <row r="43" spans="1:15" x14ac:dyDescent="0.2">
      <c r="A43" t="s">
        <v>76</v>
      </c>
      <c r="B43" t="s">
        <v>16</v>
      </c>
      <c r="C43" t="s">
        <v>17</v>
      </c>
      <c r="D43" t="s">
        <v>75</v>
      </c>
      <c r="E43" t="s">
        <v>81</v>
      </c>
      <c r="F43">
        <v>3</v>
      </c>
      <c r="G43" t="s">
        <v>19</v>
      </c>
      <c r="H43" t="s">
        <v>21</v>
      </c>
      <c r="I43">
        <v>12</v>
      </c>
      <c r="J43">
        <v>6</v>
      </c>
      <c r="K43">
        <v>0</v>
      </c>
      <c r="L43">
        <v>253</v>
      </c>
      <c r="M43">
        <v>273</v>
      </c>
      <c r="N43">
        <v>0</v>
      </c>
      <c r="O43">
        <v>685</v>
      </c>
    </row>
    <row r="44" spans="1:15" x14ac:dyDescent="0.2">
      <c r="A44" t="s">
        <v>76</v>
      </c>
      <c r="B44" t="s">
        <v>16</v>
      </c>
      <c r="C44" t="s">
        <v>17</v>
      </c>
      <c r="D44" t="s">
        <v>75</v>
      </c>
      <c r="E44" t="s">
        <v>81</v>
      </c>
      <c r="F44">
        <v>3</v>
      </c>
      <c r="G44" t="s">
        <v>19</v>
      </c>
      <c r="H44" t="s">
        <v>22</v>
      </c>
      <c r="I44">
        <v>2</v>
      </c>
      <c r="J44">
        <v>3</v>
      </c>
      <c r="K44">
        <v>0</v>
      </c>
      <c r="L44">
        <v>253</v>
      </c>
      <c r="M44">
        <v>273</v>
      </c>
      <c r="N44">
        <v>0</v>
      </c>
      <c r="O44">
        <v>685</v>
      </c>
    </row>
    <row r="45" spans="1:15" x14ac:dyDescent="0.2">
      <c r="A45" t="s">
        <v>76</v>
      </c>
      <c r="B45" t="s">
        <v>16</v>
      </c>
      <c r="C45" t="s">
        <v>17</v>
      </c>
      <c r="D45" t="s">
        <v>75</v>
      </c>
      <c r="E45" t="s">
        <v>81</v>
      </c>
      <c r="F45">
        <v>3</v>
      </c>
      <c r="G45" t="s">
        <v>19</v>
      </c>
      <c r="H45" t="s">
        <v>23</v>
      </c>
      <c r="I45">
        <v>40</v>
      </c>
      <c r="J45">
        <v>6</v>
      </c>
      <c r="K45">
        <v>0</v>
      </c>
      <c r="L45">
        <v>253</v>
      </c>
      <c r="M45">
        <v>273</v>
      </c>
      <c r="N45">
        <v>0</v>
      </c>
      <c r="O45">
        <v>685</v>
      </c>
    </row>
    <row r="46" spans="1:15" x14ac:dyDescent="0.2">
      <c r="A46" t="s">
        <v>76</v>
      </c>
      <c r="B46" t="s">
        <v>16</v>
      </c>
      <c r="C46" t="s">
        <v>17</v>
      </c>
      <c r="D46" t="s">
        <v>75</v>
      </c>
      <c r="E46" t="s">
        <v>81</v>
      </c>
      <c r="F46">
        <v>3</v>
      </c>
      <c r="G46" t="s">
        <v>19</v>
      </c>
      <c r="H46" t="s">
        <v>24</v>
      </c>
      <c r="I46">
        <v>0</v>
      </c>
      <c r="J46">
        <v>0</v>
      </c>
      <c r="K46">
        <v>0</v>
      </c>
      <c r="L46">
        <v>253</v>
      </c>
      <c r="M46">
        <v>273</v>
      </c>
      <c r="N46">
        <v>0</v>
      </c>
      <c r="O46">
        <v>685</v>
      </c>
    </row>
    <row r="47" spans="1:15" x14ac:dyDescent="0.2">
      <c r="A47" t="s">
        <v>76</v>
      </c>
      <c r="B47" t="s">
        <v>16</v>
      </c>
      <c r="C47" t="s">
        <v>17</v>
      </c>
      <c r="D47" t="s">
        <v>75</v>
      </c>
      <c r="E47" t="s">
        <v>179</v>
      </c>
      <c r="F47">
        <v>3</v>
      </c>
      <c r="G47" t="s">
        <v>130</v>
      </c>
      <c r="H47" t="s">
        <v>20</v>
      </c>
      <c r="I47">
        <v>119</v>
      </c>
      <c r="J47">
        <v>129</v>
      </c>
      <c r="K47">
        <v>97</v>
      </c>
      <c r="L47">
        <v>138</v>
      </c>
      <c r="M47">
        <v>161</v>
      </c>
      <c r="N47">
        <v>117</v>
      </c>
      <c r="O47">
        <v>552</v>
      </c>
    </row>
    <row r="48" spans="1:15" x14ac:dyDescent="0.2">
      <c r="A48" t="s">
        <v>76</v>
      </c>
      <c r="B48" t="s">
        <v>16</v>
      </c>
      <c r="C48" t="s">
        <v>17</v>
      </c>
      <c r="D48" t="s">
        <v>75</v>
      </c>
      <c r="E48" t="s">
        <v>179</v>
      </c>
      <c r="F48">
        <v>3</v>
      </c>
      <c r="G48" t="s">
        <v>130</v>
      </c>
      <c r="H48" t="s">
        <v>21</v>
      </c>
      <c r="I48">
        <v>11</v>
      </c>
      <c r="J48">
        <v>21</v>
      </c>
      <c r="K48">
        <v>13</v>
      </c>
      <c r="L48">
        <v>138</v>
      </c>
      <c r="M48">
        <v>161</v>
      </c>
      <c r="N48">
        <v>117</v>
      </c>
      <c r="O48">
        <v>552</v>
      </c>
    </row>
    <row r="49" spans="1:15" x14ac:dyDescent="0.2">
      <c r="A49" t="s">
        <v>76</v>
      </c>
      <c r="B49" t="s">
        <v>16</v>
      </c>
      <c r="C49" t="s">
        <v>17</v>
      </c>
      <c r="D49" t="s">
        <v>75</v>
      </c>
      <c r="E49" t="s">
        <v>179</v>
      </c>
      <c r="F49">
        <v>3</v>
      </c>
      <c r="G49" t="s">
        <v>130</v>
      </c>
      <c r="H49" t="s">
        <v>22</v>
      </c>
      <c r="I49">
        <v>0</v>
      </c>
      <c r="J49">
        <v>10</v>
      </c>
      <c r="K49">
        <v>7</v>
      </c>
      <c r="L49">
        <v>138</v>
      </c>
      <c r="M49">
        <v>161</v>
      </c>
      <c r="N49">
        <v>117</v>
      </c>
      <c r="O49">
        <v>552</v>
      </c>
    </row>
    <row r="50" spans="1:15" x14ac:dyDescent="0.2">
      <c r="A50" t="s">
        <v>76</v>
      </c>
      <c r="B50" t="s">
        <v>16</v>
      </c>
      <c r="C50" t="s">
        <v>17</v>
      </c>
      <c r="D50" t="s">
        <v>75</v>
      </c>
      <c r="E50" t="s">
        <v>179</v>
      </c>
      <c r="F50">
        <v>3</v>
      </c>
      <c r="G50" t="s">
        <v>130</v>
      </c>
      <c r="H50" t="s">
        <v>23</v>
      </c>
      <c r="I50">
        <v>8</v>
      </c>
      <c r="J50">
        <v>1</v>
      </c>
      <c r="K50">
        <v>0</v>
      </c>
      <c r="L50">
        <v>138</v>
      </c>
      <c r="M50">
        <v>161</v>
      </c>
      <c r="N50">
        <v>117</v>
      </c>
      <c r="O50">
        <v>552</v>
      </c>
    </row>
    <row r="51" spans="1:15" x14ac:dyDescent="0.2">
      <c r="A51" t="s">
        <v>76</v>
      </c>
      <c r="B51" t="s">
        <v>16</v>
      </c>
      <c r="C51" t="s">
        <v>17</v>
      </c>
      <c r="D51" t="s">
        <v>75</v>
      </c>
      <c r="E51" t="s">
        <v>179</v>
      </c>
      <c r="F51">
        <v>3</v>
      </c>
      <c r="G51" t="s">
        <v>130</v>
      </c>
      <c r="H51" t="s">
        <v>24</v>
      </c>
      <c r="I51">
        <v>0</v>
      </c>
      <c r="J51">
        <v>0</v>
      </c>
      <c r="K51">
        <v>0</v>
      </c>
      <c r="L51">
        <v>138</v>
      </c>
      <c r="M51">
        <v>161</v>
      </c>
      <c r="N51">
        <v>117</v>
      </c>
      <c r="O51">
        <v>552</v>
      </c>
    </row>
    <row r="52" spans="1:15" x14ac:dyDescent="0.2">
      <c r="A52" t="s">
        <v>76</v>
      </c>
      <c r="B52" t="s">
        <v>16</v>
      </c>
      <c r="C52" t="s">
        <v>17</v>
      </c>
      <c r="D52" t="s">
        <v>75</v>
      </c>
      <c r="E52" t="s">
        <v>178</v>
      </c>
      <c r="F52">
        <v>3</v>
      </c>
      <c r="G52" t="s">
        <v>128</v>
      </c>
      <c r="H52" t="s">
        <v>20</v>
      </c>
      <c r="I52">
        <v>92</v>
      </c>
      <c r="J52">
        <v>41</v>
      </c>
      <c r="K52">
        <v>29</v>
      </c>
      <c r="L52">
        <v>134</v>
      </c>
      <c r="M52">
        <v>81</v>
      </c>
      <c r="N52">
        <v>68</v>
      </c>
      <c r="O52">
        <v>519</v>
      </c>
    </row>
    <row r="53" spans="1:15" x14ac:dyDescent="0.2">
      <c r="A53" t="s">
        <v>76</v>
      </c>
      <c r="B53" t="s">
        <v>16</v>
      </c>
      <c r="C53" t="s">
        <v>17</v>
      </c>
      <c r="D53" t="s">
        <v>75</v>
      </c>
      <c r="E53" t="s">
        <v>178</v>
      </c>
      <c r="F53">
        <v>3</v>
      </c>
      <c r="G53" t="s">
        <v>128</v>
      </c>
      <c r="H53" t="s">
        <v>21</v>
      </c>
      <c r="I53">
        <v>12</v>
      </c>
      <c r="J53">
        <v>25</v>
      </c>
      <c r="K53">
        <v>24</v>
      </c>
      <c r="L53">
        <v>134</v>
      </c>
      <c r="M53">
        <v>81</v>
      </c>
      <c r="N53">
        <v>68</v>
      </c>
      <c r="O53">
        <v>519</v>
      </c>
    </row>
    <row r="54" spans="1:15" x14ac:dyDescent="0.2">
      <c r="A54" t="s">
        <v>76</v>
      </c>
      <c r="B54" t="s">
        <v>16</v>
      </c>
      <c r="C54" t="s">
        <v>17</v>
      </c>
      <c r="D54" t="s">
        <v>75</v>
      </c>
      <c r="E54" t="s">
        <v>178</v>
      </c>
      <c r="F54">
        <v>3</v>
      </c>
      <c r="G54" t="s">
        <v>128</v>
      </c>
      <c r="H54" t="s">
        <v>22</v>
      </c>
      <c r="I54">
        <v>5</v>
      </c>
      <c r="J54">
        <v>7</v>
      </c>
      <c r="K54">
        <v>7</v>
      </c>
      <c r="L54">
        <v>134</v>
      </c>
      <c r="M54">
        <v>81</v>
      </c>
      <c r="N54">
        <v>68</v>
      </c>
      <c r="O54">
        <v>519</v>
      </c>
    </row>
    <row r="55" spans="1:15" x14ac:dyDescent="0.2">
      <c r="A55" t="s">
        <v>76</v>
      </c>
      <c r="B55" t="s">
        <v>16</v>
      </c>
      <c r="C55" t="s">
        <v>17</v>
      </c>
      <c r="D55" t="s">
        <v>75</v>
      </c>
      <c r="E55" t="s">
        <v>178</v>
      </c>
      <c r="F55">
        <v>3</v>
      </c>
      <c r="G55" t="s">
        <v>128</v>
      </c>
      <c r="H55" t="s">
        <v>23</v>
      </c>
      <c r="I55">
        <v>25</v>
      </c>
      <c r="J55">
        <v>8</v>
      </c>
      <c r="K55">
        <v>8</v>
      </c>
      <c r="L55">
        <v>134</v>
      </c>
      <c r="M55">
        <v>81</v>
      </c>
      <c r="N55">
        <v>68</v>
      </c>
      <c r="O55">
        <v>519</v>
      </c>
    </row>
    <row r="56" spans="1:15" x14ac:dyDescent="0.2">
      <c r="A56" t="s">
        <v>76</v>
      </c>
      <c r="B56" t="s">
        <v>16</v>
      </c>
      <c r="C56" t="s">
        <v>17</v>
      </c>
      <c r="D56" t="s">
        <v>75</v>
      </c>
      <c r="E56" t="s">
        <v>178</v>
      </c>
      <c r="F56">
        <v>3</v>
      </c>
      <c r="G56" t="s">
        <v>128</v>
      </c>
      <c r="H56" t="s">
        <v>24</v>
      </c>
      <c r="I56">
        <v>0</v>
      </c>
      <c r="J56">
        <v>0</v>
      </c>
      <c r="K56">
        <v>0</v>
      </c>
      <c r="L56">
        <v>134</v>
      </c>
      <c r="M56">
        <v>81</v>
      </c>
      <c r="N56">
        <v>68</v>
      </c>
      <c r="O56">
        <v>519</v>
      </c>
    </row>
    <row r="57" spans="1:15" x14ac:dyDescent="0.2">
      <c r="A57" t="s">
        <v>76</v>
      </c>
      <c r="B57" t="s">
        <v>16</v>
      </c>
      <c r="C57" t="s">
        <v>17</v>
      </c>
      <c r="D57" t="s">
        <v>75</v>
      </c>
      <c r="E57" t="s">
        <v>177</v>
      </c>
      <c r="F57">
        <v>3</v>
      </c>
      <c r="G57" t="s">
        <v>126</v>
      </c>
      <c r="H57" t="s">
        <v>20</v>
      </c>
      <c r="I57">
        <v>84</v>
      </c>
      <c r="J57">
        <v>28</v>
      </c>
      <c r="K57">
        <v>10</v>
      </c>
      <c r="L57">
        <v>127</v>
      </c>
      <c r="M57">
        <v>75</v>
      </c>
      <c r="N57">
        <v>50</v>
      </c>
      <c r="O57">
        <v>517</v>
      </c>
    </row>
    <row r="58" spans="1:15" x14ac:dyDescent="0.2">
      <c r="A58" t="s">
        <v>76</v>
      </c>
      <c r="B58" t="s">
        <v>16</v>
      </c>
      <c r="C58" t="s">
        <v>17</v>
      </c>
      <c r="D58" t="s">
        <v>75</v>
      </c>
      <c r="E58" t="s">
        <v>177</v>
      </c>
      <c r="F58">
        <v>3</v>
      </c>
      <c r="G58" t="s">
        <v>126</v>
      </c>
      <c r="H58" t="s">
        <v>21</v>
      </c>
      <c r="I58">
        <v>9</v>
      </c>
      <c r="J58">
        <v>32</v>
      </c>
      <c r="K58">
        <v>28</v>
      </c>
      <c r="L58">
        <v>127</v>
      </c>
      <c r="M58">
        <v>75</v>
      </c>
      <c r="N58">
        <v>50</v>
      </c>
      <c r="O58">
        <v>517</v>
      </c>
    </row>
    <row r="59" spans="1:15" x14ac:dyDescent="0.2">
      <c r="A59" t="s">
        <v>76</v>
      </c>
      <c r="B59" t="s">
        <v>16</v>
      </c>
      <c r="C59" t="s">
        <v>17</v>
      </c>
      <c r="D59" t="s">
        <v>75</v>
      </c>
      <c r="E59" t="s">
        <v>177</v>
      </c>
      <c r="F59">
        <v>3</v>
      </c>
      <c r="G59" t="s">
        <v>126</v>
      </c>
      <c r="H59" t="s">
        <v>22</v>
      </c>
      <c r="I59">
        <v>6</v>
      </c>
      <c r="J59">
        <v>9</v>
      </c>
      <c r="K59">
        <v>7</v>
      </c>
      <c r="L59">
        <v>127</v>
      </c>
      <c r="M59">
        <v>75</v>
      </c>
      <c r="N59">
        <v>50</v>
      </c>
      <c r="O59">
        <v>517</v>
      </c>
    </row>
    <row r="60" spans="1:15" x14ac:dyDescent="0.2">
      <c r="A60" t="s">
        <v>76</v>
      </c>
      <c r="B60" t="s">
        <v>16</v>
      </c>
      <c r="C60" t="s">
        <v>17</v>
      </c>
      <c r="D60" t="s">
        <v>75</v>
      </c>
      <c r="E60" t="s">
        <v>177</v>
      </c>
      <c r="F60">
        <v>3</v>
      </c>
      <c r="G60" t="s">
        <v>126</v>
      </c>
      <c r="H60" t="s">
        <v>23</v>
      </c>
      <c r="I60">
        <v>28</v>
      </c>
      <c r="J60">
        <v>6</v>
      </c>
      <c r="K60">
        <v>5</v>
      </c>
      <c r="L60">
        <v>127</v>
      </c>
      <c r="M60">
        <v>75</v>
      </c>
      <c r="N60">
        <v>50</v>
      </c>
      <c r="O60">
        <v>517</v>
      </c>
    </row>
    <row r="61" spans="1:15" x14ac:dyDescent="0.2">
      <c r="A61" t="s">
        <v>76</v>
      </c>
      <c r="B61" t="s">
        <v>16</v>
      </c>
      <c r="C61" t="s">
        <v>17</v>
      </c>
      <c r="D61" t="s">
        <v>75</v>
      </c>
      <c r="E61" t="s">
        <v>177</v>
      </c>
      <c r="F61">
        <v>3</v>
      </c>
      <c r="G61" t="s">
        <v>126</v>
      </c>
      <c r="H61" t="s">
        <v>24</v>
      </c>
      <c r="I61">
        <v>0</v>
      </c>
      <c r="J61">
        <v>0</v>
      </c>
      <c r="K61">
        <v>0</v>
      </c>
      <c r="L61">
        <v>127</v>
      </c>
      <c r="M61">
        <v>75</v>
      </c>
      <c r="N61">
        <v>50</v>
      </c>
      <c r="O61">
        <v>517</v>
      </c>
    </row>
    <row r="62" spans="1:15" x14ac:dyDescent="0.2">
      <c r="A62" t="s">
        <v>115</v>
      </c>
      <c r="B62" t="s">
        <v>16</v>
      </c>
      <c r="C62" t="s">
        <v>17</v>
      </c>
      <c r="D62" t="s">
        <v>75</v>
      </c>
      <c r="E62" t="s">
        <v>118</v>
      </c>
      <c r="F62">
        <v>3</v>
      </c>
      <c r="G62" t="s">
        <v>19</v>
      </c>
      <c r="H62" t="s">
        <v>20</v>
      </c>
      <c r="I62">
        <v>80</v>
      </c>
      <c r="J62">
        <v>48</v>
      </c>
      <c r="K62">
        <v>0</v>
      </c>
      <c r="L62">
        <v>81</v>
      </c>
      <c r="M62">
        <v>49</v>
      </c>
      <c r="N62">
        <v>0</v>
      </c>
      <c r="O62">
        <v>196</v>
      </c>
    </row>
    <row r="63" spans="1:15" x14ac:dyDescent="0.2">
      <c r="A63" t="s">
        <v>115</v>
      </c>
      <c r="B63" t="s">
        <v>16</v>
      </c>
      <c r="C63" t="s">
        <v>17</v>
      </c>
      <c r="D63" t="s">
        <v>75</v>
      </c>
      <c r="E63" t="s">
        <v>118</v>
      </c>
      <c r="F63">
        <v>3</v>
      </c>
      <c r="G63" t="s">
        <v>19</v>
      </c>
      <c r="H63" t="s">
        <v>21</v>
      </c>
      <c r="I63">
        <v>1</v>
      </c>
      <c r="J63">
        <v>0</v>
      </c>
      <c r="K63">
        <v>0</v>
      </c>
      <c r="L63">
        <v>81</v>
      </c>
      <c r="M63">
        <v>49</v>
      </c>
      <c r="N63">
        <v>0</v>
      </c>
      <c r="O63">
        <v>196</v>
      </c>
    </row>
    <row r="64" spans="1:15" x14ac:dyDescent="0.2">
      <c r="A64" t="s">
        <v>115</v>
      </c>
      <c r="B64" t="s">
        <v>16</v>
      </c>
      <c r="C64" t="s">
        <v>17</v>
      </c>
      <c r="D64" t="s">
        <v>75</v>
      </c>
      <c r="E64" t="s">
        <v>118</v>
      </c>
      <c r="F64">
        <v>3</v>
      </c>
      <c r="G64" t="s">
        <v>19</v>
      </c>
      <c r="H64" t="s">
        <v>22</v>
      </c>
      <c r="I64">
        <v>0</v>
      </c>
      <c r="J64">
        <v>0</v>
      </c>
      <c r="K64">
        <v>0</v>
      </c>
      <c r="L64">
        <v>81</v>
      </c>
      <c r="M64">
        <v>49</v>
      </c>
      <c r="N64">
        <v>0</v>
      </c>
      <c r="O64">
        <v>196</v>
      </c>
    </row>
    <row r="65" spans="1:15" x14ac:dyDescent="0.2">
      <c r="A65" t="s">
        <v>115</v>
      </c>
      <c r="B65" t="s">
        <v>16</v>
      </c>
      <c r="C65" t="s">
        <v>17</v>
      </c>
      <c r="D65" t="s">
        <v>75</v>
      </c>
      <c r="E65" t="s">
        <v>118</v>
      </c>
      <c r="F65">
        <v>3</v>
      </c>
      <c r="G65" t="s">
        <v>19</v>
      </c>
      <c r="H65" t="s">
        <v>23</v>
      </c>
      <c r="I65">
        <v>0</v>
      </c>
      <c r="J65">
        <v>1</v>
      </c>
      <c r="K65">
        <v>0</v>
      </c>
      <c r="L65">
        <v>81</v>
      </c>
      <c r="M65">
        <v>49</v>
      </c>
      <c r="N65">
        <v>0</v>
      </c>
      <c r="O65">
        <v>196</v>
      </c>
    </row>
    <row r="66" spans="1:15" x14ac:dyDescent="0.2">
      <c r="A66" t="s">
        <v>115</v>
      </c>
      <c r="B66" t="s">
        <v>16</v>
      </c>
      <c r="C66" t="s">
        <v>17</v>
      </c>
      <c r="D66" t="s">
        <v>75</v>
      </c>
      <c r="E66" t="s">
        <v>118</v>
      </c>
      <c r="F66">
        <v>3</v>
      </c>
      <c r="G66" t="s">
        <v>19</v>
      </c>
      <c r="H66" t="s">
        <v>24</v>
      </c>
      <c r="I66">
        <v>0</v>
      </c>
      <c r="J66">
        <v>0</v>
      </c>
      <c r="K66">
        <v>0</v>
      </c>
      <c r="L66">
        <v>81</v>
      </c>
      <c r="M66">
        <v>49</v>
      </c>
      <c r="N66">
        <v>0</v>
      </c>
      <c r="O66">
        <v>196</v>
      </c>
    </row>
    <row r="67" spans="1:15" x14ac:dyDescent="0.2">
      <c r="A67" t="s">
        <v>115</v>
      </c>
      <c r="B67" t="s">
        <v>16</v>
      </c>
      <c r="C67" t="s">
        <v>17</v>
      </c>
      <c r="D67" t="s">
        <v>75</v>
      </c>
      <c r="E67" t="s">
        <v>176</v>
      </c>
      <c r="F67">
        <v>3</v>
      </c>
      <c r="G67" t="s">
        <v>130</v>
      </c>
      <c r="H67" t="s">
        <v>20</v>
      </c>
      <c r="I67">
        <v>14</v>
      </c>
      <c r="J67">
        <v>11</v>
      </c>
      <c r="K67">
        <v>11</v>
      </c>
      <c r="L67">
        <v>14</v>
      </c>
      <c r="M67">
        <v>19</v>
      </c>
      <c r="N67">
        <v>19</v>
      </c>
      <c r="O67">
        <v>116</v>
      </c>
    </row>
    <row r="68" spans="1:15" x14ac:dyDescent="0.2">
      <c r="A68" t="s">
        <v>115</v>
      </c>
      <c r="B68" t="s">
        <v>16</v>
      </c>
      <c r="C68" t="s">
        <v>17</v>
      </c>
      <c r="D68" t="s">
        <v>75</v>
      </c>
      <c r="E68" t="s">
        <v>176</v>
      </c>
      <c r="F68">
        <v>3</v>
      </c>
      <c r="G68" t="s">
        <v>130</v>
      </c>
      <c r="H68" t="s">
        <v>21</v>
      </c>
      <c r="I68">
        <v>0</v>
      </c>
      <c r="J68">
        <v>7</v>
      </c>
      <c r="K68">
        <v>7</v>
      </c>
      <c r="L68">
        <v>14</v>
      </c>
      <c r="M68">
        <v>19</v>
      </c>
      <c r="N68">
        <v>19</v>
      </c>
      <c r="O68">
        <v>116</v>
      </c>
    </row>
    <row r="69" spans="1:15" x14ac:dyDescent="0.2">
      <c r="A69" t="s">
        <v>115</v>
      </c>
      <c r="B69" t="s">
        <v>16</v>
      </c>
      <c r="C69" t="s">
        <v>17</v>
      </c>
      <c r="D69" t="s">
        <v>75</v>
      </c>
      <c r="E69" t="s">
        <v>176</v>
      </c>
      <c r="F69">
        <v>3</v>
      </c>
      <c r="G69" t="s">
        <v>130</v>
      </c>
      <c r="H69" t="s">
        <v>22</v>
      </c>
      <c r="I69">
        <v>0</v>
      </c>
      <c r="J69">
        <v>1</v>
      </c>
      <c r="K69">
        <v>1</v>
      </c>
      <c r="L69">
        <v>14</v>
      </c>
      <c r="M69">
        <v>19</v>
      </c>
      <c r="N69">
        <v>19</v>
      </c>
      <c r="O69">
        <v>116</v>
      </c>
    </row>
    <row r="70" spans="1:15" x14ac:dyDescent="0.2">
      <c r="A70" t="s">
        <v>115</v>
      </c>
      <c r="B70" t="s">
        <v>16</v>
      </c>
      <c r="C70" t="s">
        <v>17</v>
      </c>
      <c r="D70" t="s">
        <v>75</v>
      </c>
      <c r="E70" t="s">
        <v>176</v>
      </c>
      <c r="F70">
        <v>3</v>
      </c>
      <c r="G70" t="s">
        <v>130</v>
      </c>
      <c r="H70" t="s">
        <v>23</v>
      </c>
      <c r="I70">
        <v>0</v>
      </c>
      <c r="J70">
        <v>0</v>
      </c>
      <c r="K70">
        <v>0</v>
      </c>
      <c r="L70">
        <v>14</v>
      </c>
      <c r="M70">
        <v>19</v>
      </c>
      <c r="N70">
        <v>19</v>
      </c>
      <c r="O70">
        <v>116</v>
      </c>
    </row>
    <row r="71" spans="1:15" x14ac:dyDescent="0.2">
      <c r="A71" t="s">
        <v>115</v>
      </c>
      <c r="B71" t="s">
        <v>16</v>
      </c>
      <c r="C71" t="s">
        <v>17</v>
      </c>
      <c r="D71" t="s">
        <v>75</v>
      </c>
      <c r="E71" t="s">
        <v>176</v>
      </c>
      <c r="F71">
        <v>3</v>
      </c>
      <c r="G71" t="s">
        <v>130</v>
      </c>
      <c r="H71" t="s">
        <v>24</v>
      </c>
      <c r="I71">
        <v>0</v>
      </c>
      <c r="J71">
        <v>0</v>
      </c>
      <c r="K71">
        <v>0</v>
      </c>
      <c r="L71">
        <v>14</v>
      </c>
      <c r="M71">
        <v>19</v>
      </c>
      <c r="N71">
        <v>19</v>
      </c>
      <c r="O71">
        <v>116</v>
      </c>
    </row>
    <row r="72" spans="1:15" x14ac:dyDescent="0.2">
      <c r="A72" t="s">
        <v>115</v>
      </c>
      <c r="B72" t="s">
        <v>16</v>
      </c>
      <c r="C72" t="s">
        <v>17</v>
      </c>
      <c r="D72" t="s">
        <v>75</v>
      </c>
      <c r="E72" t="s">
        <v>175</v>
      </c>
      <c r="F72">
        <v>3</v>
      </c>
      <c r="G72" t="s">
        <v>128</v>
      </c>
      <c r="H72" t="s">
        <v>20</v>
      </c>
      <c r="I72">
        <v>10</v>
      </c>
      <c r="J72">
        <v>5</v>
      </c>
      <c r="K72">
        <v>5</v>
      </c>
      <c r="L72">
        <v>10</v>
      </c>
      <c r="M72">
        <v>20</v>
      </c>
      <c r="N72">
        <v>20</v>
      </c>
      <c r="O72">
        <v>113</v>
      </c>
    </row>
    <row r="73" spans="1:15" x14ac:dyDescent="0.2">
      <c r="A73" t="s">
        <v>115</v>
      </c>
      <c r="B73" t="s">
        <v>16</v>
      </c>
      <c r="C73" t="s">
        <v>17</v>
      </c>
      <c r="D73" t="s">
        <v>75</v>
      </c>
      <c r="E73" t="s">
        <v>175</v>
      </c>
      <c r="F73">
        <v>3</v>
      </c>
      <c r="G73" t="s">
        <v>128</v>
      </c>
      <c r="H73" t="s">
        <v>21</v>
      </c>
      <c r="I73">
        <v>0</v>
      </c>
      <c r="J73">
        <v>8</v>
      </c>
      <c r="K73">
        <v>8</v>
      </c>
      <c r="L73">
        <v>10</v>
      </c>
      <c r="M73">
        <v>20</v>
      </c>
      <c r="N73">
        <v>20</v>
      </c>
      <c r="O73">
        <v>113</v>
      </c>
    </row>
    <row r="74" spans="1:15" x14ac:dyDescent="0.2">
      <c r="A74" t="s">
        <v>115</v>
      </c>
      <c r="B74" t="s">
        <v>16</v>
      </c>
      <c r="C74" t="s">
        <v>17</v>
      </c>
      <c r="D74" t="s">
        <v>75</v>
      </c>
      <c r="E74" t="s">
        <v>175</v>
      </c>
      <c r="F74">
        <v>3</v>
      </c>
      <c r="G74" t="s">
        <v>128</v>
      </c>
      <c r="H74" t="s">
        <v>22</v>
      </c>
      <c r="I74">
        <v>0</v>
      </c>
      <c r="J74">
        <v>4</v>
      </c>
      <c r="K74">
        <v>4</v>
      </c>
      <c r="L74">
        <v>10</v>
      </c>
      <c r="M74">
        <v>20</v>
      </c>
      <c r="N74">
        <v>20</v>
      </c>
      <c r="O74">
        <v>113</v>
      </c>
    </row>
    <row r="75" spans="1:15" x14ac:dyDescent="0.2">
      <c r="A75" t="s">
        <v>115</v>
      </c>
      <c r="B75" t="s">
        <v>16</v>
      </c>
      <c r="C75" t="s">
        <v>17</v>
      </c>
      <c r="D75" t="s">
        <v>75</v>
      </c>
      <c r="E75" t="s">
        <v>175</v>
      </c>
      <c r="F75">
        <v>3</v>
      </c>
      <c r="G75" t="s">
        <v>128</v>
      </c>
      <c r="H75" t="s">
        <v>23</v>
      </c>
      <c r="I75">
        <v>0</v>
      </c>
      <c r="J75">
        <v>3</v>
      </c>
      <c r="K75">
        <v>3</v>
      </c>
      <c r="L75">
        <v>10</v>
      </c>
      <c r="M75">
        <v>20</v>
      </c>
      <c r="N75">
        <v>20</v>
      </c>
      <c r="O75">
        <v>113</v>
      </c>
    </row>
    <row r="76" spans="1:15" x14ac:dyDescent="0.2">
      <c r="A76" t="s">
        <v>115</v>
      </c>
      <c r="B76" t="s">
        <v>16</v>
      </c>
      <c r="C76" t="s">
        <v>17</v>
      </c>
      <c r="D76" t="s">
        <v>75</v>
      </c>
      <c r="E76" t="s">
        <v>175</v>
      </c>
      <c r="F76">
        <v>3</v>
      </c>
      <c r="G76" t="s">
        <v>128</v>
      </c>
      <c r="H76" t="s">
        <v>24</v>
      </c>
      <c r="I76">
        <v>0</v>
      </c>
      <c r="J76">
        <v>0</v>
      </c>
      <c r="K76">
        <v>0</v>
      </c>
      <c r="L76">
        <v>10</v>
      </c>
      <c r="M76">
        <v>20</v>
      </c>
      <c r="N76">
        <v>20</v>
      </c>
      <c r="O76">
        <v>113</v>
      </c>
    </row>
    <row r="77" spans="1:15" x14ac:dyDescent="0.2">
      <c r="A77" t="s">
        <v>115</v>
      </c>
      <c r="B77" t="s">
        <v>16</v>
      </c>
      <c r="C77" t="s">
        <v>17</v>
      </c>
      <c r="D77" t="s">
        <v>75</v>
      </c>
      <c r="E77" t="s">
        <v>174</v>
      </c>
      <c r="F77">
        <v>3</v>
      </c>
      <c r="G77" t="s">
        <v>126</v>
      </c>
      <c r="H77" t="s">
        <v>20</v>
      </c>
      <c r="I77">
        <v>16</v>
      </c>
      <c r="J77">
        <v>1</v>
      </c>
      <c r="K77">
        <v>1</v>
      </c>
      <c r="L77">
        <v>17</v>
      </c>
      <c r="M77">
        <v>15</v>
      </c>
      <c r="N77">
        <v>15</v>
      </c>
      <c r="O77">
        <v>107</v>
      </c>
    </row>
    <row r="78" spans="1:15" x14ac:dyDescent="0.2">
      <c r="A78" t="s">
        <v>115</v>
      </c>
      <c r="B78" t="s">
        <v>16</v>
      </c>
      <c r="C78" t="s">
        <v>17</v>
      </c>
      <c r="D78" t="s">
        <v>75</v>
      </c>
      <c r="E78" t="s">
        <v>174</v>
      </c>
      <c r="F78">
        <v>3</v>
      </c>
      <c r="G78" t="s">
        <v>126</v>
      </c>
      <c r="H78" t="s">
        <v>21</v>
      </c>
      <c r="I78">
        <v>0</v>
      </c>
      <c r="J78">
        <v>4</v>
      </c>
      <c r="K78">
        <v>4</v>
      </c>
      <c r="L78">
        <v>17</v>
      </c>
      <c r="M78">
        <v>15</v>
      </c>
      <c r="N78">
        <v>15</v>
      </c>
      <c r="O78">
        <v>107</v>
      </c>
    </row>
    <row r="79" spans="1:15" x14ac:dyDescent="0.2">
      <c r="A79" t="s">
        <v>115</v>
      </c>
      <c r="B79" t="s">
        <v>16</v>
      </c>
      <c r="C79" t="s">
        <v>17</v>
      </c>
      <c r="D79" t="s">
        <v>75</v>
      </c>
      <c r="E79" t="s">
        <v>174</v>
      </c>
      <c r="F79">
        <v>3</v>
      </c>
      <c r="G79" t="s">
        <v>126</v>
      </c>
      <c r="H79" t="s">
        <v>22</v>
      </c>
      <c r="I79">
        <v>1</v>
      </c>
      <c r="J79">
        <v>7</v>
      </c>
      <c r="K79">
        <v>7</v>
      </c>
      <c r="L79">
        <v>17</v>
      </c>
      <c r="M79">
        <v>15</v>
      </c>
      <c r="N79">
        <v>15</v>
      </c>
      <c r="O79">
        <v>107</v>
      </c>
    </row>
    <row r="80" spans="1:15" x14ac:dyDescent="0.2">
      <c r="A80" t="s">
        <v>115</v>
      </c>
      <c r="B80" t="s">
        <v>16</v>
      </c>
      <c r="C80" t="s">
        <v>17</v>
      </c>
      <c r="D80" t="s">
        <v>75</v>
      </c>
      <c r="E80" t="s">
        <v>174</v>
      </c>
      <c r="F80">
        <v>3</v>
      </c>
      <c r="G80" t="s">
        <v>126</v>
      </c>
      <c r="H80" t="s">
        <v>23</v>
      </c>
      <c r="I80">
        <v>0</v>
      </c>
      <c r="J80">
        <v>3</v>
      </c>
      <c r="K80">
        <v>3</v>
      </c>
      <c r="L80">
        <v>17</v>
      </c>
      <c r="M80">
        <v>15</v>
      </c>
      <c r="N80">
        <v>15</v>
      </c>
      <c r="O80">
        <v>107</v>
      </c>
    </row>
    <row r="81" spans="1:15" x14ac:dyDescent="0.2">
      <c r="A81" t="s">
        <v>115</v>
      </c>
      <c r="B81" t="s">
        <v>16</v>
      </c>
      <c r="C81" t="s">
        <v>17</v>
      </c>
      <c r="D81" t="s">
        <v>75</v>
      </c>
      <c r="E81" t="s">
        <v>174</v>
      </c>
      <c r="F81">
        <v>3</v>
      </c>
      <c r="G81" t="s">
        <v>126</v>
      </c>
      <c r="H81" t="s">
        <v>24</v>
      </c>
      <c r="I81">
        <v>0</v>
      </c>
      <c r="J81">
        <v>0</v>
      </c>
      <c r="K81">
        <v>0</v>
      </c>
      <c r="L81">
        <v>17</v>
      </c>
      <c r="M81">
        <v>15</v>
      </c>
      <c r="N81">
        <v>15</v>
      </c>
      <c r="O81">
        <v>107</v>
      </c>
    </row>
    <row r="82" spans="1:15" x14ac:dyDescent="0.2">
      <c r="A82" t="s">
        <v>112</v>
      </c>
      <c r="B82" t="s">
        <v>37</v>
      </c>
      <c r="C82" t="s">
        <v>17</v>
      </c>
      <c r="D82" t="s">
        <v>75</v>
      </c>
      <c r="E82" t="s">
        <v>106</v>
      </c>
      <c r="F82">
        <v>3</v>
      </c>
      <c r="G82" t="s">
        <v>19</v>
      </c>
      <c r="H82" t="s">
        <v>20</v>
      </c>
      <c r="I82">
        <v>668</v>
      </c>
      <c r="J82">
        <v>43</v>
      </c>
      <c r="K82">
        <v>0</v>
      </c>
      <c r="L82">
        <v>879</v>
      </c>
      <c r="M82">
        <v>79</v>
      </c>
      <c r="N82">
        <v>0</v>
      </c>
      <c r="O82">
        <v>995</v>
      </c>
    </row>
    <row r="83" spans="1:15" x14ac:dyDescent="0.2">
      <c r="A83" t="s">
        <v>112</v>
      </c>
      <c r="B83" t="s">
        <v>37</v>
      </c>
      <c r="C83" t="s">
        <v>17</v>
      </c>
      <c r="D83" t="s">
        <v>75</v>
      </c>
      <c r="E83" t="s">
        <v>106</v>
      </c>
      <c r="F83">
        <v>3</v>
      </c>
      <c r="G83" t="s">
        <v>19</v>
      </c>
      <c r="H83" t="s">
        <v>21</v>
      </c>
      <c r="I83">
        <v>104</v>
      </c>
      <c r="J83">
        <v>12</v>
      </c>
      <c r="K83">
        <v>0</v>
      </c>
      <c r="L83">
        <v>879</v>
      </c>
      <c r="M83">
        <v>79</v>
      </c>
      <c r="N83">
        <v>0</v>
      </c>
      <c r="O83">
        <v>995</v>
      </c>
    </row>
    <row r="84" spans="1:15" x14ac:dyDescent="0.2">
      <c r="A84" t="s">
        <v>112</v>
      </c>
      <c r="B84" t="s">
        <v>37</v>
      </c>
      <c r="C84" t="s">
        <v>17</v>
      </c>
      <c r="D84" t="s">
        <v>75</v>
      </c>
      <c r="E84" t="s">
        <v>106</v>
      </c>
      <c r="F84">
        <v>3</v>
      </c>
      <c r="G84" t="s">
        <v>19</v>
      </c>
      <c r="H84" t="s">
        <v>22</v>
      </c>
      <c r="I84">
        <v>33</v>
      </c>
      <c r="J84">
        <v>7</v>
      </c>
      <c r="K84">
        <v>0</v>
      </c>
      <c r="L84">
        <v>879</v>
      </c>
      <c r="M84">
        <v>79</v>
      </c>
      <c r="N84">
        <v>0</v>
      </c>
      <c r="O84">
        <v>995</v>
      </c>
    </row>
    <row r="85" spans="1:15" x14ac:dyDescent="0.2">
      <c r="A85" t="s">
        <v>112</v>
      </c>
      <c r="B85" t="s">
        <v>37</v>
      </c>
      <c r="C85" t="s">
        <v>17</v>
      </c>
      <c r="D85" t="s">
        <v>75</v>
      </c>
      <c r="E85" t="s">
        <v>106</v>
      </c>
      <c r="F85">
        <v>3</v>
      </c>
      <c r="G85" t="s">
        <v>19</v>
      </c>
      <c r="H85" t="s">
        <v>23</v>
      </c>
      <c r="I85">
        <v>74</v>
      </c>
      <c r="J85">
        <v>17</v>
      </c>
      <c r="K85">
        <v>0</v>
      </c>
      <c r="L85">
        <v>879</v>
      </c>
      <c r="M85">
        <v>79</v>
      </c>
      <c r="N85">
        <v>0</v>
      </c>
      <c r="O85">
        <v>995</v>
      </c>
    </row>
    <row r="86" spans="1:15" x14ac:dyDescent="0.2">
      <c r="A86" t="s">
        <v>112</v>
      </c>
      <c r="B86" t="s">
        <v>37</v>
      </c>
      <c r="C86" t="s">
        <v>17</v>
      </c>
      <c r="D86" t="s">
        <v>75</v>
      </c>
      <c r="E86" t="s">
        <v>106</v>
      </c>
      <c r="F86">
        <v>3</v>
      </c>
      <c r="G86" t="s">
        <v>19</v>
      </c>
      <c r="H86" t="s">
        <v>24</v>
      </c>
      <c r="I86">
        <v>0</v>
      </c>
      <c r="J86">
        <v>0</v>
      </c>
      <c r="K86">
        <v>0</v>
      </c>
      <c r="L86">
        <v>879</v>
      </c>
      <c r="M86">
        <v>79</v>
      </c>
      <c r="N86">
        <v>0</v>
      </c>
      <c r="O86">
        <v>995</v>
      </c>
    </row>
    <row r="87" spans="1:15" x14ac:dyDescent="0.2">
      <c r="A87" t="s">
        <v>112</v>
      </c>
      <c r="B87" t="s">
        <v>37</v>
      </c>
      <c r="C87" t="s">
        <v>17</v>
      </c>
      <c r="D87" t="s">
        <v>75</v>
      </c>
      <c r="E87" t="s">
        <v>185</v>
      </c>
      <c r="F87">
        <v>3</v>
      </c>
      <c r="G87" t="s">
        <v>130</v>
      </c>
      <c r="H87" t="s">
        <v>20</v>
      </c>
      <c r="I87">
        <v>332</v>
      </c>
      <c r="J87">
        <v>37</v>
      </c>
      <c r="K87">
        <v>13</v>
      </c>
      <c r="L87">
        <v>412</v>
      </c>
      <c r="M87">
        <v>79</v>
      </c>
      <c r="N87">
        <v>33</v>
      </c>
      <c r="O87">
        <v>660</v>
      </c>
    </row>
    <row r="88" spans="1:15" x14ac:dyDescent="0.2">
      <c r="A88" t="s">
        <v>112</v>
      </c>
      <c r="B88" t="s">
        <v>37</v>
      </c>
      <c r="C88" t="s">
        <v>17</v>
      </c>
      <c r="D88" t="s">
        <v>75</v>
      </c>
      <c r="E88" t="s">
        <v>185</v>
      </c>
      <c r="F88">
        <v>3</v>
      </c>
      <c r="G88" t="s">
        <v>130</v>
      </c>
      <c r="H88" t="s">
        <v>21</v>
      </c>
      <c r="I88">
        <v>39</v>
      </c>
      <c r="J88">
        <v>15</v>
      </c>
      <c r="K88">
        <v>6</v>
      </c>
      <c r="L88">
        <v>412</v>
      </c>
      <c r="M88">
        <v>79</v>
      </c>
      <c r="N88">
        <v>33</v>
      </c>
      <c r="O88">
        <v>660</v>
      </c>
    </row>
    <row r="89" spans="1:15" x14ac:dyDescent="0.2">
      <c r="A89" t="s">
        <v>112</v>
      </c>
      <c r="B89" t="s">
        <v>37</v>
      </c>
      <c r="C89" t="s">
        <v>17</v>
      </c>
      <c r="D89" t="s">
        <v>75</v>
      </c>
      <c r="E89" t="s">
        <v>185</v>
      </c>
      <c r="F89">
        <v>3</v>
      </c>
      <c r="G89" t="s">
        <v>130</v>
      </c>
      <c r="H89" t="s">
        <v>22</v>
      </c>
      <c r="I89">
        <v>12</v>
      </c>
      <c r="J89">
        <v>17</v>
      </c>
      <c r="K89">
        <v>8</v>
      </c>
      <c r="L89">
        <v>412</v>
      </c>
      <c r="M89">
        <v>79</v>
      </c>
      <c r="N89">
        <v>33</v>
      </c>
      <c r="O89">
        <v>660</v>
      </c>
    </row>
    <row r="90" spans="1:15" x14ac:dyDescent="0.2">
      <c r="A90" t="s">
        <v>112</v>
      </c>
      <c r="B90" t="s">
        <v>37</v>
      </c>
      <c r="C90" t="s">
        <v>17</v>
      </c>
      <c r="D90" t="s">
        <v>75</v>
      </c>
      <c r="E90" t="s">
        <v>185</v>
      </c>
      <c r="F90">
        <v>3</v>
      </c>
      <c r="G90" t="s">
        <v>130</v>
      </c>
      <c r="H90" t="s">
        <v>23</v>
      </c>
      <c r="I90">
        <v>29</v>
      </c>
      <c r="J90">
        <v>10</v>
      </c>
      <c r="K90">
        <v>6</v>
      </c>
      <c r="L90">
        <v>412</v>
      </c>
      <c r="M90">
        <v>79</v>
      </c>
      <c r="N90">
        <v>33</v>
      </c>
      <c r="O90">
        <v>660</v>
      </c>
    </row>
    <row r="91" spans="1:15" x14ac:dyDescent="0.2">
      <c r="A91" t="s">
        <v>112</v>
      </c>
      <c r="B91" t="s">
        <v>37</v>
      </c>
      <c r="C91" t="s">
        <v>17</v>
      </c>
      <c r="D91" t="s">
        <v>75</v>
      </c>
      <c r="E91" t="s">
        <v>185</v>
      </c>
      <c r="F91">
        <v>3</v>
      </c>
      <c r="G91" t="s">
        <v>130</v>
      </c>
      <c r="H91" t="s">
        <v>24</v>
      </c>
      <c r="I91">
        <v>0</v>
      </c>
      <c r="J91">
        <v>0</v>
      </c>
      <c r="K91">
        <v>0</v>
      </c>
      <c r="L91">
        <v>412</v>
      </c>
      <c r="M91">
        <v>79</v>
      </c>
      <c r="N91">
        <v>33</v>
      </c>
      <c r="O91">
        <v>660</v>
      </c>
    </row>
    <row r="92" spans="1:15" x14ac:dyDescent="0.2">
      <c r="A92" t="s">
        <v>112</v>
      </c>
      <c r="B92" t="s">
        <v>37</v>
      </c>
      <c r="C92" t="s">
        <v>17</v>
      </c>
      <c r="D92" t="s">
        <v>75</v>
      </c>
      <c r="E92" t="s">
        <v>184</v>
      </c>
      <c r="F92">
        <v>3</v>
      </c>
      <c r="G92" t="s">
        <v>128</v>
      </c>
      <c r="H92" t="s">
        <v>20</v>
      </c>
      <c r="I92">
        <v>274</v>
      </c>
      <c r="J92">
        <v>23</v>
      </c>
      <c r="K92">
        <v>7</v>
      </c>
      <c r="L92">
        <v>381</v>
      </c>
      <c r="M92">
        <v>68</v>
      </c>
      <c r="N92">
        <v>21</v>
      </c>
      <c r="O92">
        <v>663</v>
      </c>
    </row>
    <row r="93" spans="1:15" x14ac:dyDescent="0.2">
      <c r="A93" t="s">
        <v>112</v>
      </c>
      <c r="B93" t="s">
        <v>37</v>
      </c>
      <c r="C93" t="s">
        <v>17</v>
      </c>
      <c r="D93" t="s">
        <v>75</v>
      </c>
      <c r="E93" t="s">
        <v>184</v>
      </c>
      <c r="F93">
        <v>3</v>
      </c>
      <c r="G93" t="s">
        <v>128</v>
      </c>
      <c r="H93" t="s">
        <v>21</v>
      </c>
      <c r="I93">
        <v>59</v>
      </c>
      <c r="J93">
        <v>17</v>
      </c>
      <c r="K93">
        <v>7</v>
      </c>
      <c r="L93">
        <v>381</v>
      </c>
      <c r="M93">
        <v>68</v>
      </c>
      <c r="N93">
        <v>21</v>
      </c>
      <c r="O93">
        <v>663</v>
      </c>
    </row>
    <row r="94" spans="1:15" x14ac:dyDescent="0.2">
      <c r="A94" t="s">
        <v>112</v>
      </c>
      <c r="B94" t="s">
        <v>37</v>
      </c>
      <c r="C94" t="s">
        <v>17</v>
      </c>
      <c r="D94" t="s">
        <v>75</v>
      </c>
      <c r="E94" t="s">
        <v>184</v>
      </c>
      <c r="F94">
        <v>3</v>
      </c>
      <c r="G94" t="s">
        <v>128</v>
      </c>
      <c r="H94" t="s">
        <v>22</v>
      </c>
      <c r="I94">
        <v>14</v>
      </c>
      <c r="J94">
        <v>7</v>
      </c>
      <c r="K94">
        <v>3</v>
      </c>
      <c r="L94">
        <v>381</v>
      </c>
      <c r="M94">
        <v>68</v>
      </c>
      <c r="N94">
        <v>21</v>
      </c>
      <c r="O94">
        <v>663</v>
      </c>
    </row>
    <row r="95" spans="1:15" x14ac:dyDescent="0.2">
      <c r="A95" t="s">
        <v>112</v>
      </c>
      <c r="B95" t="s">
        <v>37</v>
      </c>
      <c r="C95" t="s">
        <v>17</v>
      </c>
      <c r="D95" t="s">
        <v>75</v>
      </c>
      <c r="E95" t="s">
        <v>184</v>
      </c>
      <c r="F95">
        <v>3</v>
      </c>
      <c r="G95" t="s">
        <v>128</v>
      </c>
      <c r="H95" t="s">
        <v>23</v>
      </c>
      <c r="I95">
        <v>34</v>
      </c>
      <c r="J95">
        <v>21</v>
      </c>
      <c r="K95">
        <v>4</v>
      </c>
      <c r="L95">
        <v>381</v>
      </c>
      <c r="M95">
        <v>68</v>
      </c>
      <c r="N95">
        <v>21</v>
      </c>
      <c r="O95">
        <v>663</v>
      </c>
    </row>
    <row r="96" spans="1:15" x14ac:dyDescent="0.2">
      <c r="A96" t="s">
        <v>112</v>
      </c>
      <c r="B96" t="s">
        <v>37</v>
      </c>
      <c r="C96" t="s">
        <v>17</v>
      </c>
      <c r="D96" t="s">
        <v>75</v>
      </c>
      <c r="E96" t="s">
        <v>184</v>
      </c>
      <c r="F96">
        <v>3</v>
      </c>
      <c r="G96" t="s">
        <v>128</v>
      </c>
      <c r="H96" t="s">
        <v>24</v>
      </c>
      <c r="I96">
        <v>0</v>
      </c>
      <c r="J96">
        <v>0</v>
      </c>
      <c r="K96">
        <v>0</v>
      </c>
      <c r="L96">
        <v>381</v>
      </c>
      <c r="M96">
        <v>68</v>
      </c>
      <c r="N96">
        <v>21</v>
      </c>
      <c r="O96">
        <v>663</v>
      </c>
    </row>
    <row r="97" spans="1:15" x14ac:dyDescent="0.2">
      <c r="A97" t="s">
        <v>112</v>
      </c>
      <c r="B97" t="s">
        <v>37</v>
      </c>
      <c r="C97" t="s">
        <v>17</v>
      </c>
      <c r="D97" t="s">
        <v>75</v>
      </c>
      <c r="E97" t="s">
        <v>183</v>
      </c>
      <c r="F97">
        <v>3</v>
      </c>
      <c r="G97" t="s">
        <v>126</v>
      </c>
      <c r="H97" t="s">
        <v>20</v>
      </c>
      <c r="I97">
        <v>271</v>
      </c>
      <c r="J97">
        <v>15</v>
      </c>
      <c r="K97">
        <v>1</v>
      </c>
      <c r="L97">
        <v>372</v>
      </c>
      <c r="M97">
        <v>49</v>
      </c>
      <c r="N97">
        <v>15</v>
      </c>
      <c r="O97">
        <v>643</v>
      </c>
    </row>
    <row r="98" spans="1:15" x14ac:dyDescent="0.2">
      <c r="A98" t="s">
        <v>112</v>
      </c>
      <c r="B98" t="s">
        <v>37</v>
      </c>
      <c r="C98" t="s">
        <v>17</v>
      </c>
      <c r="D98" t="s">
        <v>75</v>
      </c>
      <c r="E98" t="s">
        <v>183</v>
      </c>
      <c r="F98">
        <v>3</v>
      </c>
      <c r="G98" t="s">
        <v>126</v>
      </c>
      <c r="H98" t="s">
        <v>21</v>
      </c>
      <c r="I98">
        <v>66</v>
      </c>
      <c r="J98">
        <v>9</v>
      </c>
      <c r="K98">
        <v>4</v>
      </c>
      <c r="L98">
        <v>372</v>
      </c>
      <c r="M98">
        <v>49</v>
      </c>
      <c r="N98">
        <v>15</v>
      </c>
      <c r="O98">
        <v>643</v>
      </c>
    </row>
    <row r="99" spans="1:15" x14ac:dyDescent="0.2">
      <c r="A99" t="s">
        <v>112</v>
      </c>
      <c r="B99" t="s">
        <v>37</v>
      </c>
      <c r="C99" t="s">
        <v>17</v>
      </c>
      <c r="D99" t="s">
        <v>75</v>
      </c>
      <c r="E99" t="s">
        <v>183</v>
      </c>
      <c r="F99">
        <v>3</v>
      </c>
      <c r="G99" t="s">
        <v>126</v>
      </c>
      <c r="H99" t="s">
        <v>22</v>
      </c>
      <c r="I99">
        <v>12</v>
      </c>
      <c r="J99">
        <v>8</v>
      </c>
      <c r="K99">
        <v>1</v>
      </c>
      <c r="L99">
        <v>372</v>
      </c>
      <c r="M99">
        <v>49</v>
      </c>
      <c r="N99">
        <v>15</v>
      </c>
      <c r="O99">
        <v>643</v>
      </c>
    </row>
    <row r="100" spans="1:15" x14ac:dyDescent="0.2">
      <c r="A100" t="s">
        <v>112</v>
      </c>
      <c r="B100" t="s">
        <v>37</v>
      </c>
      <c r="C100" t="s">
        <v>17</v>
      </c>
      <c r="D100" t="s">
        <v>75</v>
      </c>
      <c r="E100" t="s">
        <v>183</v>
      </c>
      <c r="F100">
        <v>3</v>
      </c>
      <c r="G100" t="s">
        <v>126</v>
      </c>
      <c r="H100" t="s">
        <v>23</v>
      </c>
      <c r="I100">
        <v>23</v>
      </c>
      <c r="J100">
        <v>17</v>
      </c>
      <c r="K100">
        <v>9</v>
      </c>
      <c r="L100">
        <v>372</v>
      </c>
      <c r="M100">
        <v>49</v>
      </c>
      <c r="N100">
        <v>15</v>
      </c>
      <c r="O100">
        <v>643</v>
      </c>
    </row>
    <row r="101" spans="1:15" x14ac:dyDescent="0.2">
      <c r="A101" t="s">
        <v>112</v>
      </c>
      <c r="B101" t="s">
        <v>37</v>
      </c>
      <c r="C101" t="s">
        <v>17</v>
      </c>
      <c r="D101" t="s">
        <v>75</v>
      </c>
      <c r="E101" t="s">
        <v>183</v>
      </c>
      <c r="F101">
        <v>3</v>
      </c>
      <c r="G101" t="s">
        <v>126</v>
      </c>
      <c r="H101" t="s">
        <v>24</v>
      </c>
      <c r="I101">
        <v>0</v>
      </c>
      <c r="J101">
        <v>0</v>
      </c>
      <c r="K101">
        <v>0</v>
      </c>
      <c r="L101">
        <v>372</v>
      </c>
      <c r="M101">
        <v>49</v>
      </c>
      <c r="N101">
        <v>15</v>
      </c>
      <c r="O101">
        <v>643</v>
      </c>
    </row>
    <row r="102" spans="1:15" x14ac:dyDescent="0.2">
      <c r="A102" t="s">
        <v>100</v>
      </c>
      <c r="B102" t="s">
        <v>37</v>
      </c>
      <c r="C102" t="s">
        <v>17</v>
      </c>
      <c r="D102" t="s">
        <v>75</v>
      </c>
      <c r="E102" t="s">
        <v>94</v>
      </c>
      <c r="F102">
        <v>3</v>
      </c>
      <c r="G102" t="s">
        <v>19</v>
      </c>
      <c r="H102" t="s">
        <v>20</v>
      </c>
      <c r="I102">
        <v>40</v>
      </c>
      <c r="J102">
        <v>16</v>
      </c>
      <c r="K102">
        <v>0</v>
      </c>
      <c r="L102">
        <v>60</v>
      </c>
      <c r="M102">
        <v>19</v>
      </c>
      <c r="N102">
        <v>0</v>
      </c>
      <c r="O102">
        <v>994</v>
      </c>
    </row>
    <row r="103" spans="1:15" x14ac:dyDescent="0.2">
      <c r="A103" t="s">
        <v>100</v>
      </c>
      <c r="B103" t="s">
        <v>37</v>
      </c>
      <c r="C103" t="s">
        <v>17</v>
      </c>
      <c r="D103" t="s">
        <v>75</v>
      </c>
      <c r="E103" t="s">
        <v>94</v>
      </c>
      <c r="F103">
        <v>3</v>
      </c>
      <c r="G103" t="s">
        <v>19</v>
      </c>
      <c r="H103" t="s">
        <v>21</v>
      </c>
      <c r="I103">
        <v>8</v>
      </c>
      <c r="J103">
        <v>1</v>
      </c>
      <c r="K103">
        <v>0</v>
      </c>
      <c r="L103">
        <v>60</v>
      </c>
      <c r="M103">
        <v>19</v>
      </c>
      <c r="N103">
        <v>0</v>
      </c>
      <c r="O103">
        <v>994</v>
      </c>
    </row>
    <row r="104" spans="1:15" x14ac:dyDescent="0.2">
      <c r="A104" t="s">
        <v>100</v>
      </c>
      <c r="B104" t="s">
        <v>37</v>
      </c>
      <c r="C104" t="s">
        <v>17</v>
      </c>
      <c r="D104" t="s">
        <v>75</v>
      </c>
      <c r="E104" t="s">
        <v>94</v>
      </c>
      <c r="F104">
        <v>3</v>
      </c>
      <c r="G104" t="s">
        <v>19</v>
      </c>
      <c r="H104" t="s">
        <v>22</v>
      </c>
      <c r="I104">
        <v>5</v>
      </c>
      <c r="J104">
        <v>1</v>
      </c>
      <c r="K104">
        <v>0</v>
      </c>
      <c r="L104">
        <v>60</v>
      </c>
      <c r="M104">
        <v>19</v>
      </c>
      <c r="N104">
        <v>0</v>
      </c>
      <c r="O104">
        <v>994</v>
      </c>
    </row>
    <row r="105" spans="1:15" x14ac:dyDescent="0.2">
      <c r="A105" t="s">
        <v>100</v>
      </c>
      <c r="B105" t="s">
        <v>37</v>
      </c>
      <c r="C105" t="s">
        <v>17</v>
      </c>
      <c r="D105" t="s">
        <v>75</v>
      </c>
      <c r="E105" t="s">
        <v>94</v>
      </c>
      <c r="F105">
        <v>3</v>
      </c>
      <c r="G105" t="s">
        <v>19</v>
      </c>
      <c r="H105" t="s">
        <v>23</v>
      </c>
      <c r="I105">
        <v>7</v>
      </c>
      <c r="J105">
        <v>1</v>
      </c>
      <c r="K105">
        <v>0</v>
      </c>
      <c r="L105">
        <v>60</v>
      </c>
      <c r="M105">
        <v>19</v>
      </c>
      <c r="N105">
        <v>0</v>
      </c>
      <c r="O105">
        <v>994</v>
      </c>
    </row>
    <row r="106" spans="1:15" x14ac:dyDescent="0.2">
      <c r="A106" t="s">
        <v>100</v>
      </c>
      <c r="B106" t="s">
        <v>37</v>
      </c>
      <c r="C106" t="s">
        <v>17</v>
      </c>
      <c r="D106" t="s">
        <v>75</v>
      </c>
      <c r="E106" t="s">
        <v>94</v>
      </c>
      <c r="F106">
        <v>3</v>
      </c>
      <c r="G106" t="s">
        <v>19</v>
      </c>
      <c r="H106" t="s">
        <v>24</v>
      </c>
      <c r="I106">
        <v>0</v>
      </c>
      <c r="J106">
        <v>0</v>
      </c>
      <c r="K106">
        <v>0</v>
      </c>
      <c r="L106">
        <v>60</v>
      </c>
      <c r="M106">
        <v>19</v>
      </c>
      <c r="N106">
        <v>0</v>
      </c>
      <c r="O106">
        <v>994</v>
      </c>
    </row>
    <row r="107" spans="1:15" x14ac:dyDescent="0.2">
      <c r="A107" t="s">
        <v>100</v>
      </c>
      <c r="B107" t="s">
        <v>37</v>
      </c>
      <c r="C107" t="s">
        <v>17</v>
      </c>
      <c r="D107" t="s">
        <v>75</v>
      </c>
      <c r="E107" t="s">
        <v>182</v>
      </c>
      <c r="F107">
        <v>3</v>
      </c>
      <c r="G107" t="s">
        <v>130</v>
      </c>
      <c r="H107" t="s">
        <v>20</v>
      </c>
      <c r="I107">
        <v>31</v>
      </c>
      <c r="J107">
        <v>29</v>
      </c>
      <c r="K107">
        <v>19</v>
      </c>
      <c r="L107">
        <v>45</v>
      </c>
      <c r="M107">
        <v>36</v>
      </c>
      <c r="N107">
        <v>24</v>
      </c>
      <c r="O107">
        <v>919</v>
      </c>
    </row>
    <row r="108" spans="1:15" x14ac:dyDescent="0.2">
      <c r="A108" t="s">
        <v>100</v>
      </c>
      <c r="B108" t="s">
        <v>37</v>
      </c>
      <c r="C108" t="s">
        <v>17</v>
      </c>
      <c r="D108" t="s">
        <v>75</v>
      </c>
      <c r="E108" t="s">
        <v>182</v>
      </c>
      <c r="F108">
        <v>3</v>
      </c>
      <c r="G108" t="s">
        <v>130</v>
      </c>
      <c r="H108" t="s">
        <v>21</v>
      </c>
      <c r="I108">
        <v>7</v>
      </c>
      <c r="J108">
        <v>2</v>
      </c>
      <c r="K108">
        <v>0</v>
      </c>
      <c r="L108">
        <v>45</v>
      </c>
      <c r="M108">
        <v>36</v>
      </c>
      <c r="N108">
        <v>24</v>
      </c>
      <c r="O108">
        <v>919</v>
      </c>
    </row>
    <row r="109" spans="1:15" x14ac:dyDescent="0.2">
      <c r="A109" t="s">
        <v>100</v>
      </c>
      <c r="B109" t="s">
        <v>37</v>
      </c>
      <c r="C109" t="s">
        <v>17</v>
      </c>
      <c r="D109" t="s">
        <v>75</v>
      </c>
      <c r="E109" t="s">
        <v>182</v>
      </c>
      <c r="F109">
        <v>3</v>
      </c>
      <c r="G109" t="s">
        <v>130</v>
      </c>
      <c r="H109" t="s">
        <v>22</v>
      </c>
      <c r="I109">
        <v>4</v>
      </c>
      <c r="J109">
        <v>2</v>
      </c>
      <c r="K109">
        <v>2</v>
      </c>
      <c r="L109">
        <v>45</v>
      </c>
      <c r="M109">
        <v>36</v>
      </c>
      <c r="N109">
        <v>24</v>
      </c>
      <c r="O109">
        <v>919</v>
      </c>
    </row>
    <row r="110" spans="1:15" x14ac:dyDescent="0.2">
      <c r="A110" t="s">
        <v>100</v>
      </c>
      <c r="B110" t="s">
        <v>37</v>
      </c>
      <c r="C110" t="s">
        <v>17</v>
      </c>
      <c r="D110" t="s">
        <v>75</v>
      </c>
      <c r="E110" t="s">
        <v>182</v>
      </c>
      <c r="F110">
        <v>3</v>
      </c>
      <c r="G110" t="s">
        <v>130</v>
      </c>
      <c r="H110" t="s">
        <v>23</v>
      </c>
      <c r="I110">
        <v>3</v>
      </c>
      <c r="J110">
        <v>3</v>
      </c>
      <c r="K110">
        <v>3</v>
      </c>
      <c r="L110">
        <v>45</v>
      </c>
      <c r="M110">
        <v>36</v>
      </c>
      <c r="N110">
        <v>24</v>
      </c>
      <c r="O110">
        <v>919</v>
      </c>
    </row>
    <row r="111" spans="1:15" x14ac:dyDescent="0.2">
      <c r="A111" t="s">
        <v>100</v>
      </c>
      <c r="B111" t="s">
        <v>37</v>
      </c>
      <c r="C111" t="s">
        <v>17</v>
      </c>
      <c r="D111" t="s">
        <v>75</v>
      </c>
      <c r="E111" t="s">
        <v>182</v>
      </c>
      <c r="F111">
        <v>3</v>
      </c>
      <c r="G111" t="s">
        <v>130</v>
      </c>
      <c r="H111" t="s">
        <v>24</v>
      </c>
      <c r="I111">
        <v>0</v>
      </c>
      <c r="J111">
        <v>0</v>
      </c>
      <c r="K111">
        <v>0</v>
      </c>
      <c r="L111">
        <v>45</v>
      </c>
      <c r="M111">
        <v>36</v>
      </c>
      <c r="N111">
        <v>24</v>
      </c>
      <c r="O111">
        <v>919</v>
      </c>
    </row>
    <row r="112" spans="1:15" x14ac:dyDescent="0.2">
      <c r="A112" t="s">
        <v>100</v>
      </c>
      <c r="B112" t="s">
        <v>37</v>
      </c>
      <c r="C112" t="s">
        <v>17</v>
      </c>
      <c r="D112" t="s">
        <v>75</v>
      </c>
      <c r="E112" t="s">
        <v>181</v>
      </c>
      <c r="F112">
        <v>3</v>
      </c>
      <c r="G112" t="s">
        <v>128</v>
      </c>
      <c r="H112" t="s">
        <v>20</v>
      </c>
      <c r="I112">
        <v>20</v>
      </c>
      <c r="J112">
        <v>10</v>
      </c>
      <c r="K112">
        <v>4</v>
      </c>
      <c r="L112">
        <v>38</v>
      </c>
      <c r="M112">
        <v>18</v>
      </c>
      <c r="N112">
        <v>6</v>
      </c>
      <c r="O112">
        <v>904</v>
      </c>
    </row>
    <row r="113" spans="1:15" x14ac:dyDescent="0.2">
      <c r="A113" t="s">
        <v>100</v>
      </c>
      <c r="B113" t="s">
        <v>37</v>
      </c>
      <c r="C113" t="s">
        <v>17</v>
      </c>
      <c r="D113" t="s">
        <v>75</v>
      </c>
      <c r="E113" t="s">
        <v>181</v>
      </c>
      <c r="F113">
        <v>3</v>
      </c>
      <c r="G113" t="s">
        <v>128</v>
      </c>
      <c r="H113" t="s">
        <v>21</v>
      </c>
      <c r="I113">
        <v>10</v>
      </c>
      <c r="J113">
        <v>4</v>
      </c>
      <c r="K113">
        <v>1</v>
      </c>
      <c r="L113">
        <v>38</v>
      </c>
      <c r="M113">
        <v>18</v>
      </c>
      <c r="N113">
        <v>6</v>
      </c>
      <c r="O113">
        <v>904</v>
      </c>
    </row>
    <row r="114" spans="1:15" x14ac:dyDescent="0.2">
      <c r="A114" t="s">
        <v>100</v>
      </c>
      <c r="B114" t="s">
        <v>37</v>
      </c>
      <c r="C114" t="s">
        <v>17</v>
      </c>
      <c r="D114" t="s">
        <v>75</v>
      </c>
      <c r="E114" t="s">
        <v>181</v>
      </c>
      <c r="F114">
        <v>3</v>
      </c>
      <c r="G114" t="s">
        <v>128</v>
      </c>
      <c r="H114" t="s">
        <v>22</v>
      </c>
      <c r="I114">
        <v>4</v>
      </c>
      <c r="J114">
        <v>4</v>
      </c>
      <c r="K114">
        <v>1</v>
      </c>
      <c r="L114">
        <v>38</v>
      </c>
      <c r="M114">
        <v>18</v>
      </c>
      <c r="N114">
        <v>6</v>
      </c>
      <c r="O114">
        <v>904</v>
      </c>
    </row>
    <row r="115" spans="1:15" x14ac:dyDescent="0.2">
      <c r="A115" t="s">
        <v>100</v>
      </c>
      <c r="B115" t="s">
        <v>37</v>
      </c>
      <c r="C115" t="s">
        <v>17</v>
      </c>
      <c r="D115" t="s">
        <v>75</v>
      </c>
      <c r="E115" t="s">
        <v>181</v>
      </c>
      <c r="F115">
        <v>3</v>
      </c>
      <c r="G115" t="s">
        <v>128</v>
      </c>
      <c r="H115" t="s">
        <v>23</v>
      </c>
      <c r="I115">
        <v>4</v>
      </c>
      <c r="J115">
        <v>0</v>
      </c>
      <c r="K115">
        <v>0</v>
      </c>
      <c r="L115">
        <v>38</v>
      </c>
      <c r="M115">
        <v>18</v>
      </c>
      <c r="N115">
        <v>6</v>
      </c>
      <c r="O115">
        <v>904</v>
      </c>
    </row>
    <row r="116" spans="1:15" x14ac:dyDescent="0.2">
      <c r="A116" t="s">
        <v>100</v>
      </c>
      <c r="B116" t="s">
        <v>37</v>
      </c>
      <c r="C116" t="s">
        <v>17</v>
      </c>
      <c r="D116" t="s">
        <v>75</v>
      </c>
      <c r="E116" t="s">
        <v>181</v>
      </c>
      <c r="F116">
        <v>3</v>
      </c>
      <c r="G116" t="s">
        <v>128</v>
      </c>
      <c r="H116" t="s">
        <v>24</v>
      </c>
      <c r="I116">
        <v>0</v>
      </c>
      <c r="J116">
        <v>0</v>
      </c>
      <c r="K116">
        <v>0</v>
      </c>
      <c r="L116">
        <v>38</v>
      </c>
      <c r="M116">
        <v>18</v>
      </c>
      <c r="N116">
        <v>6</v>
      </c>
      <c r="O116">
        <v>904</v>
      </c>
    </row>
    <row r="117" spans="1:15" x14ac:dyDescent="0.2">
      <c r="A117" t="s">
        <v>100</v>
      </c>
      <c r="B117" t="s">
        <v>37</v>
      </c>
      <c r="C117" t="s">
        <v>17</v>
      </c>
      <c r="D117" t="s">
        <v>75</v>
      </c>
      <c r="E117" t="s">
        <v>180</v>
      </c>
      <c r="F117">
        <v>3</v>
      </c>
      <c r="G117" t="s">
        <v>126</v>
      </c>
      <c r="H117" t="s">
        <v>20</v>
      </c>
      <c r="I117">
        <v>15</v>
      </c>
      <c r="J117">
        <v>5</v>
      </c>
      <c r="K117">
        <v>0</v>
      </c>
      <c r="L117">
        <v>33</v>
      </c>
      <c r="M117">
        <v>17</v>
      </c>
      <c r="N117">
        <v>8</v>
      </c>
      <c r="O117">
        <v>915</v>
      </c>
    </row>
    <row r="118" spans="1:15" x14ac:dyDescent="0.2">
      <c r="A118" t="s">
        <v>100</v>
      </c>
      <c r="B118" t="s">
        <v>37</v>
      </c>
      <c r="C118" t="s">
        <v>17</v>
      </c>
      <c r="D118" t="s">
        <v>75</v>
      </c>
      <c r="E118" t="s">
        <v>180</v>
      </c>
      <c r="F118">
        <v>3</v>
      </c>
      <c r="G118" t="s">
        <v>126</v>
      </c>
      <c r="H118" t="s">
        <v>21</v>
      </c>
      <c r="I118">
        <v>7</v>
      </c>
      <c r="J118">
        <v>8</v>
      </c>
      <c r="K118">
        <v>6</v>
      </c>
      <c r="L118">
        <v>33</v>
      </c>
      <c r="M118">
        <v>17</v>
      </c>
      <c r="N118">
        <v>8</v>
      </c>
      <c r="O118">
        <v>915</v>
      </c>
    </row>
    <row r="119" spans="1:15" x14ac:dyDescent="0.2">
      <c r="A119" t="s">
        <v>100</v>
      </c>
      <c r="B119" t="s">
        <v>37</v>
      </c>
      <c r="C119" t="s">
        <v>17</v>
      </c>
      <c r="D119" t="s">
        <v>75</v>
      </c>
      <c r="E119" t="s">
        <v>180</v>
      </c>
      <c r="F119">
        <v>3</v>
      </c>
      <c r="G119" t="s">
        <v>126</v>
      </c>
      <c r="H119" t="s">
        <v>22</v>
      </c>
      <c r="I119">
        <v>5</v>
      </c>
      <c r="J119">
        <v>4</v>
      </c>
      <c r="K119">
        <v>2</v>
      </c>
      <c r="L119">
        <v>33</v>
      </c>
      <c r="M119">
        <v>17</v>
      </c>
      <c r="N119">
        <v>8</v>
      </c>
      <c r="O119">
        <v>915</v>
      </c>
    </row>
    <row r="120" spans="1:15" x14ac:dyDescent="0.2">
      <c r="A120" t="s">
        <v>100</v>
      </c>
      <c r="B120" t="s">
        <v>37</v>
      </c>
      <c r="C120" t="s">
        <v>17</v>
      </c>
      <c r="D120" t="s">
        <v>75</v>
      </c>
      <c r="E120" t="s">
        <v>180</v>
      </c>
      <c r="F120">
        <v>3</v>
      </c>
      <c r="G120" t="s">
        <v>126</v>
      </c>
      <c r="H120" t="s">
        <v>23</v>
      </c>
      <c r="I120">
        <v>6</v>
      </c>
      <c r="J120">
        <v>0</v>
      </c>
      <c r="K120">
        <v>0</v>
      </c>
      <c r="L120">
        <v>33</v>
      </c>
      <c r="M120">
        <v>17</v>
      </c>
      <c r="N120">
        <v>8</v>
      </c>
      <c r="O120">
        <v>915</v>
      </c>
    </row>
    <row r="121" spans="1:15" x14ac:dyDescent="0.2">
      <c r="A121" t="s">
        <v>100</v>
      </c>
      <c r="B121" t="s">
        <v>37</v>
      </c>
      <c r="C121" t="s">
        <v>17</v>
      </c>
      <c r="D121" t="s">
        <v>75</v>
      </c>
      <c r="E121" t="s">
        <v>180</v>
      </c>
      <c r="F121">
        <v>3</v>
      </c>
      <c r="G121" t="s">
        <v>126</v>
      </c>
      <c r="H121" t="s">
        <v>24</v>
      </c>
      <c r="I121">
        <v>0</v>
      </c>
      <c r="J121">
        <v>0</v>
      </c>
      <c r="K121">
        <v>0</v>
      </c>
      <c r="L121">
        <v>33</v>
      </c>
      <c r="M121">
        <v>17</v>
      </c>
      <c r="N121">
        <v>8</v>
      </c>
      <c r="O121">
        <v>915</v>
      </c>
    </row>
    <row r="122" spans="1:15" x14ac:dyDescent="0.2">
      <c r="A122" t="s">
        <v>88</v>
      </c>
      <c r="B122" t="s">
        <v>37</v>
      </c>
      <c r="C122" t="s">
        <v>17</v>
      </c>
      <c r="D122" t="s">
        <v>75</v>
      </c>
      <c r="E122" t="s">
        <v>81</v>
      </c>
      <c r="F122">
        <v>3</v>
      </c>
      <c r="G122" t="s">
        <v>19</v>
      </c>
      <c r="H122" t="s">
        <v>20</v>
      </c>
      <c r="I122">
        <v>74</v>
      </c>
      <c r="J122">
        <v>53</v>
      </c>
      <c r="K122">
        <v>0</v>
      </c>
      <c r="L122">
        <v>89</v>
      </c>
      <c r="M122">
        <v>177</v>
      </c>
      <c r="N122">
        <v>0</v>
      </c>
      <c r="O122">
        <v>681</v>
      </c>
    </row>
    <row r="123" spans="1:15" x14ac:dyDescent="0.2">
      <c r="A123" t="s">
        <v>88</v>
      </c>
      <c r="B123" t="s">
        <v>37</v>
      </c>
      <c r="C123" t="s">
        <v>17</v>
      </c>
      <c r="D123" t="s">
        <v>75</v>
      </c>
      <c r="E123" t="s">
        <v>81</v>
      </c>
      <c r="F123">
        <v>3</v>
      </c>
      <c r="G123" t="s">
        <v>19</v>
      </c>
      <c r="H123" t="s">
        <v>21</v>
      </c>
      <c r="I123">
        <v>6</v>
      </c>
      <c r="J123">
        <v>15</v>
      </c>
      <c r="K123">
        <v>0</v>
      </c>
      <c r="L123">
        <v>89</v>
      </c>
      <c r="M123">
        <v>177</v>
      </c>
      <c r="N123">
        <v>0</v>
      </c>
      <c r="O123">
        <v>681</v>
      </c>
    </row>
    <row r="124" spans="1:15" x14ac:dyDescent="0.2">
      <c r="A124" t="s">
        <v>88</v>
      </c>
      <c r="B124" t="s">
        <v>37</v>
      </c>
      <c r="C124" t="s">
        <v>17</v>
      </c>
      <c r="D124" t="s">
        <v>75</v>
      </c>
      <c r="E124" t="s">
        <v>81</v>
      </c>
      <c r="F124">
        <v>3</v>
      </c>
      <c r="G124" t="s">
        <v>19</v>
      </c>
      <c r="H124" t="s">
        <v>22</v>
      </c>
      <c r="I124">
        <v>0</v>
      </c>
      <c r="J124">
        <v>8</v>
      </c>
      <c r="K124">
        <v>0</v>
      </c>
      <c r="L124">
        <v>89</v>
      </c>
      <c r="M124">
        <v>177</v>
      </c>
      <c r="N124">
        <v>0</v>
      </c>
      <c r="O124">
        <v>681</v>
      </c>
    </row>
    <row r="125" spans="1:15" x14ac:dyDescent="0.2">
      <c r="A125" t="s">
        <v>88</v>
      </c>
      <c r="B125" t="s">
        <v>37</v>
      </c>
      <c r="C125" t="s">
        <v>17</v>
      </c>
      <c r="D125" t="s">
        <v>75</v>
      </c>
      <c r="E125" t="s">
        <v>81</v>
      </c>
      <c r="F125">
        <v>3</v>
      </c>
      <c r="G125" t="s">
        <v>19</v>
      </c>
      <c r="H125" t="s">
        <v>23</v>
      </c>
      <c r="I125">
        <v>9</v>
      </c>
      <c r="J125">
        <v>100</v>
      </c>
      <c r="K125">
        <v>0</v>
      </c>
      <c r="L125">
        <v>89</v>
      </c>
      <c r="M125">
        <v>177</v>
      </c>
      <c r="N125">
        <v>0</v>
      </c>
      <c r="O125">
        <v>681</v>
      </c>
    </row>
    <row r="126" spans="1:15" x14ac:dyDescent="0.2">
      <c r="A126" t="s">
        <v>88</v>
      </c>
      <c r="B126" t="s">
        <v>37</v>
      </c>
      <c r="C126" t="s">
        <v>17</v>
      </c>
      <c r="D126" t="s">
        <v>75</v>
      </c>
      <c r="E126" t="s">
        <v>81</v>
      </c>
      <c r="F126">
        <v>3</v>
      </c>
      <c r="G126" t="s">
        <v>19</v>
      </c>
      <c r="H126" t="s">
        <v>24</v>
      </c>
      <c r="I126">
        <v>0</v>
      </c>
      <c r="J126">
        <v>1</v>
      </c>
      <c r="K126">
        <v>0</v>
      </c>
      <c r="L126">
        <v>89</v>
      </c>
      <c r="M126">
        <v>177</v>
      </c>
      <c r="N126">
        <v>0</v>
      </c>
      <c r="O126">
        <v>681</v>
      </c>
    </row>
    <row r="127" spans="1:15" x14ac:dyDescent="0.2">
      <c r="A127" t="s">
        <v>88</v>
      </c>
      <c r="B127" t="s">
        <v>37</v>
      </c>
      <c r="C127" t="s">
        <v>17</v>
      </c>
      <c r="D127" t="s">
        <v>75</v>
      </c>
      <c r="E127" t="s">
        <v>179</v>
      </c>
      <c r="F127">
        <v>3</v>
      </c>
      <c r="G127" t="s">
        <v>130</v>
      </c>
      <c r="H127" t="s">
        <v>20</v>
      </c>
      <c r="I127">
        <v>39</v>
      </c>
      <c r="J127">
        <v>63</v>
      </c>
      <c r="K127">
        <v>48</v>
      </c>
      <c r="L127">
        <v>56</v>
      </c>
      <c r="M127">
        <v>147</v>
      </c>
      <c r="N127">
        <v>76</v>
      </c>
      <c r="O127">
        <v>455</v>
      </c>
    </row>
    <row r="128" spans="1:15" x14ac:dyDescent="0.2">
      <c r="A128" t="s">
        <v>88</v>
      </c>
      <c r="B128" t="s">
        <v>37</v>
      </c>
      <c r="C128" t="s">
        <v>17</v>
      </c>
      <c r="D128" t="s">
        <v>75</v>
      </c>
      <c r="E128" t="s">
        <v>179</v>
      </c>
      <c r="F128">
        <v>3</v>
      </c>
      <c r="G128" t="s">
        <v>130</v>
      </c>
      <c r="H128" t="s">
        <v>21</v>
      </c>
      <c r="I128">
        <v>8</v>
      </c>
      <c r="J128">
        <v>29</v>
      </c>
      <c r="K128">
        <v>11</v>
      </c>
      <c r="L128">
        <v>56</v>
      </c>
      <c r="M128">
        <v>147</v>
      </c>
      <c r="N128">
        <v>76</v>
      </c>
      <c r="O128">
        <v>455</v>
      </c>
    </row>
    <row r="129" spans="1:15" x14ac:dyDescent="0.2">
      <c r="A129" t="s">
        <v>88</v>
      </c>
      <c r="B129" t="s">
        <v>37</v>
      </c>
      <c r="C129" t="s">
        <v>17</v>
      </c>
      <c r="D129" t="s">
        <v>75</v>
      </c>
      <c r="E129" t="s">
        <v>179</v>
      </c>
      <c r="F129">
        <v>3</v>
      </c>
      <c r="G129" t="s">
        <v>130</v>
      </c>
      <c r="H129" t="s">
        <v>22</v>
      </c>
      <c r="I129">
        <v>7</v>
      </c>
      <c r="J129">
        <v>19</v>
      </c>
      <c r="K129">
        <v>9</v>
      </c>
      <c r="L129">
        <v>56</v>
      </c>
      <c r="M129">
        <v>147</v>
      </c>
      <c r="N129">
        <v>76</v>
      </c>
      <c r="O129">
        <v>455</v>
      </c>
    </row>
    <row r="130" spans="1:15" x14ac:dyDescent="0.2">
      <c r="A130" t="s">
        <v>88</v>
      </c>
      <c r="B130" t="s">
        <v>37</v>
      </c>
      <c r="C130" t="s">
        <v>17</v>
      </c>
      <c r="D130" t="s">
        <v>75</v>
      </c>
      <c r="E130" t="s">
        <v>179</v>
      </c>
      <c r="F130">
        <v>3</v>
      </c>
      <c r="G130" t="s">
        <v>130</v>
      </c>
      <c r="H130" t="s">
        <v>23</v>
      </c>
      <c r="I130">
        <v>2</v>
      </c>
      <c r="J130">
        <v>33</v>
      </c>
      <c r="K130">
        <v>8</v>
      </c>
      <c r="L130">
        <v>56</v>
      </c>
      <c r="M130">
        <v>147</v>
      </c>
      <c r="N130">
        <v>76</v>
      </c>
      <c r="O130">
        <v>455</v>
      </c>
    </row>
    <row r="131" spans="1:15" x14ac:dyDescent="0.2">
      <c r="A131" t="s">
        <v>88</v>
      </c>
      <c r="B131" t="s">
        <v>37</v>
      </c>
      <c r="C131" t="s">
        <v>17</v>
      </c>
      <c r="D131" t="s">
        <v>75</v>
      </c>
      <c r="E131" t="s">
        <v>179</v>
      </c>
      <c r="F131">
        <v>3</v>
      </c>
      <c r="G131" t="s">
        <v>130</v>
      </c>
      <c r="H131" t="s">
        <v>24</v>
      </c>
      <c r="I131">
        <v>0</v>
      </c>
      <c r="J131">
        <v>3</v>
      </c>
      <c r="K131">
        <v>0</v>
      </c>
      <c r="L131">
        <v>56</v>
      </c>
      <c r="M131">
        <v>147</v>
      </c>
      <c r="N131">
        <v>76</v>
      </c>
      <c r="O131">
        <v>455</v>
      </c>
    </row>
    <row r="132" spans="1:15" x14ac:dyDescent="0.2">
      <c r="A132" t="s">
        <v>88</v>
      </c>
      <c r="B132" t="s">
        <v>37</v>
      </c>
      <c r="C132" t="s">
        <v>17</v>
      </c>
      <c r="D132" t="s">
        <v>75</v>
      </c>
      <c r="E132" t="s">
        <v>178</v>
      </c>
      <c r="F132">
        <v>3</v>
      </c>
      <c r="G132" t="s">
        <v>128</v>
      </c>
      <c r="H132" t="s">
        <v>20</v>
      </c>
      <c r="I132">
        <v>32</v>
      </c>
      <c r="J132">
        <v>19</v>
      </c>
      <c r="K132">
        <v>4</v>
      </c>
      <c r="L132">
        <v>42</v>
      </c>
      <c r="M132">
        <v>95</v>
      </c>
      <c r="N132">
        <v>40</v>
      </c>
      <c r="O132">
        <v>354</v>
      </c>
    </row>
    <row r="133" spans="1:15" x14ac:dyDescent="0.2">
      <c r="A133" t="s">
        <v>88</v>
      </c>
      <c r="B133" t="s">
        <v>37</v>
      </c>
      <c r="C133" t="s">
        <v>17</v>
      </c>
      <c r="D133" t="s">
        <v>75</v>
      </c>
      <c r="E133" t="s">
        <v>178</v>
      </c>
      <c r="F133">
        <v>3</v>
      </c>
      <c r="G133" t="s">
        <v>128</v>
      </c>
      <c r="H133" t="s">
        <v>21</v>
      </c>
      <c r="I133">
        <v>5</v>
      </c>
      <c r="J133">
        <v>28</v>
      </c>
      <c r="K133">
        <v>18</v>
      </c>
      <c r="L133">
        <v>42</v>
      </c>
      <c r="M133">
        <v>95</v>
      </c>
      <c r="N133">
        <v>40</v>
      </c>
      <c r="O133">
        <v>354</v>
      </c>
    </row>
    <row r="134" spans="1:15" x14ac:dyDescent="0.2">
      <c r="A134" t="s">
        <v>88</v>
      </c>
      <c r="B134" t="s">
        <v>37</v>
      </c>
      <c r="C134" t="s">
        <v>17</v>
      </c>
      <c r="D134" t="s">
        <v>75</v>
      </c>
      <c r="E134" t="s">
        <v>178</v>
      </c>
      <c r="F134">
        <v>3</v>
      </c>
      <c r="G134" t="s">
        <v>128</v>
      </c>
      <c r="H134" t="s">
        <v>22</v>
      </c>
      <c r="I134">
        <v>3</v>
      </c>
      <c r="J134">
        <v>21</v>
      </c>
      <c r="K134">
        <v>14</v>
      </c>
      <c r="L134">
        <v>42</v>
      </c>
      <c r="M134">
        <v>95</v>
      </c>
      <c r="N134">
        <v>40</v>
      </c>
      <c r="O134">
        <v>354</v>
      </c>
    </row>
    <row r="135" spans="1:15" x14ac:dyDescent="0.2">
      <c r="A135" t="s">
        <v>88</v>
      </c>
      <c r="B135" t="s">
        <v>37</v>
      </c>
      <c r="C135" t="s">
        <v>17</v>
      </c>
      <c r="D135" t="s">
        <v>75</v>
      </c>
      <c r="E135" t="s">
        <v>178</v>
      </c>
      <c r="F135">
        <v>3</v>
      </c>
      <c r="G135" t="s">
        <v>128</v>
      </c>
      <c r="H135" t="s">
        <v>23</v>
      </c>
      <c r="I135">
        <v>2</v>
      </c>
      <c r="J135">
        <v>26</v>
      </c>
      <c r="K135">
        <v>4</v>
      </c>
      <c r="L135">
        <v>42</v>
      </c>
      <c r="M135">
        <v>95</v>
      </c>
      <c r="N135">
        <v>40</v>
      </c>
      <c r="O135">
        <v>354</v>
      </c>
    </row>
    <row r="136" spans="1:15" x14ac:dyDescent="0.2">
      <c r="A136" t="s">
        <v>88</v>
      </c>
      <c r="B136" t="s">
        <v>37</v>
      </c>
      <c r="C136" t="s">
        <v>17</v>
      </c>
      <c r="D136" t="s">
        <v>75</v>
      </c>
      <c r="E136" t="s">
        <v>178</v>
      </c>
      <c r="F136">
        <v>3</v>
      </c>
      <c r="G136" t="s">
        <v>128</v>
      </c>
      <c r="H136" t="s">
        <v>24</v>
      </c>
      <c r="I136">
        <v>0</v>
      </c>
      <c r="J136">
        <v>1</v>
      </c>
      <c r="K136">
        <v>0</v>
      </c>
      <c r="L136">
        <v>42</v>
      </c>
      <c r="M136">
        <v>95</v>
      </c>
      <c r="N136">
        <v>40</v>
      </c>
      <c r="O136">
        <v>354</v>
      </c>
    </row>
    <row r="137" spans="1:15" x14ac:dyDescent="0.2">
      <c r="A137" t="s">
        <v>88</v>
      </c>
      <c r="B137" t="s">
        <v>37</v>
      </c>
      <c r="C137" t="s">
        <v>17</v>
      </c>
      <c r="D137" t="s">
        <v>75</v>
      </c>
      <c r="E137" t="s">
        <v>177</v>
      </c>
      <c r="F137">
        <v>3</v>
      </c>
      <c r="G137" t="s">
        <v>126</v>
      </c>
      <c r="H137" t="s">
        <v>20</v>
      </c>
      <c r="I137">
        <v>27</v>
      </c>
      <c r="J137">
        <v>8</v>
      </c>
      <c r="K137">
        <v>0</v>
      </c>
      <c r="L137">
        <v>38</v>
      </c>
      <c r="M137">
        <v>108</v>
      </c>
      <c r="N137">
        <v>38</v>
      </c>
      <c r="O137">
        <v>416</v>
      </c>
    </row>
    <row r="138" spans="1:15" x14ac:dyDescent="0.2">
      <c r="A138" t="s">
        <v>88</v>
      </c>
      <c r="B138" t="s">
        <v>37</v>
      </c>
      <c r="C138" t="s">
        <v>17</v>
      </c>
      <c r="D138" t="s">
        <v>75</v>
      </c>
      <c r="E138" t="s">
        <v>177</v>
      </c>
      <c r="F138">
        <v>3</v>
      </c>
      <c r="G138" t="s">
        <v>126</v>
      </c>
      <c r="H138" t="s">
        <v>21</v>
      </c>
      <c r="I138">
        <v>4</v>
      </c>
      <c r="J138">
        <v>27</v>
      </c>
      <c r="K138">
        <v>14</v>
      </c>
      <c r="L138">
        <v>38</v>
      </c>
      <c r="M138">
        <v>108</v>
      </c>
      <c r="N138">
        <v>38</v>
      </c>
      <c r="O138">
        <v>416</v>
      </c>
    </row>
    <row r="139" spans="1:15" x14ac:dyDescent="0.2">
      <c r="A139" t="s">
        <v>88</v>
      </c>
      <c r="B139" t="s">
        <v>37</v>
      </c>
      <c r="C139" t="s">
        <v>17</v>
      </c>
      <c r="D139" t="s">
        <v>75</v>
      </c>
      <c r="E139" t="s">
        <v>177</v>
      </c>
      <c r="F139">
        <v>3</v>
      </c>
      <c r="G139" t="s">
        <v>126</v>
      </c>
      <c r="H139" t="s">
        <v>22</v>
      </c>
      <c r="I139">
        <v>5</v>
      </c>
      <c r="J139">
        <v>16</v>
      </c>
      <c r="K139">
        <v>7</v>
      </c>
      <c r="L139">
        <v>38</v>
      </c>
      <c r="M139">
        <v>108</v>
      </c>
      <c r="N139">
        <v>38</v>
      </c>
      <c r="O139">
        <v>416</v>
      </c>
    </row>
    <row r="140" spans="1:15" x14ac:dyDescent="0.2">
      <c r="A140" t="s">
        <v>88</v>
      </c>
      <c r="B140" t="s">
        <v>37</v>
      </c>
      <c r="C140" t="s">
        <v>17</v>
      </c>
      <c r="D140" t="s">
        <v>75</v>
      </c>
      <c r="E140" t="s">
        <v>177</v>
      </c>
      <c r="F140">
        <v>3</v>
      </c>
      <c r="G140" t="s">
        <v>126</v>
      </c>
      <c r="H140" t="s">
        <v>23</v>
      </c>
      <c r="I140">
        <v>2</v>
      </c>
      <c r="J140">
        <v>56</v>
      </c>
      <c r="K140">
        <v>17</v>
      </c>
      <c r="L140">
        <v>38</v>
      </c>
      <c r="M140">
        <v>108</v>
      </c>
      <c r="N140">
        <v>38</v>
      </c>
      <c r="O140">
        <v>416</v>
      </c>
    </row>
    <row r="141" spans="1:15" x14ac:dyDescent="0.2">
      <c r="A141" t="s">
        <v>88</v>
      </c>
      <c r="B141" t="s">
        <v>37</v>
      </c>
      <c r="C141" t="s">
        <v>17</v>
      </c>
      <c r="D141" t="s">
        <v>75</v>
      </c>
      <c r="E141" t="s">
        <v>177</v>
      </c>
      <c r="F141">
        <v>3</v>
      </c>
      <c r="G141" t="s">
        <v>126</v>
      </c>
      <c r="H141" t="s">
        <v>24</v>
      </c>
      <c r="I141">
        <v>0</v>
      </c>
      <c r="J141">
        <v>1</v>
      </c>
      <c r="K141">
        <v>0</v>
      </c>
      <c r="L141">
        <v>38</v>
      </c>
      <c r="M141">
        <v>108</v>
      </c>
      <c r="N141">
        <v>38</v>
      </c>
      <c r="O141">
        <v>416</v>
      </c>
    </row>
    <row r="142" spans="1:15" x14ac:dyDescent="0.2">
      <c r="A142" t="s">
        <v>124</v>
      </c>
      <c r="B142" t="s">
        <v>37</v>
      </c>
      <c r="C142" t="s">
        <v>17</v>
      </c>
      <c r="D142" t="s">
        <v>75</v>
      </c>
      <c r="E142" t="s">
        <v>118</v>
      </c>
      <c r="F142">
        <v>3</v>
      </c>
      <c r="G142" t="s">
        <v>19</v>
      </c>
      <c r="H142" t="s">
        <v>20</v>
      </c>
      <c r="I142">
        <v>85</v>
      </c>
      <c r="J142">
        <v>9</v>
      </c>
      <c r="K142">
        <v>0</v>
      </c>
      <c r="L142">
        <v>109</v>
      </c>
      <c r="M142">
        <v>34</v>
      </c>
      <c r="N142">
        <v>0</v>
      </c>
      <c r="O142">
        <v>196</v>
      </c>
    </row>
    <row r="143" spans="1:15" x14ac:dyDescent="0.2">
      <c r="A143" t="s">
        <v>124</v>
      </c>
      <c r="B143" t="s">
        <v>37</v>
      </c>
      <c r="C143" t="s">
        <v>17</v>
      </c>
      <c r="D143" t="s">
        <v>75</v>
      </c>
      <c r="E143" t="s">
        <v>118</v>
      </c>
      <c r="F143">
        <v>3</v>
      </c>
      <c r="G143" t="s">
        <v>19</v>
      </c>
      <c r="H143" t="s">
        <v>21</v>
      </c>
      <c r="I143">
        <v>17</v>
      </c>
      <c r="J143">
        <v>8</v>
      </c>
      <c r="K143">
        <v>0</v>
      </c>
      <c r="L143">
        <v>109</v>
      </c>
      <c r="M143">
        <v>34</v>
      </c>
      <c r="N143">
        <v>0</v>
      </c>
      <c r="O143">
        <v>196</v>
      </c>
    </row>
    <row r="144" spans="1:15" x14ac:dyDescent="0.2">
      <c r="A144" t="s">
        <v>124</v>
      </c>
      <c r="B144" t="s">
        <v>37</v>
      </c>
      <c r="C144" t="s">
        <v>17</v>
      </c>
      <c r="D144" t="s">
        <v>75</v>
      </c>
      <c r="E144" t="s">
        <v>118</v>
      </c>
      <c r="F144">
        <v>3</v>
      </c>
      <c r="G144" t="s">
        <v>19</v>
      </c>
      <c r="H144" t="s">
        <v>22</v>
      </c>
      <c r="I144">
        <v>4</v>
      </c>
      <c r="J144">
        <v>3</v>
      </c>
      <c r="K144">
        <v>0</v>
      </c>
      <c r="L144">
        <v>109</v>
      </c>
      <c r="M144">
        <v>34</v>
      </c>
      <c r="N144">
        <v>0</v>
      </c>
      <c r="O144">
        <v>196</v>
      </c>
    </row>
    <row r="145" spans="1:15" x14ac:dyDescent="0.2">
      <c r="A145" t="s">
        <v>124</v>
      </c>
      <c r="B145" t="s">
        <v>37</v>
      </c>
      <c r="C145" t="s">
        <v>17</v>
      </c>
      <c r="D145" t="s">
        <v>75</v>
      </c>
      <c r="E145" t="s">
        <v>118</v>
      </c>
      <c r="F145">
        <v>3</v>
      </c>
      <c r="G145" t="s">
        <v>19</v>
      </c>
      <c r="H145" t="s">
        <v>23</v>
      </c>
      <c r="I145">
        <v>3</v>
      </c>
      <c r="J145">
        <v>14</v>
      </c>
      <c r="K145">
        <v>0</v>
      </c>
      <c r="L145">
        <v>109</v>
      </c>
      <c r="M145">
        <v>34</v>
      </c>
      <c r="N145">
        <v>0</v>
      </c>
      <c r="O145">
        <v>196</v>
      </c>
    </row>
    <row r="146" spans="1:15" x14ac:dyDescent="0.2">
      <c r="A146" t="s">
        <v>124</v>
      </c>
      <c r="B146" t="s">
        <v>37</v>
      </c>
      <c r="C146" t="s">
        <v>17</v>
      </c>
      <c r="D146" t="s">
        <v>75</v>
      </c>
      <c r="E146" t="s">
        <v>118</v>
      </c>
      <c r="F146">
        <v>3</v>
      </c>
      <c r="G146" t="s">
        <v>19</v>
      </c>
      <c r="H146" t="s">
        <v>24</v>
      </c>
      <c r="I146">
        <v>0</v>
      </c>
      <c r="J146">
        <v>0</v>
      </c>
      <c r="K146">
        <v>0</v>
      </c>
      <c r="L146">
        <v>109</v>
      </c>
      <c r="M146">
        <v>34</v>
      </c>
      <c r="N146">
        <v>0</v>
      </c>
      <c r="O146">
        <v>196</v>
      </c>
    </row>
    <row r="147" spans="1:15" x14ac:dyDescent="0.2">
      <c r="A147" t="s">
        <v>124</v>
      </c>
      <c r="B147" t="s">
        <v>37</v>
      </c>
      <c r="C147" t="s">
        <v>17</v>
      </c>
      <c r="D147" t="s">
        <v>75</v>
      </c>
      <c r="E147" t="s">
        <v>176</v>
      </c>
      <c r="F147">
        <v>3</v>
      </c>
      <c r="G147" t="s">
        <v>130</v>
      </c>
      <c r="H147" t="s">
        <v>20</v>
      </c>
      <c r="I147">
        <v>26</v>
      </c>
      <c r="J147">
        <v>14</v>
      </c>
      <c r="K147">
        <v>12</v>
      </c>
      <c r="L147">
        <v>42</v>
      </c>
      <c r="M147">
        <v>24</v>
      </c>
      <c r="N147">
        <v>19</v>
      </c>
      <c r="O147">
        <v>103</v>
      </c>
    </row>
    <row r="148" spans="1:15" x14ac:dyDescent="0.2">
      <c r="A148" t="s">
        <v>124</v>
      </c>
      <c r="B148" t="s">
        <v>37</v>
      </c>
      <c r="C148" t="s">
        <v>17</v>
      </c>
      <c r="D148" t="s">
        <v>75</v>
      </c>
      <c r="E148" t="s">
        <v>176</v>
      </c>
      <c r="F148">
        <v>3</v>
      </c>
      <c r="G148" t="s">
        <v>130</v>
      </c>
      <c r="H148" t="s">
        <v>21</v>
      </c>
      <c r="I148">
        <v>12</v>
      </c>
      <c r="J148">
        <v>2</v>
      </c>
      <c r="K148">
        <v>2</v>
      </c>
      <c r="L148">
        <v>42</v>
      </c>
      <c r="M148">
        <v>24</v>
      </c>
      <c r="N148">
        <v>19</v>
      </c>
      <c r="O148">
        <v>103</v>
      </c>
    </row>
    <row r="149" spans="1:15" x14ac:dyDescent="0.2">
      <c r="A149" t="s">
        <v>124</v>
      </c>
      <c r="B149" t="s">
        <v>37</v>
      </c>
      <c r="C149" t="s">
        <v>17</v>
      </c>
      <c r="D149" t="s">
        <v>75</v>
      </c>
      <c r="E149" t="s">
        <v>176</v>
      </c>
      <c r="F149">
        <v>3</v>
      </c>
      <c r="G149" t="s">
        <v>130</v>
      </c>
      <c r="H149" t="s">
        <v>22</v>
      </c>
      <c r="I149">
        <v>3</v>
      </c>
      <c r="J149">
        <v>1</v>
      </c>
      <c r="K149">
        <v>1</v>
      </c>
      <c r="L149">
        <v>42</v>
      </c>
      <c r="M149">
        <v>24</v>
      </c>
      <c r="N149">
        <v>19</v>
      </c>
      <c r="O149">
        <v>103</v>
      </c>
    </row>
    <row r="150" spans="1:15" x14ac:dyDescent="0.2">
      <c r="A150" t="s">
        <v>124</v>
      </c>
      <c r="B150" t="s">
        <v>37</v>
      </c>
      <c r="C150" t="s">
        <v>17</v>
      </c>
      <c r="D150" t="s">
        <v>75</v>
      </c>
      <c r="E150" t="s">
        <v>176</v>
      </c>
      <c r="F150">
        <v>3</v>
      </c>
      <c r="G150" t="s">
        <v>130</v>
      </c>
      <c r="H150" t="s">
        <v>23</v>
      </c>
      <c r="I150">
        <v>1</v>
      </c>
      <c r="J150">
        <v>7</v>
      </c>
      <c r="K150">
        <v>4</v>
      </c>
      <c r="L150">
        <v>42</v>
      </c>
      <c r="M150">
        <v>24</v>
      </c>
      <c r="N150">
        <v>19</v>
      </c>
      <c r="O150">
        <v>103</v>
      </c>
    </row>
    <row r="151" spans="1:15" x14ac:dyDescent="0.2">
      <c r="A151" t="s">
        <v>124</v>
      </c>
      <c r="B151" t="s">
        <v>37</v>
      </c>
      <c r="C151" t="s">
        <v>17</v>
      </c>
      <c r="D151" t="s">
        <v>75</v>
      </c>
      <c r="E151" t="s">
        <v>176</v>
      </c>
      <c r="F151">
        <v>3</v>
      </c>
      <c r="G151" t="s">
        <v>130</v>
      </c>
      <c r="H151" t="s">
        <v>24</v>
      </c>
      <c r="I151">
        <v>0</v>
      </c>
      <c r="J151">
        <v>0</v>
      </c>
      <c r="K151">
        <v>0</v>
      </c>
      <c r="L151">
        <v>42</v>
      </c>
      <c r="M151">
        <v>24</v>
      </c>
      <c r="N151">
        <v>19</v>
      </c>
      <c r="O151">
        <v>103</v>
      </c>
    </row>
    <row r="152" spans="1:15" x14ac:dyDescent="0.2">
      <c r="A152" t="s">
        <v>124</v>
      </c>
      <c r="B152" t="s">
        <v>37</v>
      </c>
      <c r="C152" t="s">
        <v>17</v>
      </c>
      <c r="D152" t="s">
        <v>75</v>
      </c>
      <c r="E152" t="s">
        <v>175</v>
      </c>
      <c r="F152">
        <v>3</v>
      </c>
      <c r="G152" t="s">
        <v>128</v>
      </c>
      <c r="H152" t="s">
        <v>20</v>
      </c>
      <c r="I152">
        <v>9</v>
      </c>
      <c r="J152">
        <v>2</v>
      </c>
      <c r="K152">
        <v>1</v>
      </c>
      <c r="L152">
        <v>27</v>
      </c>
      <c r="M152">
        <v>7</v>
      </c>
      <c r="N152">
        <v>6</v>
      </c>
      <c r="O152">
        <v>59</v>
      </c>
    </row>
    <row r="153" spans="1:15" x14ac:dyDescent="0.2">
      <c r="A153" t="s">
        <v>124</v>
      </c>
      <c r="B153" t="s">
        <v>37</v>
      </c>
      <c r="C153" t="s">
        <v>17</v>
      </c>
      <c r="D153" t="s">
        <v>75</v>
      </c>
      <c r="E153" t="s">
        <v>175</v>
      </c>
      <c r="F153">
        <v>3</v>
      </c>
      <c r="G153" t="s">
        <v>128</v>
      </c>
      <c r="H153" t="s">
        <v>21</v>
      </c>
      <c r="I153">
        <v>8</v>
      </c>
      <c r="J153">
        <v>2</v>
      </c>
      <c r="K153">
        <v>2</v>
      </c>
      <c r="L153">
        <v>27</v>
      </c>
      <c r="M153">
        <v>7</v>
      </c>
      <c r="N153">
        <v>6</v>
      </c>
      <c r="O153">
        <v>59</v>
      </c>
    </row>
    <row r="154" spans="1:15" x14ac:dyDescent="0.2">
      <c r="A154" t="s">
        <v>124</v>
      </c>
      <c r="B154" t="s">
        <v>37</v>
      </c>
      <c r="C154" t="s">
        <v>17</v>
      </c>
      <c r="D154" t="s">
        <v>75</v>
      </c>
      <c r="E154" t="s">
        <v>175</v>
      </c>
      <c r="F154">
        <v>3</v>
      </c>
      <c r="G154" t="s">
        <v>128</v>
      </c>
      <c r="H154" t="s">
        <v>22</v>
      </c>
      <c r="I154">
        <v>8</v>
      </c>
      <c r="J154">
        <v>1</v>
      </c>
      <c r="K154">
        <v>1</v>
      </c>
      <c r="L154">
        <v>27</v>
      </c>
      <c r="M154">
        <v>7</v>
      </c>
      <c r="N154">
        <v>6</v>
      </c>
      <c r="O154">
        <v>59</v>
      </c>
    </row>
    <row r="155" spans="1:15" x14ac:dyDescent="0.2">
      <c r="A155" t="s">
        <v>124</v>
      </c>
      <c r="B155" t="s">
        <v>37</v>
      </c>
      <c r="C155" t="s">
        <v>17</v>
      </c>
      <c r="D155" t="s">
        <v>75</v>
      </c>
      <c r="E155" t="s">
        <v>175</v>
      </c>
      <c r="F155">
        <v>3</v>
      </c>
      <c r="G155" t="s">
        <v>128</v>
      </c>
      <c r="H155" t="s">
        <v>23</v>
      </c>
      <c r="I155">
        <v>2</v>
      </c>
      <c r="J155">
        <v>2</v>
      </c>
      <c r="K155">
        <v>2</v>
      </c>
      <c r="L155">
        <v>27</v>
      </c>
      <c r="M155">
        <v>7</v>
      </c>
      <c r="N155">
        <v>6</v>
      </c>
      <c r="O155">
        <v>59</v>
      </c>
    </row>
    <row r="156" spans="1:15" x14ac:dyDescent="0.2">
      <c r="A156" t="s">
        <v>124</v>
      </c>
      <c r="B156" t="s">
        <v>37</v>
      </c>
      <c r="C156" t="s">
        <v>17</v>
      </c>
      <c r="D156" t="s">
        <v>75</v>
      </c>
      <c r="E156" t="s">
        <v>175</v>
      </c>
      <c r="F156">
        <v>3</v>
      </c>
      <c r="G156" t="s">
        <v>128</v>
      </c>
      <c r="H156" t="s">
        <v>24</v>
      </c>
      <c r="I156">
        <v>0</v>
      </c>
      <c r="J156">
        <v>0</v>
      </c>
      <c r="K156">
        <v>0</v>
      </c>
      <c r="L156">
        <v>27</v>
      </c>
      <c r="M156">
        <v>7</v>
      </c>
      <c r="N156">
        <v>6</v>
      </c>
      <c r="O156">
        <v>59</v>
      </c>
    </row>
    <row r="157" spans="1:15" x14ac:dyDescent="0.2">
      <c r="A157" t="s">
        <v>124</v>
      </c>
      <c r="B157" t="s">
        <v>37</v>
      </c>
      <c r="C157" t="s">
        <v>17</v>
      </c>
      <c r="D157" t="s">
        <v>75</v>
      </c>
      <c r="E157" t="s">
        <v>174</v>
      </c>
      <c r="F157">
        <v>3</v>
      </c>
      <c r="G157" t="s">
        <v>126</v>
      </c>
      <c r="H157" t="s">
        <v>20</v>
      </c>
      <c r="I157">
        <v>28</v>
      </c>
      <c r="J157">
        <v>2</v>
      </c>
      <c r="K157">
        <v>2</v>
      </c>
      <c r="L157">
        <v>47</v>
      </c>
      <c r="M157">
        <v>9</v>
      </c>
      <c r="N157">
        <v>6</v>
      </c>
      <c r="O157">
        <v>83</v>
      </c>
    </row>
    <row r="158" spans="1:15" x14ac:dyDescent="0.2">
      <c r="A158" t="s">
        <v>124</v>
      </c>
      <c r="B158" t="s">
        <v>37</v>
      </c>
      <c r="C158" t="s">
        <v>17</v>
      </c>
      <c r="D158" t="s">
        <v>75</v>
      </c>
      <c r="E158" t="s">
        <v>174</v>
      </c>
      <c r="F158">
        <v>3</v>
      </c>
      <c r="G158" t="s">
        <v>126</v>
      </c>
      <c r="H158" t="s">
        <v>21</v>
      </c>
      <c r="I158">
        <v>9</v>
      </c>
      <c r="J158">
        <v>2</v>
      </c>
      <c r="K158">
        <v>1</v>
      </c>
      <c r="L158">
        <v>47</v>
      </c>
      <c r="M158">
        <v>9</v>
      </c>
      <c r="N158">
        <v>6</v>
      </c>
      <c r="O158">
        <v>83</v>
      </c>
    </row>
    <row r="159" spans="1:15" x14ac:dyDescent="0.2">
      <c r="A159" t="s">
        <v>124</v>
      </c>
      <c r="B159" t="s">
        <v>37</v>
      </c>
      <c r="C159" t="s">
        <v>17</v>
      </c>
      <c r="D159" t="s">
        <v>75</v>
      </c>
      <c r="E159" t="s">
        <v>174</v>
      </c>
      <c r="F159">
        <v>3</v>
      </c>
      <c r="G159" t="s">
        <v>126</v>
      </c>
      <c r="H159" t="s">
        <v>22</v>
      </c>
      <c r="I159">
        <v>9</v>
      </c>
      <c r="J159">
        <v>2</v>
      </c>
      <c r="K159">
        <v>1</v>
      </c>
      <c r="L159">
        <v>47</v>
      </c>
      <c r="M159">
        <v>9</v>
      </c>
      <c r="N159">
        <v>6</v>
      </c>
      <c r="O159">
        <v>83</v>
      </c>
    </row>
    <row r="160" spans="1:15" x14ac:dyDescent="0.2">
      <c r="A160" t="s">
        <v>124</v>
      </c>
      <c r="B160" t="s">
        <v>37</v>
      </c>
      <c r="C160" t="s">
        <v>17</v>
      </c>
      <c r="D160" t="s">
        <v>75</v>
      </c>
      <c r="E160" t="s">
        <v>174</v>
      </c>
      <c r="F160">
        <v>3</v>
      </c>
      <c r="G160" t="s">
        <v>126</v>
      </c>
      <c r="H160" t="s">
        <v>23</v>
      </c>
      <c r="I160">
        <v>1</v>
      </c>
      <c r="J160">
        <v>3</v>
      </c>
      <c r="K160">
        <v>2</v>
      </c>
      <c r="L160">
        <v>47</v>
      </c>
      <c r="M160">
        <v>9</v>
      </c>
      <c r="N160">
        <v>6</v>
      </c>
      <c r="O160">
        <v>83</v>
      </c>
    </row>
    <row r="161" spans="1:15" x14ac:dyDescent="0.2">
      <c r="A161" t="s">
        <v>124</v>
      </c>
      <c r="B161" t="s">
        <v>37</v>
      </c>
      <c r="C161" t="s">
        <v>17</v>
      </c>
      <c r="D161" t="s">
        <v>75</v>
      </c>
      <c r="E161" t="s">
        <v>174</v>
      </c>
      <c r="F161">
        <v>3</v>
      </c>
      <c r="G161" t="s">
        <v>126</v>
      </c>
      <c r="H161" t="s">
        <v>24</v>
      </c>
      <c r="I161">
        <v>0</v>
      </c>
      <c r="J161">
        <v>0</v>
      </c>
      <c r="K161">
        <v>0</v>
      </c>
      <c r="L161">
        <v>47</v>
      </c>
      <c r="M161">
        <v>9</v>
      </c>
      <c r="N161">
        <v>6</v>
      </c>
      <c r="O161">
        <v>83</v>
      </c>
    </row>
    <row r="162" spans="1:15" x14ac:dyDescent="0.2">
      <c r="A162" t="s">
        <v>113</v>
      </c>
      <c r="B162" t="s">
        <v>45</v>
      </c>
      <c r="C162" t="s">
        <v>17</v>
      </c>
      <c r="D162" t="s">
        <v>75</v>
      </c>
      <c r="E162" t="s">
        <v>106</v>
      </c>
      <c r="F162">
        <v>3</v>
      </c>
      <c r="G162" t="s">
        <v>19</v>
      </c>
      <c r="H162" t="s">
        <v>20</v>
      </c>
      <c r="I162">
        <v>54</v>
      </c>
      <c r="J162">
        <v>82</v>
      </c>
      <c r="K162">
        <v>0</v>
      </c>
      <c r="L162">
        <v>162</v>
      </c>
      <c r="M162">
        <v>209</v>
      </c>
      <c r="N162">
        <v>0</v>
      </c>
      <c r="O162">
        <v>869</v>
      </c>
    </row>
    <row r="163" spans="1:15" x14ac:dyDescent="0.2">
      <c r="A163" t="s">
        <v>113</v>
      </c>
      <c r="B163" t="s">
        <v>45</v>
      </c>
      <c r="C163" t="s">
        <v>17</v>
      </c>
      <c r="D163" t="s">
        <v>75</v>
      </c>
      <c r="E163" t="s">
        <v>106</v>
      </c>
      <c r="F163">
        <v>3</v>
      </c>
      <c r="G163" t="s">
        <v>19</v>
      </c>
      <c r="H163" t="s">
        <v>21</v>
      </c>
      <c r="I163">
        <v>54</v>
      </c>
      <c r="J163">
        <v>72</v>
      </c>
      <c r="K163">
        <v>0</v>
      </c>
      <c r="L163">
        <v>162</v>
      </c>
      <c r="M163">
        <v>209</v>
      </c>
      <c r="N163">
        <v>0</v>
      </c>
      <c r="O163">
        <v>869</v>
      </c>
    </row>
    <row r="164" spans="1:15" x14ac:dyDescent="0.2">
      <c r="A164" t="s">
        <v>113</v>
      </c>
      <c r="B164" t="s">
        <v>45</v>
      </c>
      <c r="C164" t="s">
        <v>17</v>
      </c>
      <c r="D164" t="s">
        <v>75</v>
      </c>
      <c r="E164" t="s">
        <v>106</v>
      </c>
      <c r="F164">
        <v>3</v>
      </c>
      <c r="G164" t="s">
        <v>19</v>
      </c>
      <c r="H164" t="s">
        <v>22</v>
      </c>
      <c r="I164">
        <v>24</v>
      </c>
      <c r="J164">
        <v>40</v>
      </c>
      <c r="K164">
        <v>0</v>
      </c>
      <c r="L164">
        <v>162</v>
      </c>
      <c r="M164">
        <v>209</v>
      </c>
      <c r="N164">
        <v>0</v>
      </c>
      <c r="O164">
        <v>869</v>
      </c>
    </row>
    <row r="165" spans="1:15" x14ac:dyDescent="0.2">
      <c r="A165" t="s">
        <v>113</v>
      </c>
      <c r="B165" t="s">
        <v>45</v>
      </c>
      <c r="C165" t="s">
        <v>17</v>
      </c>
      <c r="D165" t="s">
        <v>75</v>
      </c>
      <c r="E165" t="s">
        <v>106</v>
      </c>
      <c r="F165">
        <v>3</v>
      </c>
      <c r="G165" t="s">
        <v>19</v>
      </c>
      <c r="H165" t="s">
        <v>23</v>
      </c>
      <c r="I165">
        <v>30</v>
      </c>
      <c r="J165">
        <v>15</v>
      </c>
      <c r="K165">
        <v>0</v>
      </c>
      <c r="L165">
        <v>162</v>
      </c>
      <c r="M165">
        <v>209</v>
      </c>
      <c r="N165">
        <v>0</v>
      </c>
      <c r="O165">
        <v>869</v>
      </c>
    </row>
    <row r="166" spans="1:15" x14ac:dyDescent="0.2">
      <c r="A166" t="s">
        <v>113</v>
      </c>
      <c r="B166" t="s">
        <v>45</v>
      </c>
      <c r="C166" t="s">
        <v>17</v>
      </c>
      <c r="D166" t="s">
        <v>75</v>
      </c>
      <c r="E166" t="s">
        <v>106</v>
      </c>
      <c r="F166">
        <v>3</v>
      </c>
      <c r="G166" t="s">
        <v>19</v>
      </c>
      <c r="H166" t="s">
        <v>24</v>
      </c>
      <c r="I166">
        <v>0</v>
      </c>
      <c r="J166">
        <v>0</v>
      </c>
      <c r="K166">
        <v>0</v>
      </c>
      <c r="L166">
        <v>162</v>
      </c>
      <c r="M166">
        <v>209</v>
      </c>
      <c r="N166">
        <v>0</v>
      </c>
      <c r="O166">
        <v>869</v>
      </c>
    </row>
    <row r="167" spans="1:15" x14ac:dyDescent="0.2">
      <c r="A167" t="s">
        <v>113</v>
      </c>
      <c r="B167" t="s">
        <v>45</v>
      </c>
      <c r="C167" t="s">
        <v>17</v>
      </c>
      <c r="D167" t="s">
        <v>75</v>
      </c>
      <c r="E167" t="s">
        <v>185</v>
      </c>
      <c r="F167">
        <v>3</v>
      </c>
      <c r="G167" t="s">
        <v>130</v>
      </c>
      <c r="H167" t="s">
        <v>20</v>
      </c>
      <c r="I167">
        <v>50</v>
      </c>
      <c r="J167">
        <v>69</v>
      </c>
      <c r="K167">
        <v>12</v>
      </c>
      <c r="L167">
        <v>101</v>
      </c>
      <c r="M167">
        <v>187</v>
      </c>
      <c r="N167">
        <v>31</v>
      </c>
      <c r="O167">
        <v>701</v>
      </c>
    </row>
    <row r="168" spans="1:15" x14ac:dyDescent="0.2">
      <c r="A168" t="s">
        <v>113</v>
      </c>
      <c r="B168" t="s">
        <v>45</v>
      </c>
      <c r="C168" t="s">
        <v>17</v>
      </c>
      <c r="D168" t="s">
        <v>75</v>
      </c>
      <c r="E168" t="s">
        <v>185</v>
      </c>
      <c r="F168">
        <v>3</v>
      </c>
      <c r="G168" t="s">
        <v>130</v>
      </c>
      <c r="H168" t="s">
        <v>21</v>
      </c>
      <c r="I168">
        <v>25</v>
      </c>
      <c r="J168">
        <v>40</v>
      </c>
      <c r="K168">
        <v>5</v>
      </c>
      <c r="L168">
        <v>101</v>
      </c>
      <c r="M168">
        <v>187</v>
      </c>
      <c r="N168">
        <v>31</v>
      </c>
      <c r="O168">
        <v>701</v>
      </c>
    </row>
    <row r="169" spans="1:15" x14ac:dyDescent="0.2">
      <c r="A169" t="s">
        <v>113</v>
      </c>
      <c r="B169" t="s">
        <v>45</v>
      </c>
      <c r="C169" t="s">
        <v>17</v>
      </c>
      <c r="D169" t="s">
        <v>75</v>
      </c>
      <c r="E169" t="s">
        <v>185</v>
      </c>
      <c r="F169">
        <v>3</v>
      </c>
      <c r="G169" t="s">
        <v>130</v>
      </c>
      <c r="H169" t="s">
        <v>22</v>
      </c>
      <c r="I169">
        <v>18</v>
      </c>
      <c r="J169">
        <v>68</v>
      </c>
      <c r="K169">
        <v>13</v>
      </c>
      <c r="L169">
        <v>101</v>
      </c>
      <c r="M169">
        <v>187</v>
      </c>
      <c r="N169">
        <v>31</v>
      </c>
      <c r="O169">
        <v>701</v>
      </c>
    </row>
    <row r="170" spans="1:15" x14ac:dyDescent="0.2">
      <c r="A170" t="s">
        <v>113</v>
      </c>
      <c r="B170" t="s">
        <v>45</v>
      </c>
      <c r="C170" t="s">
        <v>17</v>
      </c>
      <c r="D170" t="s">
        <v>75</v>
      </c>
      <c r="E170" t="s">
        <v>185</v>
      </c>
      <c r="F170">
        <v>3</v>
      </c>
      <c r="G170" t="s">
        <v>130</v>
      </c>
      <c r="H170" t="s">
        <v>23</v>
      </c>
      <c r="I170">
        <v>8</v>
      </c>
      <c r="J170">
        <v>10</v>
      </c>
      <c r="K170">
        <v>1</v>
      </c>
      <c r="L170">
        <v>101</v>
      </c>
      <c r="M170">
        <v>187</v>
      </c>
      <c r="N170">
        <v>31</v>
      </c>
      <c r="O170">
        <v>701</v>
      </c>
    </row>
    <row r="171" spans="1:15" x14ac:dyDescent="0.2">
      <c r="A171" t="s">
        <v>113</v>
      </c>
      <c r="B171" t="s">
        <v>45</v>
      </c>
      <c r="C171" t="s">
        <v>17</v>
      </c>
      <c r="D171" t="s">
        <v>75</v>
      </c>
      <c r="E171" t="s">
        <v>185</v>
      </c>
      <c r="F171">
        <v>3</v>
      </c>
      <c r="G171" t="s">
        <v>130</v>
      </c>
      <c r="H171" t="s">
        <v>24</v>
      </c>
      <c r="I171">
        <v>0</v>
      </c>
      <c r="J171">
        <v>0</v>
      </c>
      <c r="K171">
        <v>0</v>
      </c>
      <c r="L171">
        <v>101</v>
      </c>
      <c r="M171">
        <v>187</v>
      </c>
      <c r="N171">
        <v>31</v>
      </c>
      <c r="O171">
        <v>701</v>
      </c>
    </row>
    <row r="172" spans="1:15" x14ac:dyDescent="0.2">
      <c r="A172" t="s">
        <v>113</v>
      </c>
      <c r="B172" t="s">
        <v>45</v>
      </c>
      <c r="C172" t="s">
        <v>17</v>
      </c>
      <c r="D172" t="s">
        <v>75</v>
      </c>
      <c r="E172" t="s">
        <v>184</v>
      </c>
      <c r="F172">
        <v>3</v>
      </c>
      <c r="G172" t="s">
        <v>128</v>
      </c>
      <c r="H172" t="s">
        <v>20</v>
      </c>
      <c r="I172">
        <v>17</v>
      </c>
      <c r="J172">
        <v>71</v>
      </c>
      <c r="K172">
        <v>1</v>
      </c>
      <c r="L172">
        <v>81</v>
      </c>
      <c r="M172">
        <v>253</v>
      </c>
      <c r="N172">
        <v>34</v>
      </c>
      <c r="O172">
        <v>691</v>
      </c>
    </row>
    <row r="173" spans="1:15" x14ac:dyDescent="0.2">
      <c r="A173" t="s">
        <v>113</v>
      </c>
      <c r="B173" t="s">
        <v>45</v>
      </c>
      <c r="C173" t="s">
        <v>17</v>
      </c>
      <c r="D173" t="s">
        <v>75</v>
      </c>
      <c r="E173" t="s">
        <v>184</v>
      </c>
      <c r="F173">
        <v>3</v>
      </c>
      <c r="G173" t="s">
        <v>128</v>
      </c>
      <c r="H173" t="s">
        <v>21</v>
      </c>
      <c r="I173">
        <v>39</v>
      </c>
      <c r="J173">
        <v>91</v>
      </c>
      <c r="K173">
        <v>11</v>
      </c>
      <c r="L173">
        <v>81</v>
      </c>
      <c r="M173">
        <v>253</v>
      </c>
      <c r="N173">
        <v>34</v>
      </c>
      <c r="O173">
        <v>691</v>
      </c>
    </row>
    <row r="174" spans="1:15" x14ac:dyDescent="0.2">
      <c r="A174" t="s">
        <v>113</v>
      </c>
      <c r="B174" t="s">
        <v>45</v>
      </c>
      <c r="C174" t="s">
        <v>17</v>
      </c>
      <c r="D174" t="s">
        <v>75</v>
      </c>
      <c r="E174" t="s">
        <v>184</v>
      </c>
      <c r="F174">
        <v>3</v>
      </c>
      <c r="G174" t="s">
        <v>128</v>
      </c>
      <c r="H174" t="s">
        <v>22</v>
      </c>
      <c r="I174">
        <v>15</v>
      </c>
      <c r="J174">
        <v>66</v>
      </c>
      <c r="K174">
        <v>11</v>
      </c>
      <c r="L174">
        <v>81</v>
      </c>
      <c r="M174">
        <v>253</v>
      </c>
      <c r="N174">
        <v>34</v>
      </c>
      <c r="O174">
        <v>691</v>
      </c>
    </row>
    <row r="175" spans="1:15" x14ac:dyDescent="0.2">
      <c r="A175" t="s">
        <v>113</v>
      </c>
      <c r="B175" t="s">
        <v>45</v>
      </c>
      <c r="C175" t="s">
        <v>17</v>
      </c>
      <c r="D175" t="s">
        <v>75</v>
      </c>
      <c r="E175" t="s">
        <v>184</v>
      </c>
      <c r="F175">
        <v>3</v>
      </c>
      <c r="G175" t="s">
        <v>128</v>
      </c>
      <c r="H175" t="s">
        <v>23</v>
      </c>
      <c r="I175">
        <v>10</v>
      </c>
      <c r="J175">
        <v>25</v>
      </c>
      <c r="K175">
        <v>11</v>
      </c>
      <c r="L175">
        <v>81</v>
      </c>
      <c r="M175">
        <v>253</v>
      </c>
      <c r="N175">
        <v>34</v>
      </c>
      <c r="O175">
        <v>691</v>
      </c>
    </row>
    <row r="176" spans="1:15" x14ac:dyDescent="0.2">
      <c r="A176" t="s">
        <v>113</v>
      </c>
      <c r="B176" t="s">
        <v>45</v>
      </c>
      <c r="C176" t="s">
        <v>17</v>
      </c>
      <c r="D176" t="s">
        <v>75</v>
      </c>
      <c r="E176" t="s">
        <v>184</v>
      </c>
      <c r="F176">
        <v>3</v>
      </c>
      <c r="G176" t="s">
        <v>128</v>
      </c>
      <c r="H176" t="s">
        <v>24</v>
      </c>
      <c r="I176">
        <v>0</v>
      </c>
      <c r="J176">
        <v>0</v>
      </c>
      <c r="K176">
        <v>0</v>
      </c>
      <c r="L176">
        <v>81</v>
      </c>
      <c r="M176">
        <v>253</v>
      </c>
      <c r="N176">
        <v>34</v>
      </c>
      <c r="O176">
        <v>691</v>
      </c>
    </row>
    <row r="177" spans="1:15" x14ac:dyDescent="0.2">
      <c r="A177" t="s">
        <v>113</v>
      </c>
      <c r="B177" t="s">
        <v>45</v>
      </c>
      <c r="C177" t="s">
        <v>17</v>
      </c>
      <c r="D177" t="s">
        <v>75</v>
      </c>
      <c r="E177" t="s">
        <v>183</v>
      </c>
      <c r="F177">
        <v>3</v>
      </c>
      <c r="G177" t="s">
        <v>126</v>
      </c>
      <c r="H177" t="s">
        <v>20</v>
      </c>
      <c r="I177">
        <v>15</v>
      </c>
      <c r="J177">
        <v>55</v>
      </c>
      <c r="K177">
        <v>0</v>
      </c>
      <c r="L177">
        <v>100</v>
      </c>
      <c r="M177">
        <v>192</v>
      </c>
      <c r="N177">
        <v>23</v>
      </c>
      <c r="O177">
        <v>700</v>
      </c>
    </row>
    <row r="178" spans="1:15" x14ac:dyDescent="0.2">
      <c r="A178" t="s">
        <v>113</v>
      </c>
      <c r="B178" t="s">
        <v>45</v>
      </c>
      <c r="C178" t="s">
        <v>17</v>
      </c>
      <c r="D178" t="s">
        <v>75</v>
      </c>
      <c r="E178" t="s">
        <v>183</v>
      </c>
      <c r="F178">
        <v>3</v>
      </c>
      <c r="G178" t="s">
        <v>126</v>
      </c>
      <c r="H178" t="s">
        <v>21</v>
      </c>
      <c r="I178">
        <v>43</v>
      </c>
      <c r="J178">
        <v>55</v>
      </c>
      <c r="K178">
        <v>6</v>
      </c>
      <c r="L178">
        <v>100</v>
      </c>
      <c r="M178">
        <v>192</v>
      </c>
      <c r="N178">
        <v>23</v>
      </c>
      <c r="O178">
        <v>700</v>
      </c>
    </row>
    <row r="179" spans="1:15" x14ac:dyDescent="0.2">
      <c r="A179" t="s">
        <v>113</v>
      </c>
      <c r="B179" t="s">
        <v>45</v>
      </c>
      <c r="C179" t="s">
        <v>17</v>
      </c>
      <c r="D179" t="s">
        <v>75</v>
      </c>
      <c r="E179" t="s">
        <v>183</v>
      </c>
      <c r="F179">
        <v>3</v>
      </c>
      <c r="G179" t="s">
        <v>126</v>
      </c>
      <c r="H179" t="s">
        <v>22</v>
      </c>
      <c r="I179">
        <v>24</v>
      </c>
      <c r="J179">
        <v>43</v>
      </c>
      <c r="K179">
        <v>6</v>
      </c>
      <c r="L179">
        <v>100</v>
      </c>
      <c r="M179">
        <v>192</v>
      </c>
      <c r="N179">
        <v>23</v>
      </c>
      <c r="O179">
        <v>700</v>
      </c>
    </row>
    <row r="180" spans="1:15" x14ac:dyDescent="0.2">
      <c r="A180" t="s">
        <v>113</v>
      </c>
      <c r="B180" t="s">
        <v>45</v>
      </c>
      <c r="C180" t="s">
        <v>17</v>
      </c>
      <c r="D180" t="s">
        <v>75</v>
      </c>
      <c r="E180" t="s">
        <v>183</v>
      </c>
      <c r="F180">
        <v>3</v>
      </c>
      <c r="G180" t="s">
        <v>126</v>
      </c>
      <c r="H180" t="s">
        <v>23</v>
      </c>
      <c r="I180">
        <v>18</v>
      </c>
      <c r="J180">
        <v>39</v>
      </c>
      <c r="K180">
        <v>11</v>
      </c>
      <c r="L180">
        <v>100</v>
      </c>
      <c r="M180">
        <v>192</v>
      </c>
      <c r="N180">
        <v>23</v>
      </c>
      <c r="O180">
        <v>700</v>
      </c>
    </row>
    <row r="181" spans="1:15" x14ac:dyDescent="0.2">
      <c r="A181" t="s">
        <v>113</v>
      </c>
      <c r="B181" t="s">
        <v>45</v>
      </c>
      <c r="C181" t="s">
        <v>17</v>
      </c>
      <c r="D181" t="s">
        <v>75</v>
      </c>
      <c r="E181" t="s">
        <v>183</v>
      </c>
      <c r="F181">
        <v>3</v>
      </c>
      <c r="G181" t="s">
        <v>126</v>
      </c>
      <c r="H181" t="s">
        <v>24</v>
      </c>
      <c r="I181">
        <v>0</v>
      </c>
      <c r="J181">
        <v>0</v>
      </c>
      <c r="K181">
        <v>0</v>
      </c>
      <c r="L181">
        <v>100</v>
      </c>
      <c r="M181">
        <v>192</v>
      </c>
      <c r="N181">
        <v>23</v>
      </c>
      <c r="O181">
        <v>700</v>
      </c>
    </row>
    <row r="182" spans="1:15" x14ac:dyDescent="0.2">
      <c r="A182" t="s">
        <v>101</v>
      </c>
      <c r="B182" t="s">
        <v>45</v>
      </c>
      <c r="C182" t="s">
        <v>17</v>
      </c>
      <c r="D182" t="s">
        <v>75</v>
      </c>
      <c r="E182" t="s">
        <v>94</v>
      </c>
      <c r="F182">
        <v>3</v>
      </c>
      <c r="G182" t="s">
        <v>19</v>
      </c>
      <c r="H182" t="s">
        <v>20</v>
      </c>
      <c r="I182">
        <v>6</v>
      </c>
      <c r="J182">
        <v>4</v>
      </c>
      <c r="K182">
        <v>0</v>
      </c>
      <c r="L182">
        <v>16</v>
      </c>
      <c r="M182">
        <v>27</v>
      </c>
      <c r="N182">
        <v>0</v>
      </c>
      <c r="O182">
        <v>730</v>
      </c>
    </row>
    <row r="183" spans="1:15" x14ac:dyDescent="0.2">
      <c r="A183" t="s">
        <v>101</v>
      </c>
      <c r="B183" t="s">
        <v>45</v>
      </c>
      <c r="C183" t="s">
        <v>17</v>
      </c>
      <c r="D183" t="s">
        <v>75</v>
      </c>
      <c r="E183" t="s">
        <v>94</v>
      </c>
      <c r="F183">
        <v>3</v>
      </c>
      <c r="G183" t="s">
        <v>19</v>
      </c>
      <c r="H183" t="s">
        <v>21</v>
      </c>
      <c r="I183">
        <v>0</v>
      </c>
      <c r="J183">
        <v>16</v>
      </c>
      <c r="K183">
        <v>0</v>
      </c>
      <c r="L183">
        <v>16</v>
      </c>
      <c r="M183">
        <v>27</v>
      </c>
      <c r="N183">
        <v>0</v>
      </c>
      <c r="O183">
        <v>730</v>
      </c>
    </row>
    <row r="184" spans="1:15" x14ac:dyDescent="0.2">
      <c r="A184" t="s">
        <v>101</v>
      </c>
      <c r="B184" t="s">
        <v>45</v>
      </c>
      <c r="C184" t="s">
        <v>17</v>
      </c>
      <c r="D184" t="s">
        <v>75</v>
      </c>
      <c r="E184" t="s">
        <v>94</v>
      </c>
      <c r="F184">
        <v>3</v>
      </c>
      <c r="G184" t="s">
        <v>19</v>
      </c>
      <c r="H184" t="s">
        <v>22</v>
      </c>
      <c r="I184">
        <v>7</v>
      </c>
      <c r="J184">
        <v>6</v>
      </c>
      <c r="K184">
        <v>0</v>
      </c>
      <c r="L184">
        <v>16</v>
      </c>
      <c r="M184">
        <v>27</v>
      </c>
      <c r="N184">
        <v>0</v>
      </c>
      <c r="O184">
        <v>730</v>
      </c>
    </row>
    <row r="185" spans="1:15" x14ac:dyDescent="0.2">
      <c r="A185" t="s">
        <v>101</v>
      </c>
      <c r="B185" t="s">
        <v>45</v>
      </c>
      <c r="C185" t="s">
        <v>17</v>
      </c>
      <c r="D185" t="s">
        <v>75</v>
      </c>
      <c r="E185" t="s">
        <v>94</v>
      </c>
      <c r="F185">
        <v>3</v>
      </c>
      <c r="G185" t="s">
        <v>19</v>
      </c>
      <c r="H185" t="s">
        <v>23</v>
      </c>
      <c r="I185">
        <v>3</v>
      </c>
      <c r="J185">
        <v>1</v>
      </c>
      <c r="K185">
        <v>0</v>
      </c>
      <c r="L185">
        <v>16</v>
      </c>
      <c r="M185">
        <v>27</v>
      </c>
      <c r="N185">
        <v>0</v>
      </c>
      <c r="O185">
        <v>730</v>
      </c>
    </row>
    <row r="186" spans="1:15" x14ac:dyDescent="0.2">
      <c r="A186" t="s">
        <v>101</v>
      </c>
      <c r="B186" t="s">
        <v>45</v>
      </c>
      <c r="C186" t="s">
        <v>17</v>
      </c>
      <c r="D186" t="s">
        <v>75</v>
      </c>
      <c r="E186" t="s">
        <v>94</v>
      </c>
      <c r="F186">
        <v>3</v>
      </c>
      <c r="G186" t="s">
        <v>19</v>
      </c>
      <c r="H186" t="s">
        <v>24</v>
      </c>
      <c r="I186">
        <v>0</v>
      </c>
      <c r="J186">
        <v>0</v>
      </c>
      <c r="K186">
        <v>0</v>
      </c>
      <c r="L186">
        <v>16</v>
      </c>
      <c r="M186">
        <v>27</v>
      </c>
      <c r="N186">
        <v>0</v>
      </c>
      <c r="O186">
        <v>730</v>
      </c>
    </row>
    <row r="187" spans="1:15" x14ac:dyDescent="0.2">
      <c r="A187" t="s">
        <v>101</v>
      </c>
      <c r="B187" t="s">
        <v>45</v>
      </c>
      <c r="C187" t="s">
        <v>17</v>
      </c>
      <c r="D187" t="s">
        <v>75</v>
      </c>
      <c r="E187" t="s">
        <v>182</v>
      </c>
      <c r="F187">
        <v>3</v>
      </c>
      <c r="G187" t="s">
        <v>130</v>
      </c>
      <c r="H187" t="s">
        <v>20</v>
      </c>
      <c r="I187">
        <v>10</v>
      </c>
      <c r="J187">
        <v>9</v>
      </c>
      <c r="K187">
        <v>4</v>
      </c>
      <c r="L187">
        <v>18</v>
      </c>
      <c r="M187">
        <v>19</v>
      </c>
      <c r="N187">
        <v>6</v>
      </c>
      <c r="O187">
        <v>550</v>
      </c>
    </row>
    <row r="188" spans="1:15" x14ac:dyDescent="0.2">
      <c r="A188" t="s">
        <v>101</v>
      </c>
      <c r="B188" t="s">
        <v>45</v>
      </c>
      <c r="C188" t="s">
        <v>17</v>
      </c>
      <c r="D188" t="s">
        <v>75</v>
      </c>
      <c r="E188" t="s">
        <v>182</v>
      </c>
      <c r="F188">
        <v>3</v>
      </c>
      <c r="G188" t="s">
        <v>130</v>
      </c>
      <c r="H188" t="s">
        <v>21</v>
      </c>
      <c r="I188">
        <v>5</v>
      </c>
      <c r="J188">
        <v>6</v>
      </c>
      <c r="K188">
        <v>2</v>
      </c>
      <c r="L188">
        <v>18</v>
      </c>
      <c r="M188">
        <v>19</v>
      </c>
      <c r="N188">
        <v>6</v>
      </c>
      <c r="O188">
        <v>550</v>
      </c>
    </row>
    <row r="189" spans="1:15" x14ac:dyDescent="0.2">
      <c r="A189" t="s">
        <v>101</v>
      </c>
      <c r="B189" t="s">
        <v>45</v>
      </c>
      <c r="C189" t="s">
        <v>17</v>
      </c>
      <c r="D189" t="s">
        <v>75</v>
      </c>
      <c r="E189" t="s">
        <v>182</v>
      </c>
      <c r="F189">
        <v>3</v>
      </c>
      <c r="G189" t="s">
        <v>130</v>
      </c>
      <c r="H189" t="s">
        <v>22</v>
      </c>
      <c r="I189">
        <v>3</v>
      </c>
      <c r="J189">
        <v>2</v>
      </c>
      <c r="K189">
        <v>0</v>
      </c>
      <c r="L189">
        <v>18</v>
      </c>
      <c r="M189">
        <v>19</v>
      </c>
      <c r="N189">
        <v>6</v>
      </c>
      <c r="O189">
        <v>550</v>
      </c>
    </row>
    <row r="190" spans="1:15" x14ac:dyDescent="0.2">
      <c r="A190" t="s">
        <v>101</v>
      </c>
      <c r="B190" t="s">
        <v>45</v>
      </c>
      <c r="C190" t="s">
        <v>17</v>
      </c>
      <c r="D190" t="s">
        <v>75</v>
      </c>
      <c r="E190" t="s">
        <v>182</v>
      </c>
      <c r="F190">
        <v>3</v>
      </c>
      <c r="G190" t="s">
        <v>130</v>
      </c>
      <c r="H190" t="s">
        <v>23</v>
      </c>
      <c r="I190">
        <v>0</v>
      </c>
      <c r="J190">
        <v>2</v>
      </c>
      <c r="K190">
        <v>0</v>
      </c>
      <c r="L190">
        <v>18</v>
      </c>
      <c r="M190">
        <v>19</v>
      </c>
      <c r="N190">
        <v>6</v>
      </c>
      <c r="O190">
        <v>550</v>
      </c>
    </row>
    <row r="191" spans="1:15" x14ac:dyDescent="0.2">
      <c r="A191" t="s">
        <v>101</v>
      </c>
      <c r="B191" t="s">
        <v>45</v>
      </c>
      <c r="C191" t="s">
        <v>17</v>
      </c>
      <c r="D191" t="s">
        <v>75</v>
      </c>
      <c r="E191" t="s">
        <v>182</v>
      </c>
      <c r="F191">
        <v>3</v>
      </c>
      <c r="G191" t="s">
        <v>130</v>
      </c>
      <c r="H191" t="s">
        <v>24</v>
      </c>
      <c r="I191">
        <v>0</v>
      </c>
      <c r="J191">
        <v>0</v>
      </c>
      <c r="K191">
        <v>0</v>
      </c>
      <c r="L191">
        <v>18</v>
      </c>
      <c r="M191">
        <v>19</v>
      </c>
      <c r="N191">
        <v>6</v>
      </c>
      <c r="O191">
        <v>550</v>
      </c>
    </row>
    <row r="192" spans="1:15" x14ac:dyDescent="0.2">
      <c r="A192" t="s">
        <v>101</v>
      </c>
      <c r="B192" t="s">
        <v>45</v>
      </c>
      <c r="C192" t="s">
        <v>17</v>
      </c>
      <c r="D192" t="s">
        <v>75</v>
      </c>
      <c r="E192" t="s">
        <v>181</v>
      </c>
      <c r="F192">
        <v>3</v>
      </c>
      <c r="G192" t="s">
        <v>128</v>
      </c>
      <c r="H192" t="s">
        <v>20</v>
      </c>
      <c r="I192">
        <v>2</v>
      </c>
      <c r="J192">
        <v>2</v>
      </c>
      <c r="K192">
        <v>0</v>
      </c>
      <c r="L192">
        <v>7</v>
      </c>
      <c r="M192">
        <v>19</v>
      </c>
      <c r="N192">
        <v>4</v>
      </c>
      <c r="O192">
        <v>542</v>
      </c>
    </row>
    <row r="193" spans="1:15" x14ac:dyDescent="0.2">
      <c r="A193" t="s">
        <v>101</v>
      </c>
      <c r="B193" t="s">
        <v>45</v>
      </c>
      <c r="C193" t="s">
        <v>17</v>
      </c>
      <c r="D193" t="s">
        <v>75</v>
      </c>
      <c r="E193" t="s">
        <v>181</v>
      </c>
      <c r="F193">
        <v>3</v>
      </c>
      <c r="G193" t="s">
        <v>128</v>
      </c>
      <c r="H193" t="s">
        <v>21</v>
      </c>
      <c r="I193">
        <v>2</v>
      </c>
      <c r="J193">
        <v>9</v>
      </c>
      <c r="K193">
        <v>0</v>
      </c>
      <c r="L193">
        <v>7</v>
      </c>
      <c r="M193">
        <v>19</v>
      </c>
      <c r="N193">
        <v>4</v>
      </c>
      <c r="O193">
        <v>542</v>
      </c>
    </row>
    <row r="194" spans="1:15" x14ac:dyDescent="0.2">
      <c r="A194" t="s">
        <v>101</v>
      </c>
      <c r="B194" t="s">
        <v>45</v>
      </c>
      <c r="C194" t="s">
        <v>17</v>
      </c>
      <c r="D194" t="s">
        <v>75</v>
      </c>
      <c r="E194" t="s">
        <v>181</v>
      </c>
      <c r="F194">
        <v>3</v>
      </c>
      <c r="G194" t="s">
        <v>128</v>
      </c>
      <c r="H194" t="s">
        <v>22</v>
      </c>
      <c r="I194">
        <v>0</v>
      </c>
      <c r="J194">
        <v>4</v>
      </c>
      <c r="K194">
        <v>2</v>
      </c>
      <c r="L194">
        <v>7</v>
      </c>
      <c r="M194">
        <v>19</v>
      </c>
      <c r="N194">
        <v>4</v>
      </c>
      <c r="O194">
        <v>542</v>
      </c>
    </row>
    <row r="195" spans="1:15" x14ac:dyDescent="0.2">
      <c r="A195" t="s">
        <v>101</v>
      </c>
      <c r="B195" t="s">
        <v>45</v>
      </c>
      <c r="C195" t="s">
        <v>17</v>
      </c>
      <c r="D195" t="s">
        <v>75</v>
      </c>
      <c r="E195" t="s">
        <v>181</v>
      </c>
      <c r="F195">
        <v>3</v>
      </c>
      <c r="G195" t="s">
        <v>128</v>
      </c>
      <c r="H195" t="s">
        <v>23</v>
      </c>
      <c r="I195">
        <v>3</v>
      </c>
      <c r="J195">
        <v>4</v>
      </c>
      <c r="K195">
        <v>2</v>
      </c>
      <c r="L195">
        <v>7</v>
      </c>
      <c r="M195">
        <v>19</v>
      </c>
      <c r="N195">
        <v>4</v>
      </c>
      <c r="O195">
        <v>542</v>
      </c>
    </row>
    <row r="196" spans="1:15" x14ac:dyDescent="0.2">
      <c r="A196" t="s">
        <v>101</v>
      </c>
      <c r="B196" t="s">
        <v>45</v>
      </c>
      <c r="C196" t="s">
        <v>17</v>
      </c>
      <c r="D196" t="s">
        <v>75</v>
      </c>
      <c r="E196" t="s">
        <v>181</v>
      </c>
      <c r="F196">
        <v>3</v>
      </c>
      <c r="G196" t="s">
        <v>128</v>
      </c>
      <c r="H196" t="s">
        <v>24</v>
      </c>
      <c r="I196">
        <v>0</v>
      </c>
      <c r="J196">
        <v>0</v>
      </c>
      <c r="K196">
        <v>0</v>
      </c>
      <c r="L196">
        <v>7</v>
      </c>
      <c r="M196">
        <v>19</v>
      </c>
      <c r="N196">
        <v>4</v>
      </c>
      <c r="O196">
        <v>542</v>
      </c>
    </row>
    <row r="197" spans="1:15" x14ac:dyDescent="0.2">
      <c r="A197" t="s">
        <v>101</v>
      </c>
      <c r="B197" t="s">
        <v>45</v>
      </c>
      <c r="C197" t="s">
        <v>17</v>
      </c>
      <c r="D197" t="s">
        <v>75</v>
      </c>
      <c r="E197" t="s">
        <v>180</v>
      </c>
      <c r="F197">
        <v>3</v>
      </c>
      <c r="G197" t="s">
        <v>126</v>
      </c>
      <c r="H197" t="s">
        <v>20</v>
      </c>
      <c r="I197">
        <v>6</v>
      </c>
      <c r="J197">
        <v>2</v>
      </c>
      <c r="K197">
        <v>0</v>
      </c>
      <c r="L197">
        <v>18</v>
      </c>
      <c r="M197">
        <v>19</v>
      </c>
      <c r="N197">
        <v>4</v>
      </c>
      <c r="O197">
        <v>532</v>
      </c>
    </row>
    <row r="198" spans="1:15" x14ac:dyDescent="0.2">
      <c r="A198" t="s">
        <v>101</v>
      </c>
      <c r="B198" t="s">
        <v>45</v>
      </c>
      <c r="C198" t="s">
        <v>17</v>
      </c>
      <c r="D198" t="s">
        <v>75</v>
      </c>
      <c r="E198" t="s">
        <v>180</v>
      </c>
      <c r="F198">
        <v>3</v>
      </c>
      <c r="G198" t="s">
        <v>126</v>
      </c>
      <c r="H198" t="s">
        <v>21</v>
      </c>
      <c r="I198">
        <v>4</v>
      </c>
      <c r="J198">
        <v>12</v>
      </c>
      <c r="K198">
        <v>3</v>
      </c>
      <c r="L198">
        <v>18</v>
      </c>
      <c r="M198">
        <v>19</v>
      </c>
      <c r="N198">
        <v>4</v>
      </c>
      <c r="O198">
        <v>532</v>
      </c>
    </row>
    <row r="199" spans="1:15" x14ac:dyDescent="0.2">
      <c r="A199" t="s">
        <v>101</v>
      </c>
      <c r="B199" t="s">
        <v>45</v>
      </c>
      <c r="C199" t="s">
        <v>17</v>
      </c>
      <c r="D199" t="s">
        <v>75</v>
      </c>
      <c r="E199" t="s">
        <v>180</v>
      </c>
      <c r="F199">
        <v>3</v>
      </c>
      <c r="G199" t="s">
        <v>126</v>
      </c>
      <c r="H199" t="s">
        <v>22</v>
      </c>
      <c r="I199">
        <v>4</v>
      </c>
      <c r="J199">
        <v>1</v>
      </c>
      <c r="K199">
        <v>0</v>
      </c>
      <c r="L199">
        <v>18</v>
      </c>
      <c r="M199">
        <v>19</v>
      </c>
      <c r="N199">
        <v>4</v>
      </c>
      <c r="O199">
        <v>532</v>
      </c>
    </row>
    <row r="200" spans="1:15" x14ac:dyDescent="0.2">
      <c r="A200" t="s">
        <v>101</v>
      </c>
      <c r="B200" t="s">
        <v>45</v>
      </c>
      <c r="C200" t="s">
        <v>17</v>
      </c>
      <c r="D200" t="s">
        <v>75</v>
      </c>
      <c r="E200" t="s">
        <v>180</v>
      </c>
      <c r="F200">
        <v>3</v>
      </c>
      <c r="G200" t="s">
        <v>126</v>
      </c>
      <c r="H200" t="s">
        <v>23</v>
      </c>
      <c r="I200">
        <v>4</v>
      </c>
      <c r="J200">
        <v>4</v>
      </c>
      <c r="K200">
        <v>1</v>
      </c>
      <c r="L200">
        <v>18</v>
      </c>
      <c r="M200">
        <v>19</v>
      </c>
      <c r="N200">
        <v>4</v>
      </c>
      <c r="O200">
        <v>532</v>
      </c>
    </row>
    <row r="201" spans="1:15" x14ac:dyDescent="0.2">
      <c r="A201" t="s">
        <v>101</v>
      </c>
      <c r="B201" t="s">
        <v>45</v>
      </c>
      <c r="C201" t="s">
        <v>17</v>
      </c>
      <c r="D201" t="s">
        <v>75</v>
      </c>
      <c r="E201" t="s">
        <v>180</v>
      </c>
      <c r="F201">
        <v>3</v>
      </c>
      <c r="G201" t="s">
        <v>126</v>
      </c>
      <c r="H201" t="s">
        <v>24</v>
      </c>
      <c r="I201">
        <v>0</v>
      </c>
      <c r="J201">
        <v>0</v>
      </c>
      <c r="K201">
        <v>0</v>
      </c>
      <c r="L201">
        <v>18</v>
      </c>
      <c r="M201">
        <v>19</v>
      </c>
      <c r="N201">
        <v>4</v>
      </c>
      <c r="O201">
        <v>532</v>
      </c>
    </row>
    <row r="202" spans="1:15" x14ac:dyDescent="0.2">
      <c r="A202" t="s">
        <v>89</v>
      </c>
      <c r="B202" t="s">
        <v>45</v>
      </c>
      <c r="C202" t="s">
        <v>17</v>
      </c>
      <c r="D202" t="s">
        <v>75</v>
      </c>
      <c r="E202" t="s">
        <v>81</v>
      </c>
      <c r="F202">
        <v>3</v>
      </c>
      <c r="G202" t="s">
        <v>19</v>
      </c>
      <c r="H202" t="s">
        <v>20</v>
      </c>
      <c r="I202">
        <v>34</v>
      </c>
      <c r="J202">
        <v>45</v>
      </c>
      <c r="K202">
        <v>0</v>
      </c>
      <c r="L202">
        <v>85</v>
      </c>
      <c r="M202">
        <v>125</v>
      </c>
      <c r="N202">
        <v>0</v>
      </c>
      <c r="O202">
        <v>498</v>
      </c>
    </row>
    <row r="203" spans="1:15" x14ac:dyDescent="0.2">
      <c r="A203" t="s">
        <v>89</v>
      </c>
      <c r="B203" t="s">
        <v>45</v>
      </c>
      <c r="C203" t="s">
        <v>17</v>
      </c>
      <c r="D203" t="s">
        <v>75</v>
      </c>
      <c r="E203" t="s">
        <v>81</v>
      </c>
      <c r="F203">
        <v>3</v>
      </c>
      <c r="G203" t="s">
        <v>19</v>
      </c>
      <c r="H203" t="s">
        <v>21</v>
      </c>
      <c r="I203">
        <v>22</v>
      </c>
      <c r="J203">
        <v>30</v>
      </c>
      <c r="K203">
        <v>0</v>
      </c>
      <c r="L203">
        <v>85</v>
      </c>
      <c r="M203">
        <v>125</v>
      </c>
      <c r="N203">
        <v>0</v>
      </c>
      <c r="O203">
        <v>498</v>
      </c>
    </row>
    <row r="204" spans="1:15" x14ac:dyDescent="0.2">
      <c r="A204" t="s">
        <v>89</v>
      </c>
      <c r="B204" t="s">
        <v>45</v>
      </c>
      <c r="C204" t="s">
        <v>17</v>
      </c>
      <c r="D204" t="s">
        <v>75</v>
      </c>
      <c r="E204" t="s">
        <v>81</v>
      </c>
      <c r="F204">
        <v>3</v>
      </c>
      <c r="G204" t="s">
        <v>19</v>
      </c>
      <c r="H204" t="s">
        <v>22</v>
      </c>
      <c r="I204">
        <v>12</v>
      </c>
      <c r="J204">
        <v>20</v>
      </c>
      <c r="K204">
        <v>0</v>
      </c>
      <c r="L204">
        <v>85</v>
      </c>
      <c r="M204">
        <v>125</v>
      </c>
      <c r="N204">
        <v>0</v>
      </c>
      <c r="O204">
        <v>498</v>
      </c>
    </row>
    <row r="205" spans="1:15" x14ac:dyDescent="0.2">
      <c r="A205" t="s">
        <v>89</v>
      </c>
      <c r="B205" t="s">
        <v>45</v>
      </c>
      <c r="C205" t="s">
        <v>17</v>
      </c>
      <c r="D205" t="s">
        <v>75</v>
      </c>
      <c r="E205" t="s">
        <v>81</v>
      </c>
      <c r="F205">
        <v>3</v>
      </c>
      <c r="G205" t="s">
        <v>19</v>
      </c>
      <c r="H205" t="s">
        <v>23</v>
      </c>
      <c r="I205">
        <v>17</v>
      </c>
      <c r="J205">
        <v>30</v>
      </c>
      <c r="K205">
        <v>0</v>
      </c>
      <c r="L205">
        <v>85</v>
      </c>
      <c r="M205">
        <v>125</v>
      </c>
      <c r="N205">
        <v>0</v>
      </c>
      <c r="O205">
        <v>498</v>
      </c>
    </row>
    <row r="206" spans="1:15" x14ac:dyDescent="0.2">
      <c r="A206" t="s">
        <v>89</v>
      </c>
      <c r="B206" t="s">
        <v>45</v>
      </c>
      <c r="C206" t="s">
        <v>17</v>
      </c>
      <c r="D206" t="s">
        <v>75</v>
      </c>
      <c r="E206" t="s">
        <v>81</v>
      </c>
      <c r="F206">
        <v>3</v>
      </c>
      <c r="G206" t="s">
        <v>19</v>
      </c>
      <c r="H206" t="s">
        <v>24</v>
      </c>
      <c r="I206">
        <v>0</v>
      </c>
      <c r="J206">
        <v>0</v>
      </c>
      <c r="K206">
        <v>0</v>
      </c>
      <c r="L206">
        <v>85</v>
      </c>
      <c r="M206">
        <v>125</v>
      </c>
      <c r="N206">
        <v>0</v>
      </c>
      <c r="O206">
        <v>498</v>
      </c>
    </row>
    <row r="207" spans="1:15" x14ac:dyDescent="0.2">
      <c r="A207" t="s">
        <v>89</v>
      </c>
      <c r="B207" t="s">
        <v>45</v>
      </c>
      <c r="C207" t="s">
        <v>17</v>
      </c>
      <c r="D207" t="s">
        <v>75</v>
      </c>
      <c r="E207" t="s">
        <v>179</v>
      </c>
      <c r="F207">
        <v>3</v>
      </c>
      <c r="G207" t="s">
        <v>130</v>
      </c>
      <c r="H207" t="s">
        <v>20</v>
      </c>
      <c r="I207">
        <v>65</v>
      </c>
      <c r="J207">
        <v>60</v>
      </c>
      <c r="K207">
        <v>36</v>
      </c>
      <c r="L207">
        <v>103</v>
      </c>
      <c r="M207">
        <v>120</v>
      </c>
      <c r="N207">
        <v>83</v>
      </c>
      <c r="O207">
        <v>349</v>
      </c>
    </row>
    <row r="208" spans="1:15" x14ac:dyDescent="0.2">
      <c r="A208" t="s">
        <v>89</v>
      </c>
      <c r="B208" t="s">
        <v>45</v>
      </c>
      <c r="C208" t="s">
        <v>17</v>
      </c>
      <c r="D208" t="s">
        <v>75</v>
      </c>
      <c r="E208" t="s">
        <v>179</v>
      </c>
      <c r="F208">
        <v>3</v>
      </c>
      <c r="G208" t="s">
        <v>130</v>
      </c>
      <c r="H208" t="s">
        <v>21</v>
      </c>
      <c r="I208">
        <v>20</v>
      </c>
      <c r="J208">
        <v>28</v>
      </c>
      <c r="K208">
        <v>23</v>
      </c>
      <c r="L208">
        <v>103</v>
      </c>
      <c r="M208">
        <v>120</v>
      </c>
      <c r="N208">
        <v>83</v>
      </c>
      <c r="O208">
        <v>349</v>
      </c>
    </row>
    <row r="209" spans="1:15" x14ac:dyDescent="0.2">
      <c r="A209" t="s">
        <v>89</v>
      </c>
      <c r="B209" t="s">
        <v>45</v>
      </c>
      <c r="C209" t="s">
        <v>17</v>
      </c>
      <c r="D209" t="s">
        <v>75</v>
      </c>
      <c r="E209" t="s">
        <v>179</v>
      </c>
      <c r="F209">
        <v>3</v>
      </c>
      <c r="G209" t="s">
        <v>130</v>
      </c>
      <c r="H209" t="s">
        <v>22</v>
      </c>
      <c r="I209">
        <v>15</v>
      </c>
      <c r="J209">
        <v>24</v>
      </c>
      <c r="K209">
        <v>19</v>
      </c>
      <c r="L209">
        <v>103</v>
      </c>
      <c r="M209">
        <v>120</v>
      </c>
      <c r="N209">
        <v>83</v>
      </c>
      <c r="O209">
        <v>349</v>
      </c>
    </row>
    <row r="210" spans="1:15" x14ac:dyDescent="0.2">
      <c r="A210" t="s">
        <v>89</v>
      </c>
      <c r="B210" t="s">
        <v>45</v>
      </c>
      <c r="C210" t="s">
        <v>17</v>
      </c>
      <c r="D210" t="s">
        <v>75</v>
      </c>
      <c r="E210" t="s">
        <v>179</v>
      </c>
      <c r="F210">
        <v>3</v>
      </c>
      <c r="G210" t="s">
        <v>130</v>
      </c>
      <c r="H210" t="s">
        <v>23</v>
      </c>
      <c r="I210">
        <v>3</v>
      </c>
      <c r="J210">
        <v>8</v>
      </c>
      <c r="K210">
        <v>5</v>
      </c>
      <c r="L210">
        <v>103</v>
      </c>
      <c r="M210">
        <v>120</v>
      </c>
      <c r="N210">
        <v>83</v>
      </c>
      <c r="O210">
        <v>349</v>
      </c>
    </row>
    <row r="211" spans="1:15" x14ac:dyDescent="0.2">
      <c r="A211" t="s">
        <v>89</v>
      </c>
      <c r="B211" t="s">
        <v>45</v>
      </c>
      <c r="C211" t="s">
        <v>17</v>
      </c>
      <c r="D211" t="s">
        <v>75</v>
      </c>
      <c r="E211" t="s">
        <v>179</v>
      </c>
      <c r="F211">
        <v>3</v>
      </c>
      <c r="G211" t="s">
        <v>130</v>
      </c>
      <c r="H211" t="s">
        <v>24</v>
      </c>
      <c r="I211">
        <v>0</v>
      </c>
      <c r="J211">
        <v>0</v>
      </c>
      <c r="K211">
        <v>0</v>
      </c>
      <c r="L211">
        <v>103</v>
      </c>
      <c r="M211">
        <v>120</v>
      </c>
      <c r="N211">
        <v>83</v>
      </c>
      <c r="O211">
        <v>349</v>
      </c>
    </row>
    <row r="212" spans="1:15" x14ac:dyDescent="0.2">
      <c r="A212" t="s">
        <v>89</v>
      </c>
      <c r="B212" t="s">
        <v>45</v>
      </c>
      <c r="C212" t="s">
        <v>17</v>
      </c>
      <c r="D212" t="s">
        <v>75</v>
      </c>
      <c r="E212" t="s">
        <v>178</v>
      </c>
      <c r="F212">
        <v>3</v>
      </c>
      <c r="G212" t="s">
        <v>128</v>
      </c>
      <c r="H212" t="s">
        <v>20</v>
      </c>
      <c r="I212">
        <v>19</v>
      </c>
      <c r="J212">
        <v>30</v>
      </c>
      <c r="K212">
        <v>12</v>
      </c>
      <c r="L212">
        <v>43</v>
      </c>
      <c r="M212">
        <v>99</v>
      </c>
      <c r="N212">
        <v>72</v>
      </c>
      <c r="O212">
        <v>335</v>
      </c>
    </row>
    <row r="213" spans="1:15" x14ac:dyDescent="0.2">
      <c r="A213" t="s">
        <v>89</v>
      </c>
      <c r="B213" t="s">
        <v>45</v>
      </c>
      <c r="C213" t="s">
        <v>17</v>
      </c>
      <c r="D213" t="s">
        <v>75</v>
      </c>
      <c r="E213" t="s">
        <v>178</v>
      </c>
      <c r="F213">
        <v>3</v>
      </c>
      <c r="G213" t="s">
        <v>128</v>
      </c>
      <c r="H213" t="s">
        <v>21</v>
      </c>
      <c r="I213">
        <v>12</v>
      </c>
      <c r="J213">
        <v>26</v>
      </c>
      <c r="K213">
        <v>23</v>
      </c>
      <c r="L213">
        <v>43</v>
      </c>
      <c r="M213">
        <v>99</v>
      </c>
      <c r="N213">
        <v>72</v>
      </c>
      <c r="O213">
        <v>335</v>
      </c>
    </row>
    <row r="214" spans="1:15" x14ac:dyDescent="0.2">
      <c r="A214" t="s">
        <v>89</v>
      </c>
      <c r="B214" t="s">
        <v>45</v>
      </c>
      <c r="C214" t="s">
        <v>17</v>
      </c>
      <c r="D214" t="s">
        <v>75</v>
      </c>
      <c r="E214" t="s">
        <v>178</v>
      </c>
      <c r="F214">
        <v>3</v>
      </c>
      <c r="G214" t="s">
        <v>128</v>
      </c>
      <c r="H214" t="s">
        <v>22</v>
      </c>
      <c r="I214">
        <v>3</v>
      </c>
      <c r="J214">
        <v>21</v>
      </c>
      <c r="K214">
        <v>20</v>
      </c>
      <c r="L214">
        <v>43</v>
      </c>
      <c r="M214">
        <v>99</v>
      </c>
      <c r="N214">
        <v>72</v>
      </c>
      <c r="O214">
        <v>335</v>
      </c>
    </row>
    <row r="215" spans="1:15" x14ac:dyDescent="0.2">
      <c r="A215" t="s">
        <v>89</v>
      </c>
      <c r="B215" t="s">
        <v>45</v>
      </c>
      <c r="C215" t="s">
        <v>17</v>
      </c>
      <c r="D215" t="s">
        <v>75</v>
      </c>
      <c r="E215" t="s">
        <v>178</v>
      </c>
      <c r="F215">
        <v>3</v>
      </c>
      <c r="G215" t="s">
        <v>128</v>
      </c>
      <c r="H215" t="s">
        <v>23</v>
      </c>
      <c r="I215">
        <v>9</v>
      </c>
      <c r="J215">
        <v>22</v>
      </c>
      <c r="K215">
        <v>17</v>
      </c>
      <c r="L215">
        <v>43</v>
      </c>
      <c r="M215">
        <v>99</v>
      </c>
      <c r="N215">
        <v>72</v>
      </c>
      <c r="O215">
        <v>335</v>
      </c>
    </row>
    <row r="216" spans="1:15" x14ac:dyDescent="0.2">
      <c r="A216" t="s">
        <v>89</v>
      </c>
      <c r="B216" t="s">
        <v>45</v>
      </c>
      <c r="C216" t="s">
        <v>17</v>
      </c>
      <c r="D216" t="s">
        <v>75</v>
      </c>
      <c r="E216" t="s">
        <v>178</v>
      </c>
      <c r="F216">
        <v>3</v>
      </c>
      <c r="G216" t="s">
        <v>128</v>
      </c>
      <c r="H216" t="s">
        <v>24</v>
      </c>
      <c r="I216">
        <v>0</v>
      </c>
      <c r="J216">
        <v>0</v>
      </c>
      <c r="K216">
        <v>0</v>
      </c>
      <c r="L216">
        <v>43</v>
      </c>
      <c r="M216">
        <v>99</v>
      </c>
      <c r="N216">
        <v>72</v>
      </c>
      <c r="O216">
        <v>335</v>
      </c>
    </row>
    <row r="217" spans="1:15" x14ac:dyDescent="0.2">
      <c r="A217" t="s">
        <v>89</v>
      </c>
      <c r="B217" t="s">
        <v>45</v>
      </c>
      <c r="C217" t="s">
        <v>17</v>
      </c>
      <c r="D217" t="s">
        <v>75</v>
      </c>
      <c r="E217" t="s">
        <v>177</v>
      </c>
      <c r="F217">
        <v>3</v>
      </c>
      <c r="G217" t="s">
        <v>126</v>
      </c>
      <c r="H217" t="s">
        <v>20</v>
      </c>
      <c r="I217">
        <v>13</v>
      </c>
      <c r="J217">
        <v>15</v>
      </c>
      <c r="K217">
        <v>2</v>
      </c>
      <c r="L217">
        <v>39</v>
      </c>
      <c r="M217">
        <v>113</v>
      </c>
      <c r="N217">
        <v>82</v>
      </c>
      <c r="O217">
        <v>341</v>
      </c>
    </row>
    <row r="218" spans="1:15" x14ac:dyDescent="0.2">
      <c r="A218" t="s">
        <v>89</v>
      </c>
      <c r="B218" t="s">
        <v>45</v>
      </c>
      <c r="C218" t="s">
        <v>17</v>
      </c>
      <c r="D218" t="s">
        <v>75</v>
      </c>
      <c r="E218" t="s">
        <v>177</v>
      </c>
      <c r="F218">
        <v>3</v>
      </c>
      <c r="G218" t="s">
        <v>126</v>
      </c>
      <c r="H218" t="s">
        <v>21</v>
      </c>
      <c r="I218">
        <v>15</v>
      </c>
      <c r="J218">
        <v>45</v>
      </c>
      <c r="K218">
        <v>31</v>
      </c>
      <c r="L218">
        <v>39</v>
      </c>
      <c r="M218">
        <v>113</v>
      </c>
      <c r="N218">
        <v>82</v>
      </c>
      <c r="O218">
        <v>341</v>
      </c>
    </row>
    <row r="219" spans="1:15" x14ac:dyDescent="0.2">
      <c r="A219" t="s">
        <v>89</v>
      </c>
      <c r="B219" t="s">
        <v>45</v>
      </c>
      <c r="C219" t="s">
        <v>17</v>
      </c>
      <c r="D219" t="s">
        <v>75</v>
      </c>
      <c r="E219" t="s">
        <v>177</v>
      </c>
      <c r="F219">
        <v>3</v>
      </c>
      <c r="G219" t="s">
        <v>126</v>
      </c>
      <c r="H219" t="s">
        <v>22</v>
      </c>
      <c r="I219">
        <v>7</v>
      </c>
      <c r="J219">
        <v>10</v>
      </c>
      <c r="K219">
        <v>9</v>
      </c>
      <c r="L219">
        <v>39</v>
      </c>
      <c r="M219">
        <v>113</v>
      </c>
      <c r="N219">
        <v>82</v>
      </c>
      <c r="O219">
        <v>341</v>
      </c>
    </row>
    <row r="220" spans="1:15" x14ac:dyDescent="0.2">
      <c r="A220" t="s">
        <v>89</v>
      </c>
      <c r="B220" t="s">
        <v>45</v>
      </c>
      <c r="C220" t="s">
        <v>17</v>
      </c>
      <c r="D220" t="s">
        <v>75</v>
      </c>
      <c r="E220" t="s">
        <v>177</v>
      </c>
      <c r="F220">
        <v>3</v>
      </c>
      <c r="G220" t="s">
        <v>126</v>
      </c>
      <c r="H220" t="s">
        <v>23</v>
      </c>
      <c r="I220">
        <v>4</v>
      </c>
      <c r="J220">
        <v>43</v>
      </c>
      <c r="K220">
        <v>40</v>
      </c>
      <c r="L220">
        <v>39</v>
      </c>
      <c r="M220">
        <v>113</v>
      </c>
      <c r="N220">
        <v>82</v>
      </c>
      <c r="O220">
        <v>341</v>
      </c>
    </row>
    <row r="221" spans="1:15" x14ac:dyDescent="0.2">
      <c r="A221" t="s">
        <v>89</v>
      </c>
      <c r="B221" t="s">
        <v>45</v>
      </c>
      <c r="C221" t="s">
        <v>17</v>
      </c>
      <c r="D221" t="s">
        <v>75</v>
      </c>
      <c r="E221" t="s">
        <v>177</v>
      </c>
      <c r="F221">
        <v>3</v>
      </c>
      <c r="G221" t="s">
        <v>126</v>
      </c>
      <c r="H221" t="s">
        <v>24</v>
      </c>
      <c r="I221">
        <v>0</v>
      </c>
      <c r="J221">
        <v>0</v>
      </c>
      <c r="K221">
        <v>0</v>
      </c>
      <c r="L221">
        <v>39</v>
      </c>
      <c r="M221">
        <v>113</v>
      </c>
      <c r="N221">
        <v>82</v>
      </c>
      <c r="O221">
        <v>341</v>
      </c>
    </row>
    <row r="222" spans="1:15" x14ac:dyDescent="0.2">
      <c r="A222" t="s">
        <v>125</v>
      </c>
      <c r="B222" t="s">
        <v>45</v>
      </c>
      <c r="C222" t="s">
        <v>17</v>
      </c>
      <c r="D222" t="s">
        <v>75</v>
      </c>
      <c r="E222" t="s">
        <v>118</v>
      </c>
      <c r="F222">
        <v>3</v>
      </c>
      <c r="G222" t="s">
        <v>19</v>
      </c>
      <c r="H222" t="s">
        <v>20</v>
      </c>
      <c r="I222">
        <v>18</v>
      </c>
      <c r="J222">
        <v>19</v>
      </c>
      <c r="K222">
        <v>0</v>
      </c>
      <c r="L222">
        <v>38</v>
      </c>
      <c r="M222">
        <v>40</v>
      </c>
      <c r="N222">
        <v>0</v>
      </c>
      <c r="O222">
        <v>145</v>
      </c>
    </row>
    <row r="223" spans="1:15" x14ac:dyDescent="0.2">
      <c r="A223" t="s">
        <v>125</v>
      </c>
      <c r="B223" t="s">
        <v>45</v>
      </c>
      <c r="C223" t="s">
        <v>17</v>
      </c>
      <c r="D223" t="s">
        <v>75</v>
      </c>
      <c r="E223" t="s">
        <v>118</v>
      </c>
      <c r="F223">
        <v>3</v>
      </c>
      <c r="G223" t="s">
        <v>19</v>
      </c>
      <c r="H223" t="s">
        <v>21</v>
      </c>
      <c r="I223">
        <v>10</v>
      </c>
      <c r="J223">
        <v>8</v>
      </c>
      <c r="K223">
        <v>0</v>
      </c>
      <c r="L223">
        <v>38</v>
      </c>
      <c r="M223">
        <v>40</v>
      </c>
      <c r="N223">
        <v>0</v>
      </c>
      <c r="O223">
        <v>145</v>
      </c>
    </row>
    <row r="224" spans="1:15" x14ac:dyDescent="0.2">
      <c r="A224" t="s">
        <v>125</v>
      </c>
      <c r="B224" t="s">
        <v>45</v>
      </c>
      <c r="C224" t="s">
        <v>17</v>
      </c>
      <c r="D224" t="s">
        <v>75</v>
      </c>
      <c r="E224" t="s">
        <v>118</v>
      </c>
      <c r="F224">
        <v>3</v>
      </c>
      <c r="G224" t="s">
        <v>19</v>
      </c>
      <c r="H224" t="s">
        <v>22</v>
      </c>
      <c r="I224">
        <v>3</v>
      </c>
      <c r="J224">
        <v>3</v>
      </c>
      <c r="K224">
        <v>0</v>
      </c>
      <c r="L224">
        <v>38</v>
      </c>
      <c r="M224">
        <v>40</v>
      </c>
      <c r="N224">
        <v>0</v>
      </c>
      <c r="O224">
        <v>145</v>
      </c>
    </row>
    <row r="225" spans="1:15" x14ac:dyDescent="0.2">
      <c r="A225" t="s">
        <v>125</v>
      </c>
      <c r="B225" t="s">
        <v>45</v>
      </c>
      <c r="C225" t="s">
        <v>17</v>
      </c>
      <c r="D225" t="s">
        <v>75</v>
      </c>
      <c r="E225" t="s">
        <v>118</v>
      </c>
      <c r="F225">
        <v>3</v>
      </c>
      <c r="G225" t="s">
        <v>19</v>
      </c>
      <c r="H225" t="s">
        <v>23</v>
      </c>
      <c r="I225">
        <v>7</v>
      </c>
      <c r="J225">
        <v>10</v>
      </c>
      <c r="K225">
        <v>0</v>
      </c>
      <c r="L225">
        <v>38</v>
      </c>
      <c r="M225">
        <v>40</v>
      </c>
      <c r="N225">
        <v>0</v>
      </c>
      <c r="O225">
        <v>145</v>
      </c>
    </row>
    <row r="226" spans="1:15" x14ac:dyDescent="0.2">
      <c r="A226" t="s">
        <v>125</v>
      </c>
      <c r="B226" t="s">
        <v>45</v>
      </c>
      <c r="C226" t="s">
        <v>17</v>
      </c>
      <c r="D226" t="s">
        <v>75</v>
      </c>
      <c r="E226" t="s">
        <v>118</v>
      </c>
      <c r="F226">
        <v>3</v>
      </c>
      <c r="G226" t="s">
        <v>19</v>
      </c>
      <c r="H226" t="s">
        <v>24</v>
      </c>
      <c r="I226">
        <v>0</v>
      </c>
      <c r="J226">
        <v>0</v>
      </c>
      <c r="K226">
        <v>0</v>
      </c>
      <c r="L226">
        <v>38</v>
      </c>
      <c r="M226">
        <v>40</v>
      </c>
      <c r="N226">
        <v>0</v>
      </c>
      <c r="O226">
        <v>145</v>
      </c>
    </row>
    <row r="227" spans="1:15" x14ac:dyDescent="0.2">
      <c r="A227" t="s">
        <v>125</v>
      </c>
      <c r="B227" t="s">
        <v>45</v>
      </c>
      <c r="C227" t="s">
        <v>17</v>
      </c>
      <c r="D227" t="s">
        <v>75</v>
      </c>
      <c r="E227" t="s">
        <v>176</v>
      </c>
      <c r="F227">
        <v>3</v>
      </c>
      <c r="G227" t="s">
        <v>130</v>
      </c>
      <c r="H227" t="s">
        <v>20</v>
      </c>
      <c r="I227">
        <v>13</v>
      </c>
      <c r="J227">
        <v>18</v>
      </c>
      <c r="K227">
        <v>12</v>
      </c>
      <c r="L227">
        <v>25</v>
      </c>
      <c r="M227">
        <v>83</v>
      </c>
      <c r="N227">
        <v>67</v>
      </c>
      <c r="O227">
        <v>89</v>
      </c>
    </row>
    <row r="228" spans="1:15" x14ac:dyDescent="0.2">
      <c r="A228" t="s">
        <v>125</v>
      </c>
      <c r="B228" t="s">
        <v>45</v>
      </c>
      <c r="C228" t="s">
        <v>17</v>
      </c>
      <c r="D228" t="s">
        <v>75</v>
      </c>
      <c r="E228" t="s">
        <v>176</v>
      </c>
      <c r="F228">
        <v>3</v>
      </c>
      <c r="G228" t="s">
        <v>130</v>
      </c>
      <c r="H228" t="s">
        <v>21</v>
      </c>
      <c r="I228">
        <v>8</v>
      </c>
      <c r="J228">
        <v>44</v>
      </c>
      <c r="K228">
        <v>42</v>
      </c>
      <c r="L228">
        <v>25</v>
      </c>
      <c r="M228">
        <v>83</v>
      </c>
      <c r="N228">
        <v>67</v>
      </c>
      <c r="O228">
        <v>89</v>
      </c>
    </row>
    <row r="229" spans="1:15" x14ac:dyDescent="0.2">
      <c r="A229" t="s">
        <v>125</v>
      </c>
      <c r="B229" t="s">
        <v>45</v>
      </c>
      <c r="C229" t="s">
        <v>17</v>
      </c>
      <c r="D229" t="s">
        <v>75</v>
      </c>
      <c r="E229" t="s">
        <v>176</v>
      </c>
      <c r="F229">
        <v>3</v>
      </c>
      <c r="G229" t="s">
        <v>130</v>
      </c>
      <c r="H229" t="s">
        <v>22</v>
      </c>
      <c r="I229">
        <v>2</v>
      </c>
      <c r="J229">
        <v>17</v>
      </c>
      <c r="K229">
        <v>10</v>
      </c>
      <c r="L229">
        <v>25</v>
      </c>
      <c r="M229">
        <v>83</v>
      </c>
      <c r="N229">
        <v>67</v>
      </c>
      <c r="O229">
        <v>89</v>
      </c>
    </row>
    <row r="230" spans="1:15" x14ac:dyDescent="0.2">
      <c r="A230" t="s">
        <v>125</v>
      </c>
      <c r="B230" t="s">
        <v>45</v>
      </c>
      <c r="C230" t="s">
        <v>17</v>
      </c>
      <c r="D230" t="s">
        <v>75</v>
      </c>
      <c r="E230" t="s">
        <v>176</v>
      </c>
      <c r="F230">
        <v>3</v>
      </c>
      <c r="G230" t="s">
        <v>130</v>
      </c>
      <c r="H230" t="s">
        <v>23</v>
      </c>
      <c r="I230">
        <v>2</v>
      </c>
      <c r="J230">
        <v>4</v>
      </c>
      <c r="K230">
        <v>3</v>
      </c>
      <c r="L230">
        <v>25</v>
      </c>
      <c r="M230">
        <v>83</v>
      </c>
      <c r="N230">
        <v>67</v>
      </c>
      <c r="O230">
        <v>89</v>
      </c>
    </row>
    <row r="231" spans="1:15" x14ac:dyDescent="0.2">
      <c r="A231" t="s">
        <v>125</v>
      </c>
      <c r="B231" t="s">
        <v>45</v>
      </c>
      <c r="C231" t="s">
        <v>17</v>
      </c>
      <c r="D231" t="s">
        <v>75</v>
      </c>
      <c r="E231" t="s">
        <v>176</v>
      </c>
      <c r="F231">
        <v>3</v>
      </c>
      <c r="G231" t="s">
        <v>130</v>
      </c>
      <c r="H231" t="s">
        <v>24</v>
      </c>
      <c r="I231">
        <v>0</v>
      </c>
      <c r="J231">
        <v>0</v>
      </c>
      <c r="K231">
        <v>0</v>
      </c>
      <c r="L231">
        <v>25</v>
      </c>
      <c r="M231">
        <v>83</v>
      </c>
      <c r="N231">
        <v>67</v>
      </c>
      <c r="O231">
        <v>89</v>
      </c>
    </row>
    <row r="232" spans="1:15" x14ac:dyDescent="0.2">
      <c r="A232" t="s">
        <v>125</v>
      </c>
      <c r="B232" t="s">
        <v>45</v>
      </c>
      <c r="C232" t="s">
        <v>17</v>
      </c>
      <c r="D232" t="s">
        <v>75</v>
      </c>
      <c r="E232" t="s">
        <v>175</v>
      </c>
      <c r="F232">
        <v>3</v>
      </c>
      <c r="G232" t="s">
        <v>128</v>
      </c>
      <c r="H232" t="s">
        <v>20</v>
      </c>
      <c r="I232">
        <v>5</v>
      </c>
      <c r="J232">
        <v>25</v>
      </c>
      <c r="K232">
        <v>14</v>
      </c>
      <c r="L232">
        <v>10</v>
      </c>
      <c r="M232">
        <v>78</v>
      </c>
      <c r="N232">
        <v>51</v>
      </c>
      <c r="O232">
        <v>89</v>
      </c>
    </row>
    <row r="233" spans="1:15" x14ac:dyDescent="0.2">
      <c r="A233" t="s">
        <v>125</v>
      </c>
      <c r="B233" t="s">
        <v>45</v>
      </c>
      <c r="C233" t="s">
        <v>17</v>
      </c>
      <c r="D233" t="s">
        <v>75</v>
      </c>
      <c r="E233" t="s">
        <v>175</v>
      </c>
      <c r="F233">
        <v>3</v>
      </c>
      <c r="G233" t="s">
        <v>128</v>
      </c>
      <c r="H233" t="s">
        <v>21</v>
      </c>
      <c r="I233">
        <v>2</v>
      </c>
      <c r="J233">
        <v>26</v>
      </c>
      <c r="K233">
        <v>18</v>
      </c>
      <c r="L233">
        <v>10</v>
      </c>
      <c r="M233">
        <v>78</v>
      </c>
      <c r="N233">
        <v>51</v>
      </c>
      <c r="O233">
        <v>89</v>
      </c>
    </row>
    <row r="234" spans="1:15" x14ac:dyDescent="0.2">
      <c r="A234" t="s">
        <v>125</v>
      </c>
      <c r="B234" t="s">
        <v>45</v>
      </c>
      <c r="C234" t="s">
        <v>17</v>
      </c>
      <c r="D234" t="s">
        <v>75</v>
      </c>
      <c r="E234" t="s">
        <v>175</v>
      </c>
      <c r="F234">
        <v>3</v>
      </c>
      <c r="G234" t="s">
        <v>128</v>
      </c>
      <c r="H234" t="s">
        <v>22</v>
      </c>
      <c r="I234">
        <v>0</v>
      </c>
      <c r="J234">
        <v>12</v>
      </c>
      <c r="K234">
        <v>7</v>
      </c>
      <c r="L234">
        <v>10</v>
      </c>
      <c r="M234">
        <v>78</v>
      </c>
      <c r="N234">
        <v>51</v>
      </c>
      <c r="O234">
        <v>89</v>
      </c>
    </row>
    <row r="235" spans="1:15" x14ac:dyDescent="0.2">
      <c r="A235" t="s">
        <v>125</v>
      </c>
      <c r="B235" t="s">
        <v>45</v>
      </c>
      <c r="C235" t="s">
        <v>17</v>
      </c>
      <c r="D235" t="s">
        <v>75</v>
      </c>
      <c r="E235" t="s">
        <v>175</v>
      </c>
      <c r="F235">
        <v>3</v>
      </c>
      <c r="G235" t="s">
        <v>128</v>
      </c>
      <c r="H235" t="s">
        <v>23</v>
      </c>
      <c r="I235">
        <v>3</v>
      </c>
      <c r="J235">
        <v>15</v>
      </c>
      <c r="K235">
        <v>12</v>
      </c>
      <c r="L235">
        <v>10</v>
      </c>
      <c r="M235">
        <v>78</v>
      </c>
      <c r="N235">
        <v>51</v>
      </c>
      <c r="O235">
        <v>89</v>
      </c>
    </row>
    <row r="236" spans="1:15" x14ac:dyDescent="0.2">
      <c r="A236" t="s">
        <v>125</v>
      </c>
      <c r="B236" t="s">
        <v>45</v>
      </c>
      <c r="C236" t="s">
        <v>17</v>
      </c>
      <c r="D236" t="s">
        <v>75</v>
      </c>
      <c r="E236" t="s">
        <v>175</v>
      </c>
      <c r="F236">
        <v>3</v>
      </c>
      <c r="G236" t="s">
        <v>128</v>
      </c>
      <c r="H236" t="s">
        <v>24</v>
      </c>
      <c r="I236">
        <v>0</v>
      </c>
      <c r="J236">
        <v>0</v>
      </c>
      <c r="K236">
        <v>0</v>
      </c>
      <c r="L236">
        <v>10</v>
      </c>
      <c r="M236">
        <v>78</v>
      </c>
      <c r="N236">
        <v>51</v>
      </c>
      <c r="O236">
        <v>89</v>
      </c>
    </row>
    <row r="237" spans="1:15" x14ac:dyDescent="0.2">
      <c r="A237" t="s">
        <v>125</v>
      </c>
      <c r="B237" t="s">
        <v>45</v>
      </c>
      <c r="C237" t="s">
        <v>17</v>
      </c>
      <c r="D237" t="s">
        <v>75</v>
      </c>
      <c r="E237" t="s">
        <v>174</v>
      </c>
      <c r="F237">
        <v>3</v>
      </c>
      <c r="G237" t="s">
        <v>126</v>
      </c>
      <c r="H237" t="s">
        <v>20</v>
      </c>
      <c r="I237">
        <v>5</v>
      </c>
      <c r="J237">
        <v>11</v>
      </c>
      <c r="K237">
        <v>2</v>
      </c>
      <c r="L237">
        <v>17</v>
      </c>
      <c r="M237">
        <v>82</v>
      </c>
      <c r="N237">
        <v>52</v>
      </c>
      <c r="O237">
        <v>85</v>
      </c>
    </row>
    <row r="238" spans="1:15" x14ac:dyDescent="0.2">
      <c r="A238" t="s">
        <v>125</v>
      </c>
      <c r="B238" t="s">
        <v>45</v>
      </c>
      <c r="C238" t="s">
        <v>17</v>
      </c>
      <c r="D238" t="s">
        <v>75</v>
      </c>
      <c r="E238" t="s">
        <v>174</v>
      </c>
      <c r="F238">
        <v>3</v>
      </c>
      <c r="G238" t="s">
        <v>126</v>
      </c>
      <c r="H238" t="s">
        <v>21</v>
      </c>
      <c r="I238">
        <v>8</v>
      </c>
      <c r="J238">
        <v>29</v>
      </c>
      <c r="K238">
        <v>16</v>
      </c>
      <c r="L238">
        <v>17</v>
      </c>
      <c r="M238">
        <v>82</v>
      </c>
      <c r="N238">
        <v>52</v>
      </c>
      <c r="O238">
        <v>85</v>
      </c>
    </row>
    <row r="239" spans="1:15" x14ac:dyDescent="0.2">
      <c r="A239" t="s">
        <v>125</v>
      </c>
      <c r="B239" t="s">
        <v>45</v>
      </c>
      <c r="C239" t="s">
        <v>17</v>
      </c>
      <c r="D239" t="s">
        <v>75</v>
      </c>
      <c r="E239" t="s">
        <v>174</v>
      </c>
      <c r="F239">
        <v>3</v>
      </c>
      <c r="G239" t="s">
        <v>126</v>
      </c>
      <c r="H239" t="s">
        <v>22</v>
      </c>
      <c r="I239">
        <v>2</v>
      </c>
      <c r="J239">
        <v>6</v>
      </c>
      <c r="K239">
        <v>3</v>
      </c>
      <c r="L239">
        <v>17</v>
      </c>
      <c r="M239">
        <v>82</v>
      </c>
      <c r="N239">
        <v>52</v>
      </c>
      <c r="O239">
        <v>85</v>
      </c>
    </row>
    <row r="240" spans="1:15" x14ac:dyDescent="0.2">
      <c r="A240" t="s">
        <v>125</v>
      </c>
      <c r="B240" t="s">
        <v>45</v>
      </c>
      <c r="C240" t="s">
        <v>17</v>
      </c>
      <c r="D240" t="s">
        <v>75</v>
      </c>
      <c r="E240" t="s">
        <v>174</v>
      </c>
      <c r="F240">
        <v>3</v>
      </c>
      <c r="G240" t="s">
        <v>126</v>
      </c>
      <c r="H240" t="s">
        <v>23</v>
      </c>
      <c r="I240">
        <v>2</v>
      </c>
      <c r="J240">
        <v>36</v>
      </c>
      <c r="K240">
        <v>31</v>
      </c>
      <c r="L240">
        <v>17</v>
      </c>
      <c r="M240">
        <v>82</v>
      </c>
      <c r="N240">
        <v>52</v>
      </c>
      <c r="O240">
        <v>85</v>
      </c>
    </row>
    <row r="241" spans="1:15" x14ac:dyDescent="0.2">
      <c r="A241" t="s">
        <v>125</v>
      </c>
      <c r="B241" t="s">
        <v>45</v>
      </c>
      <c r="C241" t="s">
        <v>17</v>
      </c>
      <c r="D241" t="s">
        <v>75</v>
      </c>
      <c r="E241" t="s">
        <v>174</v>
      </c>
      <c r="F241">
        <v>3</v>
      </c>
      <c r="G241" t="s">
        <v>126</v>
      </c>
      <c r="H241" t="s">
        <v>24</v>
      </c>
      <c r="I241">
        <v>0</v>
      </c>
      <c r="J241">
        <v>0</v>
      </c>
      <c r="K241">
        <v>0</v>
      </c>
      <c r="L241">
        <v>17</v>
      </c>
      <c r="M241">
        <v>82</v>
      </c>
      <c r="N241">
        <v>52</v>
      </c>
      <c r="O241">
        <v>85</v>
      </c>
    </row>
    <row r="242" spans="1:15" x14ac:dyDescent="0.2">
      <c r="A242" t="s">
        <v>103</v>
      </c>
      <c r="B242" t="s">
        <v>16</v>
      </c>
      <c r="C242" t="s">
        <v>17</v>
      </c>
      <c r="D242" t="s">
        <v>75</v>
      </c>
      <c r="E242" t="s">
        <v>106</v>
      </c>
      <c r="F242">
        <v>3</v>
      </c>
      <c r="G242" t="s">
        <v>19</v>
      </c>
      <c r="H242" t="s">
        <v>20</v>
      </c>
      <c r="I242">
        <v>212</v>
      </c>
      <c r="J242">
        <v>85</v>
      </c>
      <c r="K242">
        <v>0</v>
      </c>
      <c r="L242">
        <v>261</v>
      </c>
      <c r="M242">
        <v>98</v>
      </c>
      <c r="N242">
        <v>0</v>
      </c>
      <c r="O242">
        <v>997</v>
      </c>
    </row>
    <row r="243" spans="1:15" x14ac:dyDescent="0.2">
      <c r="A243" t="s">
        <v>103</v>
      </c>
      <c r="B243" t="s">
        <v>16</v>
      </c>
      <c r="C243" t="s">
        <v>17</v>
      </c>
      <c r="D243" t="s">
        <v>75</v>
      </c>
      <c r="E243" t="s">
        <v>106</v>
      </c>
      <c r="F243">
        <v>3</v>
      </c>
      <c r="G243" t="s">
        <v>19</v>
      </c>
      <c r="H243" t="s">
        <v>21</v>
      </c>
      <c r="I243">
        <v>17</v>
      </c>
      <c r="J243">
        <v>9</v>
      </c>
      <c r="K243">
        <v>0</v>
      </c>
      <c r="L243">
        <v>261</v>
      </c>
      <c r="M243">
        <v>98</v>
      </c>
      <c r="N243">
        <v>0</v>
      </c>
      <c r="O243">
        <v>997</v>
      </c>
    </row>
    <row r="244" spans="1:15" x14ac:dyDescent="0.2">
      <c r="A244" t="s">
        <v>103</v>
      </c>
      <c r="B244" t="s">
        <v>16</v>
      </c>
      <c r="C244" t="s">
        <v>17</v>
      </c>
      <c r="D244" t="s">
        <v>75</v>
      </c>
      <c r="E244" t="s">
        <v>106</v>
      </c>
      <c r="F244">
        <v>3</v>
      </c>
      <c r="G244" t="s">
        <v>19</v>
      </c>
      <c r="H244" t="s">
        <v>22</v>
      </c>
      <c r="I244">
        <v>2</v>
      </c>
      <c r="J244">
        <v>0</v>
      </c>
      <c r="K244">
        <v>0</v>
      </c>
      <c r="L244">
        <v>261</v>
      </c>
      <c r="M244">
        <v>98</v>
      </c>
      <c r="N244">
        <v>0</v>
      </c>
      <c r="O244">
        <v>997</v>
      </c>
    </row>
    <row r="245" spans="1:15" x14ac:dyDescent="0.2">
      <c r="A245" t="s">
        <v>103</v>
      </c>
      <c r="B245" t="s">
        <v>16</v>
      </c>
      <c r="C245" t="s">
        <v>17</v>
      </c>
      <c r="D245" t="s">
        <v>75</v>
      </c>
      <c r="E245" t="s">
        <v>106</v>
      </c>
      <c r="F245">
        <v>3</v>
      </c>
      <c r="G245" t="s">
        <v>19</v>
      </c>
      <c r="H245" t="s">
        <v>23</v>
      </c>
      <c r="I245">
        <v>30</v>
      </c>
      <c r="J245">
        <v>4</v>
      </c>
      <c r="K245">
        <v>0</v>
      </c>
      <c r="L245">
        <v>261</v>
      </c>
      <c r="M245">
        <v>98</v>
      </c>
      <c r="N245">
        <v>0</v>
      </c>
      <c r="O245">
        <v>997</v>
      </c>
    </row>
    <row r="246" spans="1:15" x14ac:dyDescent="0.2">
      <c r="A246" t="s">
        <v>103</v>
      </c>
      <c r="B246" t="s">
        <v>16</v>
      </c>
      <c r="C246" t="s">
        <v>17</v>
      </c>
      <c r="D246" t="s">
        <v>75</v>
      </c>
      <c r="E246" t="s">
        <v>106</v>
      </c>
      <c r="F246">
        <v>3</v>
      </c>
      <c r="G246" t="s">
        <v>19</v>
      </c>
      <c r="H246" t="s">
        <v>24</v>
      </c>
      <c r="I246">
        <v>0</v>
      </c>
      <c r="J246">
        <v>0</v>
      </c>
      <c r="K246">
        <v>0</v>
      </c>
      <c r="L246">
        <v>261</v>
      </c>
      <c r="M246">
        <v>98</v>
      </c>
      <c r="N246">
        <v>0</v>
      </c>
      <c r="O246">
        <v>997</v>
      </c>
    </row>
    <row r="247" spans="1:15" x14ac:dyDescent="0.2">
      <c r="A247" t="s">
        <v>103</v>
      </c>
      <c r="B247" t="s">
        <v>16</v>
      </c>
      <c r="C247" t="s">
        <v>17</v>
      </c>
      <c r="D247" t="s">
        <v>75</v>
      </c>
      <c r="E247" t="s">
        <v>105</v>
      </c>
      <c r="F247">
        <v>3</v>
      </c>
      <c r="G247" t="s">
        <v>79</v>
      </c>
      <c r="H247" t="s">
        <v>20</v>
      </c>
      <c r="I247">
        <v>123</v>
      </c>
      <c r="J247">
        <v>55</v>
      </c>
      <c r="K247">
        <v>34</v>
      </c>
      <c r="L247">
        <v>137</v>
      </c>
      <c r="M247">
        <v>69</v>
      </c>
      <c r="N247">
        <v>45</v>
      </c>
      <c r="O247">
        <v>938</v>
      </c>
    </row>
    <row r="248" spans="1:15" x14ac:dyDescent="0.2">
      <c r="A248" t="s">
        <v>103</v>
      </c>
      <c r="B248" t="s">
        <v>16</v>
      </c>
      <c r="C248" t="s">
        <v>17</v>
      </c>
      <c r="D248" t="s">
        <v>75</v>
      </c>
      <c r="E248" t="s">
        <v>105</v>
      </c>
      <c r="F248">
        <v>3</v>
      </c>
      <c r="G248" t="s">
        <v>79</v>
      </c>
      <c r="H248" t="s">
        <v>21</v>
      </c>
      <c r="I248">
        <v>6</v>
      </c>
      <c r="J248">
        <v>13</v>
      </c>
      <c r="K248">
        <v>10</v>
      </c>
      <c r="L248">
        <v>137</v>
      </c>
      <c r="M248">
        <v>69</v>
      </c>
      <c r="N248">
        <v>45</v>
      </c>
      <c r="O248">
        <v>938</v>
      </c>
    </row>
    <row r="249" spans="1:15" x14ac:dyDescent="0.2">
      <c r="A249" t="s">
        <v>103</v>
      </c>
      <c r="B249" t="s">
        <v>16</v>
      </c>
      <c r="C249" t="s">
        <v>17</v>
      </c>
      <c r="D249" t="s">
        <v>75</v>
      </c>
      <c r="E249" t="s">
        <v>105</v>
      </c>
      <c r="F249">
        <v>3</v>
      </c>
      <c r="G249" t="s">
        <v>79</v>
      </c>
      <c r="H249" t="s">
        <v>22</v>
      </c>
      <c r="I249">
        <v>1</v>
      </c>
      <c r="J249">
        <v>0</v>
      </c>
      <c r="K249">
        <v>0</v>
      </c>
      <c r="L249">
        <v>137</v>
      </c>
      <c r="M249">
        <v>69</v>
      </c>
      <c r="N249">
        <v>45</v>
      </c>
      <c r="O249">
        <v>938</v>
      </c>
    </row>
    <row r="250" spans="1:15" x14ac:dyDescent="0.2">
      <c r="A250" t="s">
        <v>103</v>
      </c>
      <c r="B250" t="s">
        <v>16</v>
      </c>
      <c r="C250" t="s">
        <v>17</v>
      </c>
      <c r="D250" t="s">
        <v>75</v>
      </c>
      <c r="E250" t="s">
        <v>105</v>
      </c>
      <c r="F250">
        <v>3</v>
      </c>
      <c r="G250" t="s">
        <v>79</v>
      </c>
      <c r="H250" t="s">
        <v>23</v>
      </c>
      <c r="I250">
        <v>7</v>
      </c>
      <c r="J250">
        <v>1</v>
      </c>
      <c r="K250">
        <v>1</v>
      </c>
      <c r="L250">
        <v>137</v>
      </c>
      <c r="M250">
        <v>69</v>
      </c>
      <c r="N250">
        <v>45</v>
      </c>
      <c r="O250">
        <v>938</v>
      </c>
    </row>
    <row r="251" spans="1:15" x14ac:dyDescent="0.2">
      <c r="A251" t="s">
        <v>103</v>
      </c>
      <c r="B251" t="s">
        <v>16</v>
      </c>
      <c r="C251" t="s">
        <v>17</v>
      </c>
      <c r="D251" t="s">
        <v>75</v>
      </c>
      <c r="E251" t="s">
        <v>105</v>
      </c>
      <c r="F251">
        <v>3</v>
      </c>
      <c r="G251" t="s">
        <v>79</v>
      </c>
      <c r="H251" t="s">
        <v>24</v>
      </c>
      <c r="I251">
        <v>0</v>
      </c>
      <c r="J251">
        <v>0</v>
      </c>
      <c r="K251">
        <v>0</v>
      </c>
      <c r="L251">
        <v>137</v>
      </c>
      <c r="M251">
        <v>69</v>
      </c>
      <c r="N251">
        <v>45</v>
      </c>
      <c r="O251">
        <v>938</v>
      </c>
    </row>
    <row r="252" spans="1:15" x14ac:dyDescent="0.2">
      <c r="A252" t="s">
        <v>103</v>
      </c>
      <c r="B252" t="s">
        <v>16</v>
      </c>
      <c r="C252" t="s">
        <v>17</v>
      </c>
      <c r="D252" t="s">
        <v>75</v>
      </c>
      <c r="E252" t="s">
        <v>104</v>
      </c>
      <c r="F252">
        <v>3</v>
      </c>
      <c r="G252" t="s">
        <v>77</v>
      </c>
      <c r="H252" t="s">
        <v>20</v>
      </c>
      <c r="I252">
        <v>110</v>
      </c>
      <c r="J252">
        <v>41</v>
      </c>
      <c r="K252">
        <v>32</v>
      </c>
      <c r="L252">
        <v>130</v>
      </c>
      <c r="M252">
        <v>56</v>
      </c>
      <c r="N252">
        <v>43</v>
      </c>
      <c r="O252">
        <v>936</v>
      </c>
    </row>
    <row r="253" spans="1:15" x14ac:dyDescent="0.2">
      <c r="A253" t="s">
        <v>103</v>
      </c>
      <c r="B253" t="s">
        <v>16</v>
      </c>
      <c r="C253" t="s">
        <v>17</v>
      </c>
      <c r="D253" t="s">
        <v>75</v>
      </c>
      <c r="E253" t="s">
        <v>104</v>
      </c>
      <c r="F253">
        <v>3</v>
      </c>
      <c r="G253" t="s">
        <v>77</v>
      </c>
      <c r="H253" t="s">
        <v>21</v>
      </c>
      <c r="I253">
        <v>8</v>
      </c>
      <c r="J253">
        <v>6</v>
      </c>
      <c r="K253">
        <v>4</v>
      </c>
      <c r="L253">
        <v>130</v>
      </c>
      <c r="M253">
        <v>56</v>
      </c>
      <c r="N253">
        <v>43</v>
      </c>
      <c r="O253">
        <v>936</v>
      </c>
    </row>
    <row r="254" spans="1:15" x14ac:dyDescent="0.2">
      <c r="A254" t="s">
        <v>103</v>
      </c>
      <c r="B254" t="s">
        <v>16</v>
      </c>
      <c r="C254" t="s">
        <v>17</v>
      </c>
      <c r="D254" t="s">
        <v>75</v>
      </c>
      <c r="E254" t="s">
        <v>104</v>
      </c>
      <c r="F254">
        <v>3</v>
      </c>
      <c r="G254" t="s">
        <v>77</v>
      </c>
      <c r="H254" t="s">
        <v>22</v>
      </c>
      <c r="I254">
        <v>3</v>
      </c>
      <c r="J254">
        <v>6</v>
      </c>
      <c r="K254">
        <v>5</v>
      </c>
      <c r="L254">
        <v>130</v>
      </c>
      <c r="M254">
        <v>56</v>
      </c>
      <c r="N254">
        <v>43</v>
      </c>
      <c r="O254">
        <v>936</v>
      </c>
    </row>
    <row r="255" spans="1:15" x14ac:dyDescent="0.2">
      <c r="A255" t="s">
        <v>103</v>
      </c>
      <c r="B255" t="s">
        <v>16</v>
      </c>
      <c r="C255" t="s">
        <v>17</v>
      </c>
      <c r="D255" t="s">
        <v>75</v>
      </c>
      <c r="E255" t="s">
        <v>104</v>
      </c>
      <c r="F255">
        <v>3</v>
      </c>
      <c r="G255" t="s">
        <v>77</v>
      </c>
      <c r="H255" t="s">
        <v>23</v>
      </c>
      <c r="I255">
        <v>9</v>
      </c>
      <c r="J255">
        <v>3</v>
      </c>
      <c r="K255">
        <v>2</v>
      </c>
      <c r="L255">
        <v>130</v>
      </c>
      <c r="M255">
        <v>56</v>
      </c>
      <c r="N255">
        <v>43</v>
      </c>
      <c r="O255">
        <v>936</v>
      </c>
    </row>
    <row r="256" spans="1:15" x14ac:dyDescent="0.2">
      <c r="A256" t="s">
        <v>103</v>
      </c>
      <c r="B256" t="s">
        <v>16</v>
      </c>
      <c r="C256" t="s">
        <v>17</v>
      </c>
      <c r="D256" t="s">
        <v>75</v>
      </c>
      <c r="E256" t="s">
        <v>104</v>
      </c>
      <c r="F256">
        <v>3</v>
      </c>
      <c r="G256" t="s">
        <v>77</v>
      </c>
      <c r="H256" t="s">
        <v>24</v>
      </c>
      <c r="I256">
        <v>0</v>
      </c>
      <c r="J256">
        <v>0</v>
      </c>
      <c r="K256">
        <v>0</v>
      </c>
      <c r="L256">
        <v>130</v>
      </c>
      <c r="M256">
        <v>56</v>
      </c>
      <c r="N256">
        <v>43</v>
      </c>
      <c r="O256">
        <v>936</v>
      </c>
    </row>
    <row r="257" spans="1:15" x14ac:dyDescent="0.2">
      <c r="A257" t="s">
        <v>103</v>
      </c>
      <c r="B257" t="s">
        <v>16</v>
      </c>
      <c r="C257" t="s">
        <v>17</v>
      </c>
      <c r="D257" t="s">
        <v>75</v>
      </c>
      <c r="E257" t="s">
        <v>102</v>
      </c>
      <c r="F257">
        <v>3</v>
      </c>
      <c r="G257" t="s">
        <v>73</v>
      </c>
      <c r="H257" t="s">
        <v>20</v>
      </c>
      <c r="I257">
        <v>63</v>
      </c>
      <c r="J257">
        <v>12</v>
      </c>
      <c r="K257">
        <v>1</v>
      </c>
      <c r="L257">
        <v>99</v>
      </c>
      <c r="M257">
        <v>32</v>
      </c>
      <c r="N257">
        <v>15</v>
      </c>
      <c r="O257">
        <v>907</v>
      </c>
    </row>
    <row r="258" spans="1:15" x14ac:dyDescent="0.2">
      <c r="A258" t="s">
        <v>103</v>
      </c>
      <c r="B258" t="s">
        <v>16</v>
      </c>
      <c r="C258" t="s">
        <v>17</v>
      </c>
      <c r="D258" t="s">
        <v>75</v>
      </c>
      <c r="E258" t="s">
        <v>102</v>
      </c>
      <c r="F258">
        <v>3</v>
      </c>
      <c r="G258" t="s">
        <v>73</v>
      </c>
      <c r="H258" t="s">
        <v>21</v>
      </c>
      <c r="I258">
        <v>22</v>
      </c>
      <c r="J258">
        <v>15</v>
      </c>
      <c r="K258">
        <v>10</v>
      </c>
      <c r="L258">
        <v>99</v>
      </c>
      <c r="M258">
        <v>32</v>
      </c>
      <c r="N258">
        <v>15</v>
      </c>
      <c r="O258">
        <v>907</v>
      </c>
    </row>
    <row r="259" spans="1:15" x14ac:dyDescent="0.2">
      <c r="A259" t="s">
        <v>103</v>
      </c>
      <c r="B259" t="s">
        <v>16</v>
      </c>
      <c r="C259" t="s">
        <v>17</v>
      </c>
      <c r="D259" t="s">
        <v>75</v>
      </c>
      <c r="E259" t="s">
        <v>102</v>
      </c>
      <c r="F259">
        <v>3</v>
      </c>
      <c r="G259" t="s">
        <v>73</v>
      </c>
      <c r="H259" t="s">
        <v>22</v>
      </c>
      <c r="I259">
        <v>1</v>
      </c>
      <c r="J259">
        <v>2</v>
      </c>
      <c r="K259">
        <v>1</v>
      </c>
      <c r="L259">
        <v>99</v>
      </c>
      <c r="M259">
        <v>32</v>
      </c>
      <c r="N259">
        <v>15</v>
      </c>
      <c r="O259">
        <v>907</v>
      </c>
    </row>
    <row r="260" spans="1:15" x14ac:dyDescent="0.2">
      <c r="A260" t="s">
        <v>103</v>
      </c>
      <c r="B260" t="s">
        <v>16</v>
      </c>
      <c r="C260" t="s">
        <v>17</v>
      </c>
      <c r="D260" t="s">
        <v>75</v>
      </c>
      <c r="E260" t="s">
        <v>102</v>
      </c>
      <c r="F260">
        <v>3</v>
      </c>
      <c r="G260" t="s">
        <v>73</v>
      </c>
      <c r="H260" t="s">
        <v>23</v>
      </c>
      <c r="I260">
        <v>13</v>
      </c>
      <c r="J260">
        <v>3</v>
      </c>
      <c r="K260">
        <v>3</v>
      </c>
      <c r="L260">
        <v>99</v>
      </c>
      <c r="M260">
        <v>32</v>
      </c>
      <c r="N260">
        <v>15</v>
      </c>
      <c r="O260">
        <v>907</v>
      </c>
    </row>
    <row r="261" spans="1:15" x14ac:dyDescent="0.2">
      <c r="A261" t="s">
        <v>103</v>
      </c>
      <c r="B261" t="s">
        <v>16</v>
      </c>
      <c r="C261" t="s">
        <v>17</v>
      </c>
      <c r="D261" t="s">
        <v>75</v>
      </c>
      <c r="E261" t="s">
        <v>102</v>
      </c>
      <c r="F261">
        <v>3</v>
      </c>
      <c r="G261" t="s">
        <v>73</v>
      </c>
      <c r="H261" t="s">
        <v>24</v>
      </c>
      <c r="I261">
        <v>0</v>
      </c>
      <c r="J261">
        <v>0</v>
      </c>
      <c r="K261">
        <v>0</v>
      </c>
      <c r="L261">
        <v>99</v>
      </c>
      <c r="M261">
        <v>32</v>
      </c>
      <c r="N261">
        <v>15</v>
      </c>
      <c r="O261">
        <v>907</v>
      </c>
    </row>
    <row r="262" spans="1:15" x14ac:dyDescent="0.2">
      <c r="A262" t="s">
        <v>91</v>
      </c>
      <c r="B262" t="s">
        <v>16</v>
      </c>
      <c r="C262" t="s">
        <v>17</v>
      </c>
      <c r="D262" t="s">
        <v>75</v>
      </c>
      <c r="E262" t="s">
        <v>94</v>
      </c>
      <c r="F262">
        <v>3</v>
      </c>
      <c r="G262" t="s">
        <v>19</v>
      </c>
      <c r="H262" t="s">
        <v>20</v>
      </c>
      <c r="I262">
        <v>38</v>
      </c>
      <c r="J262">
        <v>15</v>
      </c>
      <c r="K262">
        <v>0</v>
      </c>
      <c r="L262">
        <v>46</v>
      </c>
      <c r="M262">
        <v>18</v>
      </c>
      <c r="N262">
        <v>0</v>
      </c>
      <c r="O262">
        <v>996</v>
      </c>
    </row>
    <row r="263" spans="1:15" x14ac:dyDescent="0.2">
      <c r="A263" t="s">
        <v>91</v>
      </c>
      <c r="B263" t="s">
        <v>16</v>
      </c>
      <c r="C263" t="s">
        <v>17</v>
      </c>
      <c r="D263" t="s">
        <v>75</v>
      </c>
      <c r="E263" t="s">
        <v>94</v>
      </c>
      <c r="F263">
        <v>3</v>
      </c>
      <c r="G263" t="s">
        <v>19</v>
      </c>
      <c r="H263" t="s">
        <v>21</v>
      </c>
      <c r="I263">
        <v>4</v>
      </c>
      <c r="J263">
        <v>0</v>
      </c>
      <c r="K263">
        <v>0</v>
      </c>
      <c r="L263">
        <v>46</v>
      </c>
      <c r="M263">
        <v>18</v>
      </c>
      <c r="N263">
        <v>0</v>
      </c>
      <c r="O263">
        <v>996</v>
      </c>
    </row>
    <row r="264" spans="1:15" x14ac:dyDescent="0.2">
      <c r="A264" t="s">
        <v>91</v>
      </c>
      <c r="B264" t="s">
        <v>16</v>
      </c>
      <c r="C264" t="s">
        <v>17</v>
      </c>
      <c r="D264" t="s">
        <v>75</v>
      </c>
      <c r="E264" t="s">
        <v>94</v>
      </c>
      <c r="F264">
        <v>3</v>
      </c>
      <c r="G264" t="s">
        <v>19</v>
      </c>
      <c r="H264" t="s">
        <v>22</v>
      </c>
      <c r="I264">
        <v>2</v>
      </c>
      <c r="J264">
        <v>0</v>
      </c>
      <c r="K264">
        <v>0</v>
      </c>
      <c r="L264">
        <v>46</v>
      </c>
      <c r="M264">
        <v>18</v>
      </c>
      <c r="N264">
        <v>0</v>
      </c>
      <c r="O264">
        <v>996</v>
      </c>
    </row>
    <row r="265" spans="1:15" x14ac:dyDescent="0.2">
      <c r="A265" t="s">
        <v>91</v>
      </c>
      <c r="B265" t="s">
        <v>16</v>
      </c>
      <c r="C265" t="s">
        <v>17</v>
      </c>
      <c r="D265" t="s">
        <v>75</v>
      </c>
      <c r="E265" t="s">
        <v>94</v>
      </c>
      <c r="F265">
        <v>3</v>
      </c>
      <c r="G265" t="s">
        <v>19</v>
      </c>
      <c r="H265" t="s">
        <v>23</v>
      </c>
      <c r="I265">
        <v>2</v>
      </c>
      <c r="J265">
        <v>3</v>
      </c>
      <c r="K265">
        <v>0</v>
      </c>
      <c r="L265">
        <v>46</v>
      </c>
      <c r="M265">
        <v>18</v>
      </c>
      <c r="N265">
        <v>0</v>
      </c>
      <c r="O265">
        <v>996</v>
      </c>
    </row>
    <row r="266" spans="1:15" x14ac:dyDescent="0.2">
      <c r="A266" t="s">
        <v>91</v>
      </c>
      <c r="B266" t="s">
        <v>16</v>
      </c>
      <c r="C266" t="s">
        <v>17</v>
      </c>
      <c r="D266" t="s">
        <v>75</v>
      </c>
      <c r="E266" t="s">
        <v>94</v>
      </c>
      <c r="F266">
        <v>3</v>
      </c>
      <c r="G266" t="s">
        <v>19</v>
      </c>
      <c r="H266" t="s">
        <v>24</v>
      </c>
      <c r="I266">
        <v>0</v>
      </c>
      <c r="J266">
        <v>0</v>
      </c>
      <c r="K266">
        <v>0</v>
      </c>
      <c r="L266">
        <v>46</v>
      </c>
      <c r="M266">
        <v>18</v>
      </c>
      <c r="N266">
        <v>0</v>
      </c>
      <c r="O266">
        <v>996</v>
      </c>
    </row>
    <row r="267" spans="1:15" x14ac:dyDescent="0.2">
      <c r="A267" t="s">
        <v>91</v>
      </c>
      <c r="B267" t="s">
        <v>16</v>
      </c>
      <c r="C267" t="s">
        <v>17</v>
      </c>
      <c r="D267" t="s">
        <v>75</v>
      </c>
      <c r="E267" t="s">
        <v>93</v>
      </c>
      <c r="F267">
        <v>3</v>
      </c>
      <c r="G267" t="s">
        <v>79</v>
      </c>
      <c r="H267" t="s">
        <v>20</v>
      </c>
      <c r="I267">
        <v>12</v>
      </c>
      <c r="J267">
        <v>19</v>
      </c>
      <c r="K267">
        <v>14</v>
      </c>
      <c r="L267">
        <v>20</v>
      </c>
      <c r="M267">
        <v>26</v>
      </c>
      <c r="N267">
        <v>20</v>
      </c>
      <c r="O267">
        <v>936</v>
      </c>
    </row>
    <row r="268" spans="1:15" x14ac:dyDescent="0.2">
      <c r="A268" t="s">
        <v>91</v>
      </c>
      <c r="B268" t="s">
        <v>16</v>
      </c>
      <c r="C268" t="s">
        <v>17</v>
      </c>
      <c r="D268" t="s">
        <v>75</v>
      </c>
      <c r="E268" t="s">
        <v>93</v>
      </c>
      <c r="F268">
        <v>3</v>
      </c>
      <c r="G268" t="s">
        <v>79</v>
      </c>
      <c r="H268" t="s">
        <v>21</v>
      </c>
      <c r="I268">
        <v>2</v>
      </c>
      <c r="J268">
        <v>5</v>
      </c>
      <c r="K268">
        <v>4</v>
      </c>
      <c r="L268">
        <v>20</v>
      </c>
      <c r="M268">
        <v>26</v>
      </c>
      <c r="N268">
        <v>20</v>
      </c>
      <c r="O268">
        <v>936</v>
      </c>
    </row>
    <row r="269" spans="1:15" x14ac:dyDescent="0.2">
      <c r="A269" t="s">
        <v>91</v>
      </c>
      <c r="B269" t="s">
        <v>16</v>
      </c>
      <c r="C269" t="s">
        <v>17</v>
      </c>
      <c r="D269" t="s">
        <v>75</v>
      </c>
      <c r="E269" t="s">
        <v>93</v>
      </c>
      <c r="F269">
        <v>3</v>
      </c>
      <c r="G269" t="s">
        <v>79</v>
      </c>
      <c r="H269" t="s">
        <v>22</v>
      </c>
      <c r="I269">
        <v>1</v>
      </c>
      <c r="J269">
        <v>2</v>
      </c>
      <c r="K269">
        <v>2</v>
      </c>
      <c r="L269">
        <v>20</v>
      </c>
      <c r="M269">
        <v>26</v>
      </c>
      <c r="N269">
        <v>20</v>
      </c>
      <c r="O269">
        <v>936</v>
      </c>
    </row>
    <row r="270" spans="1:15" x14ac:dyDescent="0.2">
      <c r="A270" t="s">
        <v>91</v>
      </c>
      <c r="B270" t="s">
        <v>16</v>
      </c>
      <c r="C270" t="s">
        <v>17</v>
      </c>
      <c r="D270" t="s">
        <v>75</v>
      </c>
      <c r="E270" t="s">
        <v>93</v>
      </c>
      <c r="F270">
        <v>3</v>
      </c>
      <c r="G270" t="s">
        <v>79</v>
      </c>
      <c r="H270" t="s">
        <v>23</v>
      </c>
      <c r="I270">
        <v>5</v>
      </c>
      <c r="J270">
        <v>0</v>
      </c>
      <c r="K270">
        <v>0</v>
      </c>
      <c r="L270">
        <v>20</v>
      </c>
      <c r="M270">
        <v>26</v>
      </c>
      <c r="N270">
        <v>20</v>
      </c>
      <c r="O270">
        <v>936</v>
      </c>
    </row>
    <row r="271" spans="1:15" x14ac:dyDescent="0.2">
      <c r="A271" t="s">
        <v>91</v>
      </c>
      <c r="B271" t="s">
        <v>16</v>
      </c>
      <c r="C271" t="s">
        <v>17</v>
      </c>
      <c r="D271" t="s">
        <v>75</v>
      </c>
      <c r="E271" t="s">
        <v>93</v>
      </c>
      <c r="F271">
        <v>3</v>
      </c>
      <c r="G271" t="s">
        <v>79</v>
      </c>
      <c r="H271" t="s">
        <v>24</v>
      </c>
      <c r="I271">
        <v>0</v>
      </c>
      <c r="J271">
        <v>0</v>
      </c>
      <c r="K271">
        <v>0</v>
      </c>
      <c r="L271">
        <v>20</v>
      </c>
      <c r="M271">
        <v>26</v>
      </c>
      <c r="N271">
        <v>20</v>
      </c>
      <c r="O271">
        <v>936</v>
      </c>
    </row>
    <row r="272" spans="1:15" x14ac:dyDescent="0.2">
      <c r="A272" t="s">
        <v>91</v>
      </c>
      <c r="B272" t="s">
        <v>16</v>
      </c>
      <c r="C272" t="s">
        <v>17</v>
      </c>
      <c r="D272" t="s">
        <v>75</v>
      </c>
      <c r="E272" t="s">
        <v>92</v>
      </c>
      <c r="F272">
        <v>3</v>
      </c>
      <c r="G272" t="s">
        <v>77</v>
      </c>
      <c r="H272" t="s">
        <v>20</v>
      </c>
      <c r="I272">
        <v>11</v>
      </c>
      <c r="J272">
        <v>11</v>
      </c>
      <c r="K272">
        <v>10</v>
      </c>
      <c r="L272">
        <v>14</v>
      </c>
      <c r="M272">
        <v>18</v>
      </c>
      <c r="N272">
        <v>13</v>
      </c>
      <c r="O272">
        <v>927</v>
      </c>
    </row>
    <row r="273" spans="1:15" x14ac:dyDescent="0.2">
      <c r="A273" t="s">
        <v>91</v>
      </c>
      <c r="B273" t="s">
        <v>16</v>
      </c>
      <c r="C273" t="s">
        <v>17</v>
      </c>
      <c r="D273" t="s">
        <v>75</v>
      </c>
      <c r="E273" t="s">
        <v>92</v>
      </c>
      <c r="F273">
        <v>3</v>
      </c>
      <c r="G273" t="s">
        <v>77</v>
      </c>
      <c r="H273" t="s">
        <v>21</v>
      </c>
      <c r="I273">
        <v>1</v>
      </c>
      <c r="J273">
        <v>4</v>
      </c>
      <c r="K273">
        <v>1</v>
      </c>
      <c r="L273">
        <v>14</v>
      </c>
      <c r="M273">
        <v>18</v>
      </c>
      <c r="N273">
        <v>13</v>
      </c>
      <c r="O273">
        <v>927</v>
      </c>
    </row>
    <row r="274" spans="1:15" x14ac:dyDescent="0.2">
      <c r="A274" t="s">
        <v>91</v>
      </c>
      <c r="B274" t="s">
        <v>16</v>
      </c>
      <c r="C274" t="s">
        <v>17</v>
      </c>
      <c r="D274" t="s">
        <v>75</v>
      </c>
      <c r="E274" t="s">
        <v>92</v>
      </c>
      <c r="F274">
        <v>3</v>
      </c>
      <c r="G274" t="s">
        <v>77</v>
      </c>
      <c r="H274" t="s">
        <v>22</v>
      </c>
      <c r="I274">
        <v>0</v>
      </c>
      <c r="J274">
        <v>1</v>
      </c>
      <c r="K274">
        <v>1</v>
      </c>
      <c r="L274">
        <v>14</v>
      </c>
      <c r="M274">
        <v>18</v>
      </c>
      <c r="N274">
        <v>13</v>
      </c>
      <c r="O274">
        <v>927</v>
      </c>
    </row>
    <row r="275" spans="1:15" x14ac:dyDescent="0.2">
      <c r="A275" t="s">
        <v>91</v>
      </c>
      <c r="B275" t="s">
        <v>16</v>
      </c>
      <c r="C275" t="s">
        <v>17</v>
      </c>
      <c r="D275" t="s">
        <v>75</v>
      </c>
      <c r="E275" t="s">
        <v>92</v>
      </c>
      <c r="F275">
        <v>3</v>
      </c>
      <c r="G275" t="s">
        <v>77</v>
      </c>
      <c r="H275" t="s">
        <v>23</v>
      </c>
      <c r="I275">
        <v>2</v>
      </c>
      <c r="J275">
        <v>2</v>
      </c>
      <c r="K275">
        <v>1</v>
      </c>
      <c r="L275">
        <v>14</v>
      </c>
      <c r="M275">
        <v>18</v>
      </c>
      <c r="N275">
        <v>13</v>
      </c>
      <c r="O275">
        <v>927</v>
      </c>
    </row>
    <row r="276" spans="1:15" x14ac:dyDescent="0.2">
      <c r="A276" t="s">
        <v>91</v>
      </c>
      <c r="B276" t="s">
        <v>16</v>
      </c>
      <c r="C276" t="s">
        <v>17</v>
      </c>
      <c r="D276" t="s">
        <v>75</v>
      </c>
      <c r="E276" t="s">
        <v>92</v>
      </c>
      <c r="F276">
        <v>3</v>
      </c>
      <c r="G276" t="s">
        <v>77</v>
      </c>
      <c r="H276" t="s">
        <v>24</v>
      </c>
      <c r="I276">
        <v>0</v>
      </c>
      <c r="J276">
        <v>0</v>
      </c>
      <c r="K276">
        <v>0</v>
      </c>
      <c r="L276">
        <v>14</v>
      </c>
      <c r="M276">
        <v>18</v>
      </c>
      <c r="N276">
        <v>13</v>
      </c>
      <c r="O276">
        <v>927</v>
      </c>
    </row>
    <row r="277" spans="1:15" x14ac:dyDescent="0.2">
      <c r="A277" t="s">
        <v>91</v>
      </c>
      <c r="B277" t="s">
        <v>16</v>
      </c>
      <c r="C277" t="s">
        <v>17</v>
      </c>
      <c r="D277" t="s">
        <v>75</v>
      </c>
      <c r="E277" t="s">
        <v>90</v>
      </c>
      <c r="F277">
        <v>3</v>
      </c>
      <c r="G277" t="s">
        <v>73</v>
      </c>
      <c r="H277" t="s">
        <v>20</v>
      </c>
      <c r="I277">
        <v>8</v>
      </c>
      <c r="J277">
        <v>0</v>
      </c>
      <c r="K277">
        <v>0</v>
      </c>
      <c r="L277">
        <v>11</v>
      </c>
      <c r="M277">
        <v>8</v>
      </c>
      <c r="N277">
        <v>4</v>
      </c>
      <c r="O277">
        <v>907</v>
      </c>
    </row>
    <row r="278" spans="1:15" x14ac:dyDescent="0.2">
      <c r="A278" t="s">
        <v>91</v>
      </c>
      <c r="B278" t="s">
        <v>16</v>
      </c>
      <c r="C278" t="s">
        <v>17</v>
      </c>
      <c r="D278" t="s">
        <v>75</v>
      </c>
      <c r="E278" t="s">
        <v>90</v>
      </c>
      <c r="F278">
        <v>3</v>
      </c>
      <c r="G278" t="s">
        <v>73</v>
      </c>
      <c r="H278" t="s">
        <v>21</v>
      </c>
      <c r="I278">
        <v>0</v>
      </c>
      <c r="J278">
        <v>4</v>
      </c>
      <c r="K278">
        <v>2</v>
      </c>
      <c r="L278">
        <v>11</v>
      </c>
      <c r="M278">
        <v>8</v>
      </c>
      <c r="N278">
        <v>4</v>
      </c>
      <c r="O278">
        <v>907</v>
      </c>
    </row>
    <row r="279" spans="1:15" x14ac:dyDescent="0.2">
      <c r="A279" t="s">
        <v>91</v>
      </c>
      <c r="B279" t="s">
        <v>16</v>
      </c>
      <c r="C279" t="s">
        <v>17</v>
      </c>
      <c r="D279" t="s">
        <v>75</v>
      </c>
      <c r="E279" t="s">
        <v>90</v>
      </c>
      <c r="F279">
        <v>3</v>
      </c>
      <c r="G279" t="s">
        <v>73</v>
      </c>
      <c r="H279" t="s">
        <v>22</v>
      </c>
      <c r="I279">
        <v>0</v>
      </c>
      <c r="J279">
        <v>1</v>
      </c>
      <c r="K279">
        <v>1</v>
      </c>
      <c r="L279">
        <v>11</v>
      </c>
      <c r="M279">
        <v>8</v>
      </c>
      <c r="N279">
        <v>4</v>
      </c>
      <c r="O279">
        <v>907</v>
      </c>
    </row>
    <row r="280" spans="1:15" x14ac:dyDescent="0.2">
      <c r="A280" t="s">
        <v>91</v>
      </c>
      <c r="B280" t="s">
        <v>16</v>
      </c>
      <c r="C280" t="s">
        <v>17</v>
      </c>
      <c r="D280" t="s">
        <v>75</v>
      </c>
      <c r="E280" t="s">
        <v>90</v>
      </c>
      <c r="F280">
        <v>3</v>
      </c>
      <c r="G280" t="s">
        <v>73</v>
      </c>
      <c r="H280" t="s">
        <v>23</v>
      </c>
      <c r="I280">
        <v>3</v>
      </c>
      <c r="J280">
        <v>3</v>
      </c>
      <c r="K280">
        <v>1</v>
      </c>
      <c r="L280">
        <v>11</v>
      </c>
      <c r="M280">
        <v>8</v>
      </c>
      <c r="N280">
        <v>4</v>
      </c>
      <c r="O280">
        <v>907</v>
      </c>
    </row>
    <row r="281" spans="1:15" x14ac:dyDescent="0.2">
      <c r="A281" t="s">
        <v>91</v>
      </c>
      <c r="B281" t="s">
        <v>16</v>
      </c>
      <c r="C281" t="s">
        <v>17</v>
      </c>
      <c r="D281" t="s">
        <v>75</v>
      </c>
      <c r="E281" t="s">
        <v>90</v>
      </c>
      <c r="F281">
        <v>3</v>
      </c>
      <c r="G281" t="s">
        <v>73</v>
      </c>
      <c r="H281" t="s">
        <v>24</v>
      </c>
      <c r="I281">
        <v>0</v>
      </c>
      <c r="J281">
        <v>0</v>
      </c>
      <c r="K281">
        <v>0</v>
      </c>
      <c r="L281">
        <v>11</v>
      </c>
      <c r="M281">
        <v>8</v>
      </c>
      <c r="N281">
        <v>4</v>
      </c>
      <c r="O281">
        <v>907</v>
      </c>
    </row>
    <row r="282" spans="1:15" x14ac:dyDescent="0.2">
      <c r="A282" t="s">
        <v>76</v>
      </c>
      <c r="B282" t="s">
        <v>16</v>
      </c>
      <c r="C282" t="s">
        <v>17</v>
      </c>
      <c r="D282" t="s">
        <v>75</v>
      </c>
      <c r="E282" t="s">
        <v>81</v>
      </c>
      <c r="F282">
        <v>3</v>
      </c>
      <c r="G282" t="s">
        <v>19</v>
      </c>
      <c r="H282" t="s">
        <v>20</v>
      </c>
      <c r="I282">
        <v>199</v>
      </c>
      <c r="J282">
        <v>258</v>
      </c>
      <c r="K282">
        <v>0</v>
      </c>
      <c r="L282">
        <v>253</v>
      </c>
      <c r="M282">
        <v>273</v>
      </c>
      <c r="N282">
        <v>0</v>
      </c>
      <c r="O282">
        <v>685</v>
      </c>
    </row>
    <row r="283" spans="1:15" x14ac:dyDescent="0.2">
      <c r="A283" t="s">
        <v>76</v>
      </c>
      <c r="B283" t="s">
        <v>16</v>
      </c>
      <c r="C283" t="s">
        <v>17</v>
      </c>
      <c r="D283" t="s">
        <v>75</v>
      </c>
      <c r="E283" t="s">
        <v>81</v>
      </c>
      <c r="F283">
        <v>3</v>
      </c>
      <c r="G283" t="s">
        <v>19</v>
      </c>
      <c r="H283" t="s">
        <v>21</v>
      </c>
      <c r="I283">
        <v>12</v>
      </c>
      <c r="J283">
        <v>6</v>
      </c>
      <c r="K283">
        <v>0</v>
      </c>
      <c r="L283">
        <v>253</v>
      </c>
      <c r="M283">
        <v>273</v>
      </c>
      <c r="N283">
        <v>0</v>
      </c>
      <c r="O283">
        <v>685</v>
      </c>
    </row>
    <row r="284" spans="1:15" x14ac:dyDescent="0.2">
      <c r="A284" t="s">
        <v>76</v>
      </c>
      <c r="B284" t="s">
        <v>16</v>
      </c>
      <c r="C284" t="s">
        <v>17</v>
      </c>
      <c r="D284" t="s">
        <v>75</v>
      </c>
      <c r="E284" t="s">
        <v>81</v>
      </c>
      <c r="F284">
        <v>3</v>
      </c>
      <c r="G284" t="s">
        <v>19</v>
      </c>
      <c r="H284" t="s">
        <v>22</v>
      </c>
      <c r="I284">
        <v>2</v>
      </c>
      <c r="J284">
        <v>3</v>
      </c>
      <c r="K284">
        <v>0</v>
      </c>
      <c r="L284">
        <v>253</v>
      </c>
      <c r="M284">
        <v>273</v>
      </c>
      <c r="N284">
        <v>0</v>
      </c>
      <c r="O284">
        <v>685</v>
      </c>
    </row>
    <row r="285" spans="1:15" x14ac:dyDescent="0.2">
      <c r="A285" t="s">
        <v>76</v>
      </c>
      <c r="B285" t="s">
        <v>16</v>
      </c>
      <c r="C285" t="s">
        <v>17</v>
      </c>
      <c r="D285" t="s">
        <v>75</v>
      </c>
      <c r="E285" t="s">
        <v>81</v>
      </c>
      <c r="F285">
        <v>3</v>
      </c>
      <c r="G285" t="s">
        <v>19</v>
      </c>
      <c r="H285" t="s">
        <v>23</v>
      </c>
      <c r="I285">
        <v>40</v>
      </c>
      <c r="J285">
        <v>6</v>
      </c>
      <c r="K285">
        <v>0</v>
      </c>
      <c r="L285">
        <v>253</v>
      </c>
      <c r="M285">
        <v>273</v>
      </c>
      <c r="N285">
        <v>0</v>
      </c>
      <c r="O285">
        <v>685</v>
      </c>
    </row>
    <row r="286" spans="1:15" x14ac:dyDescent="0.2">
      <c r="A286" t="s">
        <v>76</v>
      </c>
      <c r="B286" t="s">
        <v>16</v>
      </c>
      <c r="C286" t="s">
        <v>17</v>
      </c>
      <c r="D286" t="s">
        <v>75</v>
      </c>
      <c r="E286" t="s">
        <v>81</v>
      </c>
      <c r="F286">
        <v>3</v>
      </c>
      <c r="G286" t="s">
        <v>19</v>
      </c>
      <c r="H286" t="s">
        <v>24</v>
      </c>
      <c r="I286">
        <v>0</v>
      </c>
      <c r="J286">
        <v>0</v>
      </c>
      <c r="K286">
        <v>0</v>
      </c>
      <c r="L286">
        <v>253</v>
      </c>
      <c r="M286">
        <v>273</v>
      </c>
      <c r="N286">
        <v>0</v>
      </c>
      <c r="O286">
        <v>685</v>
      </c>
    </row>
    <row r="287" spans="1:15" x14ac:dyDescent="0.2">
      <c r="A287" t="s">
        <v>76</v>
      </c>
      <c r="B287" t="s">
        <v>16</v>
      </c>
      <c r="C287" t="s">
        <v>17</v>
      </c>
      <c r="D287" t="s">
        <v>75</v>
      </c>
      <c r="E287" t="s">
        <v>80</v>
      </c>
      <c r="F287">
        <v>3</v>
      </c>
      <c r="G287" t="s">
        <v>79</v>
      </c>
      <c r="H287" t="s">
        <v>20</v>
      </c>
      <c r="I287">
        <v>22</v>
      </c>
      <c r="J287">
        <v>51</v>
      </c>
      <c r="K287">
        <v>47</v>
      </c>
      <c r="L287">
        <v>33</v>
      </c>
      <c r="M287">
        <v>59</v>
      </c>
      <c r="N287">
        <v>55</v>
      </c>
      <c r="O287">
        <v>423</v>
      </c>
    </row>
    <row r="288" spans="1:15" x14ac:dyDescent="0.2">
      <c r="A288" t="s">
        <v>76</v>
      </c>
      <c r="B288" t="s">
        <v>16</v>
      </c>
      <c r="C288" t="s">
        <v>17</v>
      </c>
      <c r="D288" t="s">
        <v>75</v>
      </c>
      <c r="E288" t="s">
        <v>80</v>
      </c>
      <c r="F288">
        <v>3</v>
      </c>
      <c r="G288" t="s">
        <v>79</v>
      </c>
      <c r="H288" t="s">
        <v>21</v>
      </c>
      <c r="I288">
        <v>7</v>
      </c>
      <c r="J288">
        <v>4</v>
      </c>
      <c r="K288">
        <v>4</v>
      </c>
      <c r="L288">
        <v>33</v>
      </c>
      <c r="M288">
        <v>59</v>
      </c>
      <c r="N288">
        <v>55</v>
      </c>
      <c r="O288">
        <v>423</v>
      </c>
    </row>
    <row r="289" spans="1:15" x14ac:dyDescent="0.2">
      <c r="A289" t="s">
        <v>76</v>
      </c>
      <c r="B289" t="s">
        <v>16</v>
      </c>
      <c r="C289" t="s">
        <v>17</v>
      </c>
      <c r="D289" t="s">
        <v>75</v>
      </c>
      <c r="E289" t="s">
        <v>80</v>
      </c>
      <c r="F289">
        <v>3</v>
      </c>
      <c r="G289" t="s">
        <v>79</v>
      </c>
      <c r="H289" t="s">
        <v>22</v>
      </c>
      <c r="I289">
        <v>0</v>
      </c>
      <c r="J289">
        <v>4</v>
      </c>
      <c r="K289">
        <v>4</v>
      </c>
      <c r="L289">
        <v>33</v>
      </c>
      <c r="M289">
        <v>59</v>
      </c>
      <c r="N289">
        <v>55</v>
      </c>
      <c r="O289">
        <v>423</v>
      </c>
    </row>
    <row r="290" spans="1:15" x14ac:dyDescent="0.2">
      <c r="A290" t="s">
        <v>76</v>
      </c>
      <c r="B290" t="s">
        <v>16</v>
      </c>
      <c r="C290" t="s">
        <v>17</v>
      </c>
      <c r="D290" t="s">
        <v>75</v>
      </c>
      <c r="E290" t="s">
        <v>80</v>
      </c>
      <c r="F290">
        <v>3</v>
      </c>
      <c r="G290" t="s">
        <v>79</v>
      </c>
      <c r="H290" t="s">
        <v>23</v>
      </c>
      <c r="I290">
        <v>4</v>
      </c>
      <c r="J290">
        <v>0</v>
      </c>
      <c r="K290">
        <v>0</v>
      </c>
      <c r="L290">
        <v>33</v>
      </c>
      <c r="M290">
        <v>59</v>
      </c>
      <c r="N290">
        <v>55</v>
      </c>
      <c r="O290">
        <v>423</v>
      </c>
    </row>
    <row r="291" spans="1:15" x14ac:dyDescent="0.2">
      <c r="A291" t="s">
        <v>76</v>
      </c>
      <c r="B291" t="s">
        <v>16</v>
      </c>
      <c r="C291" t="s">
        <v>17</v>
      </c>
      <c r="D291" t="s">
        <v>75</v>
      </c>
      <c r="E291" t="s">
        <v>80</v>
      </c>
      <c r="F291">
        <v>3</v>
      </c>
      <c r="G291" t="s">
        <v>79</v>
      </c>
      <c r="H291" t="s">
        <v>24</v>
      </c>
      <c r="I291">
        <v>0</v>
      </c>
      <c r="J291">
        <v>0</v>
      </c>
      <c r="K291">
        <v>0</v>
      </c>
      <c r="L291">
        <v>33</v>
      </c>
      <c r="M291">
        <v>59</v>
      </c>
      <c r="N291">
        <v>55</v>
      </c>
      <c r="O291">
        <v>423</v>
      </c>
    </row>
    <row r="292" spans="1:15" x14ac:dyDescent="0.2">
      <c r="A292" t="s">
        <v>76</v>
      </c>
      <c r="B292" t="s">
        <v>16</v>
      </c>
      <c r="C292" t="s">
        <v>17</v>
      </c>
      <c r="D292" t="s">
        <v>75</v>
      </c>
      <c r="E292" t="s">
        <v>78</v>
      </c>
      <c r="F292">
        <v>3</v>
      </c>
      <c r="G292" t="s">
        <v>77</v>
      </c>
      <c r="H292" t="s">
        <v>20</v>
      </c>
      <c r="I292">
        <v>26</v>
      </c>
      <c r="J292">
        <v>49</v>
      </c>
      <c r="K292">
        <v>42</v>
      </c>
      <c r="L292">
        <v>36</v>
      </c>
      <c r="M292">
        <v>59</v>
      </c>
      <c r="N292">
        <v>50</v>
      </c>
      <c r="O292">
        <v>433</v>
      </c>
    </row>
    <row r="293" spans="1:15" x14ac:dyDescent="0.2">
      <c r="A293" t="s">
        <v>76</v>
      </c>
      <c r="B293" t="s">
        <v>16</v>
      </c>
      <c r="C293" t="s">
        <v>17</v>
      </c>
      <c r="D293" t="s">
        <v>75</v>
      </c>
      <c r="E293" t="s">
        <v>78</v>
      </c>
      <c r="F293">
        <v>3</v>
      </c>
      <c r="G293" t="s">
        <v>77</v>
      </c>
      <c r="H293" t="s">
        <v>21</v>
      </c>
      <c r="I293">
        <v>3</v>
      </c>
      <c r="J293">
        <v>4</v>
      </c>
      <c r="K293">
        <v>3</v>
      </c>
      <c r="L293">
        <v>36</v>
      </c>
      <c r="M293">
        <v>59</v>
      </c>
      <c r="N293">
        <v>50</v>
      </c>
      <c r="O293">
        <v>433</v>
      </c>
    </row>
    <row r="294" spans="1:15" x14ac:dyDescent="0.2">
      <c r="A294" t="s">
        <v>76</v>
      </c>
      <c r="B294" t="s">
        <v>16</v>
      </c>
      <c r="C294" t="s">
        <v>17</v>
      </c>
      <c r="D294" t="s">
        <v>75</v>
      </c>
      <c r="E294" t="s">
        <v>78</v>
      </c>
      <c r="F294">
        <v>3</v>
      </c>
      <c r="G294" t="s">
        <v>77</v>
      </c>
      <c r="H294" t="s">
        <v>22</v>
      </c>
      <c r="I294">
        <v>2</v>
      </c>
      <c r="J294">
        <v>4</v>
      </c>
      <c r="K294">
        <v>3</v>
      </c>
      <c r="L294">
        <v>36</v>
      </c>
      <c r="M294">
        <v>59</v>
      </c>
      <c r="N294">
        <v>50</v>
      </c>
      <c r="O294">
        <v>433</v>
      </c>
    </row>
    <row r="295" spans="1:15" x14ac:dyDescent="0.2">
      <c r="A295" t="s">
        <v>76</v>
      </c>
      <c r="B295" t="s">
        <v>16</v>
      </c>
      <c r="C295" t="s">
        <v>17</v>
      </c>
      <c r="D295" t="s">
        <v>75</v>
      </c>
      <c r="E295" t="s">
        <v>78</v>
      </c>
      <c r="F295">
        <v>3</v>
      </c>
      <c r="G295" t="s">
        <v>77</v>
      </c>
      <c r="H295" t="s">
        <v>23</v>
      </c>
      <c r="I295">
        <v>5</v>
      </c>
      <c r="J295">
        <v>2</v>
      </c>
      <c r="K295">
        <v>2</v>
      </c>
      <c r="L295">
        <v>36</v>
      </c>
      <c r="M295">
        <v>59</v>
      </c>
      <c r="N295">
        <v>50</v>
      </c>
      <c r="O295">
        <v>433</v>
      </c>
    </row>
    <row r="296" spans="1:15" x14ac:dyDescent="0.2">
      <c r="A296" t="s">
        <v>76</v>
      </c>
      <c r="B296" t="s">
        <v>16</v>
      </c>
      <c r="C296" t="s">
        <v>17</v>
      </c>
      <c r="D296" t="s">
        <v>75</v>
      </c>
      <c r="E296" t="s">
        <v>78</v>
      </c>
      <c r="F296">
        <v>3</v>
      </c>
      <c r="G296" t="s">
        <v>77</v>
      </c>
      <c r="H296" t="s">
        <v>24</v>
      </c>
      <c r="I296">
        <v>0</v>
      </c>
      <c r="J296">
        <v>0</v>
      </c>
      <c r="K296">
        <v>0</v>
      </c>
      <c r="L296">
        <v>36</v>
      </c>
      <c r="M296">
        <v>59</v>
      </c>
      <c r="N296">
        <v>50</v>
      </c>
      <c r="O296">
        <v>433</v>
      </c>
    </row>
    <row r="297" spans="1:15" x14ac:dyDescent="0.2">
      <c r="A297" t="s">
        <v>76</v>
      </c>
      <c r="B297" t="s">
        <v>16</v>
      </c>
      <c r="C297" t="s">
        <v>17</v>
      </c>
      <c r="D297" t="s">
        <v>75</v>
      </c>
      <c r="E297" t="s">
        <v>74</v>
      </c>
      <c r="F297">
        <v>3</v>
      </c>
      <c r="G297" t="s">
        <v>73</v>
      </c>
      <c r="H297" t="s">
        <v>20</v>
      </c>
      <c r="I297">
        <v>24</v>
      </c>
      <c r="J297">
        <v>10</v>
      </c>
      <c r="K297">
        <v>4</v>
      </c>
      <c r="L297">
        <v>42</v>
      </c>
      <c r="M297">
        <v>40</v>
      </c>
      <c r="N297">
        <v>34</v>
      </c>
      <c r="O297">
        <v>398</v>
      </c>
    </row>
    <row r="298" spans="1:15" x14ac:dyDescent="0.2">
      <c r="A298" t="s">
        <v>76</v>
      </c>
      <c r="B298" t="s">
        <v>16</v>
      </c>
      <c r="C298" t="s">
        <v>17</v>
      </c>
      <c r="D298" t="s">
        <v>75</v>
      </c>
      <c r="E298" t="s">
        <v>74</v>
      </c>
      <c r="F298">
        <v>3</v>
      </c>
      <c r="G298" t="s">
        <v>73</v>
      </c>
      <c r="H298" t="s">
        <v>21</v>
      </c>
      <c r="I298">
        <v>5</v>
      </c>
      <c r="J298">
        <v>20</v>
      </c>
      <c r="K298">
        <v>20</v>
      </c>
      <c r="L298">
        <v>42</v>
      </c>
      <c r="M298">
        <v>40</v>
      </c>
      <c r="N298">
        <v>34</v>
      </c>
      <c r="O298">
        <v>398</v>
      </c>
    </row>
    <row r="299" spans="1:15" x14ac:dyDescent="0.2">
      <c r="A299" t="s">
        <v>76</v>
      </c>
      <c r="B299" t="s">
        <v>16</v>
      </c>
      <c r="C299" t="s">
        <v>17</v>
      </c>
      <c r="D299" t="s">
        <v>75</v>
      </c>
      <c r="E299" t="s">
        <v>74</v>
      </c>
      <c r="F299">
        <v>3</v>
      </c>
      <c r="G299" t="s">
        <v>73</v>
      </c>
      <c r="H299" t="s">
        <v>22</v>
      </c>
      <c r="I299">
        <v>1</v>
      </c>
      <c r="J299">
        <v>4</v>
      </c>
      <c r="K299">
        <v>4</v>
      </c>
      <c r="L299">
        <v>42</v>
      </c>
      <c r="M299">
        <v>40</v>
      </c>
      <c r="N299">
        <v>34</v>
      </c>
      <c r="O299">
        <v>398</v>
      </c>
    </row>
    <row r="300" spans="1:15" x14ac:dyDescent="0.2">
      <c r="A300" t="s">
        <v>76</v>
      </c>
      <c r="B300" t="s">
        <v>16</v>
      </c>
      <c r="C300" t="s">
        <v>17</v>
      </c>
      <c r="D300" t="s">
        <v>75</v>
      </c>
      <c r="E300" t="s">
        <v>74</v>
      </c>
      <c r="F300">
        <v>3</v>
      </c>
      <c r="G300" t="s">
        <v>73</v>
      </c>
      <c r="H300" t="s">
        <v>23</v>
      </c>
      <c r="I300">
        <v>12</v>
      </c>
      <c r="J300">
        <v>6</v>
      </c>
      <c r="K300">
        <v>6</v>
      </c>
      <c r="L300">
        <v>42</v>
      </c>
      <c r="M300">
        <v>40</v>
      </c>
      <c r="N300">
        <v>34</v>
      </c>
      <c r="O300">
        <v>398</v>
      </c>
    </row>
    <row r="301" spans="1:15" x14ac:dyDescent="0.2">
      <c r="A301" t="s">
        <v>76</v>
      </c>
      <c r="B301" t="s">
        <v>16</v>
      </c>
      <c r="C301" t="s">
        <v>17</v>
      </c>
      <c r="D301" t="s">
        <v>75</v>
      </c>
      <c r="E301" t="s">
        <v>74</v>
      </c>
      <c r="F301">
        <v>3</v>
      </c>
      <c r="G301" t="s">
        <v>73</v>
      </c>
      <c r="H301" t="s">
        <v>24</v>
      </c>
      <c r="I301">
        <v>0</v>
      </c>
      <c r="J301">
        <v>0</v>
      </c>
      <c r="K301">
        <v>0</v>
      </c>
      <c r="L301">
        <v>42</v>
      </c>
      <c r="M301">
        <v>40</v>
      </c>
      <c r="N301">
        <v>34</v>
      </c>
      <c r="O301">
        <v>398</v>
      </c>
    </row>
    <row r="302" spans="1:15" x14ac:dyDescent="0.2">
      <c r="A302" t="s">
        <v>115</v>
      </c>
      <c r="B302" t="s">
        <v>16</v>
      </c>
      <c r="C302" t="s">
        <v>17</v>
      </c>
      <c r="D302" t="s">
        <v>75</v>
      </c>
      <c r="E302" t="s">
        <v>118</v>
      </c>
      <c r="F302">
        <v>3</v>
      </c>
      <c r="G302" t="s">
        <v>19</v>
      </c>
      <c r="H302" t="s">
        <v>20</v>
      </c>
      <c r="I302">
        <v>80</v>
      </c>
      <c r="J302">
        <v>48</v>
      </c>
      <c r="K302">
        <v>0</v>
      </c>
      <c r="L302">
        <v>81</v>
      </c>
      <c r="M302">
        <v>49</v>
      </c>
      <c r="N302">
        <v>0</v>
      </c>
      <c r="O302">
        <v>196</v>
      </c>
    </row>
    <row r="303" spans="1:15" x14ac:dyDescent="0.2">
      <c r="A303" t="s">
        <v>115</v>
      </c>
      <c r="B303" t="s">
        <v>16</v>
      </c>
      <c r="C303" t="s">
        <v>17</v>
      </c>
      <c r="D303" t="s">
        <v>75</v>
      </c>
      <c r="E303" t="s">
        <v>118</v>
      </c>
      <c r="F303">
        <v>3</v>
      </c>
      <c r="G303" t="s">
        <v>19</v>
      </c>
      <c r="H303" t="s">
        <v>21</v>
      </c>
      <c r="I303">
        <v>1</v>
      </c>
      <c r="J303">
        <v>0</v>
      </c>
      <c r="K303">
        <v>0</v>
      </c>
      <c r="L303">
        <v>81</v>
      </c>
      <c r="M303">
        <v>49</v>
      </c>
      <c r="N303">
        <v>0</v>
      </c>
      <c r="O303">
        <v>196</v>
      </c>
    </row>
    <row r="304" spans="1:15" x14ac:dyDescent="0.2">
      <c r="A304" t="s">
        <v>115</v>
      </c>
      <c r="B304" t="s">
        <v>16</v>
      </c>
      <c r="C304" t="s">
        <v>17</v>
      </c>
      <c r="D304" t="s">
        <v>75</v>
      </c>
      <c r="E304" t="s">
        <v>118</v>
      </c>
      <c r="F304">
        <v>3</v>
      </c>
      <c r="G304" t="s">
        <v>19</v>
      </c>
      <c r="H304" t="s">
        <v>22</v>
      </c>
      <c r="I304">
        <v>0</v>
      </c>
      <c r="J304">
        <v>0</v>
      </c>
      <c r="K304">
        <v>0</v>
      </c>
      <c r="L304">
        <v>81</v>
      </c>
      <c r="M304">
        <v>49</v>
      </c>
      <c r="N304">
        <v>0</v>
      </c>
      <c r="O304">
        <v>196</v>
      </c>
    </row>
    <row r="305" spans="1:15" x14ac:dyDescent="0.2">
      <c r="A305" t="s">
        <v>115</v>
      </c>
      <c r="B305" t="s">
        <v>16</v>
      </c>
      <c r="C305" t="s">
        <v>17</v>
      </c>
      <c r="D305" t="s">
        <v>75</v>
      </c>
      <c r="E305" t="s">
        <v>118</v>
      </c>
      <c r="F305">
        <v>3</v>
      </c>
      <c r="G305" t="s">
        <v>19</v>
      </c>
      <c r="H305" t="s">
        <v>23</v>
      </c>
      <c r="I305">
        <v>0</v>
      </c>
      <c r="J305">
        <v>1</v>
      </c>
      <c r="K305">
        <v>0</v>
      </c>
      <c r="L305">
        <v>81</v>
      </c>
      <c r="M305">
        <v>49</v>
      </c>
      <c r="N305">
        <v>0</v>
      </c>
      <c r="O305">
        <v>196</v>
      </c>
    </row>
    <row r="306" spans="1:15" x14ac:dyDescent="0.2">
      <c r="A306" t="s">
        <v>115</v>
      </c>
      <c r="B306" t="s">
        <v>16</v>
      </c>
      <c r="C306" t="s">
        <v>17</v>
      </c>
      <c r="D306" t="s">
        <v>75</v>
      </c>
      <c r="E306" t="s">
        <v>118</v>
      </c>
      <c r="F306">
        <v>3</v>
      </c>
      <c r="G306" t="s">
        <v>19</v>
      </c>
      <c r="H306" t="s">
        <v>24</v>
      </c>
      <c r="I306">
        <v>0</v>
      </c>
      <c r="J306">
        <v>0</v>
      </c>
      <c r="K306">
        <v>0</v>
      </c>
      <c r="L306">
        <v>81</v>
      </c>
      <c r="M306">
        <v>49</v>
      </c>
      <c r="N306">
        <v>0</v>
      </c>
      <c r="O306">
        <v>196</v>
      </c>
    </row>
    <row r="307" spans="1:15" x14ac:dyDescent="0.2">
      <c r="A307" t="s">
        <v>115</v>
      </c>
      <c r="B307" t="s">
        <v>16</v>
      </c>
      <c r="C307" t="s">
        <v>17</v>
      </c>
      <c r="D307" t="s">
        <v>75</v>
      </c>
      <c r="E307" t="s">
        <v>117</v>
      </c>
      <c r="F307">
        <v>3</v>
      </c>
      <c r="G307" t="s">
        <v>79</v>
      </c>
      <c r="H307" t="s">
        <v>20</v>
      </c>
      <c r="I307">
        <v>5</v>
      </c>
      <c r="J307">
        <v>6</v>
      </c>
      <c r="K307">
        <v>6</v>
      </c>
      <c r="L307">
        <v>5</v>
      </c>
      <c r="M307">
        <v>11</v>
      </c>
      <c r="N307">
        <v>11</v>
      </c>
      <c r="O307">
        <v>61</v>
      </c>
    </row>
    <row r="308" spans="1:15" x14ac:dyDescent="0.2">
      <c r="A308" t="s">
        <v>115</v>
      </c>
      <c r="B308" t="s">
        <v>16</v>
      </c>
      <c r="C308" t="s">
        <v>17</v>
      </c>
      <c r="D308" t="s">
        <v>75</v>
      </c>
      <c r="E308" t="s">
        <v>117</v>
      </c>
      <c r="F308">
        <v>3</v>
      </c>
      <c r="G308" t="s">
        <v>79</v>
      </c>
      <c r="H308" t="s">
        <v>21</v>
      </c>
      <c r="I308">
        <v>0</v>
      </c>
      <c r="J308">
        <v>4</v>
      </c>
      <c r="K308">
        <v>4</v>
      </c>
      <c r="L308">
        <v>5</v>
      </c>
      <c r="M308">
        <v>11</v>
      </c>
      <c r="N308">
        <v>11</v>
      </c>
      <c r="O308">
        <v>61</v>
      </c>
    </row>
    <row r="309" spans="1:15" x14ac:dyDescent="0.2">
      <c r="A309" t="s">
        <v>115</v>
      </c>
      <c r="B309" t="s">
        <v>16</v>
      </c>
      <c r="C309" t="s">
        <v>17</v>
      </c>
      <c r="D309" t="s">
        <v>75</v>
      </c>
      <c r="E309" t="s">
        <v>117</v>
      </c>
      <c r="F309">
        <v>3</v>
      </c>
      <c r="G309" t="s">
        <v>79</v>
      </c>
      <c r="H309" t="s">
        <v>22</v>
      </c>
      <c r="I309">
        <v>0</v>
      </c>
      <c r="J309">
        <v>1</v>
      </c>
      <c r="K309">
        <v>1</v>
      </c>
      <c r="L309">
        <v>5</v>
      </c>
      <c r="M309">
        <v>11</v>
      </c>
      <c r="N309">
        <v>11</v>
      </c>
      <c r="O309">
        <v>61</v>
      </c>
    </row>
    <row r="310" spans="1:15" x14ac:dyDescent="0.2">
      <c r="A310" t="s">
        <v>115</v>
      </c>
      <c r="B310" t="s">
        <v>16</v>
      </c>
      <c r="C310" t="s">
        <v>17</v>
      </c>
      <c r="D310" t="s">
        <v>75</v>
      </c>
      <c r="E310" t="s">
        <v>117</v>
      </c>
      <c r="F310">
        <v>3</v>
      </c>
      <c r="G310" t="s">
        <v>79</v>
      </c>
      <c r="H310" t="s">
        <v>23</v>
      </c>
      <c r="I310">
        <v>0</v>
      </c>
      <c r="J310">
        <v>0</v>
      </c>
      <c r="K310">
        <v>0</v>
      </c>
      <c r="L310">
        <v>5</v>
      </c>
      <c r="M310">
        <v>11</v>
      </c>
      <c r="N310">
        <v>11</v>
      </c>
      <c r="O310">
        <v>61</v>
      </c>
    </row>
    <row r="311" spans="1:15" x14ac:dyDescent="0.2">
      <c r="A311" t="s">
        <v>115</v>
      </c>
      <c r="B311" t="s">
        <v>16</v>
      </c>
      <c r="C311" t="s">
        <v>17</v>
      </c>
      <c r="D311" t="s">
        <v>75</v>
      </c>
      <c r="E311" t="s">
        <v>117</v>
      </c>
      <c r="F311">
        <v>3</v>
      </c>
      <c r="G311" t="s">
        <v>79</v>
      </c>
      <c r="H311" t="s">
        <v>24</v>
      </c>
      <c r="I311">
        <v>0</v>
      </c>
      <c r="J311">
        <v>0</v>
      </c>
      <c r="K311">
        <v>0</v>
      </c>
      <c r="L311">
        <v>5</v>
      </c>
      <c r="M311">
        <v>11</v>
      </c>
      <c r="N311">
        <v>11</v>
      </c>
      <c r="O311">
        <v>61</v>
      </c>
    </row>
    <row r="312" spans="1:15" x14ac:dyDescent="0.2">
      <c r="A312" t="s">
        <v>115</v>
      </c>
      <c r="B312" t="s">
        <v>16</v>
      </c>
      <c r="C312" t="s">
        <v>17</v>
      </c>
      <c r="D312" t="s">
        <v>75</v>
      </c>
      <c r="E312" t="s">
        <v>116</v>
      </c>
      <c r="F312">
        <v>3</v>
      </c>
      <c r="G312" t="s">
        <v>77</v>
      </c>
      <c r="H312" t="s">
        <v>20</v>
      </c>
      <c r="I312">
        <v>5</v>
      </c>
      <c r="J312">
        <v>4</v>
      </c>
      <c r="K312">
        <v>4</v>
      </c>
      <c r="L312">
        <v>7</v>
      </c>
      <c r="M312">
        <v>8</v>
      </c>
      <c r="N312">
        <v>8</v>
      </c>
      <c r="O312">
        <v>75</v>
      </c>
    </row>
    <row r="313" spans="1:15" x14ac:dyDescent="0.2">
      <c r="A313" t="s">
        <v>115</v>
      </c>
      <c r="B313" t="s">
        <v>16</v>
      </c>
      <c r="C313" t="s">
        <v>17</v>
      </c>
      <c r="D313" t="s">
        <v>75</v>
      </c>
      <c r="E313" t="s">
        <v>116</v>
      </c>
      <c r="F313">
        <v>3</v>
      </c>
      <c r="G313" t="s">
        <v>77</v>
      </c>
      <c r="H313" t="s">
        <v>21</v>
      </c>
      <c r="I313">
        <v>2</v>
      </c>
      <c r="J313">
        <v>3</v>
      </c>
      <c r="K313">
        <v>3</v>
      </c>
      <c r="L313">
        <v>7</v>
      </c>
      <c r="M313">
        <v>8</v>
      </c>
      <c r="N313">
        <v>8</v>
      </c>
      <c r="O313">
        <v>75</v>
      </c>
    </row>
    <row r="314" spans="1:15" x14ac:dyDescent="0.2">
      <c r="A314" t="s">
        <v>115</v>
      </c>
      <c r="B314" t="s">
        <v>16</v>
      </c>
      <c r="C314" t="s">
        <v>17</v>
      </c>
      <c r="D314" t="s">
        <v>75</v>
      </c>
      <c r="E314" t="s">
        <v>116</v>
      </c>
      <c r="F314">
        <v>3</v>
      </c>
      <c r="G314" t="s">
        <v>77</v>
      </c>
      <c r="H314" t="s">
        <v>22</v>
      </c>
      <c r="I314">
        <v>0</v>
      </c>
      <c r="J314">
        <v>1</v>
      </c>
      <c r="K314">
        <v>1</v>
      </c>
      <c r="L314">
        <v>7</v>
      </c>
      <c r="M314">
        <v>8</v>
      </c>
      <c r="N314">
        <v>8</v>
      </c>
      <c r="O314">
        <v>75</v>
      </c>
    </row>
    <row r="315" spans="1:15" x14ac:dyDescent="0.2">
      <c r="A315" t="s">
        <v>115</v>
      </c>
      <c r="B315" t="s">
        <v>16</v>
      </c>
      <c r="C315" t="s">
        <v>17</v>
      </c>
      <c r="D315" t="s">
        <v>75</v>
      </c>
      <c r="E315" t="s">
        <v>116</v>
      </c>
      <c r="F315">
        <v>3</v>
      </c>
      <c r="G315" t="s">
        <v>77</v>
      </c>
      <c r="H315" t="s">
        <v>23</v>
      </c>
      <c r="I315">
        <v>0</v>
      </c>
      <c r="J315">
        <v>0</v>
      </c>
      <c r="K315">
        <v>0</v>
      </c>
      <c r="L315">
        <v>7</v>
      </c>
      <c r="M315">
        <v>8</v>
      </c>
      <c r="N315">
        <v>8</v>
      </c>
      <c r="O315">
        <v>75</v>
      </c>
    </row>
    <row r="316" spans="1:15" x14ac:dyDescent="0.2">
      <c r="A316" t="s">
        <v>115</v>
      </c>
      <c r="B316" t="s">
        <v>16</v>
      </c>
      <c r="C316" t="s">
        <v>17</v>
      </c>
      <c r="D316" t="s">
        <v>75</v>
      </c>
      <c r="E316" t="s">
        <v>116</v>
      </c>
      <c r="F316">
        <v>3</v>
      </c>
      <c r="G316" t="s">
        <v>77</v>
      </c>
      <c r="H316" t="s">
        <v>24</v>
      </c>
      <c r="I316">
        <v>0</v>
      </c>
      <c r="J316">
        <v>0</v>
      </c>
      <c r="K316">
        <v>0</v>
      </c>
      <c r="L316">
        <v>7</v>
      </c>
      <c r="M316">
        <v>8</v>
      </c>
      <c r="N316">
        <v>8</v>
      </c>
      <c r="O316">
        <v>75</v>
      </c>
    </row>
    <row r="317" spans="1:15" x14ac:dyDescent="0.2">
      <c r="A317" t="s">
        <v>115</v>
      </c>
      <c r="B317" t="s">
        <v>16</v>
      </c>
      <c r="C317" t="s">
        <v>17</v>
      </c>
      <c r="D317" t="s">
        <v>75</v>
      </c>
      <c r="E317" t="s">
        <v>114</v>
      </c>
      <c r="F317">
        <v>3</v>
      </c>
      <c r="G317" t="s">
        <v>73</v>
      </c>
      <c r="H317" t="s">
        <v>20</v>
      </c>
      <c r="I317">
        <v>2</v>
      </c>
      <c r="J317">
        <v>0</v>
      </c>
      <c r="K317">
        <v>0</v>
      </c>
      <c r="L317">
        <v>2</v>
      </c>
      <c r="M317">
        <v>4</v>
      </c>
      <c r="N317">
        <v>4</v>
      </c>
      <c r="O317">
        <v>92</v>
      </c>
    </row>
    <row r="318" spans="1:15" x14ac:dyDescent="0.2">
      <c r="A318" t="s">
        <v>115</v>
      </c>
      <c r="B318" t="s">
        <v>16</v>
      </c>
      <c r="C318" t="s">
        <v>17</v>
      </c>
      <c r="D318" t="s">
        <v>75</v>
      </c>
      <c r="E318" t="s">
        <v>114</v>
      </c>
      <c r="F318">
        <v>3</v>
      </c>
      <c r="G318" t="s">
        <v>73</v>
      </c>
      <c r="H318" t="s">
        <v>21</v>
      </c>
      <c r="I318">
        <v>0</v>
      </c>
      <c r="J318">
        <v>2</v>
      </c>
      <c r="K318">
        <v>2</v>
      </c>
      <c r="L318">
        <v>2</v>
      </c>
      <c r="M318">
        <v>4</v>
      </c>
      <c r="N318">
        <v>4</v>
      </c>
      <c r="O318">
        <v>92</v>
      </c>
    </row>
    <row r="319" spans="1:15" x14ac:dyDescent="0.2">
      <c r="A319" t="s">
        <v>115</v>
      </c>
      <c r="B319" t="s">
        <v>16</v>
      </c>
      <c r="C319" t="s">
        <v>17</v>
      </c>
      <c r="D319" t="s">
        <v>75</v>
      </c>
      <c r="E319" t="s">
        <v>114</v>
      </c>
      <c r="F319">
        <v>3</v>
      </c>
      <c r="G319" t="s">
        <v>73</v>
      </c>
      <c r="H319" t="s">
        <v>22</v>
      </c>
      <c r="I319">
        <v>0</v>
      </c>
      <c r="J319">
        <v>1</v>
      </c>
      <c r="K319">
        <v>1</v>
      </c>
      <c r="L319">
        <v>2</v>
      </c>
      <c r="M319">
        <v>4</v>
      </c>
      <c r="N319">
        <v>4</v>
      </c>
      <c r="O319">
        <v>92</v>
      </c>
    </row>
    <row r="320" spans="1:15" x14ac:dyDescent="0.2">
      <c r="A320" t="s">
        <v>115</v>
      </c>
      <c r="B320" t="s">
        <v>16</v>
      </c>
      <c r="C320" t="s">
        <v>17</v>
      </c>
      <c r="D320" t="s">
        <v>75</v>
      </c>
      <c r="E320" t="s">
        <v>114</v>
      </c>
      <c r="F320">
        <v>3</v>
      </c>
      <c r="G320" t="s">
        <v>73</v>
      </c>
      <c r="H320" t="s">
        <v>23</v>
      </c>
      <c r="I320">
        <v>0</v>
      </c>
      <c r="J320">
        <v>1</v>
      </c>
      <c r="K320">
        <v>1</v>
      </c>
      <c r="L320">
        <v>2</v>
      </c>
      <c r="M320">
        <v>4</v>
      </c>
      <c r="N320">
        <v>4</v>
      </c>
      <c r="O320">
        <v>92</v>
      </c>
    </row>
    <row r="321" spans="1:15" x14ac:dyDescent="0.2">
      <c r="A321" t="s">
        <v>115</v>
      </c>
      <c r="B321" t="s">
        <v>16</v>
      </c>
      <c r="C321" t="s">
        <v>17</v>
      </c>
      <c r="D321" t="s">
        <v>75</v>
      </c>
      <c r="E321" t="s">
        <v>114</v>
      </c>
      <c r="F321">
        <v>3</v>
      </c>
      <c r="G321" t="s">
        <v>73</v>
      </c>
      <c r="H321" t="s">
        <v>24</v>
      </c>
      <c r="I321">
        <v>0</v>
      </c>
      <c r="J321">
        <v>0</v>
      </c>
      <c r="K321">
        <v>0</v>
      </c>
      <c r="L321">
        <v>2</v>
      </c>
      <c r="M321">
        <v>4</v>
      </c>
      <c r="N321">
        <v>4</v>
      </c>
      <c r="O321">
        <v>92</v>
      </c>
    </row>
    <row r="322" spans="1:15" x14ac:dyDescent="0.2">
      <c r="A322" t="s">
        <v>112</v>
      </c>
      <c r="B322" t="s">
        <v>37</v>
      </c>
      <c r="C322" t="s">
        <v>17</v>
      </c>
      <c r="D322" t="s">
        <v>75</v>
      </c>
      <c r="E322" t="s">
        <v>106</v>
      </c>
      <c r="F322">
        <v>3</v>
      </c>
      <c r="G322" t="s">
        <v>19</v>
      </c>
      <c r="H322" t="s">
        <v>20</v>
      </c>
      <c r="I322">
        <v>668</v>
      </c>
      <c r="J322">
        <v>43</v>
      </c>
      <c r="K322">
        <v>0</v>
      </c>
      <c r="L322">
        <v>879</v>
      </c>
      <c r="M322">
        <v>79</v>
      </c>
      <c r="N322">
        <v>0</v>
      </c>
      <c r="O322">
        <v>995</v>
      </c>
    </row>
    <row r="323" spans="1:15" x14ac:dyDescent="0.2">
      <c r="A323" t="s">
        <v>112</v>
      </c>
      <c r="B323" t="s">
        <v>37</v>
      </c>
      <c r="C323" t="s">
        <v>17</v>
      </c>
      <c r="D323" t="s">
        <v>75</v>
      </c>
      <c r="E323" t="s">
        <v>106</v>
      </c>
      <c r="F323">
        <v>3</v>
      </c>
      <c r="G323" t="s">
        <v>19</v>
      </c>
      <c r="H323" t="s">
        <v>21</v>
      </c>
      <c r="I323">
        <v>104</v>
      </c>
      <c r="J323">
        <v>12</v>
      </c>
      <c r="K323">
        <v>0</v>
      </c>
      <c r="L323">
        <v>879</v>
      </c>
      <c r="M323">
        <v>79</v>
      </c>
      <c r="N323">
        <v>0</v>
      </c>
      <c r="O323">
        <v>995</v>
      </c>
    </row>
    <row r="324" spans="1:15" x14ac:dyDescent="0.2">
      <c r="A324" t="s">
        <v>112</v>
      </c>
      <c r="B324" t="s">
        <v>37</v>
      </c>
      <c r="C324" t="s">
        <v>17</v>
      </c>
      <c r="D324" t="s">
        <v>75</v>
      </c>
      <c r="E324" t="s">
        <v>106</v>
      </c>
      <c r="F324">
        <v>3</v>
      </c>
      <c r="G324" t="s">
        <v>19</v>
      </c>
      <c r="H324" t="s">
        <v>22</v>
      </c>
      <c r="I324">
        <v>33</v>
      </c>
      <c r="J324">
        <v>7</v>
      </c>
      <c r="K324">
        <v>0</v>
      </c>
      <c r="L324">
        <v>879</v>
      </c>
      <c r="M324">
        <v>79</v>
      </c>
      <c r="N324">
        <v>0</v>
      </c>
      <c r="O324">
        <v>995</v>
      </c>
    </row>
    <row r="325" spans="1:15" x14ac:dyDescent="0.2">
      <c r="A325" t="s">
        <v>112</v>
      </c>
      <c r="B325" t="s">
        <v>37</v>
      </c>
      <c r="C325" t="s">
        <v>17</v>
      </c>
      <c r="D325" t="s">
        <v>75</v>
      </c>
      <c r="E325" t="s">
        <v>106</v>
      </c>
      <c r="F325">
        <v>3</v>
      </c>
      <c r="G325" t="s">
        <v>19</v>
      </c>
      <c r="H325" t="s">
        <v>23</v>
      </c>
      <c r="I325">
        <v>74</v>
      </c>
      <c r="J325">
        <v>17</v>
      </c>
      <c r="K325">
        <v>0</v>
      </c>
      <c r="L325">
        <v>879</v>
      </c>
      <c r="M325">
        <v>79</v>
      </c>
      <c r="N325">
        <v>0</v>
      </c>
      <c r="O325">
        <v>995</v>
      </c>
    </row>
    <row r="326" spans="1:15" x14ac:dyDescent="0.2">
      <c r="A326" t="s">
        <v>112</v>
      </c>
      <c r="B326" t="s">
        <v>37</v>
      </c>
      <c r="C326" t="s">
        <v>17</v>
      </c>
      <c r="D326" t="s">
        <v>75</v>
      </c>
      <c r="E326" t="s">
        <v>106</v>
      </c>
      <c r="F326">
        <v>3</v>
      </c>
      <c r="G326" t="s">
        <v>19</v>
      </c>
      <c r="H326" t="s">
        <v>24</v>
      </c>
      <c r="I326">
        <v>0</v>
      </c>
      <c r="J326">
        <v>0</v>
      </c>
      <c r="K326">
        <v>0</v>
      </c>
      <c r="L326">
        <v>879</v>
      </c>
      <c r="M326">
        <v>79</v>
      </c>
      <c r="N326">
        <v>0</v>
      </c>
      <c r="O326">
        <v>995</v>
      </c>
    </row>
    <row r="327" spans="1:15" x14ac:dyDescent="0.2">
      <c r="A327" t="s">
        <v>112</v>
      </c>
      <c r="B327" t="s">
        <v>37</v>
      </c>
      <c r="C327" t="s">
        <v>17</v>
      </c>
      <c r="D327" t="s">
        <v>75</v>
      </c>
      <c r="E327" t="s">
        <v>105</v>
      </c>
      <c r="F327">
        <v>3</v>
      </c>
      <c r="G327" t="s">
        <v>79</v>
      </c>
      <c r="H327" t="s">
        <v>20</v>
      </c>
      <c r="I327">
        <v>106</v>
      </c>
      <c r="J327">
        <v>26</v>
      </c>
      <c r="K327">
        <v>13</v>
      </c>
      <c r="L327">
        <v>128</v>
      </c>
      <c r="M327">
        <v>41</v>
      </c>
      <c r="N327">
        <v>22</v>
      </c>
      <c r="O327">
        <v>480</v>
      </c>
    </row>
    <row r="328" spans="1:15" x14ac:dyDescent="0.2">
      <c r="A328" t="s">
        <v>112</v>
      </c>
      <c r="B328" t="s">
        <v>37</v>
      </c>
      <c r="C328" t="s">
        <v>17</v>
      </c>
      <c r="D328" t="s">
        <v>75</v>
      </c>
      <c r="E328" t="s">
        <v>105</v>
      </c>
      <c r="F328">
        <v>3</v>
      </c>
      <c r="G328" t="s">
        <v>79</v>
      </c>
      <c r="H328" t="s">
        <v>21</v>
      </c>
      <c r="I328">
        <v>12</v>
      </c>
      <c r="J328">
        <v>8</v>
      </c>
      <c r="K328">
        <v>4</v>
      </c>
      <c r="L328">
        <v>128</v>
      </c>
      <c r="M328">
        <v>41</v>
      </c>
      <c r="N328">
        <v>22</v>
      </c>
      <c r="O328">
        <v>480</v>
      </c>
    </row>
    <row r="329" spans="1:15" x14ac:dyDescent="0.2">
      <c r="A329" t="s">
        <v>112</v>
      </c>
      <c r="B329" t="s">
        <v>37</v>
      </c>
      <c r="C329" t="s">
        <v>17</v>
      </c>
      <c r="D329" t="s">
        <v>75</v>
      </c>
      <c r="E329" t="s">
        <v>105</v>
      </c>
      <c r="F329">
        <v>3</v>
      </c>
      <c r="G329" t="s">
        <v>79</v>
      </c>
      <c r="H329" t="s">
        <v>22</v>
      </c>
      <c r="I329">
        <v>5</v>
      </c>
      <c r="J329">
        <v>1</v>
      </c>
      <c r="K329">
        <v>1</v>
      </c>
      <c r="L329">
        <v>128</v>
      </c>
      <c r="M329">
        <v>41</v>
      </c>
      <c r="N329">
        <v>22</v>
      </c>
      <c r="O329">
        <v>480</v>
      </c>
    </row>
    <row r="330" spans="1:15" x14ac:dyDescent="0.2">
      <c r="A330" t="s">
        <v>112</v>
      </c>
      <c r="B330" t="s">
        <v>37</v>
      </c>
      <c r="C330" t="s">
        <v>17</v>
      </c>
      <c r="D330" t="s">
        <v>75</v>
      </c>
      <c r="E330" t="s">
        <v>105</v>
      </c>
      <c r="F330">
        <v>3</v>
      </c>
      <c r="G330" t="s">
        <v>79</v>
      </c>
      <c r="H330" t="s">
        <v>23</v>
      </c>
      <c r="I330">
        <v>5</v>
      </c>
      <c r="J330">
        <v>6</v>
      </c>
      <c r="K330">
        <v>4</v>
      </c>
      <c r="L330">
        <v>128</v>
      </c>
      <c r="M330">
        <v>41</v>
      </c>
      <c r="N330">
        <v>22</v>
      </c>
      <c r="O330">
        <v>480</v>
      </c>
    </row>
    <row r="331" spans="1:15" x14ac:dyDescent="0.2">
      <c r="A331" t="s">
        <v>112</v>
      </c>
      <c r="B331" t="s">
        <v>37</v>
      </c>
      <c r="C331" t="s">
        <v>17</v>
      </c>
      <c r="D331" t="s">
        <v>75</v>
      </c>
      <c r="E331" t="s">
        <v>105</v>
      </c>
      <c r="F331">
        <v>3</v>
      </c>
      <c r="G331" t="s">
        <v>79</v>
      </c>
      <c r="H331" t="s">
        <v>24</v>
      </c>
      <c r="I331">
        <v>0</v>
      </c>
      <c r="J331">
        <v>0</v>
      </c>
      <c r="K331">
        <v>0</v>
      </c>
      <c r="L331">
        <v>128</v>
      </c>
      <c r="M331">
        <v>41</v>
      </c>
      <c r="N331">
        <v>22</v>
      </c>
      <c r="O331">
        <v>480</v>
      </c>
    </row>
    <row r="332" spans="1:15" x14ac:dyDescent="0.2">
      <c r="A332" t="s">
        <v>112</v>
      </c>
      <c r="B332" t="s">
        <v>37</v>
      </c>
      <c r="C332" t="s">
        <v>17</v>
      </c>
      <c r="D332" t="s">
        <v>75</v>
      </c>
      <c r="E332" t="s">
        <v>104</v>
      </c>
      <c r="F332">
        <v>3</v>
      </c>
      <c r="G332" t="s">
        <v>77</v>
      </c>
      <c r="H332" t="s">
        <v>20</v>
      </c>
      <c r="I332">
        <v>104</v>
      </c>
      <c r="J332">
        <v>16</v>
      </c>
      <c r="K332">
        <v>11</v>
      </c>
      <c r="L332">
        <v>127</v>
      </c>
      <c r="M332">
        <v>41</v>
      </c>
      <c r="N332">
        <v>25</v>
      </c>
      <c r="O332">
        <v>470</v>
      </c>
    </row>
    <row r="333" spans="1:15" x14ac:dyDescent="0.2">
      <c r="A333" t="s">
        <v>112</v>
      </c>
      <c r="B333" t="s">
        <v>37</v>
      </c>
      <c r="C333" t="s">
        <v>17</v>
      </c>
      <c r="D333" t="s">
        <v>75</v>
      </c>
      <c r="E333" t="s">
        <v>104</v>
      </c>
      <c r="F333">
        <v>3</v>
      </c>
      <c r="G333" t="s">
        <v>77</v>
      </c>
      <c r="H333" t="s">
        <v>21</v>
      </c>
      <c r="I333">
        <v>13</v>
      </c>
      <c r="J333">
        <v>16</v>
      </c>
      <c r="K333">
        <v>8</v>
      </c>
      <c r="L333">
        <v>127</v>
      </c>
      <c r="M333">
        <v>41</v>
      </c>
      <c r="N333">
        <v>25</v>
      </c>
      <c r="O333">
        <v>470</v>
      </c>
    </row>
    <row r="334" spans="1:15" x14ac:dyDescent="0.2">
      <c r="A334" t="s">
        <v>112</v>
      </c>
      <c r="B334" t="s">
        <v>37</v>
      </c>
      <c r="C334" t="s">
        <v>17</v>
      </c>
      <c r="D334" t="s">
        <v>75</v>
      </c>
      <c r="E334" t="s">
        <v>104</v>
      </c>
      <c r="F334">
        <v>3</v>
      </c>
      <c r="G334" t="s">
        <v>77</v>
      </c>
      <c r="H334" t="s">
        <v>22</v>
      </c>
      <c r="I334">
        <v>3</v>
      </c>
      <c r="J334">
        <v>5</v>
      </c>
      <c r="K334">
        <v>4</v>
      </c>
      <c r="L334">
        <v>127</v>
      </c>
      <c r="M334">
        <v>41</v>
      </c>
      <c r="N334">
        <v>25</v>
      </c>
      <c r="O334">
        <v>470</v>
      </c>
    </row>
    <row r="335" spans="1:15" x14ac:dyDescent="0.2">
      <c r="A335" t="s">
        <v>112</v>
      </c>
      <c r="B335" t="s">
        <v>37</v>
      </c>
      <c r="C335" t="s">
        <v>17</v>
      </c>
      <c r="D335" t="s">
        <v>75</v>
      </c>
      <c r="E335" t="s">
        <v>104</v>
      </c>
      <c r="F335">
        <v>3</v>
      </c>
      <c r="G335" t="s">
        <v>77</v>
      </c>
      <c r="H335" t="s">
        <v>23</v>
      </c>
      <c r="I335">
        <v>7</v>
      </c>
      <c r="J335">
        <v>4</v>
      </c>
      <c r="K335">
        <v>2</v>
      </c>
      <c r="L335">
        <v>127</v>
      </c>
      <c r="M335">
        <v>41</v>
      </c>
      <c r="N335">
        <v>25</v>
      </c>
      <c r="O335">
        <v>470</v>
      </c>
    </row>
    <row r="336" spans="1:15" x14ac:dyDescent="0.2">
      <c r="A336" t="s">
        <v>112</v>
      </c>
      <c r="B336" t="s">
        <v>37</v>
      </c>
      <c r="C336" t="s">
        <v>17</v>
      </c>
      <c r="D336" t="s">
        <v>75</v>
      </c>
      <c r="E336" t="s">
        <v>104</v>
      </c>
      <c r="F336">
        <v>3</v>
      </c>
      <c r="G336" t="s">
        <v>77</v>
      </c>
      <c r="H336" t="s">
        <v>24</v>
      </c>
      <c r="I336">
        <v>0</v>
      </c>
      <c r="J336">
        <v>0</v>
      </c>
      <c r="K336">
        <v>0</v>
      </c>
      <c r="L336">
        <v>127</v>
      </c>
      <c r="M336">
        <v>41</v>
      </c>
      <c r="N336">
        <v>25</v>
      </c>
      <c r="O336">
        <v>470</v>
      </c>
    </row>
    <row r="337" spans="1:15" x14ac:dyDescent="0.2">
      <c r="A337" t="s">
        <v>112</v>
      </c>
      <c r="B337" t="s">
        <v>37</v>
      </c>
      <c r="C337" t="s">
        <v>17</v>
      </c>
      <c r="D337" t="s">
        <v>75</v>
      </c>
      <c r="E337" t="s">
        <v>102</v>
      </c>
      <c r="F337">
        <v>3</v>
      </c>
      <c r="G337" t="s">
        <v>73</v>
      </c>
      <c r="H337" t="s">
        <v>20</v>
      </c>
      <c r="I337">
        <v>82</v>
      </c>
      <c r="J337">
        <v>4</v>
      </c>
      <c r="K337">
        <v>1</v>
      </c>
      <c r="L337">
        <v>130</v>
      </c>
      <c r="M337">
        <v>25</v>
      </c>
      <c r="N337">
        <v>13</v>
      </c>
      <c r="O337">
        <v>448</v>
      </c>
    </row>
    <row r="338" spans="1:15" x14ac:dyDescent="0.2">
      <c r="A338" t="s">
        <v>112</v>
      </c>
      <c r="B338" t="s">
        <v>37</v>
      </c>
      <c r="C338" t="s">
        <v>17</v>
      </c>
      <c r="D338" t="s">
        <v>75</v>
      </c>
      <c r="E338" t="s">
        <v>102</v>
      </c>
      <c r="F338">
        <v>3</v>
      </c>
      <c r="G338" t="s">
        <v>73</v>
      </c>
      <c r="H338" t="s">
        <v>21</v>
      </c>
      <c r="I338">
        <v>29</v>
      </c>
      <c r="J338">
        <v>8</v>
      </c>
      <c r="K338">
        <v>5</v>
      </c>
      <c r="L338">
        <v>130</v>
      </c>
      <c r="M338">
        <v>25</v>
      </c>
      <c r="N338">
        <v>13</v>
      </c>
      <c r="O338">
        <v>448</v>
      </c>
    </row>
    <row r="339" spans="1:15" x14ac:dyDescent="0.2">
      <c r="A339" t="s">
        <v>112</v>
      </c>
      <c r="B339" t="s">
        <v>37</v>
      </c>
      <c r="C339" t="s">
        <v>17</v>
      </c>
      <c r="D339" t="s">
        <v>75</v>
      </c>
      <c r="E339" t="s">
        <v>102</v>
      </c>
      <c r="F339">
        <v>3</v>
      </c>
      <c r="G339" t="s">
        <v>73</v>
      </c>
      <c r="H339" t="s">
        <v>22</v>
      </c>
      <c r="I339">
        <v>7</v>
      </c>
      <c r="J339">
        <v>6</v>
      </c>
      <c r="K339">
        <v>4</v>
      </c>
      <c r="L339">
        <v>130</v>
      </c>
      <c r="M339">
        <v>25</v>
      </c>
      <c r="N339">
        <v>13</v>
      </c>
      <c r="O339">
        <v>448</v>
      </c>
    </row>
    <row r="340" spans="1:15" x14ac:dyDescent="0.2">
      <c r="A340" t="s">
        <v>112</v>
      </c>
      <c r="B340" t="s">
        <v>37</v>
      </c>
      <c r="C340" t="s">
        <v>17</v>
      </c>
      <c r="D340" t="s">
        <v>75</v>
      </c>
      <c r="E340" t="s">
        <v>102</v>
      </c>
      <c r="F340">
        <v>3</v>
      </c>
      <c r="G340" t="s">
        <v>73</v>
      </c>
      <c r="H340" t="s">
        <v>23</v>
      </c>
      <c r="I340">
        <v>12</v>
      </c>
      <c r="J340">
        <v>7</v>
      </c>
      <c r="K340">
        <v>3</v>
      </c>
      <c r="L340">
        <v>130</v>
      </c>
      <c r="M340">
        <v>25</v>
      </c>
      <c r="N340">
        <v>13</v>
      </c>
      <c r="O340">
        <v>448</v>
      </c>
    </row>
    <row r="341" spans="1:15" x14ac:dyDescent="0.2">
      <c r="A341" t="s">
        <v>112</v>
      </c>
      <c r="B341" t="s">
        <v>37</v>
      </c>
      <c r="C341" t="s">
        <v>17</v>
      </c>
      <c r="D341" t="s">
        <v>75</v>
      </c>
      <c r="E341" t="s">
        <v>102</v>
      </c>
      <c r="F341">
        <v>3</v>
      </c>
      <c r="G341" t="s">
        <v>73</v>
      </c>
      <c r="H341" t="s">
        <v>24</v>
      </c>
      <c r="I341">
        <v>0</v>
      </c>
      <c r="J341">
        <v>0</v>
      </c>
      <c r="K341">
        <v>0</v>
      </c>
      <c r="L341">
        <v>130</v>
      </c>
      <c r="M341">
        <v>25</v>
      </c>
      <c r="N341">
        <v>13</v>
      </c>
      <c r="O341">
        <v>448</v>
      </c>
    </row>
    <row r="342" spans="1:15" x14ac:dyDescent="0.2">
      <c r="A342" t="s">
        <v>100</v>
      </c>
      <c r="B342" t="s">
        <v>37</v>
      </c>
      <c r="C342" t="s">
        <v>17</v>
      </c>
      <c r="D342" t="s">
        <v>75</v>
      </c>
      <c r="E342" t="s">
        <v>94</v>
      </c>
      <c r="F342">
        <v>3</v>
      </c>
      <c r="G342" t="s">
        <v>19</v>
      </c>
      <c r="H342" t="s">
        <v>20</v>
      </c>
      <c r="I342">
        <v>40</v>
      </c>
      <c r="J342">
        <v>16</v>
      </c>
      <c r="K342">
        <v>0</v>
      </c>
      <c r="L342">
        <v>60</v>
      </c>
      <c r="M342">
        <v>19</v>
      </c>
      <c r="N342">
        <v>0</v>
      </c>
      <c r="O342">
        <v>994</v>
      </c>
    </row>
    <row r="343" spans="1:15" x14ac:dyDescent="0.2">
      <c r="A343" t="s">
        <v>100</v>
      </c>
      <c r="B343" t="s">
        <v>37</v>
      </c>
      <c r="C343" t="s">
        <v>17</v>
      </c>
      <c r="D343" t="s">
        <v>75</v>
      </c>
      <c r="E343" t="s">
        <v>94</v>
      </c>
      <c r="F343">
        <v>3</v>
      </c>
      <c r="G343" t="s">
        <v>19</v>
      </c>
      <c r="H343" t="s">
        <v>21</v>
      </c>
      <c r="I343">
        <v>8</v>
      </c>
      <c r="J343">
        <v>1</v>
      </c>
      <c r="K343">
        <v>0</v>
      </c>
      <c r="L343">
        <v>60</v>
      </c>
      <c r="M343">
        <v>19</v>
      </c>
      <c r="N343">
        <v>0</v>
      </c>
      <c r="O343">
        <v>994</v>
      </c>
    </row>
    <row r="344" spans="1:15" x14ac:dyDescent="0.2">
      <c r="A344" t="s">
        <v>100</v>
      </c>
      <c r="B344" t="s">
        <v>37</v>
      </c>
      <c r="C344" t="s">
        <v>17</v>
      </c>
      <c r="D344" t="s">
        <v>75</v>
      </c>
      <c r="E344" t="s">
        <v>94</v>
      </c>
      <c r="F344">
        <v>3</v>
      </c>
      <c r="G344" t="s">
        <v>19</v>
      </c>
      <c r="H344" t="s">
        <v>22</v>
      </c>
      <c r="I344">
        <v>5</v>
      </c>
      <c r="J344">
        <v>1</v>
      </c>
      <c r="K344">
        <v>0</v>
      </c>
      <c r="L344">
        <v>60</v>
      </c>
      <c r="M344">
        <v>19</v>
      </c>
      <c r="N344">
        <v>0</v>
      </c>
      <c r="O344">
        <v>994</v>
      </c>
    </row>
    <row r="345" spans="1:15" x14ac:dyDescent="0.2">
      <c r="A345" t="s">
        <v>100</v>
      </c>
      <c r="B345" t="s">
        <v>37</v>
      </c>
      <c r="C345" t="s">
        <v>17</v>
      </c>
      <c r="D345" t="s">
        <v>75</v>
      </c>
      <c r="E345" t="s">
        <v>94</v>
      </c>
      <c r="F345">
        <v>3</v>
      </c>
      <c r="G345" t="s">
        <v>19</v>
      </c>
      <c r="H345" t="s">
        <v>23</v>
      </c>
      <c r="I345">
        <v>7</v>
      </c>
      <c r="J345">
        <v>1</v>
      </c>
      <c r="K345">
        <v>0</v>
      </c>
      <c r="L345">
        <v>60</v>
      </c>
      <c r="M345">
        <v>19</v>
      </c>
      <c r="N345">
        <v>0</v>
      </c>
      <c r="O345">
        <v>994</v>
      </c>
    </row>
    <row r="346" spans="1:15" x14ac:dyDescent="0.2">
      <c r="A346" t="s">
        <v>100</v>
      </c>
      <c r="B346" t="s">
        <v>37</v>
      </c>
      <c r="C346" t="s">
        <v>17</v>
      </c>
      <c r="D346" t="s">
        <v>75</v>
      </c>
      <c r="E346" t="s">
        <v>94</v>
      </c>
      <c r="F346">
        <v>3</v>
      </c>
      <c r="G346" t="s">
        <v>19</v>
      </c>
      <c r="H346" t="s">
        <v>24</v>
      </c>
      <c r="I346">
        <v>0</v>
      </c>
      <c r="J346">
        <v>0</v>
      </c>
      <c r="K346">
        <v>0</v>
      </c>
      <c r="L346">
        <v>60</v>
      </c>
      <c r="M346">
        <v>19</v>
      </c>
      <c r="N346">
        <v>0</v>
      </c>
      <c r="O346">
        <v>994</v>
      </c>
    </row>
    <row r="347" spans="1:15" x14ac:dyDescent="0.2">
      <c r="A347" t="s">
        <v>100</v>
      </c>
      <c r="B347" t="s">
        <v>37</v>
      </c>
      <c r="C347" t="s">
        <v>17</v>
      </c>
      <c r="D347" t="s">
        <v>75</v>
      </c>
      <c r="E347" t="s">
        <v>93</v>
      </c>
      <c r="F347">
        <v>3</v>
      </c>
      <c r="G347" t="s">
        <v>79</v>
      </c>
      <c r="H347" t="s">
        <v>20</v>
      </c>
      <c r="I347">
        <v>8</v>
      </c>
      <c r="J347">
        <v>11</v>
      </c>
      <c r="K347">
        <v>10</v>
      </c>
      <c r="L347">
        <v>17</v>
      </c>
      <c r="M347">
        <v>18</v>
      </c>
      <c r="N347">
        <v>15</v>
      </c>
      <c r="O347">
        <v>893</v>
      </c>
    </row>
    <row r="348" spans="1:15" x14ac:dyDescent="0.2">
      <c r="A348" t="s">
        <v>100</v>
      </c>
      <c r="B348" t="s">
        <v>37</v>
      </c>
      <c r="C348" t="s">
        <v>17</v>
      </c>
      <c r="D348" t="s">
        <v>75</v>
      </c>
      <c r="E348" t="s">
        <v>93</v>
      </c>
      <c r="F348">
        <v>3</v>
      </c>
      <c r="G348" t="s">
        <v>79</v>
      </c>
      <c r="H348" t="s">
        <v>21</v>
      </c>
      <c r="I348">
        <v>7</v>
      </c>
      <c r="J348">
        <v>3</v>
      </c>
      <c r="K348">
        <v>1</v>
      </c>
      <c r="L348">
        <v>17</v>
      </c>
      <c r="M348">
        <v>18</v>
      </c>
      <c r="N348">
        <v>15</v>
      </c>
      <c r="O348">
        <v>893</v>
      </c>
    </row>
    <row r="349" spans="1:15" x14ac:dyDescent="0.2">
      <c r="A349" t="s">
        <v>100</v>
      </c>
      <c r="B349" t="s">
        <v>37</v>
      </c>
      <c r="C349" t="s">
        <v>17</v>
      </c>
      <c r="D349" t="s">
        <v>75</v>
      </c>
      <c r="E349" t="s">
        <v>93</v>
      </c>
      <c r="F349">
        <v>3</v>
      </c>
      <c r="G349" t="s">
        <v>79</v>
      </c>
      <c r="H349" t="s">
        <v>22</v>
      </c>
      <c r="I349">
        <v>0</v>
      </c>
      <c r="J349">
        <v>2</v>
      </c>
      <c r="K349">
        <v>2</v>
      </c>
      <c r="L349">
        <v>17</v>
      </c>
      <c r="M349">
        <v>18</v>
      </c>
      <c r="N349">
        <v>15</v>
      </c>
      <c r="O349">
        <v>893</v>
      </c>
    </row>
    <row r="350" spans="1:15" x14ac:dyDescent="0.2">
      <c r="A350" t="s">
        <v>100</v>
      </c>
      <c r="B350" t="s">
        <v>37</v>
      </c>
      <c r="C350" t="s">
        <v>17</v>
      </c>
      <c r="D350" t="s">
        <v>75</v>
      </c>
      <c r="E350" t="s">
        <v>93</v>
      </c>
      <c r="F350">
        <v>3</v>
      </c>
      <c r="G350" t="s">
        <v>79</v>
      </c>
      <c r="H350" t="s">
        <v>23</v>
      </c>
      <c r="I350">
        <v>2</v>
      </c>
      <c r="J350">
        <v>2</v>
      </c>
      <c r="K350">
        <v>2</v>
      </c>
      <c r="L350">
        <v>17</v>
      </c>
      <c r="M350">
        <v>18</v>
      </c>
      <c r="N350">
        <v>15</v>
      </c>
      <c r="O350">
        <v>893</v>
      </c>
    </row>
    <row r="351" spans="1:15" x14ac:dyDescent="0.2">
      <c r="A351" t="s">
        <v>100</v>
      </c>
      <c r="B351" t="s">
        <v>37</v>
      </c>
      <c r="C351" t="s">
        <v>17</v>
      </c>
      <c r="D351" t="s">
        <v>75</v>
      </c>
      <c r="E351" t="s">
        <v>93</v>
      </c>
      <c r="F351">
        <v>3</v>
      </c>
      <c r="G351" t="s">
        <v>79</v>
      </c>
      <c r="H351" t="s">
        <v>24</v>
      </c>
      <c r="I351">
        <v>0</v>
      </c>
      <c r="J351">
        <v>0</v>
      </c>
      <c r="K351">
        <v>0</v>
      </c>
      <c r="L351">
        <v>17</v>
      </c>
      <c r="M351">
        <v>18</v>
      </c>
      <c r="N351">
        <v>15</v>
      </c>
      <c r="O351">
        <v>893</v>
      </c>
    </row>
    <row r="352" spans="1:15" x14ac:dyDescent="0.2">
      <c r="A352" t="s">
        <v>100</v>
      </c>
      <c r="B352" t="s">
        <v>37</v>
      </c>
      <c r="C352" t="s">
        <v>17</v>
      </c>
      <c r="D352" t="s">
        <v>75</v>
      </c>
      <c r="E352" t="s">
        <v>92</v>
      </c>
      <c r="F352">
        <v>3</v>
      </c>
      <c r="G352" t="s">
        <v>77</v>
      </c>
      <c r="H352" t="s">
        <v>20</v>
      </c>
      <c r="I352">
        <v>8</v>
      </c>
      <c r="J352">
        <v>14</v>
      </c>
      <c r="K352">
        <v>10</v>
      </c>
      <c r="L352">
        <v>14</v>
      </c>
      <c r="M352">
        <v>18</v>
      </c>
      <c r="N352">
        <v>14</v>
      </c>
      <c r="O352">
        <v>874</v>
      </c>
    </row>
    <row r="353" spans="1:15" x14ac:dyDescent="0.2">
      <c r="A353" t="s">
        <v>100</v>
      </c>
      <c r="B353" t="s">
        <v>37</v>
      </c>
      <c r="C353" t="s">
        <v>17</v>
      </c>
      <c r="D353" t="s">
        <v>75</v>
      </c>
      <c r="E353" t="s">
        <v>92</v>
      </c>
      <c r="F353">
        <v>3</v>
      </c>
      <c r="G353" t="s">
        <v>77</v>
      </c>
      <c r="H353" t="s">
        <v>21</v>
      </c>
      <c r="I353">
        <v>3</v>
      </c>
      <c r="J353">
        <v>2</v>
      </c>
      <c r="K353">
        <v>2</v>
      </c>
      <c r="L353">
        <v>14</v>
      </c>
      <c r="M353">
        <v>18</v>
      </c>
      <c r="N353">
        <v>14</v>
      </c>
      <c r="O353">
        <v>874</v>
      </c>
    </row>
    <row r="354" spans="1:15" x14ac:dyDescent="0.2">
      <c r="A354" t="s">
        <v>100</v>
      </c>
      <c r="B354" t="s">
        <v>37</v>
      </c>
      <c r="C354" t="s">
        <v>17</v>
      </c>
      <c r="D354" t="s">
        <v>75</v>
      </c>
      <c r="E354" t="s">
        <v>92</v>
      </c>
      <c r="F354">
        <v>3</v>
      </c>
      <c r="G354" t="s">
        <v>77</v>
      </c>
      <c r="H354" t="s">
        <v>22</v>
      </c>
      <c r="I354">
        <v>0</v>
      </c>
      <c r="J354">
        <v>0</v>
      </c>
      <c r="K354">
        <v>0</v>
      </c>
      <c r="L354">
        <v>14</v>
      </c>
      <c r="M354">
        <v>18</v>
      </c>
      <c r="N354">
        <v>14</v>
      </c>
      <c r="O354">
        <v>874</v>
      </c>
    </row>
    <row r="355" spans="1:15" x14ac:dyDescent="0.2">
      <c r="A355" t="s">
        <v>100</v>
      </c>
      <c r="B355" t="s">
        <v>37</v>
      </c>
      <c r="C355" t="s">
        <v>17</v>
      </c>
      <c r="D355" t="s">
        <v>75</v>
      </c>
      <c r="E355" t="s">
        <v>92</v>
      </c>
      <c r="F355">
        <v>3</v>
      </c>
      <c r="G355" t="s">
        <v>77</v>
      </c>
      <c r="H355" t="s">
        <v>23</v>
      </c>
      <c r="I355">
        <v>3</v>
      </c>
      <c r="J355">
        <v>2</v>
      </c>
      <c r="K355">
        <v>2</v>
      </c>
      <c r="L355">
        <v>14</v>
      </c>
      <c r="M355">
        <v>18</v>
      </c>
      <c r="N355">
        <v>14</v>
      </c>
      <c r="O355">
        <v>874</v>
      </c>
    </row>
    <row r="356" spans="1:15" x14ac:dyDescent="0.2">
      <c r="A356" t="s">
        <v>100</v>
      </c>
      <c r="B356" t="s">
        <v>37</v>
      </c>
      <c r="C356" t="s">
        <v>17</v>
      </c>
      <c r="D356" t="s">
        <v>75</v>
      </c>
      <c r="E356" t="s">
        <v>92</v>
      </c>
      <c r="F356">
        <v>3</v>
      </c>
      <c r="G356" t="s">
        <v>77</v>
      </c>
      <c r="H356" t="s">
        <v>24</v>
      </c>
      <c r="I356">
        <v>0</v>
      </c>
      <c r="J356">
        <v>0</v>
      </c>
      <c r="K356">
        <v>0</v>
      </c>
      <c r="L356">
        <v>14</v>
      </c>
      <c r="M356">
        <v>18</v>
      </c>
      <c r="N356">
        <v>14</v>
      </c>
      <c r="O356">
        <v>874</v>
      </c>
    </row>
    <row r="357" spans="1:15" x14ac:dyDescent="0.2">
      <c r="A357" t="s">
        <v>100</v>
      </c>
      <c r="B357" t="s">
        <v>37</v>
      </c>
      <c r="C357" t="s">
        <v>17</v>
      </c>
      <c r="D357" t="s">
        <v>75</v>
      </c>
      <c r="E357" t="s">
        <v>90</v>
      </c>
      <c r="F357">
        <v>3</v>
      </c>
      <c r="G357" t="s">
        <v>73</v>
      </c>
      <c r="H357" t="s">
        <v>20</v>
      </c>
      <c r="I357">
        <v>4</v>
      </c>
      <c r="J357">
        <v>2</v>
      </c>
      <c r="K357">
        <v>0</v>
      </c>
      <c r="L357">
        <v>11</v>
      </c>
      <c r="M357">
        <v>7</v>
      </c>
      <c r="N357">
        <v>4</v>
      </c>
      <c r="O357">
        <v>860</v>
      </c>
    </row>
    <row r="358" spans="1:15" x14ac:dyDescent="0.2">
      <c r="A358" t="s">
        <v>100</v>
      </c>
      <c r="B358" t="s">
        <v>37</v>
      </c>
      <c r="C358" t="s">
        <v>17</v>
      </c>
      <c r="D358" t="s">
        <v>75</v>
      </c>
      <c r="E358" t="s">
        <v>90</v>
      </c>
      <c r="F358">
        <v>3</v>
      </c>
      <c r="G358" t="s">
        <v>73</v>
      </c>
      <c r="H358" t="s">
        <v>21</v>
      </c>
      <c r="I358">
        <v>5</v>
      </c>
      <c r="J358">
        <v>4</v>
      </c>
      <c r="K358">
        <v>3</v>
      </c>
      <c r="L358">
        <v>11</v>
      </c>
      <c r="M358">
        <v>7</v>
      </c>
      <c r="N358">
        <v>4</v>
      </c>
      <c r="O358">
        <v>860</v>
      </c>
    </row>
    <row r="359" spans="1:15" x14ac:dyDescent="0.2">
      <c r="A359" t="s">
        <v>100</v>
      </c>
      <c r="B359" t="s">
        <v>37</v>
      </c>
      <c r="C359" t="s">
        <v>17</v>
      </c>
      <c r="D359" t="s">
        <v>75</v>
      </c>
      <c r="E359" t="s">
        <v>90</v>
      </c>
      <c r="F359">
        <v>3</v>
      </c>
      <c r="G359" t="s">
        <v>73</v>
      </c>
      <c r="H359" t="s">
        <v>22</v>
      </c>
      <c r="I359">
        <v>1</v>
      </c>
      <c r="J359">
        <v>1</v>
      </c>
      <c r="K359">
        <v>1</v>
      </c>
      <c r="L359">
        <v>11</v>
      </c>
      <c r="M359">
        <v>7</v>
      </c>
      <c r="N359">
        <v>4</v>
      </c>
      <c r="O359">
        <v>860</v>
      </c>
    </row>
    <row r="360" spans="1:15" x14ac:dyDescent="0.2">
      <c r="A360" t="s">
        <v>100</v>
      </c>
      <c r="B360" t="s">
        <v>37</v>
      </c>
      <c r="C360" t="s">
        <v>17</v>
      </c>
      <c r="D360" t="s">
        <v>75</v>
      </c>
      <c r="E360" t="s">
        <v>90</v>
      </c>
      <c r="F360">
        <v>3</v>
      </c>
      <c r="G360" t="s">
        <v>73</v>
      </c>
      <c r="H360" t="s">
        <v>23</v>
      </c>
      <c r="I360">
        <v>1</v>
      </c>
      <c r="J360">
        <v>0</v>
      </c>
      <c r="K360">
        <v>0</v>
      </c>
      <c r="L360">
        <v>11</v>
      </c>
      <c r="M360">
        <v>7</v>
      </c>
      <c r="N360">
        <v>4</v>
      </c>
      <c r="O360">
        <v>860</v>
      </c>
    </row>
    <row r="361" spans="1:15" x14ac:dyDescent="0.2">
      <c r="A361" t="s">
        <v>100</v>
      </c>
      <c r="B361" t="s">
        <v>37</v>
      </c>
      <c r="C361" t="s">
        <v>17</v>
      </c>
      <c r="D361" t="s">
        <v>75</v>
      </c>
      <c r="E361" t="s">
        <v>90</v>
      </c>
      <c r="F361">
        <v>3</v>
      </c>
      <c r="G361" t="s">
        <v>73</v>
      </c>
      <c r="H361" t="s">
        <v>24</v>
      </c>
      <c r="I361">
        <v>0</v>
      </c>
      <c r="J361">
        <v>0</v>
      </c>
      <c r="K361">
        <v>0</v>
      </c>
      <c r="L361">
        <v>11</v>
      </c>
      <c r="M361">
        <v>7</v>
      </c>
      <c r="N361">
        <v>4</v>
      </c>
      <c r="O361">
        <v>860</v>
      </c>
    </row>
    <row r="362" spans="1:15" x14ac:dyDescent="0.2">
      <c r="A362" t="s">
        <v>88</v>
      </c>
      <c r="B362" t="s">
        <v>37</v>
      </c>
      <c r="C362" t="s">
        <v>17</v>
      </c>
      <c r="D362" t="s">
        <v>75</v>
      </c>
      <c r="E362" t="s">
        <v>81</v>
      </c>
      <c r="F362">
        <v>3</v>
      </c>
      <c r="G362" t="s">
        <v>19</v>
      </c>
      <c r="H362" t="s">
        <v>20</v>
      </c>
      <c r="I362">
        <v>74</v>
      </c>
      <c r="J362">
        <v>53</v>
      </c>
      <c r="K362">
        <v>0</v>
      </c>
      <c r="L362">
        <v>89</v>
      </c>
      <c r="M362">
        <v>177</v>
      </c>
      <c r="N362">
        <v>0</v>
      </c>
      <c r="O362">
        <v>681</v>
      </c>
    </row>
    <row r="363" spans="1:15" x14ac:dyDescent="0.2">
      <c r="A363" t="s">
        <v>88</v>
      </c>
      <c r="B363" t="s">
        <v>37</v>
      </c>
      <c r="C363" t="s">
        <v>17</v>
      </c>
      <c r="D363" t="s">
        <v>75</v>
      </c>
      <c r="E363" t="s">
        <v>81</v>
      </c>
      <c r="F363">
        <v>3</v>
      </c>
      <c r="G363" t="s">
        <v>19</v>
      </c>
      <c r="H363" t="s">
        <v>21</v>
      </c>
      <c r="I363">
        <v>6</v>
      </c>
      <c r="J363">
        <v>15</v>
      </c>
      <c r="K363">
        <v>0</v>
      </c>
      <c r="L363">
        <v>89</v>
      </c>
      <c r="M363">
        <v>177</v>
      </c>
      <c r="N363">
        <v>0</v>
      </c>
      <c r="O363">
        <v>681</v>
      </c>
    </row>
    <row r="364" spans="1:15" x14ac:dyDescent="0.2">
      <c r="A364" t="s">
        <v>88</v>
      </c>
      <c r="B364" t="s">
        <v>37</v>
      </c>
      <c r="C364" t="s">
        <v>17</v>
      </c>
      <c r="D364" t="s">
        <v>75</v>
      </c>
      <c r="E364" t="s">
        <v>81</v>
      </c>
      <c r="F364">
        <v>3</v>
      </c>
      <c r="G364" t="s">
        <v>19</v>
      </c>
      <c r="H364" t="s">
        <v>22</v>
      </c>
      <c r="I364">
        <v>0</v>
      </c>
      <c r="J364">
        <v>8</v>
      </c>
      <c r="K364">
        <v>0</v>
      </c>
      <c r="L364">
        <v>89</v>
      </c>
      <c r="M364">
        <v>177</v>
      </c>
      <c r="N364">
        <v>0</v>
      </c>
      <c r="O364">
        <v>681</v>
      </c>
    </row>
    <row r="365" spans="1:15" x14ac:dyDescent="0.2">
      <c r="A365" t="s">
        <v>88</v>
      </c>
      <c r="B365" t="s">
        <v>37</v>
      </c>
      <c r="C365" t="s">
        <v>17</v>
      </c>
      <c r="D365" t="s">
        <v>75</v>
      </c>
      <c r="E365" t="s">
        <v>81</v>
      </c>
      <c r="F365">
        <v>3</v>
      </c>
      <c r="G365" t="s">
        <v>19</v>
      </c>
      <c r="H365" t="s">
        <v>23</v>
      </c>
      <c r="I365">
        <v>9</v>
      </c>
      <c r="J365">
        <v>100</v>
      </c>
      <c r="K365">
        <v>0</v>
      </c>
      <c r="L365">
        <v>89</v>
      </c>
      <c r="M365">
        <v>177</v>
      </c>
      <c r="N365">
        <v>0</v>
      </c>
      <c r="O365">
        <v>681</v>
      </c>
    </row>
    <row r="366" spans="1:15" x14ac:dyDescent="0.2">
      <c r="A366" t="s">
        <v>88</v>
      </c>
      <c r="B366" t="s">
        <v>37</v>
      </c>
      <c r="C366" t="s">
        <v>17</v>
      </c>
      <c r="D366" t="s">
        <v>75</v>
      </c>
      <c r="E366" t="s">
        <v>81</v>
      </c>
      <c r="F366">
        <v>3</v>
      </c>
      <c r="G366" t="s">
        <v>19</v>
      </c>
      <c r="H366" t="s">
        <v>24</v>
      </c>
      <c r="I366">
        <v>0</v>
      </c>
      <c r="J366">
        <v>1</v>
      </c>
      <c r="K366">
        <v>0</v>
      </c>
      <c r="L366">
        <v>89</v>
      </c>
      <c r="M366">
        <v>177</v>
      </c>
      <c r="N366">
        <v>0</v>
      </c>
      <c r="O366">
        <v>681</v>
      </c>
    </row>
    <row r="367" spans="1:15" x14ac:dyDescent="0.2">
      <c r="A367" t="s">
        <v>88</v>
      </c>
      <c r="B367" t="s">
        <v>37</v>
      </c>
      <c r="C367" t="s">
        <v>17</v>
      </c>
      <c r="D367" t="s">
        <v>75</v>
      </c>
      <c r="E367" t="s">
        <v>80</v>
      </c>
      <c r="F367">
        <v>3</v>
      </c>
      <c r="G367" t="s">
        <v>79</v>
      </c>
      <c r="H367" t="s">
        <v>20</v>
      </c>
      <c r="I367">
        <v>9</v>
      </c>
      <c r="J367">
        <v>28</v>
      </c>
      <c r="K367">
        <v>22</v>
      </c>
      <c r="L367">
        <v>14</v>
      </c>
      <c r="M367">
        <v>51</v>
      </c>
      <c r="N367">
        <v>35</v>
      </c>
      <c r="O367">
        <v>288</v>
      </c>
    </row>
    <row r="368" spans="1:15" x14ac:dyDescent="0.2">
      <c r="A368" t="s">
        <v>88</v>
      </c>
      <c r="B368" t="s">
        <v>37</v>
      </c>
      <c r="C368" t="s">
        <v>17</v>
      </c>
      <c r="D368" t="s">
        <v>75</v>
      </c>
      <c r="E368" t="s">
        <v>80</v>
      </c>
      <c r="F368">
        <v>3</v>
      </c>
      <c r="G368" t="s">
        <v>79</v>
      </c>
      <c r="H368" t="s">
        <v>21</v>
      </c>
      <c r="I368">
        <v>2</v>
      </c>
      <c r="J368">
        <v>8</v>
      </c>
      <c r="K368">
        <v>6</v>
      </c>
      <c r="L368">
        <v>14</v>
      </c>
      <c r="M368">
        <v>51</v>
      </c>
      <c r="N368">
        <v>35</v>
      </c>
      <c r="O368">
        <v>288</v>
      </c>
    </row>
    <row r="369" spans="1:15" x14ac:dyDescent="0.2">
      <c r="A369" t="s">
        <v>88</v>
      </c>
      <c r="B369" t="s">
        <v>37</v>
      </c>
      <c r="C369" t="s">
        <v>17</v>
      </c>
      <c r="D369" t="s">
        <v>75</v>
      </c>
      <c r="E369" t="s">
        <v>80</v>
      </c>
      <c r="F369">
        <v>3</v>
      </c>
      <c r="G369" t="s">
        <v>79</v>
      </c>
      <c r="H369" t="s">
        <v>22</v>
      </c>
      <c r="I369">
        <v>1</v>
      </c>
      <c r="J369">
        <v>5</v>
      </c>
      <c r="K369">
        <v>1</v>
      </c>
      <c r="L369">
        <v>14</v>
      </c>
      <c r="M369">
        <v>51</v>
      </c>
      <c r="N369">
        <v>35</v>
      </c>
      <c r="O369">
        <v>288</v>
      </c>
    </row>
    <row r="370" spans="1:15" x14ac:dyDescent="0.2">
      <c r="A370" t="s">
        <v>88</v>
      </c>
      <c r="B370" t="s">
        <v>37</v>
      </c>
      <c r="C370" t="s">
        <v>17</v>
      </c>
      <c r="D370" t="s">
        <v>75</v>
      </c>
      <c r="E370" t="s">
        <v>80</v>
      </c>
      <c r="F370">
        <v>3</v>
      </c>
      <c r="G370" t="s">
        <v>79</v>
      </c>
      <c r="H370" t="s">
        <v>23</v>
      </c>
      <c r="I370">
        <v>2</v>
      </c>
      <c r="J370">
        <v>10</v>
      </c>
      <c r="K370">
        <v>6</v>
      </c>
      <c r="L370">
        <v>14</v>
      </c>
      <c r="M370">
        <v>51</v>
      </c>
      <c r="N370">
        <v>35</v>
      </c>
      <c r="O370">
        <v>288</v>
      </c>
    </row>
    <row r="371" spans="1:15" x14ac:dyDescent="0.2">
      <c r="A371" t="s">
        <v>88</v>
      </c>
      <c r="B371" t="s">
        <v>37</v>
      </c>
      <c r="C371" t="s">
        <v>17</v>
      </c>
      <c r="D371" t="s">
        <v>75</v>
      </c>
      <c r="E371" t="s">
        <v>80</v>
      </c>
      <c r="F371">
        <v>3</v>
      </c>
      <c r="G371" t="s">
        <v>79</v>
      </c>
      <c r="H371" t="s">
        <v>24</v>
      </c>
      <c r="I371">
        <v>0</v>
      </c>
      <c r="J371">
        <v>0</v>
      </c>
      <c r="K371">
        <v>0</v>
      </c>
      <c r="L371">
        <v>14</v>
      </c>
      <c r="M371">
        <v>51</v>
      </c>
      <c r="N371">
        <v>35</v>
      </c>
      <c r="O371">
        <v>288</v>
      </c>
    </row>
    <row r="372" spans="1:15" x14ac:dyDescent="0.2">
      <c r="A372" t="s">
        <v>88</v>
      </c>
      <c r="B372" t="s">
        <v>37</v>
      </c>
      <c r="C372" t="s">
        <v>17</v>
      </c>
      <c r="D372" t="s">
        <v>75</v>
      </c>
      <c r="E372" t="s">
        <v>78</v>
      </c>
      <c r="F372">
        <v>3</v>
      </c>
      <c r="G372" t="s">
        <v>77</v>
      </c>
      <c r="H372" t="s">
        <v>20</v>
      </c>
      <c r="I372">
        <v>14</v>
      </c>
      <c r="J372">
        <v>32</v>
      </c>
      <c r="K372">
        <v>23</v>
      </c>
      <c r="L372">
        <v>18</v>
      </c>
      <c r="M372">
        <v>70</v>
      </c>
      <c r="N372">
        <v>42</v>
      </c>
      <c r="O372">
        <v>304</v>
      </c>
    </row>
    <row r="373" spans="1:15" x14ac:dyDescent="0.2">
      <c r="A373" t="s">
        <v>88</v>
      </c>
      <c r="B373" t="s">
        <v>37</v>
      </c>
      <c r="C373" t="s">
        <v>17</v>
      </c>
      <c r="D373" t="s">
        <v>75</v>
      </c>
      <c r="E373" t="s">
        <v>78</v>
      </c>
      <c r="F373">
        <v>3</v>
      </c>
      <c r="G373" t="s">
        <v>77</v>
      </c>
      <c r="H373" t="s">
        <v>21</v>
      </c>
      <c r="I373">
        <v>3</v>
      </c>
      <c r="J373">
        <v>19</v>
      </c>
      <c r="K373">
        <v>10</v>
      </c>
      <c r="L373">
        <v>18</v>
      </c>
      <c r="M373">
        <v>70</v>
      </c>
      <c r="N373">
        <v>42</v>
      </c>
      <c r="O373">
        <v>304</v>
      </c>
    </row>
    <row r="374" spans="1:15" x14ac:dyDescent="0.2">
      <c r="A374" t="s">
        <v>88</v>
      </c>
      <c r="B374" t="s">
        <v>37</v>
      </c>
      <c r="C374" t="s">
        <v>17</v>
      </c>
      <c r="D374" t="s">
        <v>75</v>
      </c>
      <c r="E374" t="s">
        <v>78</v>
      </c>
      <c r="F374">
        <v>3</v>
      </c>
      <c r="G374" t="s">
        <v>77</v>
      </c>
      <c r="H374" t="s">
        <v>22</v>
      </c>
      <c r="I374">
        <v>1</v>
      </c>
      <c r="J374">
        <v>9</v>
      </c>
      <c r="K374">
        <v>3</v>
      </c>
      <c r="L374">
        <v>18</v>
      </c>
      <c r="M374">
        <v>70</v>
      </c>
      <c r="N374">
        <v>42</v>
      </c>
      <c r="O374">
        <v>304</v>
      </c>
    </row>
    <row r="375" spans="1:15" x14ac:dyDescent="0.2">
      <c r="A375" t="s">
        <v>88</v>
      </c>
      <c r="B375" t="s">
        <v>37</v>
      </c>
      <c r="C375" t="s">
        <v>17</v>
      </c>
      <c r="D375" t="s">
        <v>75</v>
      </c>
      <c r="E375" t="s">
        <v>78</v>
      </c>
      <c r="F375">
        <v>3</v>
      </c>
      <c r="G375" t="s">
        <v>77</v>
      </c>
      <c r="H375" t="s">
        <v>23</v>
      </c>
      <c r="I375">
        <v>0</v>
      </c>
      <c r="J375">
        <v>10</v>
      </c>
      <c r="K375">
        <v>6</v>
      </c>
      <c r="L375">
        <v>18</v>
      </c>
      <c r="M375">
        <v>70</v>
      </c>
      <c r="N375">
        <v>42</v>
      </c>
      <c r="O375">
        <v>304</v>
      </c>
    </row>
    <row r="376" spans="1:15" x14ac:dyDescent="0.2">
      <c r="A376" t="s">
        <v>88</v>
      </c>
      <c r="B376" t="s">
        <v>37</v>
      </c>
      <c r="C376" t="s">
        <v>17</v>
      </c>
      <c r="D376" t="s">
        <v>75</v>
      </c>
      <c r="E376" t="s">
        <v>78</v>
      </c>
      <c r="F376">
        <v>3</v>
      </c>
      <c r="G376" t="s">
        <v>77</v>
      </c>
      <c r="H376" t="s">
        <v>24</v>
      </c>
      <c r="I376">
        <v>0</v>
      </c>
      <c r="J376">
        <v>0</v>
      </c>
      <c r="K376">
        <v>0</v>
      </c>
      <c r="L376">
        <v>18</v>
      </c>
      <c r="M376">
        <v>70</v>
      </c>
      <c r="N376">
        <v>42</v>
      </c>
      <c r="O376">
        <v>304</v>
      </c>
    </row>
    <row r="377" spans="1:15" x14ac:dyDescent="0.2">
      <c r="A377" t="s">
        <v>88</v>
      </c>
      <c r="B377" t="s">
        <v>37</v>
      </c>
      <c r="C377" t="s">
        <v>17</v>
      </c>
      <c r="D377" t="s">
        <v>75</v>
      </c>
      <c r="E377" t="s">
        <v>74</v>
      </c>
      <c r="F377">
        <v>3</v>
      </c>
      <c r="G377" t="s">
        <v>73</v>
      </c>
      <c r="H377" t="s">
        <v>20</v>
      </c>
      <c r="I377">
        <v>13</v>
      </c>
      <c r="J377">
        <v>5</v>
      </c>
      <c r="K377">
        <v>0</v>
      </c>
      <c r="L377">
        <v>15</v>
      </c>
      <c r="M377">
        <v>36</v>
      </c>
      <c r="N377">
        <v>14</v>
      </c>
      <c r="O377">
        <v>252</v>
      </c>
    </row>
    <row r="378" spans="1:15" x14ac:dyDescent="0.2">
      <c r="A378" t="s">
        <v>88</v>
      </c>
      <c r="B378" t="s">
        <v>37</v>
      </c>
      <c r="C378" t="s">
        <v>17</v>
      </c>
      <c r="D378" t="s">
        <v>75</v>
      </c>
      <c r="E378" t="s">
        <v>74</v>
      </c>
      <c r="F378">
        <v>3</v>
      </c>
      <c r="G378" t="s">
        <v>73</v>
      </c>
      <c r="H378" t="s">
        <v>21</v>
      </c>
      <c r="I378">
        <v>1</v>
      </c>
      <c r="J378">
        <v>11</v>
      </c>
      <c r="K378">
        <v>5</v>
      </c>
      <c r="L378">
        <v>15</v>
      </c>
      <c r="M378">
        <v>36</v>
      </c>
      <c r="N378">
        <v>14</v>
      </c>
      <c r="O378">
        <v>252</v>
      </c>
    </row>
    <row r="379" spans="1:15" x14ac:dyDescent="0.2">
      <c r="A379" t="s">
        <v>88</v>
      </c>
      <c r="B379" t="s">
        <v>37</v>
      </c>
      <c r="C379" t="s">
        <v>17</v>
      </c>
      <c r="D379" t="s">
        <v>75</v>
      </c>
      <c r="E379" t="s">
        <v>74</v>
      </c>
      <c r="F379">
        <v>3</v>
      </c>
      <c r="G379" t="s">
        <v>73</v>
      </c>
      <c r="H379" t="s">
        <v>22</v>
      </c>
      <c r="I379">
        <v>1</v>
      </c>
      <c r="J379">
        <v>10</v>
      </c>
      <c r="K379">
        <v>6</v>
      </c>
      <c r="L379">
        <v>15</v>
      </c>
      <c r="M379">
        <v>36</v>
      </c>
      <c r="N379">
        <v>14</v>
      </c>
      <c r="O379">
        <v>252</v>
      </c>
    </row>
    <row r="380" spans="1:15" x14ac:dyDescent="0.2">
      <c r="A380" t="s">
        <v>88</v>
      </c>
      <c r="B380" t="s">
        <v>37</v>
      </c>
      <c r="C380" t="s">
        <v>17</v>
      </c>
      <c r="D380" t="s">
        <v>75</v>
      </c>
      <c r="E380" t="s">
        <v>74</v>
      </c>
      <c r="F380">
        <v>3</v>
      </c>
      <c r="G380" t="s">
        <v>73</v>
      </c>
      <c r="H380" t="s">
        <v>23</v>
      </c>
      <c r="I380">
        <v>0</v>
      </c>
      <c r="J380">
        <v>10</v>
      </c>
      <c r="K380">
        <v>3</v>
      </c>
      <c r="L380">
        <v>15</v>
      </c>
      <c r="M380">
        <v>36</v>
      </c>
      <c r="N380">
        <v>14</v>
      </c>
      <c r="O380">
        <v>252</v>
      </c>
    </row>
    <row r="381" spans="1:15" x14ac:dyDescent="0.2">
      <c r="A381" t="s">
        <v>88</v>
      </c>
      <c r="B381" t="s">
        <v>37</v>
      </c>
      <c r="C381" t="s">
        <v>17</v>
      </c>
      <c r="D381" t="s">
        <v>75</v>
      </c>
      <c r="E381" t="s">
        <v>74</v>
      </c>
      <c r="F381">
        <v>3</v>
      </c>
      <c r="G381" t="s">
        <v>73</v>
      </c>
      <c r="H381" t="s">
        <v>24</v>
      </c>
      <c r="I381">
        <v>0</v>
      </c>
      <c r="J381">
        <v>0</v>
      </c>
      <c r="K381">
        <v>0</v>
      </c>
      <c r="L381">
        <v>15</v>
      </c>
      <c r="M381">
        <v>36</v>
      </c>
      <c r="N381">
        <v>14</v>
      </c>
      <c r="O381">
        <v>252</v>
      </c>
    </row>
    <row r="382" spans="1:15" x14ac:dyDescent="0.2">
      <c r="A382" t="s">
        <v>124</v>
      </c>
      <c r="B382" t="s">
        <v>37</v>
      </c>
      <c r="C382" t="s">
        <v>17</v>
      </c>
      <c r="D382" t="s">
        <v>75</v>
      </c>
      <c r="E382" t="s">
        <v>118</v>
      </c>
      <c r="F382">
        <v>3</v>
      </c>
      <c r="G382" t="s">
        <v>19</v>
      </c>
      <c r="H382" t="s">
        <v>20</v>
      </c>
      <c r="I382">
        <v>85</v>
      </c>
      <c r="J382">
        <v>9</v>
      </c>
      <c r="K382">
        <v>0</v>
      </c>
      <c r="L382">
        <v>109</v>
      </c>
      <c r="M382">
        <v>34</v>
      </c>
      <c r="N382">
        <v>0</v>
      </c>
      <c r="O382">
        <v>196</v>
      </c>
    </row>
    <row r="383" spans="1:15" x14ac:dyDescent="0.2">
      <c r="A383" t="s">
        <v>124</v>
      </c>
      <c r="B383" t="s">
        <v>37</v>
      </c>
      <c r="C383" t="s">
        <v>17</v>
      </c>
      <c r="D383" t="s">
        <v>75</v>
      </c>
      <c r="E383" t="s">
        <v>118</v>
      </c>
      <c r="F383">
        <v>3</v>
      </c>
      <c r="G383" t="s">
        <v>19</v>
      </c>
      <c r="H383" t="s">
        <v>21</v>
      </c>
      <c r="I383">
        <v>17</v>
      </c>
      <c r="J383">
        <v>8</v>
      </c>
      <c r="K383">
        <v>0</v>
      </c>
      <c r="L383">
        <v>109</v>
      </c>
      <c r="M383">
        <v>34</v>
      </c>
      <c r="N383">
        <v>0</v>
      </c>
      <c r="O383">
        <v>196</v>
      </c>
    </row>
    <row r="384" spans="1:15" x14ac:dyDescent="0.2">
      <c r="A384" t="s">
        <v>124</v>
      </c>
      <c r="B384" t="s">
        <v>37</v>
      </c>
      <c r="C384" t="s">
        <v>17</v>
      </c>
      <c r="D384" t="s">
        <v>75</v>
      </c>
      <c r="E384" t="s">
        <v>118</v>
      </c>
      <c r="F384">
        <v>3</v>
      </c>
      <c r="G384" t="s">
        <v>19</v>
      </c>
      <c r="H384" t="s">
        <v>22</v>
      </c>
      <c r="I384">
        <v>4</v>
      </c>
      <c r="J384">
        <v>3</v>
      </c>
      <c r="K384">
        <v>0</v>
      </c>
      <c r="L384">
        <v>109</v>
      </c>
      <c r="M384">
        <v>34</v>
      </c>
      <c r="N384">
        <v>0</v>
      </c>
      <c r="O384">
        <v>196</v>
      </c>
    </row>
    <row r="385" spans="1:15" x14ac:dyDescent="0.2">
      <c r="A385" t="s">
        <v>124</v>
      </c>
      <c r="B385" t="s">
        <v>37</v>
      </c>
      <c r="C385" t="s">
        <v>17</v>
      </c>
      <c r="D385" t="s">
        <v>75</v>
      </c>
      <c r="E385" t="s">
        <v>118</v>
      </c>
      <c r="F385">
        <v>3</v>
      </c>
      <c r="G385" t="s">
        <v>19</v>
      </c>
      <c r="H385" t="s">
        <v>23</v>
      </c>
      <c r="I385">
        <v>3</v>
      </c>
      <c r="J385">
        <v>14</v>
      </c>
      <c r="K385">
        <v>0</v>
      </c>
      <c r="L385">
        <v>109</v>
      </c>
      <c r="M385">
        <v>34</v>
      </c>
      <c r="N385">
        <v>0</v>
      </c>
      <c r="O385">
        <v>196</v>
      </c>
    </row>
    <row r="386" spans="1:15" x14ac:dyDescent="0.2">
      <c r="A386" t="s">
        <v>124</v>
      </c>
      <c r="B386" t="s">
        <v>37</v>
      </c>
      <c r="C386" t="s">
        <v>17</v>
      </c>
      <c r="D386" t="s">
        <v>75</v>
      </c>
      <c r="E386" t="s">
        <v>118</v>
      </c>
      <c r="F386">
        <v>3</v>
      </c>
      <c r="G386" t="s">
        <v>19</v>
      </c>
      <c r="H386" t="s">
        <v>24</v>
      </c>
      <c r="I386">
        <v>0</v>
      </c>
      <c r="J386">
        <v>0</v>
      </c>
      <c r="K386">
        <v>0</v>
      </c>
      <c r="L386">
        <v>109</v>
      </c>
      <c r="M386">
        <v>34</v>
      </c>
      <c r="N386">
        <v>0</v>
      </c>
      <c r="O386">
        <v>196</v>
      </c>
    </row>
    <row r="387" spans="1:15" x14ac:dyDescent="0.2">
      <c r="A387" t="s">
        <v>124</v>
      </c>
      <c r="B387" t="s">
        <v>37</v>
      </c>
      <c r="C387" t="s">
        <v>17</v>
      </c>
      <c r="D387" t="s">
        <v>75</v>
      </c>
      <c r="E387" t="s">
        <v>117</v>
      </c>
      <c r="F387">
        <v>3</v>
      </c>
      <c r="G387" t="s">
        <v>79</v>
      </c>
      <c r="H387" t="s">
        <v>20</v>
      </c>
      <c r="I387">
        <v>8</v>
      </c>
      <c r="J387">
        <v>9</v>
      </c>
      <c r="K387">
        <v>9</v>
      </c>
      <c r="L387">
        <v>13</v>
      </c>
      <c r="M387">
        <v>11</v>
      </c>
      <c r="N387">
        <v>11</v>
      </c>
      <c r="O387">
        <v>59</v>
      </c>
    </row>
    <row r="388" spans="1:15" x14ac:dyDescent="0.2">
      <c r="A388" t="s">
        <v>124</v>
      </c>
      <c r="B388" t="s">
        <v>37</v>
      </c>
      <c r="C388" t="s">
        <v>17</v>
      </c>
      <c r="D388" t="s">
        <v>75</v>
      </c>
      <c r="E388" t="s">
        <v>117</v>
      </c>
      <c r="F388">
        <v>3</v>
      </c>
      <c r="G388" t="s">
        <v>79</v>
      </c>
      <c r="H388" t="s">
        <v>21</v>
      </c>
      <c r="I388">
        <v>4</v>
      </c>
      <c r="J388">
        <v>1</v>
      </c>
      <c r="K388">
        <v>1</v>
      </c>
      <c r="L388">
        <v>13</v>
      </c>
      <c r="M388">
        <v>11</v>
      </c>
      <c r="N388">
        <v>11</v>
      </c>
      <c r="O388">
        <v>59</v>
      </c>
    </row>
    <row r="389" spans="1:15" x14ac:dyDescent="0.2">
      <c r="A389" t="s">
        <v>124</v>
      </c>
      <c r="B389" t="s">
        <v>37</v>
      </c>
      <c r="C389" t="s">
        <v>17</v>
      </c>
      <c r="D389" t="s">
        <v>75</v>
      </c>
      <c r="E389" t="s">
        <v>117</v>
      </c>
      <c r="F389">
        <v>3</v>
      </c>
      <c r="G389" t="s">
        <v>79</v>
      </c>
      <c r="H389" t="s">
        <v>22</v>
      </c>
      <c r="I389">
        <v>1</v>
      </c>
      <c r="J389">
        <v>1</v>
      </c>
      <c r="K389">
        <v>1</v>
      </c>
      <c r="L389">
        <v>13</v>
      </c>
      <c r="M389">
        <v>11</v>
      </c>
      <c r="N389">
        <v>11</v>
      </c>
      <c r="O389">
        <v>59</v>
      </c>
    </row>
    <row r="390" spans="1:15" x14ac:dyDescent="0.2">
      <c r="A390" t="s">
        <v>124</v>
      </c>
      <c r="B390" t="s">
        <v>37</v>
      </c>
      <c r="C390" t="s">
        <v>17</v>
      </c>
      <c r="D390" t="s">
        <v>75</v>
      </c>
      <c r="E390" t="s">
        <v>117</v>
      </c>
      <c r="F390">
        <v>3</v>
      </c>
      <c r="G390" t="s">
        <v>79</v>
      </c>
      <c r="H390" t="s">
        <v>23</v>
      </c>
      <c r="I390">
        <v>0</v>
      </c>
      <c r="J390">
        <v>0</v>
      </c>
      <c r="K390">
        <v>0</v>
      </c>
      <c r="L390">
        <v>13</v>
      </c>
      <c r="M390">
        <v>11</v>
      </c>
      <c r="N390">
        <v>11</v>
      </c>
      <c r="O390">
        <v>59</v>
      </c>
    </row>
    <row r="391" spans="1:15" x14ac:dyDescent="0.2">
      <c r="A391" t="s">
        <v>124</v>
      </c>
      <c r="B391" t="s">
        <v>37</v>
      </c>
      <c r="C391" t="s">
        <v>17</v>
      </c>
      <c r="D391" t="s">
        <v>75</v>
      </c>
      <c r="E391" t="s">
        <v>117</v>
      </c>
      <c r="F391">
        <v>3</v>
      </c>
      <c r="G391" t="s">
        <v>79</v>
      </c>
      <c r="H391" t="s">
        <v>24</v>
      </c>
      <c r="I391">
        <v>0</v>
      </c>
      <c r="J391">
        <v>0</v>
      </c>
      <c r="K391">
        <v>0</v>
      </c>
      <c r="L391">
        <v>13</v>
      </c>
      <c r="M391">
        <v>11</v>
      </c>
      <c r="N391">
        <v>11</v>
      </c>
      <c r="O391">
        <v>59</v>
      </c>
    </row>
    <row r="392" spans="1:15" x14ac:dyDescent="0.2">
      <c r="A392" t="s">
        <v>124</v>
      </c>
      <c r="B392" t="s">
        <v>37</v>
      </c>
      <c r="C392" t="s">
        <v>17</v>
      </c>
      <c r="D392" t="s">
        <v>75</v>
      </c>
      <c r="E392" t="s">
        <v>116</v>
      </c>
      <c r="F392">
        <v>3</v>
      </c>
      <c r="G392" t="s">
        <v>77</v>
      </c>
      <c r="H392" t="s">
        <v>20</v>
      </c>
      <c r="I392">
        <v>6</v>
      </c>
      <c r="J392">
        <v>6</v>
      </c>
      <c r="K392">
        <v>5</v>
      </c>
      <c r="L392">
        <v>9</v>
      </c>
      <c r="M392">
        <v>6</v>
      </c>
      <c r="N392">
        <v>5</v>
      </c>
      <c r="O392">
        <v>56</v>
      </c>
    </row>
    <row r="393" spans="1:15" x14ac:dyDescent="0.2">
      <c r="A393" t="s">
        <v>124</v>
      </c>
      <c r="B393" t="s">
        <v>37</v>
      </c>
      <c r="C393" t="s">
        <v>17</v>
      </c>
      <c r="D393" t="s">
        <v>75</v>
      </c>
      <c r="E393" t="s">
        <v>116</v>
      </c>
      <c r="F393">
        <v>3</v>
      </c>
      <c r="G393" t="s">
        <v>77</v>
      </c>
      <c r="H393" t="s">
        <v>21</v>
      </c>
      <c r="I393">
        <v>1</v>
      </c>
      <c r="J393">
        <v>0</v>
      </c>
      <c r="K393">
        <v>0</v>
      </c>
      <c r="L393">
        <v>9</v>
      </c>
      <c r="M393">
        <v>6</v>
      </c>
      <c r="N393">
        <v>5</v>
      </c>
      <c r="O393">
        <v>56</v>
      </c>
    </row>
    <row r="394" spans="1:15" x14ac:dyDescent="0.2">
      <c r="A394" t="s">
        <v>124</v>
      </c>
      <c r="B394" t="s">
        <v>37</v>
      </c>
      <c r="C394" t="s">
        <v>17</v>
      </c>
      <c r="D394" t="s">
        <v>75</v>
      </c>
      <c r="E394" t="s">
        <v>116</v>
      </c>
      <c r="F394">
        <v>3</v>
      </c>
      <c r="G394" t="s">
        <v>77</v>
      </c>
      <c r="H394" t="s">
        <v>22</v>
      </c>
      <c r="I394">
        <v>1</v>
      </c>
      <c r="J394">
        <v>0</v>
      </c>
      <c r="K394">
        <v>0</v>
      </c>
      <c r="L394">
        <v>9</v>
      </c>
      <c r="M394">
        <v>6</v>
      </c>
      <c r="N394">
        <v>5</v>
      </c>
      <c r="O394">
        <v>56</v>
      </c>
    </row>
    <row r="395" spans="1:15" x14ac:dyDescent="0.2">
      <c r="A395" t="s">
        <v>124</v>
      </c>
      <c r="B395" t="s">
        <v>37</v>
      </c>
      <c r="C395" t="s">
        <v>17</v>
      </c>
      <c r="D395" t="s">
        <v>75</v>
      </c>
      <c r="E395" t="s">
        <v>116</v>
      </c>
      <c r="F395">
        <v>3</v>
      </c>
      <c r="G395" t="s">
        <v>77</v>
      </c>
      <c r="H395" t="s">
        <v>23</v>
      </c>
      <c r="I395">
        <v>1</v>
      </c>
      <c r="J395">
        <v>0</v>
      </c>
      <c r="K395">
        <v>0</v>
      </c>
      <c r="L395">
        <v>9</v>
      </c>
      <c r="M395">
        <v>6</v>
      </c>
      <c r="N395">
        <v>5</v>
      </c>
      <c r="O395">
        <v>56</v>
      </c>
    </row>
    <row r="396" spans="1:15" x14ac:dyDescent="0.2">
      <c r="A396" t="s">
        <v>124</v>
      </c>
      <c r="B396" t="s">
        <v>37</v>
      </c>
      <c r="C396" t="s">
        <v>17</v>
      </c>
      <c r="D396" t="s">
        <v>75</v>
      </c>
      <c r="E396" t="s">
        <v>116</v>
      </c>
      <c r="F396">
        <v>3</v>
      </c>
      <c r="G396" t="s">
        <v>77</v>
      </c>
      <c r="H396" t="s">
        <v>24</v>
      </c>
      <c r="I396">
        <v>0</v>
      </c>
      <c r="J396">
        <v>0</v>
      </c>
      <c r="K396">
        <v>0</v>
      </c>
      <c r="L396">
        <v>9</v>
      </c>
      <c r="M396">
        <v>6</v>
      </c>
      <c r="N396">
        <v>5</v>
      </c>
      <c r="O396">
        <v>56</v>
      </c>
    </row>
    <row r="397" spans="1:15" x14ac:dyDescent="0.2">
      <c r="A397" t="s">
        <v>124</v>
      </c>
      <c r="B397" t="s">
        <v>37</v>
      </c>
      <c r="C397" t="s">
        <v>17</v>
      </c>
      <c r="D397" t="s">
        <v>75</v>
      </c>
      <c r="E397" t="s">
        <v>114</v>
      </c>
      <c r="F397">
        <v>3</v>
      </c>
      <c r="G397" t="s">
        <v>73</v>
      </c>
      <c r="H397" t="s">
        <v>20</v>
      </c>
      <c r="I397">
        <v>1</v>
      </c>
      <c r="J397">
        <v>1</v>
      </c>
      <c r="K397">
        <v>0</v>
      </c>
      <c r="L397">
        <v>5</v>
      </c>
      <c r="M397">
        <v>3</v>
      </c>
      <c r="N397">
        <v>1</v>
      </c>
      <c r="O397">
        <v>42</v>
      </c>
    </row>
    <row r="398" spans="1:15" x14ac:dyDescent="0.2">
      <c r="A398" t="s">
        <v>124</v>
      </c>
      <c r="B398" t="s">
        <v>37</v>
      </c>
      <c r="C398" t="s">
        <v>17</v>
      </c>
      <c r="D398" t="s">
        <v>75</v>
      </c>
      <c r="E398" t="s">
        <v>114</v>
      </c>
      <c r="F398">
        <v>3</v>
      </c>
      <c r="G398" t="s">
        <v>73</v>
      </c>
      <c r="H398" t="s">
        <v>21</v>
      </c>
      <c r="I398">
        <v>0</v>
      </c>
      <c r="J398">
        <v>0</v>
      </c>
      <c r="K398">
        <v>0</v>
      </c>
      <c r="L398">
        <v>5</v>
      </c>
      <c r="M398">
        <v>3</v>
      </c>
      <c r="N398">
        <v>1</v>
      </c>
      <c r="O398">
        <v>42</v>
      </c>
    </row>
    <row r="399" spans="1:15" x14ac:dyDescent="0.2">
      <c r="A399" t="s">
        <v>124</v>
      </c>
      <c r="B399" t="s">
        <v>37</v>
      </c>
      <c r="C399" t="s">
        <v>17</v>
      </c>
      <c r="D399" t="s">
        <v>75</v>
      </c>
      <c r="E399" t="s">
        <v>114</v>
      </c>
      <c r="F399">
        <v>3</v>
      </c>
      <c r="G399" t="s">
        <v>73</v>
      </c>
      <c r="H399" t="s">
        <v>22</v>
      </c>
      <c r="I399">
        <v>2</v>
      </c>
      <c r="J399">
        <v>0</v>
      </c>
      <c r="K399">
        <v>0</v>
      </c>
      <c r="L399">
        <v>5</v>
      </c>
      <c r="M399">
        <v>3</v>
      </c>
      <c r="N399">
        <v>1</v>
      </c>
      <c r="O399">
        <v>42</v>
      </c>
    </row>
    <row r="400" spans="1:15" x14ac:dyDescent="0.2">
      <c r="A400" t="s">
        <v>124</v>
      </c>
      <c r="B400" t="s">
        <v>37</v>
      </c>
      <c r="C400" t="s">
        <v>17</v>
      </c>
      <c r="D400" t="s">
        <v>75</v>
      </c>
      <c r="E400" t="s">
        <v>114</v>
      </c>
      <c r="F400">
        <v>3</v>
      </c>
      <c r="G400" t="s">
        <v>73</v>
      </c>
      <c r="H400" t="s">
        <v>23</v>
      </c>
      <c r="I400">
        <v>2</v>
      </c>
      <c r="J400">
        <v>2</v>
      </c>
      <c r="K400">
        <v>1</v>
      </c>
      <c r="L400">
        <v>5</v>
      </c>
      <c r="M400">
        <v>3</v>
      </c>
      <c r="N400">
        <v>1</v>
      </c>
      <c r="O400">
        <v>42</v>
      </c>
    </row>
    <row r="401" spans="1:15" x14ac:dyDescent="0.2">
      <c r="A401" t="s">
        <v>124</v>
      </c>
      <c r="B401" t="s">
        <v>37</v>
      </c>
      <c r="C401" t="s">
        <v>17</v>
      </c>
      <c r="D401" t="s">
        <v>75</v>
      </c>
      <c r="E401" t="s">
        <v>114</v>
      </c>
      <c r="F401">
        <v>3</v>
      </c>
      <c r="G401" t="s">
        <v>73</v>
      </c>
      <c r="H401" t="s">
        <v>24</v>
      </c>
      <c r="I401">
        <v>0</v>
      </c>
      <c r="J401">
        <v>0</v>
      </c>
      <c r="K401">
        <v>0</v>
      </c>
      <c r="L401">
        <v>5</v>
      </c>
      <c r="M401">
        <v>3</v>
      </c>
      <c r="N401">
        <v>1</v>
      </c>
      <c r="O401">
        <v>42</v>
      </c>
    </row>
    <row r="402" spans="1:15" x14ac:dyDescent="0.2">
      <c r="A402" t="s">
        <v>113</v>
      </c>
      <c r="B402" t="s">
        <v>45</v>
      </c>
      <c r="C402" t="s">
        <v>17</v>
      </c>
      <c r="D402" t="s">
        <v>75</v>
      </c>
      <c r="E402" t="s">
        <v>106</v>
      </c>
      <c r="F402">
        <v>3</v>
      </c>
      <c r="G402" t="s">
        <v>19</v>
      </c>
      <c r="H402" t="s">
        <v>20</v>
      </c>
      <c r="I402">
        <v>54</v>
      </c>
      <c r="J402">
        <v>82</v>
      </c>
      <c r="K402">
        <v>0</v>
      </c>
      <c r="L402">
        <v>162</v>
      </c>
      <c r="M402">
        <v>209</v>
      </c>
      <c r="N402">
        <v>0</v>
      </c>
      <c r="O402">
        <v>869</v>
      </c>
    </row>
    <row r="403" spans="1:15" x14ac:dyDescent="0.2">
      <c r="A403" t="s">
        <v>113</v>
      </c>
      <c r="B403" t="s">
        <v>45</v>
      </c>
      <c r="C403" t="s">
        <v>17</v>
      </c>
      <c r="D403" t="s">
        <v>75</v>
      </c>
      <c r="E403" t="s">
        <v>106</v>
      </c>
      <c r="F403">
        <v>3</v>
      </c>
      <c r="G403" t="s">
        <v>19</v>
      </c>
      <c r="H403" t="s">
        <v>21</v>
      </c>
      <c r="I403">
        <v>54</v>
      </c>
      <c r="J403">
        <v>72</v>
      </c>
      <c r="K403">
        <v>0</v>
      </c>
      <c r="L403">
        <v>162</v>
      </c>
      <c r="M403">
        <v>209</v>
      </c>
      <c r="N403">
        <v>0</v>
      </c>
      <c r="O403">
        <v>869</v>
      </c>
    </row>
    <row r="404" spans="1:15" x14ac:dyDescent="0.2">
      <c r="A404" t="s">
        <v>113</v>
      </c>
      <c r="B404" t="s">
        <v>45</v>
      </c>
      <c r="C404" t="s">
        <v>17</v>
      </c>
      <c r="D404" t="s">
        <v>75</v>
      </c>
      <c r="E404" t="s">
        <v>106</v>
      </c>
      <c r="F404">
        <v>3</v>
      </c>
      <c r="G404" t="s">
        <v>19</v>
      </c>
      <c r="H404" t="s">
        <v>22</v>
      </c>
      <c r="I404">
        <v>24</v>
      </c>
      <c r="J404">
        <v>40</v>
      </c>
      <c r="K404">
        <v>0</v>
      </c>
      <c r="L404">
        <v>162</v>
      </c>
      <c r="M404">
        <v>209</v>
      </c>
      <c r="N404">
        <v>0</v>
      </c>
      <c r="O404">
        <v>869</v>
      </c>
    </row>
    <row r="405" spans="1:15" x14ac:dyDescent="0.2">
      <c r="A405" t="s">
        <v>113</v>
      </c>
      <c r="B405" t="s">
        <v>45</v>
      </c>
      <c r="C405" t="s">
        <v>17</v>
      </c>
      <c r="D405" t="s">
        <v>75</v>
      </c>
      <c r="E405" t="s">
        <v>106</v>
      </c>
      <c r="F405">
        <v>3</v>
      </c>
      <c r="G405" t="s">
        <v>19</v>
      </c>
      <c r="H405" t="s">
        <v>23</v>
      </c>
      <c r="I405">
        <v>30</v>
      </c>
      <c r="J405">
        <v>15</v>
      </c>
      <c r="K405">
        <v>0</v>
      </c>
      <c r="L405">
        <v>162</v>
      </c>
      <c r="M405">
        <v>209</v>
      </c>
      <c r="N405">
        <v>0</v>
      </c>
      <c r="O405">
        <v>869</v>
      </c>
    </row>
    <row r="406" spans="1:15" x14ac:dyDescent="0.2">
      <c r="A406" t="s">
        <v>113</v>
      </c>
      <c r="B406" t="s">
        <v>45</v>
      </c>
      <c r="C406" t="s">
        <v>17</v>
      </c>
      <c r="D406" t="s">
        <v>75</v>
      </c>
      <c r="E406" t="s">
        <v>106</v>
      </c>
      <c r="F406">
        <v>3</v>
      </c>
      <c r="G406" t="s">
        <v>19</v>
      </c>
      <c r="H406" t="s">
        <v>24</v>
      </c>
      <c r="I406">
        <v>0</v>
      </c>
      <c r="J406">
        <v>0</v>
      </c>
      <c r="K406">
        <v>0</v>
      </c>
      <c r="L406">
        <v>162</v>
      </c>
      <c r="M406">
        <v>209</v>
      </c>
      <c r="N406">
        <v>0</v>
      </c>
      <c r="O406">
        <v>869</v>
      </c>
    </row>
    <row r="407" spans="1:15" x14ac:dyDescent="0.2">
      <c r="A407" t="s">
        <v>113</v>
      </c>
      <c r="B407" t="s">
        <v>45</v>
      </c>
      <c r="C407" t="s">
        <v>17</v>
      </c>
      <c r="D407" t="s">
        <v>75</v>
      </c>
      <c r="E407" t="s">
        <v>105</v>
      </c>
      <c r="F407">
        <v>3</v>
      </c>
      <c r="G407" t="s">
        <v>79</v>
      </c>
      <c r="H407" t="s">
        <v>20</v>
      </c>
      <c r="I407">
        <v>24</v>
      </c>
      <c r="J407">
        <v>37</v>
      </c>
      <c r="K407">
        <v>12</v>
      </c>
      <c r="L407">
        <v>45</v>
      </c>
      <c r="M407">
        <v>112</v>
      </c>
      <c r="N407">
        <v>25</v>
      </c>
      <c r="O407">
        <v>665</v>
      </c>
    </row>
    <row r="408" spans="1:15" x14ac:dyDescent="0.2">
      <c r="A408" t="s">
        <v>113</v>
      </c>
      <c r="B408" t="s">
        <v>45</v>
      </c>
      <c r="C408" t="s">
        <v>17</v>
      </c>
      <c r="D408" t="s">
        <v>75</v>
      </c>
      <c r="E408" t="s">
        <v>105</v>
      </c>
      <c r="F408">
        <v>3</v>
      </c>
      <c r="G408" t="s">
        <v>79</v>
      </c>
      <c r="H408" t="s">
        <v>21</v>
      </c>
      <c r="I408">
        <v>17</v>
      </c>
      <c r="J408">
        <v>36</v>
      </c>
      <c r="K408">
        <v>5</v>
      </c>
      <c r="L408">
        <v>45</v>
      </c>
      <c r="M408">
        <v>112</v>
      </c>
      <c r="N408">
        <v>25</v>
      </c>
      <c r="O408">
        <v>665</v>
      </c>
    </row>
    <row r="409" spans="1:15" x14ac:dyDescent="0.2">
      <c r="A409" t="s">
        <v>113</v>
      </c>
      <c r="B409" t="s">
        <v>45</v>
      </c>
      <c r="C409" t="s">
        <v>17</v>
      </c>
      <c r="D409" t="s">
        <v>75</v>
      </c>
      <c r="E409" t="s">
        <v>105</v>
      </c>
      <c r="F409">
        <v>3</v>
      </c>
      <c r="G409" t="s">
        <v>79</v>
      </c>
      <c r="H409" t="s">
        <v>22</v>
      </c>
      <c r="I409">
        <v>3</v>
      </c>
      <c r="J409">
        <v>31</v>
      </c>
      <c r="K409">
        <v>6</v>
      </c>
      <c r="L409">
        <v>45</v>
      </c>
      <c r="M409">
        <v>112</v>
      </c>
      <c r="N409">
        <v>25</v>
      </c>
      <c r="O409">
        <v>665</v>
      </c>
    </row>
    <row r="410" spans="1:15" x14ac:dyDescent="0.2">
      <c r="A410" t="s">
        <v>113</v>
      </c>
      <c r="B410" t="s">
        <v>45</v>
      </c>
      <c r="C410" t="s">
        <v>17</v>
      </c>
      <c r="D410" t="s">
        <v>75</v>
      </c>
      <c r="E410" t="s">
        <v>105</v>
      </c>
      <c r="F410">
        <v>3</v>
      </c>
      <c r="G410" t="s">
        <v>79</v>
      </c>
      <c r="H410" t="s">
        <v>23</v>
      </c>
      <c r="I410">
        <v>1</v>
      </c>
      <c r="J410">
        <v>8</v>
      </c>
      <c r="K410">
        <v>2</v>
      </c>
      <c r="L410">
        <v>45</v>
      </c>
      <c r="M410">
        <v>112</v>
      </c>
      <c r="N410">
        <v>25</v>
      </c>
      <c r="O410">
        <v>665</v>
      </c>
    </row>
    <row r="411" spans="1:15" x14ac:dyDescent="0.2">
      <c r="A411" t="s">
        <v>113</v>
      </c>
      <c r="B411" t="s">
        <v>45</v>
      </c>
      <c r="C411" t="s">
        <v>17</v>
      </c>
      <c r="D411" t="s">
        <v>75</v>
      </c>
      <c r="E411" t="s">
        <v>105</v>
      </c>
      <c r="F411">
        <v>3</v>
      </c>
      <c r="G411" t="s">
        <v>79</v>
      </c>
      <c r="H411" t="s">
        <v>24</v>
      </c>
      <c r="I411">
        <v>0</v>
      </c>
      <c r="J411">
        <v>0</v>
      </c>
      <c r="K411">
        <v>0</v>
      </c>
      <c r="L411">
        <v>45</v>
      </c>
      <c r="M411">
        <v>112</v>
      </c>
      <c r="N411">
        <v>25</v>
      </c>
      <c r="O411">
        <v>665</v>
      </c>
    </row>
    <row r="412" spans="1:15" x14ac:dyDescent="0.2">
      <c r="A412" t="s">
        <v>113</v>
      </c>
      <c r="B412" t="s">
        <v>45</v>
      </c>
      <c r="C412" t="s">
        <v>17</v>
      </c>
      <c r="D412" t="s">
        <v>75</v>
      </c>
      <c r="E412" t="s">
        <v>104</v>
      </c>
      <c r="F412">
        <v>3</v>
      </c>
      <c r="G412" t="s">
        <v>77</v>
      </c>
      <c r="H412" t="s">
        <v>20</v>
      </c>
      <c r="I412">
        <v>19</v>
      </c>
      <c r="J412">
        <v>39</v>
      </c>
      <c r="K412">
        <v>13</v>
      </c>
      <c r="L412">
        <v>37</v>
      </c>
      <c r="M412">
        <v>131</v>
      </c>
      <c r="N412">
        <v>38</v>
      </c>
      <c r="O412">
        <v>649</v>
      </c>
    </row>
    <row r="413" spans="1:15" x14ac:dyDescent="0.2">
      <c r="A413" t="s">
        <v>113</v>
      </c>
      <c r="B413" t="s">
        <v>45</v>
      </c>
      <c r="C413" t="s">
        <v>17</v>
      </c>
      <c r="D413" t="s">
        <v>75</v>
      </c>
      <c r="E413" t="s">
        <v>104</v>
      </c>
      <c r="F413">
        <v>3</v>
      </c>
      <c r="G413" t="s">
        <v>77</v>
      </c>
      <c r="H413" t="s">
        <v>21</v>
      </c>
      <c r="I413">
        <v>14</v>
      </c>
      <c r="J413">
        <v>29</v>
      </c>
      <c r="K413">
        <v>7</v>
      </c>
      <c r="L413">
        <v>37</v>
      </c>
      <c r="M413">
        <v>131</v>
      </c>
      <c r="N413">
        <v>38</v>
      </c>
      <c r="O413">
        <v>649</v>
      </c>
    </row>
    <row r="414" spans="1:15" x14ac:dyDescent="0.2">
      <c r="A414" t="s">
        <v>113</v>
      </c>
      <c r="B414" t="s">
        <v>45</v>
      </c>
      <c r="C414" t="s">
        <v>17</v>
      </c>
      <c r="D414" t="s">
        <v>75</v>
      </c>
      <c r="E414" t="s">
        <v>104</v>
      </c>
      <c r="F414">
        <v>3</v>
      </c>
      <c r="G414" t="s">
        <v>77</v>
      </c>
      <c r="H414" t="s">
        <v>22</v>
      </c>
      <c r="I414">
        <v>2</v>
      </c>
      <c r="J414">
        <v>37</v>
      </c>
      <c r="K414">
        <v>3</v>
      </c>
      <c r="L414">
        <v>37</v>
      </c>
      <c r="M414">
        <v>131</v>
      </c>
      <c r="N414">
        <v>38</v>
      </c>
      <c r="O414">
        <v>649</v>
      </c>
    </row>
    <row r="415" spans="1:15" x14ac:dyDescent="0.2">
      <c r="A415" t="s">
        <v>113</v>
      </c>
      <c r="B415" t="s">
        <v>45</v>
      </c>
      <c r="C415" t="s">
        <v>17</v>
      </c>
      <c r="D415" t="s">
        <v>75</v>
      </c>
      <c r="E415" t="s">
        <v>104</v>
      </c>
      <c r="F415">
        <v>3</v>
      </c>
      <c r="G415" t="s">
        <v>77</v>
      </c>
      <c r="H415" t="s">
        <v>23</v>
      </c>
      <c r="I415">
        <v>2</v>
      </c>
      <c r="J415">
        <v>26</v>
      </c>
      <c r="K415">
        <v>15</v>
      </c>
      <c r="L415">
        <v>37</v>
      </c>
      <c r="M415">
        <v>131</v>
      </c>
      <c r="N415">
        <v>38</v>
      </c>
      <c r="O415">
        <v>649</v>
      </c>
    </row>
    <row r="416" spans="1:15" x14ac:dyDescent="0.2">
      <c r="A416" t="s">
        <v>113</v>
      </c>
      <c r="B416" t="s">
        <v>45</v>
      </c>
      <c r="C416" t="s">
        <v>17</v>
      </c>
      <c r="D416" t="s">
        <v>75</v>
      </c>
      <c r="E416" t="s">
        <v>104</v>
      </c>
      <c r="F416">
        <v>3</v>
      </c>
      <c r="G416" t="s">
        <v>77</v>
      </c>
      <c r="H416" t="s">
        <v>24</v>
      </c>
      <c r="I416">
        <v>0</v>
      </c>
      <c r="J416">
        <v>0</v>
      </c>
      <c r="K416">
        <v>0</v>
      </c>
      <c r="L416">
        <v>37</v>
      </c>
      <c r="M416">
        <v>131</v>
      </c>
      <c r="N416">
        <v>38</v>
      </c>
      <c r="O416">
        <v>649</v>
      </c>
    </row>
    <row r="417" spans="1:15" x14ac:dyDescent="0.2">
      <c r="A417" t="s">
        <v>113</v>
      </c>
      <c r="B417" t="s">
        <v>45</v>
      </c>
      <c r="C417" t="s">
        <v>17</v>
      </c>
      <c r="D417" t="s">
        <v>75</v>
      </c>
      <c r="E417" t="s">
        <v>102</v>
      </c>
      <c r="F417">
        <v>3</v>
      </c>
      <c r="G417" t="s">
        <v>73</v>
      </c>
      <c r="H417" t="s">
        <v>20</v>
      </c>
      <c r="I417">
        <v>4</v>
      </c>
      <c r="J417">
        <v>34</v>
      </c>
      <c r="K417">
        <v>0</v>
      </c>
      <c r="L417">
        <v>38</v>
      </c>
      <c r="M417">
        <v>112</v>
      </c>
      <c r="N417">
        <v>11</v>
      </c>
      <c r="O417">
        <v>656</v>
      </c>
    </row>
    <row r="418" spans="1:15" x14ac:dyDescent="0.2">
      <c r="A418" t="s">
        <v>113</v>
      </c>
      <c r="B418" t="s">
        <v>45</v>
      </c>
      <c r="C418" t="s">
        <v>17</v>
      </c>
      <c r="D418" t="s">
        <v>75</v>
      </c>
      <c r="E418" t="s">
        <v>102</v>
      </c>
      <c r="F418">
        <v>3</v>
      </c>
      <c r="G418" t="s">
        <v>73</v>
      </c>
      <c r="H418" t="s">
        <v>21</v>
      </c>
      <c r="I418">
        <v>21</v>
      </c>
      <c r="J418">
        <v>31</v>
      </c>
      <c r="K418">
        <v>5</v>
      </c>
      <c r="L418">
        <v>38</v>
      </c>
      <c r="M418">
        <v>112</v>
      </c>
      <c r="N418">
        <v>11</v>
      </c>
      <c r="O418">
        <v>656</v>
      </c>
    </row>
    <row r="419" spans="1:15" x14ac:dyDescent="0.2">
      <c r="A419" t="s">
        <v>113</v>
      </c>
      <c r="B419" t="s">
        <v>45</v>
      </c>
      <c r="C419" t="s">
        <v>17</v>
      </c>
      <c r="D419" t="s">
        <v>75</v>
      </c>
      <c r="E419" t="s">
        <v>102</v>
      </c>
      <c r="F419">
        <v>3</v>
      </c>
      <c r="G419" t="s">
        <v>73</v>
      </c>
      <c r="H419" t="s">
        <v>22</v>
      </c>
      <c r="I419">
        <v>4</v>
      </c>
      <c r="J419">
        <v>31</v>
      </c>
      <c r="K419">
        <v>2</v>
      </c>
      <c r="L419">
        <v>38</v>
      </c>
      <c r="M419">
        <v>112</v>
      </c>
      <c r="N419">
        <v>11</v>
      </c>
      <c r="O419">
        <v>656</v>
      </c>
    </row>
    <row r="420" spans="1:15" x14ac:dyDescent="0.2">
      <c r="A420" t="s">
        <v>113</v>
      </c>
      <c r="B420" t="s">
        <v>45</v>
      </c>
      <c r="C420" t="s">
        <v>17</v>
      </c>
      <c r="D420" t="s">
        <v>75</v>
      </c>
      <c r="E420" t="s">
        <v>102</v>
      </c>
      <c r="F420">
        <v>3</v>
      </c>
      <c r="G420" t="s">
        <v>73</v>
      </c>
      <c r="H420" t="s">
        <v>23</v>
      </c>
      <c r="I420">
        <v>9</v>
      </c>
      <c r="J420">
        <v>16</v>
      </c>
      <c r="K420">
        <v>4</v>
      </c>
      <c r="L420">
        <v>38</v>
      </c>
      <c r="M420">
        <v>112</v>
      </c>
      <c r="N420">
        <v>11</v>
      </c>
      <c r="O420">
        <v>656</v>
      </c>
    </row>
    <row r="421" spans="1:15" x14ac:dyDescent="0.2">
      <c r="A421" t="s">
        <v>113</v>
      </c>
      <c r="B421" t="s">
        <v>45</v>
      </c>
      <c r="C421" t="s">
        <v>17</v>
      </c>
      <c r="D421" t="s">
        <v>75</v>
      </c>
      <c r="E421" t="s">
        <v>102</v>
      </c>
      <c r="F421">
        <v>3</v>
      </c>
      <c r="G421" t="s">
        <v>73</v>
      </c>
      <c r="H421" t="s">
        <v>24</v>
      </c>
      <c r="I421">
        <v>0</v>
      </c>
      <c r="J421">
        <v>0</v>
      </c>
      <c r="K421">
        <v>0</v>
      </c>
      <c r="L421">
        <v>38</v>
      </c>
      <c r="M421">
        <v>112</v>
      </c>
      <c r="N421">
        <v>11</v>
      </c>
      <c r="O421">
        <v>656</v>
      </c>
    </row>
    <row r="422" spans="1:15" x14ac:dyDescent="0.2">
      <c r="A422" t="s">
        <v>101</v>
      </c>
      <c r="B422" t="s">
        <v>45</v>
      </c>
      <c r="C422" t="s">
        <v>17</v>
      </c>
      <c r="D422" t="s">
        <v>75</v>
      </c>
      <c r="E422" t="s">
        <v>94</v>
      </c>
      <c r="F422">
        <v>3</v>
      </c>
      <c r="G422" t="s">
        <v>19</v>
      </c>
      <c r="H422" t="s">
        <v>20</v>
      </c>
      <c r="I422">
        <v>6</v>
      </c>
      <c r="J422">
        <v>4</v>
      </c>
      <c r="K422">
        <v>0</v>
      </c>
      <c r="L422">
        <v>16</v>
      </c>
      <c r="M422">
        <v>27</v>
      </c>
      <c r="N422">
        <v>0</v>
      </c>
      <c r="O422">
        <v>730</v>
      </c>
    </row>
    <row r="423" spans="1:15" x14ac:dyDescent="0.2">
      <c r="A423" t="s">
        <v>101</v>
      </c>
      <c r="B423" t="s">
        <v>45</v>
      </c>
      <c r="C423" t="s">
        <v>17</v>
      </c>
      <c r="D423" t="s">
        <v>75</v>
      </c>
      <c r="E423" t="s">
        <v>94</v>
      </c>
      <c r="F423">
        <v>3</v>
      </c>
      <c r="G423" t="s">
        <v>19</v>
      </c>
      <c r="H423" t="s">
        <v>21</v>
      </c>
      <c r="I423">
        <v>0</v>
      </c>
      <c r="J423">
        <v>16</v>
      </c>
      <c r="K423">
        <v>0</v>
      </c>
      <c r="L423">
        <v>16</v>
      </c>
      <c r="M423">
        <v>27</v>
      </c>
      <c r="N423">
        <v>0</v>
      </c>
      <c r="O423">
        <v>730</v>
      </c>
    </row>
    <row r="424" spans="1:15" x14ac:dyDescent="0.2">
      <c r="A424" t="s">
        <v>101</v>
      </c>
      <c r="B424" t="s">
        <v>45</v>
      </c>
      <c r="C424" t="s">
        <v>17</v>
      </c>
      <c r="D424" t="s">
        <v>75</v>
      </c>
      <c r="E424" t="s">
        <v>94</v>
      </c>
      <c r="F424">
        <v>3</v>
      </c>
      <c r="G424" t="s">
        <v>19</v>
      </c>
      <c r="H424" t="s">
        <v>22</v>
      </c>
      <c r="I424">
        <v>7</v>
      </c>
      <c r="J424">
        <v>6</v>
      </c>
      <c r="K424">
        <v>0</v>
      </c>
      <c r="L424">
        <v>16</v>
      </c>
      <c r="M424">
        <v>27</v>
      </c>
      <c r="N424">
        <v>0</v>
      </c>
      <c r="O424">
        <v>730</v>
      </c>
    </row>
    <row r="425" spans="1:15" x14ac:dyDescent="0.2">
      <c r="A425" t="s">
        <v>101</v>
      </c>
      <c r="B425" t="s">
        <v>45</v>
      </c>
      <c r="C425" t="s">
        <v>17</v>
      </c>
      <c r="D425" t="s">
        <v>75</v>
      </c>
      <c r="E425" t="s">
        <v>94</v>
      </c>
      <c r="F425">
        <v>3</v>
      </c>
      <c r="G425" t="s">
        <v>19</v>
      </c>
      <c r="H425" t="s">
        <v>23</v>
      </c>
      <c r="I425">
        <v>3</v>
      </c>
      <c r="J425">
        <v>1</v>
      </c>
      <c r="K425">
        <v>0</v>
      </c>
      <c r="L425">
        <v>16</v>
      </c>
      <c r="M425">
        <v>27</v>
      </c>
      <c r="N425">
        <v>0</v>
      </c>
      <c r="O425">
        <v>730</v>
      </c>
    </row>
    <row r="426" spans="1:15" x14ac:dyDescent="0.2">
      <c r="A426" t="s">
        <v>101</v>
      </c>
      <c r="B426" t="s">
        <v>45</v>
      </c>
      <c r="C426" t="s">
        <v>17</v>
      </c>
      <c r="D426" t="s">
        <v>75</v>
      </c>
      <c r="E426" t="s">
        <v>94</v>
      </c>
      <c r="F426">
        <v>3</v>
      </c>
      <c r="G426" t="s">
        <v>19</v>
      </c>
      <c r="H426" t="s">
        <v>24</v>
      </c>
      <c r="I426">
        <v>0</v>
      </c>
      <c r="J426">
        <v>0</v>
      </c>
      <c r="K426">
        <v>0</v>
      </c>
      <c r="L426">
        <v>16</v>
      </c>
      <c r="M426">
        <v>27</v>
      </c>
      <c r="N426">
        <v>0</v>
      </c>
      <c r="O426">
        <v>730</v>
      </c>
    </row>
    <row r="427" spans="1:15" x14ac:dyDescent="0.2">
      <c r="A427" t="s">
        <v>101</v>
      </c>
      <c r="B427" t="s">
        <v>45</v>
      </c>
      <c r="C427" t="s">
        <v>17</v>
      </c>
      <c r="D427" t="s">
        <v>75</v>
      </c>
      <c r="E427" t="s">
        <v>93</v>
      </c>
      <c r="F427">
        <v>3</v>
      </c>
      <c r="G427" t="s">
        <v>79</v>
      </c>
      <c r="H427" t="s">
        <v>20</v>
      </c>
      <c r="I427">
        <v>3</v>
      </c>
      <c r="J427">
        <v>4</v>
      </c>
      <c r="K427">
        <v>1</v>
      </c>
      <c r="L427">
        <v>3</v>
      </c>
      <c r="M427">
        <v>8</v>
      </c>
      <c r="N427">
        <v>1</v>
      </c>
      <c r="O427">
        <v>536</v>
      </c>
    </row>
    <row r="428" spans="1:15" x14ac:dyDescent="0.2">
      <c r="A428" t="s">
        <v>101</v>
      </c>
      <c r="B428" t="s">
        <v>45</v>
      </c>
      <c r="C428" t="s">
        <v>17</v>
      </c>
      <c r="D428" t="s">
        <v>75</v>
      </c>
      <c r="E428" t="s">
        <v>93</v>
      </c>
      <c r="F428">
        <v>3</v>
      </c>
      <c r="G428" t="s">
        <v>79</v>
      </c>
      <c r="H428" t="s">
        <v>21</v>
      </c>
      <c r="I428">
        <v>0</v>
      </c>
      <c r="J428">
        <v>0</v>
      </c>
      <c r="K428">
        <v>0</v>
      </c>
      <c r="L428">
        <v>3</v>
      </c>
      <c r="M428">
        <v>8</v>
      </c>
      <c r="N428">
        <v>1</v>
      </c>
      <c r="O428">
        <v>536</v>
      </c>
    </row>
    <row r="429" spans="1:15" x14ac:dyDescent="0.2">
      <c r="A429" t="s">
        <v>101</v>
      </c>
      <c r="B429" t="s">
        <v>45</v>
      </c>
      <c r="C429" t="s">
        <v>17</v>
      </c>
      <c r="D429" t="s">
        <v>75</v>
      </c>
      <c r="E429" t="s">
        <v>93</v>
      </c>
      <c r="F429">
        <v>3</v>
      </c>
      <c r="G429" t="s">
        <v>79</v>
      </c>
      <c r="H429" t="s">
        <v>22</v>
      </c>
      <c r="I429">
        <v>0</v>
      </c>
      <c r="J429">
        <v>4</v>
      </c>
      <c r="K429">
        <v>0</v>
      </c>
      <c r="L429">
        <v>3</v>
      </c>
      <c r="M429">
        <v>8</v>
      </c>
      <c r="N429">
        <v>1</v>
      </c>
      <c r="O429">
        <v>536</v>
      </c>
    </row>
    <row r="430" spans="1:15" x14ac:dyDescent="0.2">
      <c r="A430" t="s">
        <v>101</v>
      </c>
      <c r="B430" t="s">
        <v>45</v>
      </c>
      <c r="C430" t="s">
        <v>17</v>
      </c>
      <c r="D430" t="s">
        <v>75</v>
      </c>
      <c r="E430" t="s">
        <v>93</v>
      </c>
      <c r="F430">
        <v>3</v>
      </c>
      <c r="G430" t="s">
        <v>79</v>
      </c>
      <c r="H430" t="s">
        <v>23</v>
      </c>
      <c r="I430">
        <v>0</v>
      </c>
      <c r="J430">
        <v>0</v>
      </c>
      <c r="K430">
        <v>0</v>
      </c>
      <c r="L430">
        <v>3</v>
      </c>
      <c r="M430">
        <v>8</v>
      </c>
      <c r="N430">
        <v>1</v>
      </c>
      <c r="O430">
        <v>536</v>
      </c>
    </row>
    <row r="431" spans="1:15" x14ac:dyDescent="0.2">
      <c r="A431" t="s">
        <v>101</v>
      </c>
      <c r="B431" t="s">
        <v>45</v>
      </c>
      <c r="C431" t="s">
        <v>17</v>
      </c>
      <c r="D431" t="s">
        <v>75</v>
      </c>
      <c r="E431" t="s">
        <v>93</v>
      </c>
      <c r="F431">
        <v>3</v>
      </c>
      <c r="G431" t="s">
        <v>79</v>
      </c>
      <c r="H431" t="s">
        <v>24</v>
      </c>
      <c r="I431">
        <v>0</v>
      </c>
      <c r="J431">
        <v>0</v>
      </c>
      <c r="K431">
        <v>0</v>
      </c>
      <c r="L431">
        <v>3</v>
      </c>
      <c r="M431">
        <v>8</v>
      </c>
      <c r="N431">
        <v>1</v>
      </c>
      <c r="O431">
        <v>536</v>
      </c>
    </row>
    <row r="432" spans="1:15" x14ac:dyDescent="0.2">
      <c r="A432" t="s">
        <v>101</v>
      </c>
      <c r="B432" t="s">
        <v>45</v>
      </c>
      <c r="C432" t="s">
        <v>17</v>
      </c>
      <c r="D432" t="s">
        <v>75</v>
      </c>
      <c r="E432" t="s">
        <v>92</v>
      </c>
      <c r="F432">
        <v>3</v>
      </c>
      <c r="G432" t="s">
        <v>77</v>
      </c>
      <c r="H432" t="s">
        <v>20</v>
      </c>
      <c r="I432">
        <v>1</v>
      </c>
      <c r="J432">
        <v>2</v>
      </c>
      <c r="K432">
        <v>0</v>
      </c>
      <c r="L432">
        <v>5</v>
      </c>
      <c r="M432">
        <v>4</v>
      </c>
      <c r="N432">
        <v>0</v>
      </c>
      <c r="O432">
        <v>529</v>
      </c>
    </row>
    <row r="433" spans="1:15" x14ac:dyDescent="0.2">
      <c r="A433" t="s">
        <v>101</v>
      </c>
      <c r="B433" t="s">
        <v>45</v>
      </c>
      <c r="C433" t="s">
        <v>17</v>
      </c>
      <c r="D433" t="s">
        <v>75</v>
      </c>
      <c r="E433" t="s">
        <v>92</v>
      </c>
      <c r="F433">
        <v>3</v>
      </c>
      <c r="G433" t="s">
        <v>77</v>
      </c>
      <c r="H433" t="s">
        <v>21</v>
      </c>
      <c r="I433">
        <v>3</v>
      </c>
      <c r="J433">
        <v>1</v>
      </c>
      <c r="K433">
        <v>0</v>
      </c>
      <c r="L433">
        <v>5</v>
      </c>
      <c r="M433">
        <v>4</v>
      </c>
      <c r="N433">
        <v>0</v>
      </c>
      <c r="O433">
        <v>529</v>
      </c>
    </row>
    <row r="434" spans="1:15" x14ac:dyDescent="0.2">
      <c r="A434" t="s">
        <v>101</v>
      </c>
      <c r="B434" t="s">
        <v>45</v>
      </c>
      <c r="C434" t="s">
        <v>17</v>
      </c>
      <c r="D434" t="s">
        <v>75</v>
      </c>
      <c r="E434" t="s">
        <v>92</v>
      </c>
      <c r="F434">
        <v>3</v>
      </c>
      <c r="G434" t="s">
        <v>77</v>
      </c>
      <c r="H434" t="s">
        <v>22</v>
      </c>
      <c r="I434">
        <v>1</v>
      </c>
      <c r="J434">
        <v>1</v>
      </c>
      <c r="K434">
        <v>0</v>
      </c>
      <c r="L434">
        <v>5</v>
      </c>
      <c r="M434">
        <v>4</v>
      </c>
      <c r="N434">
        <v>0</v>
      </c>
      <c r="O434">
        <v>529</v>
      </c>
    </row>
    <row r="435" spans="1:15" x14ac:dyDescent="0.2">
      <c r="A435" t="s">
        <v>101</v>
      </c>
      <c r="B435" t="s">
        <v>45</v>
      </c>
      <c r="C435" t="s">
        <v>17</v>
      </c>
      <c r="D435" t="s">
        <v>75</v>
      </c>
      <c r="E435" t="s">
        <v>92</v>
      </c>
      <c r="F435">
        <v>3</v>
      </c>
      <c r="G435" t="s">
        <v>77</v>
      </c>
      <c r="H435" t="s">
        <v>23</v>
      </c>
      <c r="I435">
        <v>0</v>
      </c>
      <c r="J435">
        <v>0</v>
      </c>
      <c r="K435">
        <v>0</v>
      </c>
      <c r="L435">
        <v>5</v>
      </c>
      <c r="M435">
        <v>4</v>
      </c>
      <c r="N435">
        <v>0</v>
      </c>
      <c r="O435">
        <v>529</v>
      </c>
    </row>
    <row r="436" spans="1:15" x14ac:dyDescent="0.2">
      <c r="A436" t="s">
        <v>101</v>
      </c>
      <c r="B436" t="s">
        <v>45</v>
      </c>
      <c r="C436" t="s">
        <v>17</v>
      </c>
      <c r="D436" t="s">
        <v>75</v>
      </c>
      <c r="E436" t="s">
        <v>92</v>
      </c>
      <c r="F436">
        <v>3</v>
      </c>
      <c r="G436" t="s">
        <v>77</v>
      </c>
      <c r="H436" t="s">
        <v>24</v>
      </c>
      <c r="I436">
        <v>0</v>
      </c>
      <c r="J436">
        <v>0</v>
      </c>
      <c r="K436">
        <v>0</v>
      </c>
      <c r="L436">
        <v>5</v>
      </c>
      <c r="M436">
        <v>4</v>
      </c>
      <c r="N436">
        <v>0</v>
      </c>
      <c r="O436">
        <v>529</v>
      </c>
    </row>
    <row r="437" spans="1:15" x14ac:dyDescent="0.2">
      <c r="A437" t="s">
        <v>101</v>
      </c>
      <c r="B437" t="s">
        <v>45</v>
      </c>
      <c r="C437" t="s">
        <v>17</v>
      </c>
      <c r="D437" t="s">
        <v>75</v>
      </c>
      <c r="E437" t="s">
        <v>90</v>
      </c>
      <c r="F437">
        <v>3</v>
      </c>
      <c r="G437" t="s">
        <v>73</v>
      </c>
      <c r="H437" t="s">
        <v>20</v>
      </c>
      <c r="I437">
        <v>1</v>
      </c>
      <c r="J437">
        <v>2</v>
      </c>
      <c r="K437">
        <v>0</v>
      </c>
      <c r="L437">
        <v>2</v>
      </c>
      <c r="M437">
        <v>7</v>
      </c>
      <c r="N437">
        <v>0</v>
      </c>
      <c r="O437">
        <v>526</v>
      </c>
    </row>
    <row r="438" spans="1:15" x14ac:dyDescent="0.2">
      <c r="A438" t="s">
        <v>101</v>
      </c>
      <c r="B438" t="s">
        <v>45</v>
      </c>
      <c r="C438" t="s">
        <v>17</v>
      </c>
      <c r="D438" t="s">
        <v>75</v>
      </c>
      <c r="E438" t="s">
        <v>90</v>
      </c>
      <c r="F438">
        <v>3</v>
      </c>
      <c r="G438" t="s">
        <v>73</v>
      </c>
      <c r="H438" t="s">
        <v>21</v>
      </c>
      <c r="I438">
        <v>0</v>
      </c>
      <c r="J438">
        <v>3</v>
      </c>
      <c r="K438">
        <v>0</v>
      </c>
      <c r="L438">
        <v>2</v>
      </c>
      <c r="M438">
        <v>7</v>
      </c>
      <c r="N438">
        <v>0</v>
      </c>
      <c r="O438">
        <v>526</v>
      </c>
    </row>
    <row r="439" spans="1:15" x14ac:dyDescent="0.2">
      <c r="A439" t="s">
        <v>101</v>
      </c>
      <c r="B439" t="s">
        <v>45</v>
      </c>
      <c r="C439" t="s">
        <v>17</v>
      </c>
      <c r="D439" t="s">
        <v>75</v>
      </c>
      <c r="E439" t="s">
        <v>90</v>
      </c>
      <c r="F439">
        <v>3</v>
      </c>
      <c r="G439" t="s">
        <v>73</v>
      </c>
      <c r="H439" t="s">
        <v>22</v>
      </c>
      <c r="I439">
        <v>1</v>
      </c>
      <c r="J439">
        <v>1</v>
      </c>
      <c r="K439">
        <v>0</v>
      </c>
      <c r="L439">
        <v>2</v>
      </c>
      <c r="M439">
        <v>7</v>
      </c>
      <c r="N439">
        <v>0</v>
      </c>
      <c r="O439">
        <v>526</v>
      </c>
    </row>
    <row r="440" spans="1:15" x14ac:dyDescent="0.2">
      <c r="A440" t="s">
        <v>101</v>
      </c>
      <c r="B440" t="s">
        <v>45</v>
      </c>
      <c r="C440" t="s">
        <v>17</v>
      </c>
      <c r="D440" t="s">
        <v>75</v>
      </c>
      <c r="E440" t="s">
        <v>90</v>
      </c>
      <c r="F440">
        <v>3</v>
      </c>
      <c r="G440" t="s">
        <v>73</v>
      </c>
      <c r="H440" t="s">
        <v>23</v>
      </c>
      <c r="I440">
        <v>0</v>
      </c>
      <c r="J440">
        <v>1</v>
      </c>
      <c r="K440">
        <v>0</v>
      </c>
      <c r="L440">
        <v>2</v>
      </c>
      <c r="M440">
        <v>7</v>
      </c>
      <c r="N440">
        <v>0</v>
      </c>
      <c r="O440">
        <v>526</v>
      </c>
    </row>
    <row r="441" spans="1:15" x14ac:dyDescent="0.2">
      <c r="A441" t="s">
        <v>101</v>
      </c>
      <c r="B441" t="s">
        <v>45</v>
      </c>
      <c r="C441" t="s">
        <v>17</v>
      </c>
      <c r="D441" t="s">
        <v>75</v>
      </c>
      <c r="E441" t="s">
        <v>90</v>
      </c>
      <c r="F441">
        <v>3</v>
      </c>
      <c r="G441" t="s">
        <v>73</v>
      </c>
      <c r="H441" t="s">
        <v>24</v>
      </c>
      <c r="I441">
        <v>0</v>
      </c>
      <c r="J441">
        <v>0</v>
      </c>
      <c r="K441">
        <v>0</v>
      </c>
      <c r="L441">
        <v>2</v>
      </c>
      <c r="M441">
        <v>7</v>
      </c>
      <c r="N441">
        <v>0</v>
      </c>
      <c r="O441">
        <v>526</v>
      </c>
    </row>
    <row r="442" spans="1:15" x14ac:dyDescent="0.2">
      <c r="A442" t="s">
        <v>89</v>
      </c>
      <c r="B442" t="s">
        <v>45</v>
      </c>
      <c r="C442" t="s">
        <v>17</v>
      </c>
      <c r="D442" t="s">
        <v>75</v>
      </c>
      <c r="E442" t="s">
        <v>81</v>
      </c>
      <c r="F442">
        <v>3</v>
      </c>
      <c r="G442" t="s">
        <v>19</v>
      </c>
      <c r="H442" t="s">
        <v>20</v>
      </c>
      <c r="I442">
        <v>34</v>
      </c>
      <c r="J442">
        <v>45</v>
      </c>
      <c r="K442">
        <v>0</v>
      </c>
      <c r="L442">
        <v>85</v>
      </c>
      <c r="M442">
        <v>125</v>
      </c>
      <c r="N442">
        <v>0</v>
      </c>
      <c r="O442">
        <v>498</v>
      </c>
    </row>
    <row r="443" spans="1:15" x14ac:dyDescent="0.2">
      <c r="A443" t="s">
        <v>89</v>
      </c>
      <c r="B443" t="s">
        <v>45</v>
      </c>
      <c r="C443" t="s">
        <v>17</v>
      </c>
      <c r="D443" t="s">
        <v>75</v>
      </c>
      <c r="E443" t="s">
        <v>81</v>
      </c>
      <c r="F443">
        <v>3</v>
      </c>
      <c r="G443" t="s">
        <v>19</v>
      </c>
      <c r="H443" t="s">
        <v>21</v>
      </c>
      <c r="I443">
        <v>22</v>
      </c>
      <c r="J443">
        <v>30</v>
      </c>
      <c r="K443">
        <v>0</v>
      </c>
      <c r="L443">
        <v>85</v>
      </c>
      <c r="M443">
        <v>125</v>
      </c>
      <c r="N443">
        <v>0</v>
      </c>
      <c r="O443">
        <v>498</v>
      </c>
    </row>
    <row r="444" spans="1:15" x14ac:dyDescent="0.2">
      <c r="A444" t="s">
        <v>89</v>
      </c>
      <c r="B444" t="s">
        <v>45</v>
      </c>
      <c r="C444" t="s">
        <v>17</v>
      </c>
      <c r="D444" t="s">
        <v>75</v>
      </c>
      <c r="E444" t="s">
        <v>81</v>
      </c>
      <c r="F444">
        <v>3</v>
      </c>
      <c r="G444" t="s">
        <v>19</v>
      </c>
      <c r="H444" t="s">
        <v>22</v>
      </c>
      <c r="I444">
        <v>12</v>
      </c>
      <c r="J444">
        <v>20</v>
      </c>
      <c r="K444">
        <v>0</v>
      </c>
      <c r="L444">
        <v>85</v>
      </c>
      <c r="M444">
        <v>125</v>
      </c>
      <c r="N444">
        <v>0</v>
      </c>
      <c r="O444">
        <v>498</v>
      </c>
    </row>
    <row r="445" spans="1:15" x14ac:dyDescent="0.2">
      <c r="A445" t="s">
        <v>89</v>
      </c>
      <c r="B445" t="s">
        <v>45</v>
      </c>
      <c r="C445" t="s">
        <v>17</v>
      </c>
      <c r="D445" t="s">
        <v>75</v>
      </c>
      <c r="E445" t="s">
        <v>81</v>
      </c>
      <c r="F445">
        <v>3</v>
      </c>
      <c r="G445" t="s">
        <v>19</v>
      </c>
      <c r="H445" t="s">
        <v>23</v>
      </c>
      <c r="I445">
        <v>17</v>
      </c>
      <c r="J445">
        <v>30</v>
      </c>
      <c r="K445">
        <v>0</v>
      </c>
      <c r="L445">
        <v>85</v>
      </c>
      <c r="M445">
        <v>125</v>
      </c>
      <c r="N445">
        <v>0</v>
      </c>
      <c r="O445">
        <v>498</v>
      </c>
    </row>
    <row r="446" spans="1:15" x14ac:dyDescent="0.2">
      <c r="A446" t="s">
        <v>89</v>
      </c>
      <c r="B446" t="s">
        <v>45</v>
      </c>
      <c r="C446" t="s">
        <v>17</v>
      </c>
      <c r="D446" t="s">
        <v>75</v>
      </c>
      <c r="E446" t="s">
        <v>81</v>
      </c>
      <c r="F446">
        <v>3</v>
      </c>
      <c r="G446" t="s">
        <v>19</v>
      </c>
      <c r="H446" t="s">
        <v>24</v>
      </c>
      <c r="I446">
        <v>0</v>
      </c>
      <c r="J446">
        <v>0</v>
      </c>
      <c r="K446">
        <v>0</v>
      </c>
      <c r="L446">
        <v>85</v>
      </c>
      <c r="M446">
        <v>125</v>
      </c>
      <c r="N446">
        <v>0</v>
      </c>
      <c r="O446">
        <v>498</v>
      </c>
    </row>
    <row r="447" spans="1:15" x14ac:dyDescent="0.2">
      <c r="A447" t="s">
        <v>89</v>
      </c>
      <c r="B447" t="s">
        <v>45</v>
      </c>
      <c r="C447" t="s">
        <v>17</v>
      </c>
      <c r="D447" t="s">
        <v>75</v>
      </c>
      <c r="E447" t="s">
        <v>80</v>
      </c>
      <c r="F447">
        <v>3</v>
      </c>
      <c r="G447" t="s">
        <v>79</v>
      </c>
      <c r="H447" t="s">
        <v>20</v>
      </c>
      <c r="I447">
        <v>19</v>
      </c>
      <c r="J447">
        <v>28</v>
      </c>
      <c r="K447">
        <v>19</v>
      </c>
      <c r="L447">
        <v>29</v>
      </c>
      <c r="M447">
        <v>50</v>
      </c>
      <c r="N447">
        <v>36</v>
      </c>
      <c r="O447">
        <v>327</v>
      </c>
    </row>
    <row r="448" spans="1:15" x14ac:dyDescent="0.2">
      <c r="A448" t="s">
        <v>89</v>
      </c>
      <c r="B448" t="s">
        <v>45</v>
      </c>
      <c r="C448" t="s">
        <v>17</v>
      </c>
      <c r="D448" t="s">
        <v>75</v>
      </c>
      <c r="E448" t="s">
        <v>80</v>
      </c>
      <c r="F448">
        <v>3</v>
      </c>
      <c r="G448" t="s">
        <v>79</v>
      </c>
      <c r="H448" t="s">
        <v>21</v>
      </c>
      <c r="I448">
        <v>9</v>
      </c>
      <c r="J448">
        <v>14</v>
      </c>
      <c r="K448">
        <v>12</v>
      </c>
      <c r="L448">
        <v>29</v>
      </c>
      <c r="M448">
        <v>50</v>
      </c>
      <c r="N448">
        <v>36</v>
      </c>
      <c r="O448">
        <v>327</v>
      </c>
    </row>
    <row r="449" spans="1:15" x14ac:dyDescent="0.2">
      <c r="A449" t="s">
        <v>89</v>
      </c>
      <c r="B449" t="s">
        <v>45</v>
      </c>
      <c r="C449" t="s">
        <v>17</v>
      </c>
      <c r="D449" t="s">
        <v>75</v>
      </c>
      <c r="E449" t="s">
        <v>80</v>
      </c>
      <c r="F449">
        <v>3</v>
      </c>
      <c r="G449" t="s">
        <v>79</v>
      </c>
      <c r="H449" t="s">
        <v>22</v>
      </c>
      <c r="I449">
        <v>1</v>
      </c>
      <c r="J449">
        <v>6</v>
      </c>
      <c r="K449">
        <v>3</v>
      </c>
      <c r="L449">
        <v>29</v>
      </c>
      <c r="M449">
        <v>50</v>
      </c>
      <c r="N449">
        <v>36</v>
      </c>
      <c r="O449">
        <v>327</v>
      </c>
    </row>
    <row r="450" spans="1:15" x14ac:dyDescent="0.2">
      <c r="A450" t="s">
        <v>89</v>
      </c>
      <c r="B450" t="s">
        <v>45</v>
      </c>
      <c r="C450" t="s">
        <v>17</v>
      </c>
      <c r="D450" t="s">
        <v>75</v>
      </c>
      <c r="E450" t="s">
        <v>80</v>
      </c>
      <c r="F450">
        <v>3</v>
      </c>
      <c r="G450" t="s">
        <v>79</v>
      </c>
      <c r="H450" t="s">
        <v>23</v>
      </c>
      <c r="I450">
        <v>0</v>
      </c>
      <c r="J450">
        <v>2</v>
      </c>
      <c r="K450">
        <v>2</v>
      </c>
      <c r="L450">
        <v>29</v>
      </c>
      <c r="M450">
        <v>50</v>
      </c>
      <c r="N450">
        <v>36</v>
      </c>
      <c r="O450">
        <v>327</v>
      </c>
    </row>
    <row r="451" spans="1:15" x14ac:dyDescent="0.2">
      <c r="A451" t="s">
        <v>89</v>
      </c>
      <c r="B451" t="s">
        <v>45</v>
      </c>
      <c r="C451" t="s">
        <v>17</v>
      </c>
      <c r="D451" t="s">
        <v>75</v>
      </c>
      <c r="E451" t="s">
        <v>80</v>
      </c>
      <c r="F451">
        <v>3</v>
      </c>
      <c r="G451" t="s">
        <v>79</v>
      </c>
      <c r="H451" t="s">
        <v>24</v>
      </c>
      <c r="I451">
        <v>0</v>
      </c>
      <c r="J451">
        <v>0</v>
      </c>
      <c r="K451">
        <v>0</v>
      </c>
      <c r="L451">
        <v>29</v>
      </c>
      <c r="M451">
        <v>50</v>
      </c>
      <c r="N451">
        <v>36</v>
      </c>
      <c r="O451">
        <v>327</v>
      </c>
    </row>
    <row r="452" spans="1:15" x14ac:dyDescent="0.2">
      <c r="A452" t="s">
        <v>89</v>
      </c>
      <c r="B452" t="s">
        <v>45</v>
      </c>
      <c r="C452" t="s">
        <v>17</v>
      </c>
      <c r="D452" t="s">
        <v>75</v>
      </c>
      <c r="E452" t="s">
        <v>78</v>
      </c>
      <c r="F452">
        <v>3</v>
      </c>
      <c r="G452" t="s">
        <v>77</v>
      </c>
      <c r="H452" t="s">
        <v>20</v>
      </c>
      <c r="I452">
        <v>21</v>
      </c>
      <c r="J452">
        <v>24</v>
      </c>
      <c r="K452">
        <v>16</v>
      </c>
      <c r="L452">
        <v>30</v>
      </c>
      <c r="M452">
        <v>59</v>
      </c>
      <c r="N452">
        <v>48</v>
      </c>
      <c r="O452">
        <v>306</v>
      </c>
    </row>
    <row r="453" spans="1:15" x14ac:dyDescent="0.2">
      <c r="A453" t="s">
        <v>89</v>
      </c>
      <c r="B453" t="s">
        <v>45</v>
      </c>
      <c r="C453" t="s">
        <v>17</v>
      </c>
      <c r="D453" t="s">
        <v>75</v>
      </c>
      <c r="E453" t="s">
        <v>78</v>
      </c>
      <c r="F453">
        <v>3</v>
      </c>
      <c r="G453" t="s">
        <v>77</v>
      </c>
      <c r="H453" t="s">
        <v>21</v>
      </c>
      <c r="I453">
        <v>6</v>
      </c>
      <c r="J453">
        <v>21</v>
      </c>
      <c r="K453">
        <v>19</v>
      </c>
      <c r="L453">
        <v>30</v>
      </c>
      <c r="M453">
        <v>59</v>
      </c>
      <c r="N453">
        <v>48</v>
      </c>
      <c r="O453">
        <v>306</v>
      </c>
    </row>
    <row r="454" spans="1:15" x14ac:dyDescent="0.2">
      <c r="A454" t="s">
        <v>89</v>
      </c>
      <c r="B454" t="s">
        <v>45</v>
      </c>
      <c r="C454" t="s">
        <v>17</v>
      </c>
      <c r="D454" t="s">
        <v>75</v>
      </c>
      <c r="E454" t="s">
        <v>78</v>
      </c>
      <c r="F454">
        <v>3</v>
      </c>
      <c r="G454" t="s">
        <v>77</v>
      </c>
      <c r="H454" t="s">
        <v>22</v>
      </c>
      <c r="I454">
        <v>1</v>
      </c>
      <c r="J454">
        <v>5</v>
      </c>
      <c r="K454">
        <v>4</v>
      </c>
      <c r="L454">
        <v>30</v>
      </c>
      <c r="M454">
        <v>59</v>
      </c>
      <c r="N454">
        <v>48</v>
      </c>
      <c r="O454">
        <v>306</v>
      </c>
    </row>
    <row r="455" spans="1:15" x14ac:dyDescent="0.2">
      <c r="A455" t="s">
        <v>89</v>
      </c>
      <c r="B455" t="s">
        <v>45</v>
      </c>
      <c r="C455" t="s">
        <v>17</v>
      </c>
      <c r="D455" t="s">
        <v>75</v>
      </c>
      <c r="E455" t="s">
        <v>78</v>
      </c>
      <c r="F455">
        <v>3</v>
      </c>
      <c r="G455" t="s">
        <v>77</v>
      </c>
      <c r="H455" t="s">
        <v>23</v>
      </c>
      <c r="I455">
        <v>2</v>
      </c>
      <c r="J455">
        <v>9</v>
      </c>
      <c r="K455">
        <v>9</v>
      </c>
      <c r="L455">
        <v>30</v>
      </c>
      <c r="M455">
        <v>59</v>
      </c>
      <c r="N455">
        <v>48</v>
      </c>
      <c r="O455">
        <v>306</v>
      </c>
    </row>
    <row r="456" spans="1:15" x14ac:dyDescent="0.2">
      <c r="A456" t="s">
        <v>89</v>
      </c>
      <c r="B456" t="s">
        <v>45</v>
      </c>
      <c r="C456" t="s">
        <v>17</v>
      </c>
      <c r="D456" t="s">
        <v>75</v>
      </c>
      <c r="E456" t="s">
        <v>78</v>
      </c>
      <c r="F456">
        <v>3</v>
      </c>
      <c r="G456" t="s">
        <v>77</v>
      </c>
      <c r="H456" t="s">
        <v>24</v>
      </c>
      <c r="I456">
        <v>0</v>
      </c>
      <c r="J456">
        <v>0</v>
      </c>
      <c r="K456">
        <v>0</v>
      </c>
      <c r="L456">
        <v>30</v>
      </c>
      <c r="M456">
        <v>59</v>
      </c>
      <c r="N456">
        <v>48</v>
      </c>
      <c r="O456">
        <v>306</v>
      </c>
    </row>
    <row r="457" spans="1:15" x14ac:dyDescent="0.2">
      <c r="A457" t="s">
        <v>89</v>
      </c>
      <c r="B457" t="s">
        <v>45</v>
      </c>
      <c r="C457" t="s">
        <v>17</v>
      </c>
      <c r="D457" t="s">
        <v>75</v>
      </c>
      <c r="E457" t="s">
        <v>74</v>
      </c>
      <c r="F457">
        <v>3</v>
      </c>
      <c r="G457" t="s">
        <v>73</v>
      </c>
      <c r="H457" t="s">
        <v>20</v>
      </c>
      <c r="I457">
        <v>3</v>
      </c>
      <c r="J457">
        <v>10</v>
      </c>
      <c r="K457">
        <v>0</v>
      </c>
      <c r="L457">
        <v>19</v>
      </c>
      <c r="M457">
        <v>53</v>
      </c>
      <c r="N457">
        <v>29</v>
      </c>
      <c r="O457">
        <v>350</v>
      </c>
    </row>
    <row r="458" spans="1:15" x14ac:dyDescent="0.2">
      <c r="A458" t="s">
        <v>89</v>
      </c>
      <c r="B458" t="s">
        <v>45</v>
      </c>
      <c r="C458" t="s">
        <v>17</v>
      </c>
      <c r="D458" t="s">
        <v>75</v>
      </c>
      <c r="E458" t="s">
        <v>74</v>
      </c>
      <c r="F458">
        <v>3</v>
      </c>
      <c r="G458" t="s">
        <v>73</v>
      </c>
      <c r="H458" t="s">
        <v>21</v>
      </c>
      <c r="I458">
        <v>10</v>
      </c>
      <c r="J458">
        <v>18</v>
      </c>
      <c r="K458">
        <v>11</v>
      </c>
      <c r="L458">
        <v>19</v>
      </c>
      <c r="M458">
        <v>53</v>
      </c>
      <c r="N458">
        <v>29</v>
      </c>
      <c r="O458">
        <v>350</v>
      </c>
    </row>
    <row r="459" spans="1:15" x14ac:dyDescent="0.2">
      <c r="A459" t="s">
        <v>89</v>
      </c>
      <c r="B459" t="s">
        <v>45</v>
      </c>
      <c r="C459" t="s">
        <v>17</v>
      </c>
      <c r="D459" t="s">
        <v>75</v>
      </c>
      <c r="E459" t="s">
        <v>74</v>
      </c>
      <c r="F459">
        <v>3</v>
      </c>
      <c r="G459" t="s">
        <v>73</v>
      </c>
      <c r="H459" t="s">
        <v>22</v>
      </c>
      <c r="I459">
        <v>3</v>
      </c>
      <c r="J459">
        <v>10</v>
      </c>
      <c r="K459">
        <v>7</v>
      </c>
      <c r="L459">
        <v>19</v>
      </c>
      <c r="M459">
        <v>53</v>
      </c>
      <c r="N459">
        <v>29</v>
      </c>
      <c r="O459">
        <v>350</v>
      </c>
    </row>
    <row r="460" spans="1:15" x14ac:dyDescent="0.2">
      <c r="A460" t="s">
        <v>89</v>
      </c>
      <c r="B460" t="s">
        <v>45</v>
      </c>
      <c r="C460" t="s">
        <v>17</v>
      </c>
      <c r="D460" t="s">
        <v>75</v>
      </c>
      <c r="E460" t="s">
        <v>74</v>
      </c>
      <c r="F460">
        <v>3</v>
      </c>
      <c r="G460" t="s">
        <v>73</v>
      </c>
      <c r="H460" t="s">
        <v>23</v>
      </c>
      <c r="I460">
        <v>3</v>
      </c>
      <c r="J460">
        <v>15</v>
      </c>
      <c r="K460">
        <v>11</v>
      </c>
      <c r="L460">
        <v>19</v>
      </c>
      <c r="M460">
        <v>53</v>
      </c>
      <c r="N460">
        <v>29</v>
      </c>
      <c r="O460">
        <v>350</v>
      </c>
    </row>
    <row r="461" spans="1:15" x14ac:dyDescent="0.2">
      <c r="A461" t="s">
        <v>89</v>
      </c>
      <c r="B461" t="s">
        <v>45</v>
      </c>
      <c r="C461" t="s">
        <v>17</v>
      </c>
      <c r="D461" t="s">
        <v>75</v>
      </c>
      <c r="E461" t="s">
        <v>74</v>
      </c>
      <c r="F461">
        <v>3</v>
      </c>
      <c r="G461" t="s">
        <v>73</v>
      </c>
      <c r="H461" t="s">
        <v>24</v>
      </c>
      <c r="I461">
        <v>0</v>
      </c>
      <c r="J461">
        <v>0</v>
      </c>
      <c r="K461">
        <v>0</v>
      </c>
      <c r="L461">
        <v>19</v>
      </c>
      <c r="M461">
        <v>53</v>
      </c>
      <c r="N461">
        <v>29</v>
      </c>
      <c r="O461">
        <v>350</v>
      </c>
    </row>
    <row r="462" spans="1:15" x14ac:dyDescent="0.2">
      <c r="A462" t="s">
        <v>125</v>
      </c>
      <c r="B462" t="s">
        <v>45</v>
      </c>
      <c r="C462" t="s">
        <v>17</v>
      </c>
      <c r="D462" t="s">
        <v>75</v>
      </c>
      <c r="E462" t="s">
        <v>118</v>
      </c>
      <c r="F462">
        <v>3</v>
      </c>
      <c r="G462" t="s">
        <v>19</v>
      </c>
      <c r="H462" t="s">
        <v>20</v>
      </c>
      <c r="I462">
        <v>18</v>
      </c>
      <c r="J462">
        <v>19</v>
      </c>
      <c r="K462">
        <v>0</v>
      </c>
      <c r="L462">
        <v>38</v>
      </c>
      <c r="M462">
        <v>40</v>
      </c>
      <c r="N462">
        <v>0</v>
      </c>
      <c r="O462">
        <v>145</v>
      </c>
    </row>
    <row r="463" spans="1:15" x14ac:dyDescent="0.2">
      <c r="A463" t="s">
        <v>125</v>
      </c>
      <c r="B463" t="s">
        <v>45</v>
      </c>
      <c r="C463" t="s">
        <v>17</v>
      </c>
      <c r="D463" t="s">
        <v>75</v>
      </c>
      <c r="E463" t="s">
        <v>118</v>
      </c>
      <c r="F463">
        <v>3</v>
      </c>
      <c r="G463" t="s">
        <v>19</v>
      </c>
      <c r="H463" t="s">
        <v>21</v>
      </c>
      <c r="I463">
        <v>10</v>
      </c>
      <c r="J463">
        <v>8</v>
      </c>
      <c r="K463">
        <v>0</v>
      </c>
      <c r="L463">
        <v>38</v>
      </c>
      <c r="M463">
        <v>40</v>
      </c>
      <c r="N463">
        <v>0</v>
      </c>
      <c r="O463">
        <v>145</v>
      </c>
    </row>
    <row r="464" spans="1:15" x14ac:dyDescent="0.2">
      <c r="A464" t="s">
        <v>125</v>
      </c>
      <c r="B464" t="s">
        <v>45</v>
      </c>
      <c r="C464" t="s">
        <v>17</v>
      </c>
      <c r="D464" t="s">
        <v>75</v>
      </c>
      <c r="E464" t="s">
        <v>118</v>
      </c>
      <c r="F464">
        <v>3</v>
      </c>
      <c r="G464" t="s">
        <v>19</v>
      </c>
      <c r="H464" t="s">
        <v>22</v>
      </c>
      <c r="I464">
        <v>3</v>
      </c>
      <c r="J464">
        <v>3</v>
      </c>
      <c r="K464">
        <v>0</v>
      </c>
      <c r="L464">
        <v>38</v>
      </c>
      <c r="M464">
        <v>40</v>
      </c>
      <c r="N464">
        <v>0</v>
      </c>
      <c r="O464">
        <v>145</v>
      </c>
    </row>
    <row r="465" spans="1:43" x14ac:dyDescent="0.2">
      <c r="A465" t="s">
        <v>125</v>
      </c>
      <c r="B465" t="s">
        <v>45</v>
      </c>
      <c r="C465" t="s">
        <v>17</v>
      </c>
      <c r="D465" t="s">
        <v>75</v>
      </c>
      <c r="E465" t="s">
        <v>118</v>
      </c>
      <c r="F465">
        <v>3</v>
      </c>
      <c r="G465" t="s">
        <v>19</v>
      </c>
      <c r="H465" t="s">
        <v>23</v>
      </c>
      <c r="I465">
        <v>7</v>
      </c>
      <c r="J465">
        <v>10</v>
      </c>
      <c r="K465">
        <v>0</v>
      </c>
      <c r="L465">
        <v>38</v>
      </c>
      <c r="M465">
        <v>40</v>
      </c>
      <c r="N465">
        <v>0</v>
      </c>
      <c r="O465">
        <v>145</v>
      </c>
    </row>
    <row r="466" spans="1:43" x14ac:dyDescent="0.2">
      <c r="A466" t="s">
        <v>125</v>
      </c>
      <c r="B466" t="s">
        <v>45</v>
      </c>
      <c r="C466" t="s">
        <v>17</v>
      </c>
      <c r="D466" t="s">
        <v>75</v>
      </c>
      <c r="E466" t="s">
        <v>118</v>
      </c>
      <c r="F466">
        <v>3</v>
      </c>
      <c r="G466" t="s">
        <v>19</v>
      </c>
      <c r="H466" t="s">
        <v>24</v>
      </c>
      <c r="I466">
        <v>0</v>
      </c>
      <c r="J466">
        <v>0</v>
      </c>
      <c r="K466">
        <v>0</v>
      </c>
      <c r="L466">
        <v>38</v>
      </c>
      <c r="M466">
        <v>40</v>
      </c>
      <c r="N466">
        <v>0</v>
      </c>
      <c r="O466">
        <v>145</v>
      </c>
    </row>
    <row r="467" spans="1:43" x14ac:dyDescent="0.2">
      <c r="A467" t="s">
        <v>125</v>
      </c>
      <c r="B467" t="s">
        <v>45</v>
      </c>
      <c r="C467" t="s">
        <v>17</v>
      </c>
      <c r="D467" t="s">
        <v>75</v>
      </c>
      <c r="E467" t="s">
        <v>117</v>
      </c>
      <c r="F467">
        <v>3</v>
      </c>
      <c r="G467" t="s">
        <v>79</v>
      </c>
      <c r="H467" t="s">
        <v>20</v>
      </c>
      <c r="I467">
        <v>3</v>
      </c>
      <c r="J467">
        <v>19</v>
      </c>
      <c r="K467">
        <v>14</v>
      </c>
      <c r="L467">
        <v>6</v>
      </c>
      <c r="M467">
        <v>46</v>
      </c>
      <c r="N467">
        <v>34</v>
      </c>
      <c r="O467">
        <v>80</v>
      </c>
      <c r="Z467" t="s">
        <v>150</v>
      </c>
      <c r="AA467" s="3" t="s">
        <v>20</v>
      </c>
      <c r="AB467" s="3" t="s">
        <v>21</v>
      </c>
      <c r="AC467" s="3" t="s">
        <v>60</v>
      </c>
      <c r="AD467" s="3" t="s">
        <v>61</v>
      </c>
      <c r="AE467" s="3" t="s">
        <v>62</v>
      </c>
      <c r="AF467" s="3" t="s">
        <v>200</v>
      </c>
      <c r="AG467" s="3" t="s">
        <v>201</v>
      </c>
      <c r="AH467" s="3" t="s">
        <v>199</v>
      </c>
    </row>
    <row r="468" spans="1:43" x14ac:dyDescent="0.2">
      <c r="A468" t="s">
        <v>125</v>
      </c>
      <c r="B468" t="s">
        <v>45</v>
      </c>
      <c r="C468" t="s">
        <v>17</v>
      </c>
      <c r="D468" t="s">
        <v>75</v>
      </c>
      <c r="E468" t="s">
        <v>117</v>
      </c>
      <c r="F468">
        <v>3</v>
      </c>
      <c r="G468" t="s">
        <v>79</v>
      </c>
      <c r="H468" t="s">
        <v>21</v>
      </c>
      <c r="I468">
        <v>3</v>
      </c>
      <c r="J468">
        <v>17</v>
      </c>
      <c r="K468">
        <v>12</v>
      </c>
      <c r="L468">
        <v>6</v>
      </c>
      <c r="M468">
        <v>46</v>
      </c>
      <c r="N468">
        <v>34</v>
      </c>
      <c r="O468">
        <v>80</v>
      </c>
      <c r="Z468" s="18" t="s">
        <v>232</v>
      </c>
      <c r="AA468" s="8" cm="1">
        <f t="array" ref="AA468:AE468">Z491:AD491</f>
        <v>71.154579004173286</v>
      </c>
      <c r="AB468" s="8">
        <v>16.096054773064175</v>
      </c>
      <c r="AC468" s="8">
        <v>8.0852034318266206</v>
      </c>
      <c r="AD468" s="7">
        <v>4.6641627909359151</v>
      </c>
      <c r="AE468" s="8">
        <v>0</v>
      </c>
      <c r="AF468" s="8">
        <f>SUM(AA468:AB468)</f>
        <v>87.250633777237454</v>
      </c>
      <c r="AG468" s="8">
        <f>SUM(AA468:AC468)</f>
        <v>95.335837209064067</v>
      </c>
    </row>
    <row r="469" spans="1:43" x14ac:dyDescent="0.2">
      <c r="A469" t="s">
        <v>125</v>
      </c>
      <c r="B469" t="s">
        <v>45</v>
      </c>
      <c r="C469" t="s">
        <v>17</v>
      </c>
      <c r="D469" t="s">
        <v>75</v>
      </c>
      <c r="E469" t="s">
        <v>117</v>
      </c>
      <c r="F469">
        <v>3</v>
      </c>
      <c r="G469" t="s">
        <v>79</v>
      </c>
      <c r="H469" t="s">
        <v>22</v>
      </c>
      <c r="I469">
        <v>0</v>
      </c>
      <c r="J469">
        <v>7</v>
      </c>
      <c r="K469">
        <v>6</v>
      </c>
      <c r="L469">
        <v>6</v>
      </c>
      <c r="M469">
        <v>46</v>
      </c>
      <c r="N469">
        <v>34</v>
      </c>
      <c r="O469">
        <v>80</v>
      </c>
      <c r="Z469" s="18" t="s">
        <v>209</v>
      </c>
      <c r="AA469" s="8" cm="1">
        <f t="array" ref="AA469:AE469">Z499:AD499</f>
        <v>56.588198675892144</v>
      </c>
      <c r="AB469" s="8">
        <v>20.454341198360304</v>
      </c>
      <c r="AC469" s="8">
        <v>7.6830711047741733</v>
      </c>
      <c r="AD469" s="8">
        <v>15.274389020973384</v>
      </c>
      <c r="AE469" s="8">
        <v>0</v>
      </c>
      <c r="AF469" s="8">
        <f t="shared" ref="AF469:AF470" si="0">SUM(AA469:AB469)</f>
        <v>77.042539874252441</v>
      </c>
      <c r="AG469" s="8">
        <f>SUM(AA469:AC469)</f>
        <v>84.725610979026612</v>
      </c>
      <c r="AJ469" s="27" t="s">
        <v>236</v>
      </c>
      <c r="AL469" s="3" t="s">
        <v>20</v>
      </c>
      <c r="AM469" s="3" t="s">
        <v>21</v>
      </c>
      <c r="AN469" s="3" t="s">
        <v>60</v>
      </c>
      <c r="AO469" s="3" t="s">
        <v>61</v>
      </c>
      <c r="AP469" s="3" t="s">
        <v>62</v>
      </c>
    </row>
    <row r="470" spans="1:43" x14ac:dyDescent="0.2">
      <c r="A470" t="s">
        <v>125</v>
      </c>
      <c r="B470" t="s">
        <v>45</v>
      </c>
      <c r="C470" t="s">
        <v>17</v>
      </c>
      <c r="D470" t="s">
        <v>75</v>
      </c>
      <c r="E470" t="s">
        <v>117</v>
      </c>
      <c r="F470">
        <v>3</v>
      </c>
      <c r="G470" t="s">
        <v>79</v>
      </c>
      <c r="H470" t="s">
        <v>23</v>
      </c>
      <c r="I470">
        <v>0</v>
      </c>
      <c r="J470">
        <v>3</v>
      </c>
      <c r="K470">
        <v>2</v>
      </c>
      <c r="L470">
        <v>6</v>
      </c>
      <c r="M470">
        <v>46</v>
      </c>
      <c r="N470">
        <v>34</v>
      </c>
      <c r="O470">
        <v>80</v>
      </c>
      <c r="Z470" s="18" t="s">
        <v>210</v>
      </c>
      <c r="AA470" s="8" cm="1">
        <f t="array" ref="AA470:AE470">Z508:AD508</f>
        <v>54.551742201416268</v>
      </c>
      <c r="AB470" s="8">
        <v>20.497708183796259</v>
      </c>
      <c r="AC470" s="8">
        <v>11.822144684266947</v>
      </c>
      <c r="AD470" s="8">
        <v>13.128404930520517</v>
      </c>
      <c r="AE470" s="8">
        <v>0</v>
      </c>
      <c r="AF470" s="8">
        <f t="shared" si="0"/>
        <v>75.049450385212523</v>
      </c>
      <c r="AG470" s="8">
        <f>SUM(AA470:AC470)</f>
        <v>86.871595069479469</v>
      </c>
      <c r="AJ470" s="8">
        <f>SUM(AA476:AD476)</f>
        <v>62.256989968818161</v>
      </c>
      <c r="AL470" s="8">
        <f>AA476/$AJ$470*100</f>
        <v>58.029511197620529</v>
      </c>
      <c r="AM470" s="8">
        <f>AB476/$AJ$470*100</f>
        <v>25.018144671698096</v>
      </c>
      <c r="AN470" s="8">
        <f>AC476/$AJ$470*100</f>
        <v>10.229007193830951</v>
      </c>
      <c r="AO470" s="8">
        <f>AD476/$AJ$470*100</f>
        <v>6.7233369368504343</v>
      </c>
      <c r="AQ470">
        <f>SUM(AL470:AM470)</f>
        <v>83.047655869318618</v>
      </c>
    </row>
    <row r="471" spans="1:43" x14ac:dyDescent="0.2">
      <c r="A471" t="s">
        <v>125</v>
      </c>
      <c r="B471" t="s">
        <v>45</v>
      </c>
      <c r="C471" t="s">
        <v>17</v>
      </c>
      <c r="D471" t="s">
        <v>75</v>
      </c>
      <c r="E471" t="s">
        <v>117</v>
      </c>
      <c r="F471">
        <v>3</v>
      </c>
      <c r="G471" t="s">
        <v>79</v>
      </c>
      <c r="H471" t="s">
        <v>24</v>
      </c>
      <c r="I471">
        <v>0</v>
      </c>
      <c r="J471">
        <v>0</v>
      </c>
      <c r="K471">
        <v>0</v>
      </c>
      <c r="L471">
        <v>6</v>
      </c>
      <c r="M471">
        <v>46</v>
      </c>
      <c r="N471">
        <v>34</v>
      </c>
      <c r="O471">
        <v>80</v>
      </c>
      <c r="AJ471" s="8">
        <f>SUM(AA477:AD477)</f>
        <v>54.421641294552998</v>
      </c>
      <c r="AL471" s="8">
        <f>AA477/$AJ$471*100</f>
        <v>27.371284133906126</v>
      </c>
      <c r="AM471" s="8">
        <f>AB477/$AJ$471*100</f>
        <v>35.544340286715951</v>
      </c>
      <c r="AN471" s="8">
        <f>AC477/$AJ$471*100</f>
        <v>19.299202668931635</v>
      </c>
      <c r="AO471" s="8">
        <f>AD477/$AJ$471*100</f>
        <v>17.785172910446292</v>
      </c>
      <c r="AQ471">
        <f t="shared" ref="AQ471:AQ472" si="1">SUM(AL471:AM471)</f>
        <v>62.91562442062208</v>
      </c>
    </row>
    <row r="472" spans="1:43" x14ac:dyDescent="0.2">
      <c r="A472" t="s">
        <v>125</v>
      </c>
      <c r="B472" t="s">
        <v>45</v>
      </c>
      <c r="C472" t="s">
        <v>17</v>
      </c>
      <c r="D472" t="s">
        <v>75</v>
      </c>
      <c r="E472" t="s">
        <v>116</v>
      </c>
      <c r="F472">
        <v>3</v>
      </c>
      <c r="G472" t="s">
        <v>77</v>
      </c>
      <c r="H472" t="s">
        <v>20</v>
      </c>
      <c r="I472">
        <v>3</v>
      </c>
      <c r="J472">
        <v>8</v>
      </c>
      <c r="K472">
        <v>5</v>
      </c>
      <c r="L472">
        <v>7</v>
      </c>
      <c r="M472">
        <v>42</v>
      </c>
      <c r="N472">
        <v>27</v>
      </c>
      <c r="O472">
        <v>71</v>
      </c>
      <c r="Z472" t="s">
        <v>151</v>
      </c>
      <c r="AA472" s="3" t="s">
        <v>20</v>
      </c>
      <c r="AB472" s="3" t="s">
        <v>21</v>
      </c>
      <c r="AC472" s="3" t="s">
        <v>60</v>
      </c>
      <c r="AD472" s="3" t="s">
        <v>61</v>
      </c>
      <c r="AE472" s="3" t="s">
        <v>62</v>
      </c>
      <c r="AJ472" s="8">
        <f>SUM(AA478:AD478)</f>
        <v>50.088414739820557</v>
      </c>
      <c r="AL472" s="8">
        <f>AA478/$AJ$472*100</f>
        <v>8.0644021668491135</v>
      </c>
      <c r="AM472" s="8">
        <f>AB478/$AJ$472*100</f>
        <v>37.251945190355812</v>
      </c>
      <c r="AN472" s="8">
        <f>AC478/$AJ$472*100</f>
        <v>23.212285591257977</v>
      </c>
      <c r="AO472" s="8">
        <f>AD478/$AJ$472*100</f>
        <v>31.471367051537101</v>
      </c>
      <c r="AQ472">
        <f t="shared" si="1"/>
        <v>45.316347357204926</v>
      </c>
    </row>
    <row r="473" spans="1:43" x14ac:dyDescent="0.2">
      <c r="A473" t="s">
        <v>125</v>
      </c>
      <c r="B473" t="s">
        <v>45</v>
      </c>
      <c r="C473" t="s">
        <v>17</v>
      </c>
      <c r="D473" t="s">
        <v>75</v>
      </c>
      <c r="E473" t="s">
        <v>116</v>
      </c>
      <c r="F473">
        <v>3</v>
      </c>
      <c r="G473" t="s">
        <v>77</v>
      </c>
      <c r="H473" t="s">
        <v>21</v>
      </c>
      <c r="I473">
        <v>3</v>
      </c>
      <c r="J473">
        <v>25</v>
      </c>
      <c r="K473">
        <v>17</v>
      </c>
      <c r="L473">
        <v>7</v>
      </c>
      <c r="M473">
        <v>42</v>
      </c>
      <c r="N473">
        <v>27</v>
      </c>
      <c r="O473">
        <v>71</v>
      </c>
      <c r="Z473" s="18" t="s">
        <v>232</v>
      </c>
      <c r="AA473" s="8" cm="1">
        <f t="array" ref="AA473:AE473">Z516:AD516</f>
        <v>55.002266423155035</v>
      </c>
      <c r="AB473" s="8">
        <v>23.220492181337647</v>
      </c>
      <c r="AC473" s="8">
        <v>12.772628769215647</v>
      </c>
      <c r="AD473" s="7">
        <v>8.834544599080786</v>
      </c>
      <c r="AE473" s="16">
        <v>0.17006802721088435</v>
      </c>
      <c r="AF473" s="8">
        <f>SUM(AA473:AB473)</f>
        <v>78.222758604492682</v>
      </c>
      <c r="AG473" s="8">
        <f>SUM(AA473:AC473)</f>
        <v>90.995387373708326</v>
      </c>
    </row>
    <row r="474" spans="1:43" x14ac:dyDescent="0.2">
      <c r="A474" t="s">
        <v>125</v>
      </c>
      <c r="B474" t="s">
        <v>45</v>
      </c>
      <c r="C474" t="s">
        <v>17</v>
      </c>
      <c r="D474" t="s">
        <v>75</v>
      </c>
      <c r="E474" t="s">
        <v>116</v>
      </c>
      <c r="F474">
        <v>3</v>
      </c>
      <c r="G474" t="s">
        <v>77</v>
      </c>
      <c r="H474" t="s">
        <v>22</v>
      </c>
      <c r="I474">
        <v>1</v>
      </c>
      <c r="J474">
        <v>3</v>
      </c>
      <c r="K474">
        <v>2</v>
      </c>
      <c r="L474">
        <v>7</v>
      </c>
      <c r="M474">
        <v>42</v>
      </c>
      <c r="N474">
        <v>27</v>
      </c>
      <c r="O474">
        <v>71</v>
      </c>
      <c r="Z474" s="18" t="s">
        <v>209</v>
      </c>
      <c r="AA474" s="8" cm="1">
        <f t="array" ref="AA474:AE474">Z524:AD524</f>
        <v>35.03283497342067</v>
      </c>
      <c r="AB474" s="8">
        <v>32.706338111346263</v>
      </c>
      <c r="AC474" s="8">
        <v>16.401252423638418</v>
      </c>
      <c r="AD474" s="8">
        <v>15.771855193349039</v>
      </c>
      <c r="AE474" s="16">
        <v>8.771929824561403E-2</v>
      </c>
      <c r="AF474" s="8">
        <f t="shared" ref="AF474:AF478" si="2">SUM(AA474:AB474)</f>
        <v>67.739173084766932</v>
      </c>
      <c r="AG474" s="8">
        <f>SUM(AA474:AC474)</f>
        <v>84.140425508405343</v>
      </c>
      <c r="AM474" s="8">
        <f>SUM(AL470:AM470)</f>
        <v>83.047655869318618</v>
      </c>
      <c r="AN474" s="8">
        <f>SUM(AL470:AN470)</f>
        <v>93.27666306314957</v>
      </c>
    </row>
    <row r="475" spans="1:43" ht="16" thickBot="1" x14ac:dyDescent="0.25">
      <c r="A475" t="s">
        <v>125</v>
      </c>
      <c r="B475" t="s">
        <v>45</v>
      </c>
      <c r="C475" t="s">
        <v>17</v>
      </c>
      <c r="D475" t="s">
        <v>75</v>
      </c>
      <c r="E475" t="s">
        <v>116</v>
      </c>
      <c r="F475">
        <v>3</v>
      </c>
      <c r="G475" t="s">
        <v>77</v>
      </c>
      <c r="H475" t="s">
        <v>23</v>
      </c>
      <c r="I475">
        <v>0</v>
      </c>
      <c r="J475">
        <v>6</v>
      </c>
      <c r="K475">
        <v>3</v>
      </c>
      <c r="L475">
        <v>7</v>
      </c>
      <c r="M475">
        <v>42</v>
      </c>
      <c r="N475">
        <v>27</v>
      </c>
      <c r="O475">
        <v>71</v>
      </c>
      <c r="Z475" s="18" t="s">
        <v>210</v>
      </c>
      <c r="AA475" s="8" cm="1">
        <f t="array" ref="AA475:AE475">Z532:AD532</f>
        <v>22.308048080635306</v>
      </c>
      <c r="AB475" s="8">
        <v>33.32151291548756</v>
      </c>
      <c r="AC475" s="8">
        <v>19.252223511916199</v>
      </c>
      <c r="AD475" s="8">
        <v>25.04105499813377</v>
      </c>
      <c r="AE475" s="16">
        <v>7.716049382716049E-2</v>
      </c>
      <c r="AF475" s="8">
        <f t="shared" si="2"/>
        <v>55.629560996122862</v>
      </c>
      <c r="AG475" s="8">
        <f>SUM(AA475:AC475)</f>
        <v>74.881784508039061</v>
      </c>
      <c r="AM475" s="8">
        <f t="shared" ref="AM475:AM476" si="3">SUM(AL471:AM471)</f>
        <v>62.91562442062208</v>
      </c>
      <c r="AN475" s="8">
        <f t="shared" ref="AN475:AN476" si="4">SUM(AL471:AN471)</f>
        <v>82.214827089553722</v>
      </c>
    </row>
    <row r="476" spans="1:43" x14ac:dyDescent="0.2">
      <c r="A476" t="s">
        <v>125</v>
      </c>
      <c r="B476" t="s">
        <v>45</v>
      </c>
      <c r="C476" t="s">
        <v>17</v>
      </c>
      <c r="D476" t="s">
        <v>75</v>
      </c>
      <c r="E476" t="s">
        <v>116</v>
      </c>
      <c r="F476">
        <v>3</v>
      </c>
      <c r="G476" t="s">
        <v>77</v>
      </c>
      <c r="H476" t="s">
        <v>24</v>
      </c>
      <c r="I476">
        <v>0</v>
      </c>
      <c r="J476">
        <v>0</v>
      </c>
      <c r="K476">
        <v>0</v>
      </c>
      <c r="L476">
        <v>7</v>
      </c>
      <c r="M476">
        <v>42</v>
      </c>
      <c r="N476">
        <v>27</v>
      </c>
      <c r="O476">
        <v>71</v>
      </c>
      <c r="Z476" s="19" t="s">
        <v>233</v>
      </c>
      <c r="AA476" s="20" cm="1">
        <f t="array" ref="AA476:AE476">Z540:AD540</f>
        <v>36.127426965256824</v>
      </c>
      <c r="AB476" s="20">
        <v>15.575543818643498</v>
      </c>
      <c r="AC476" s="20">
        <v>6.368271982573023</v>
      </c>
      <c r="AD476" s="21">
        <v>4.185747202344821</v>
      </c>
      <c r="AE476" s="22">
        <v>0</v>
      </c>
      <c r="AF476" s="8">
        <f>SUM(AA476:AB476)</f>
        <v>51.702970783900319</v>
      </c>
      <c r="AG476" s="8">
        <f>SUM(AA476:AC476)</f>
        <v>58.07124276647334</v>
      </c>
      <c r="AH476" s="8">
        <f>SUM(AA476:AD476)</f>
        <v>62.256989968818161</v>
      </c>
      <c r="AM476" s="8">
        <f t="shared" si="3"/>
        <v>45.316347357204926</v>
      </c>
      <c r="AN476" s="8">
        <f t="shared" si="4"/>
        <v>68.528632948462899</v>
      </c>
    </row>
    <row r="477" spans="1:43" x14ac:dyDescent="0.2">
      <c r="A477" t="s">
        <v>125</v>
      </c>
      <c r="B477" t="s">
        <v>45</v>
      </c>
      <c r="C477" t="s">
        <v>17</v>
      </c>
      <c r="D477" t="s">
        <v>75</v>
      </c>
      <c r="E477" t="s">
        <v>114</v>
      </c>
      <c r="F477">
        <v>3</v>
      </c>
      <c r="G477" t="s">
        <v>73</v>
      </c>
      <c r="H477" t="s">
        <v>20</v>
      </c>
      <c r="I477">
        <v>2</v>
      </c>
      <c r="J477">
        <v>10</v>
      </c>
      <c r="K477">
        <v>0</v>
      </c>
      <c r="L477">
        <v>8</v>
      </c>
      <c r="M477">
        <v>40</v>
      </c>
      <c r="N477">
        <v>22</v>
      </c>
      <c r="O477">
        <v>79</v>
      </c>
      <c r="Z477" s="18" t="s">
        <v>234</v>
      </c>
      <c r="AA477" s="8" cm="1">
        <f t="array" ref="AA477:AE477">Z548:AD548</f>
        <v>14.89590206906729</v>
      </c>
      <c r="AB477" s="8">
        <v>19.343813371351846</v>
      </c>
      <c r="AC477" s="8">
        <v>10.502942849194774</v>
      </c>
      <c r="AD477" s="8">
        <v>9.6789830049390932</v>
      </c>
      <c r="AE477" s="16">
        <v>0</v>
      </c>
      <c r="AF477" s="8">
        <f t="shared" si="2"/>
        <v>34.239715440419133</v>
      </c>
      <c r="AG477" s="8">
        <f>SUM(AA477:AC477)</f>
        <v>44.742658289613907</v>
      </c>
      <c r="AH477" s="8">
        <f t="shared" ref="AH477:AH478" si="5">SUM(AA477:AD477)</f>
        <v>54.421641294552998</v>
      </c>
    </row>
    <row r="478" spans="1:43" x14ac:dyDescent="0.2">
      <c r="A478" t="s">
        <v>125</v>
      </c>
      <c r="B478" t="s">
        <v>45</v>
      </c>
      <c r="C478" t="s">
        <v>17</v>
      </c>
      <c r="D478" t="s">
        <v>75</v>
      </c>
      <c r="E478" t="s">
        <v>114</v>
      </c>
      <c r="F478">
        <v>3</v>
      </c>
      <c r="G478" t="s">
        <v>73</v>
      </c>
      <c r="H478" t="s">
        <v>21</v>
      </c>
      <c r="I478">
        <v>2</v>
      </c>
      <c r="J478">
        <v>15</v>
      </c>
      <c r="K478">
        <v>7</v>
      </c>
      <c r="L478">
        <v>8</v>
      </c>
      <c r="M478">
        <v>40</v>
      </c>
      <c r="N478">
        <v>22</v>
      </c>
      <c r="O478">
        <v>79</v>
      </c>
      <c r="Z478" s="18" t="s">
        <v>235</v>
      </c>
      <c r="AA478" s="8" cm="1">
        <f t="array" ref="AA478:AE478">Z556:AD556</f>
        <v>4.0393312036184597</v>
      </c>
      <c r="AB478" s="8">
        <v>18.658908805596056</v>
      </c>
      <c r="AC478" s="8">
        <v>11.626665877540905</v>
      </c>
      <c r="AD478" s="8">
        <v>15.76350885306514</v>
      </c>
      <c r="AE478" s="16">
        <v>0</v>
      </c>
      <c r="AF478" s="8">
        <f t="shared" si="2"/>
        <v>22.698240009214516</v>
      </c>
      <c r="AG478" s="8">
        <f>SUM(AA478:AC478)</f>
        <v>34.324905886755417</v>
      </c>
      <c r="AH478" s="8">
        <f t="shared" si="5"/>
        <v>50.088414739820557</v>
      </c>
    </row>
    <row r="479" spans="1:43" x14ac:dyDescent="0.2">
      <c r="A479" t="s">
        <v>125</v>
      </c>
      <c r="B479" t="s">
        <v>45</v>
      </c>
      <c r="C479" t="s">
        <v>17</v>
      </c>
      <c r="D479" t="s">
        <v>75</v>
      </c>
      <c r="E479" t="s">
        <v>114</v>
      </c>
      <c r="F479">
        <v>3</v>
      </c>
      <c r="G479" t="s">
        <v>73</v>
      </c>
      <c r="H479" t="s">
        <v>22</v>
      </c>
      <c r="I479">
        <v>1</v>
      </c>
      <c r="J479">
        <v>5</v>
      </c>
      <c r="K479">
        <v>5</v>
      </c>
      <c r="L479">
        <v>8</v>
      </c>
      <c r="M479">
        <v>40</v>
      </c>
      <c r="N479">
        <v>22</v>
      </c>
      <c r="O479">
        <v>79</v>
      </c>
    </row>
    <row r="480" spans="1:43" x14ac:dyDescent="0.2">
      <c r="A480" t="s">
        <v>125</v>
      </c>
      <c r="B480" t="s">
        <v>45</v>
      </c>
      <c r="C480" t="s">
        <v>17</v>
      </c>
      <c r="D480" t="s">
        <v>75</v>
      </c>
      <c r="E480" t="s">
        <v>114</v>
      </c>
      <c r="F480">
        <v>3</v>
      </c>
      <c r="G480" t="s">
        <v>73</v>
      </c>
      <c r="H480" t="s">
        <v>23</v>
      </c>
      <c r="I480">
        <v>3</v>
      </c>
      <c r="J480">
        <v>10</v>
      </c>
      <c r="K480">
        <v>10</v>
      </c>
      <c r="L480">
        <v>8</v>
      </c>
      <c r="M480">
        <v>40</v>
      </c>
      <c r="N480">
        <v>22</v>
      </c>
      <c r="O480">
        <v>79</v>
      </c>
      <c r="AA480" s="8">
        <f>AA476/AA473*100</f>
        <v>65.683524179374146</v>
      </c>
      <c r="AB480" s="8">
        <f t="shared" ref="AB480:AE480" si="6">AB476/AB473*100</f>
        <v>67.076716966238948</v>
      </c>
      <c r="AC480" s="8">
        <f t="shared" si="6"/>
        <v>49.858741670483006</v>
      </c>
      <c r="AD480" s="8">
        <f t="shared" si="6"/>
        <v>47.379320522988117</v>
      </c>
      <c r="AE480" s="8">
        <f t="shared" si="6"/>
        <v>0</v>
      </c>
    </row>
    <row r="481" spans="1:31" x14ac:dyDescent="0.2">
      <c r="A481" t="s">
        <v>125</v>
      </c>
      <c r="B481" t="s">
        <v>45</v>
      </c>
      <c r="C481" t="s">
        <v>17</v>
      </c>
      <c r="D481" t="s">
        <v>75</v>
      </c>
      <c r="E481" t="s">
        <v>114</v>
      </c>
      <c r="F481">
        <v>3</v>
      </c>
      <c r="G481" t="s">
        <v>73</v>
      </c>
      <c r="H481" t="s">
        <v>24</v>
      </c>
      <c r="I481">
        <v>0</v>
      </c>
      <c r="J481">
        <v>0</v>
      </c>
      <c r="K481">
        <v>0</v>
      </c>
      <c r="L481">
        <v>8</v>
      </c>
      <c r="M481">
        <v>40</v>
      </c>
      <c r="N481">
        <v>22</v>
      </c>
      <c r="O481">
        <v>79</v>
      </c>
      <c r="AA481" s="8">
        <f t="shared" ref="AA481:AE482" si="7">AA477/AA474*100</f>
        <v>42.519830554303631</v>
      </c>
      <c r="AB481" s="8">
        <f t="shared" si="7"/>
        <v>59.143928939697531</v>
      </c>
      <c r="AC481" s="8">
        <f t="shared" si="7"/>
        <v>64.037444079924867</v>
      </c>
      <c r="AD481" s="8">
        <f t="shared" si="7"/>
        <v>61.368703213942155</v>
      </c>
      <c r="AE481" s="8">
        <f t="shared" si="7"/>
        <v>0</v>
      </c>
    </row>
    <row r="482" spans="1:31" x14ac:dyDescent="0.2">
      <c r="AA482" s="8">
        <f t="shared" si="7"/>
        <v>18.107057995472211</v>
      </c>
      <c r="AB482" s="8">
        <f t="shared" si="7"/>
        <v>55.996583507237908</v>
      </c>
      <c r="AC482" s="8">
        <f t="shared" si="7"/>
        <v>60.391288675536927</v>
      </c>
      <c r="AD482" s="8">
        <f t="shared" si="7"/>
        <v>62.95065784664402</v>
      </c>
      <c r="AE482" s="8">
        <f t="shared" si="7"/>
        <v>0</v>
      </c>
    </row>
    <row r="486" spans="1:31" x14ac:dyDescent="0.2">
      <c r="A486" s="31" t="s">
        <v>211</v>
      </c>
      <c r="B486" s="32" t="s">
        <v>53</v>
      </c>
      <c r="C486" s="32"/>
      <c r="D486" s="32"/>
      <c r="E486" s="32"/>
      <c r="F486" s="32"/>
      <c r="G486" s="4" t="s">
        <v>64</v>
      </c>
      <c r="H486" s="32" t="s">
        <v>54</v>
      </c>
      <c r="I486" s="32"/>
      <c r="J486" s="32"/>
      <c r="K486" s="32"/>
      <c r="L486" s="32"/>
      <c r="M486" s="4" t="s">
        <v>64</v>
      </c>
      <c r="N486" s="32" t="s">
        <v>55</v>
      </c>
      <c r="O486" s="32"/>
      <c r="P486" s="32"/>
      <c r="Q486" s="32"/>
      <c r="R486" s="32"/>
      <c r="S486" s="4" t="s">
        <v>64</v>
      </c>
      <c r="T486" s="32" t="s">
        <v>56</v>
      </c>
      <c r="U486" s="32"/>
      <c r="V486" s="32"/>
      <c r="W486" s="32"/>
      <c r="X486" s="32"/>
      <c r="Y486" s="4" t="s">
        <v>64</v>
      </c>
    </row>
    <row r="487" spans="1:31" x14ac:dyDescent="0.2">
      <c r="A487" s="32"/>
      <c r="B487" s="4" t="s">
        <v>20</v>
      </c>
      <c r="C487" s="4" t="s">
        <v>21</v>
      </c>
      <c r="D487" s="4" t="s">
        <v>60</v>
      </c>
      <c r="E487" s="4" t="s">
        <v>61</v>
      </c>
      <c r="F487" s="4" t="s">
        <v>62</v>
      </c>
      <c r="G487" s="4"/>
      <c r="H487" s="4" t="s">
        <v>20</v>
      </c>
      <c r="I487" s="4" t="s">
        <v>21</v>
      </c>
      <c r="J487" s="4" t="s">
        <v>60</v>
      </c>
      <c r="K487" s="4" t="s">
        <v>61</v>
      </c>
      <c r="L487" s="4" t="s">
        <v>62</v>
      </c>
      <c r="M487" s="4"/>
      <c r="N487" s="4" t="s">
        <v>20</v>
      </c>
      <c r="O487" s="4" t="s">
        <v>21</v>
      </c>
      <c r="P487" s="4" t="s">
        <v>60</v>
      </c>
      <c r="Q487" s="4" t="s">
        <v>61</v>
      </c>
      <c r="R487" s="4" t="s">
        <v>62</v>
      </c>
      <c r="S487" s="4"/>
      <c r="T487" s="4" t="s">
        <v>20</v>
      </c>
      <c r="U487" s="4" t="s">
        <v>21</v>
      </c>
      <c r="V487" s="4" t="s">
        <v>60</v>
      </c>
      <c r="W487" s="4" t="s">
        <v>61</v>
      </c>
      <c r="X487" s="4" t="s">
        <v>62</v>
      </c>
      <c r="Y487" s="4"/>
    </row>
    <row r="488" spans="1:31" x14ac:dyDescent="0.2">
      <c r="A488" s="5" t="s">
        <v>57</v>
      </c>
      <c r="B488" s="8">
        <f>$I$7/$L$7*100</f>
        <v>85.355648535564853</v>
      </c>
      <c r="C488" s="8">
        <f>$I$8/$L$8*100</f>
        <v>7.9497907949790791</v>
      </c>
      <c r="D488" s="8">
        <f>$I$9/$L$9*100</f>
        <v>0.41841004184100417</v>
      </c>
      <c r="E488" s="8">
        <f>$I$10/$L$10*100</f>
        <v>6.2761506276150625</v>
      </c>
      <c r="F488" s="8">
        <f>$I$11/$L$11*100</f>
        <v>0</v>
      </c>
      <c r="G488" s="8">
        <f>SUM(B488:F488)</f>
        <v>100</v>
      </c>
      <c r="H488" s="8">
        <f>$I$27/$L$27*100</f>
        <v>81.081081081081081</v>
      </c>
      <c r="I488" s="8">
        <f>$I$28/$L$28*100</f>
        <v>5.4054054054054053</v>
      </c>
      <c r="J488" s="8">
        <f>$I$29/$L$29*100</f>
        <v>8.1081081081081088</v>
      </c>
      <c r="K488" s="8">
        <f>$I$30/$L$30*100</f>
        <v>5.4054054054054053</v>
      </c>
      <c r="L488" s="8">
        <f>$I$31/$L$31*100</f>
        <v>0</v>
      </c>
      <c r="M488" s="8">
        <f>SUM(H488:L488)</f>
        <v>100</v>
      </c>
      <c r="N488" s="8">
        <f>$I$47/$L$47*100</f>
        <v>86.231884057971016</v>
      </c>
      <c r="O488" s="8">
        <f>$I$48/$L$48*100</f>
        <v>7.9710144927536222</v>
      </c>
      <c r="P488" s="8">
        <f>$I$49/$L$49*100</f>
        <v>0</v>
      </c>
      <c r="Q488" s="8">
        <f>$I$50/$L$50*100</f>
        <v>5.7971014492753623</v>
      </c>
      <c r="R488" s="8">
        <f>$I$51/$L$51*100</f>
        <v>0</v>
      </c>
      <c r="S488" s="8">
        <f>SUM(N488:R488)</f>
        <v>100</v>
      </c>
      <c r="T488" s="8">
        <f>$I$67/$L$67*100</f>
        <v>100</v>
      </c>
      <c r="U488" s="8">
        <f>$I$68/$L$68*100</f>
        <v>0</v>
      </c>
      <c r="V488" s="8">
        <f>$I$69/$L$69*100</f>
        <v>0</v>
      </c>
      <c r="W488" s="8">
        <f>$I$70/$L$70*100</f>
        <v>0</v>
      </c>
      <c r="X488" s="8">
        <f>$I$71/$L$71*100</f>
        <v>0</v>
      </c>
      <c r="Y488" s="8">
        <f>SUM(T488:X488)</f>
        <v>100</v>
      </c>
    </row>
    <row r="489" spans="1:31" x14ac:dyDescent="0.2">
      <c r="A489" s="5" t="s">
        <v>58</v>
      </c>
      <c r="B489" s="8">
        <f>$I$87/$L$87*100</f>
        <v>80.582524271844662</v>
      </c>
      <c r="C489" s="8">
        <f>$I$88/$L$88*100</f>
        <v>9.4660194174757279</v>
      </c>
      <c r="D489" s="8">
        <f>$I$89/$L$89*100</f>
        <v>2.912621359223301</v>
      </c>
      <c r="E489" s="8">
        <f>$I$90/$L$90*100</f>
        <v>7.0388349514563107</v>
      </c>
      <c r="F489" s="8">
        <f>$I$91/$L$91*100</f>
        <v>0</v>
      </c>
      <c r="G489" s="8">
        <f>SUM(B489:F489)</f>
        <v>99.999999999999986</v>
      </c>
      <c r="H489" s="8">
        <f>$I$107/$L$107*100</f>
        <v>68.888888888888886</v>
      </c>
      <c r="I489" s="8">
        <f>$I$108/$L$108*100</f>
        <v>15.555555555555555</v>
      </c>
      <c r="J489" s="8">
        <f>$I$109/$L$109*100</f>
        <v>8.8888888888888893</v>
      </c>
      <c r="K489" s="8">
        <f>$I$110/$L$110*100</f>
        <v>6.666666666666667</v>
      </c>
      <c r="L489" s="8">
        <f>$I$111/$L$111*100</f>
        <v>0</v>
      </c>
      <c r="M489" s="8">
        <f>SUM(H489:L489)</f>
        <v>100</v>
      </c>
      <c r="N489" s="8">
        <f>$I$127/$L$127*100</f>
        <v>69.642857142857139</v>
      </c>
      <c r="O489" s="8">
        <f>$I$128/$L$128*100</f>
        <v>14.285714285714285</v>
      </c>
      <c r="P489" s="8">
        <f>$I$129/$L$129*100</f>
        <v>12.5</v>
      </c>
      <c r="Q489" s="8">
        <f>$I$130/$L$130*100</f>
        <v>3.5714285714285712</v>
      </c>
      <c r="R489" s="8">
        <f>$I$131/$L$131*100</f>
        <v>0</v>
      </c>
      <c r="S489" s="8">
        <f>SUM(N489:R489)</f>
        <v>99.999999999999986</v>
      </c>
      <c r="T489" s="8">
        <f>$I$147/$L$147*100</f>
        <v>61.904761904761905</v>
      </c>
      <c r="U489" s="8">
        <f>$I$148/$L$148*100</f>
        <v>28.571428571428569</v>
      </c>
      <c r="V489" s="8">
        <f>$I$149/$L$149*100</f>
        <v>7.1428571428571423</v>
      </c>
      <c r="W489" s="8">
        <f>$I$150/$L$150*100</f>
        <v>2.3809523809523809</v>
      </c>
      <c r="X489" s="8">
        <f>$I$151/$L$151*100</f>
        <v>0</v>
      </c>
      <c r="Y489" s="8">
        <f>SUM(T489:X489)</f>
        <v>100</v>
      </c>
    </row>
    <row r="490" spans="1:31" ht="16" thickBot="1" x14ac:dyDescent="0.25">
      <c r="A490" s="9" t="s">
        <v>59</v>
      </c>
      <c r="B490" s="8">
        <f>$I$167/$L$167*100</f>
        <v>49.504950495049506</v>
      </c>
      <c r="C490" s="8">
        <f>$I$168/$L$168*100</f>
        <v>24.752475247524753</v>
      </c>
      <c r="D490" s="8">
        <f>$I$169/$L$169*100</f>
        <v>17.82178217821782</v>
      </c>
      <c r="E490" s="8">
        <f>$I$170/$L$170*100</f>
        <v>7.9207920792079207</v>
      </c>
      <c r="F490" s="8">
        <f>$I$171/$L$171*100</f>
        <v>0</v>
      </c>
      <c r="G490" s="8">
        <f>SUM(B490:F490)</f>
        <v>100</v>
      </c>
      <c r="H490" s="8">
        <f>$I$187/$L$187*100</f>
        <v>55.555555555555557</v>
      </c>
      <c r="I490" s="8">
        <f>$I$188/$L$188*100</f>
        <v>27.777777777777779</v>
      </c>
      <c r="J490" s="8">
        <f>$I$189/$L$189*100</f>
        <v>16.666666666666664</v>
      </c>
      <c r="K490" s="8">
        <f>$I$190/$L$190*100</f>
        <v>0</v>
      </c>
      <c r="L490" s="8">
        <f>$I$191/$L$191*100</f>
        <v>0</v>
      </c>
      <c r="M490" s="8">
        <f>SUM(H490:L490)</f>
        <v>100</v>
      </c>
      <c r="N490" s="8">
        <f>$I$207/$L$207*100</f>
        <v>63.10679611650486</v>
      </c>
      <c r="O490" s="8">
        <f>$I$208/$L$208*100</f>
        <v>19.417475728155338</v>
      </c>
      <c r="P490" s="8">
        <f>$I$209/$L$209*100</f>
        <v>14.563106796116504</v>
      </c>
      <c r="Q490" s="8">
        <f>$I$210/$L$210*100</f>
        <v>2.912621359223301</v>
      </c>
      <c r="R490" s="8">
        <f>$I$211/$L$211*100</f>
        <v>0</v>
      </c>
      <c r="S490" s="8">
        <f>SUM(N490:R490)</f>
        <v>100</v>
      </c>
      <c r="T490" s="8">
        <f>$I$227/$L$227*100</f>
        <v>52</v>
      </c>
      <c r="U490" s="8">
        <f>$I$228/$L$228*100</f>
        <v>32</v>
      </c>
      <c r="V490" s="8">
        <f>$I$229/$L$229*100</f>
        <v>8</v>
      </c>
      <c r="W490" s="8">
        <f>$I$230/$L$230*100</f>
        <v>8</v>
      </c>
      <c r="X490" s="8">
        <f>$I$231/$L$231*100</f>
        <v>0</v>
      </c>
      <c r="Y490" s="8">
        <f>SUM(T490:X490)</f>
        <v>100</v>
      </c>
    </row>
    <row r="491" spans="1:31" x14ac:dyDescent="0.2">
      <c r="A491" s="10" t="s">
        <v>50</v>
      </c>
      <c r="B491" s="11">
        <f>AVERAGE(B488:B490)</f>
        <v>71.814374434153009</v>
      </c>
      <c r="C491" s="11">
        <f t="shared" ref="C491:F491" si="8">AVERAGE(C488:C490)</f>
        <v>14.056095153326519</v>
      </c>
      <c r="D491" s="11">
        <f t="shared" si="8"/>
        <v>7.0509378597607082</v>
      </c>
      <c r="E491" s="11">
        <f t="shared" si="8"/>
        <v>7.0785925527597646</v>
      </c>
      <c r="F491" s="11">
        <f t="shared" si="8"/>
        <v>0</v>
      </c>
      <c r="G491" s="12"/>
      <c r="H491" s="11">
        <f>AVERAGE(H488:H490)</f>
        <v>68.508508508508498</v>
      </c>
      <c r="I491" s="11">
        <f t="shared" ref="I491" si="9">AVERAGE(I488:I490)</f>
        <v>16.246246246246248</v>
      </c>
      <c r="J491" s="11">
        <f t="shared" ref="J491" si="10">AVERAGE(J488:J490)</f>
        <v>11.221221221221221</v>
      </c>
      <c r="K491" s="11">
        <f t="shared" ref="K491" si="11">AVERAGE(K488:K490)</f>
        <v>4.0240240240240235</v>
      </c>
      <c r="L491" s="11">
        <f t="shared" ref="L491" si="12">AVERAGE(L488:L490)</f>
        <v>0</v>
      </c>
      <c r="M491" s="12"/>
      <c r="N491" s="11">
        <f>AVERAGE(N488:N490)</f>
        <v>72.993845772444345</v>
      </c>
      <c r="O491" s="11">
        <f t="shared" ref="O491" si="13">AVERAGE(O488:O490)</f>
        <v>13.891401502207747</v>
      </c>
      <c r="P491" s="11">
        <f t="shared" ref="P491" si="14">AVERAGE(P488:P490)</f>
        <v>9.0210355987055006</v>
      </c>
      <c r="Q491" s="11">
        <f t="shared" ref="Q491" si="15">AVERAGE(Q488:Q490)</f>
        <v>4.0937171266424111</v>
      </c>
      <c r="R491" s="11">
        <f t="shared" ref="R491" si="16">AVERAGE(R488:R490)</f>
        <v>0</v>
      </c>
      <c r="S491" s="15"/>
      <c r="T491" s="11">
        <f>AVERAGE(T488:T490)</f>
        <v>71.301587301587304</v>
      </c>
      <c r="U491" s="11">
        <f t="shared" ref="U491" si="17">AVERAGE(U488:U490)</f>
        <v>20.19047619047619</v>
      </c>
      <c r="V491" s="11">
        <f t="shared" ref="V491" si="18">AVERAGE(V488:V490)</f>
        <v>5.0476190476190474</v>
      </c>
      <c r="W491" s="11">
        <f t="shared" ref="W491" si="19">AVERAGE(W488:W490)</f>
        <v>3.4603174603174605</v>
      </c>
      <c r="X491" s="11">
        <f t="shared" ref="X491" si="20">AVERAGE(X488:X490)</f>
        <v>0</v>
      </c>
      <c r="Y491" s="15"/>
      <c r="Z491" s="8">
        <f>AVERAGE(B491,H491,N491,T491)</f>
        <v>71.154579004173286</v>
      </c>
      <c r="AA491" s="8">
        <f>AVERAGE(C491,I491,O491,U491)</f>
        <v>16.096054773064175</v>
      </c>
      <c r="AB491" s="8">
        <f>AVERAGE(D491,J491,P491,V491)</f>
        <v>8.0852034318266206</v>
      </c>
      <c r="AC491" s="8">
        <f>AVERAGE(E491,K491,Q491,W491)</f>
        <v>4.6641627909359151</v>
      </c>
      <c r="AD491" s="8">
        <f>AVERAGE(F491,L491,R491,X491)</f>
        <v>0</v>
      </c>
    </row>
    <row r="494" spans="1:31" ht="32" x14ac:dyDescent="0.2">
      <c r="A494" s="2" t="s">
        <v>212</v>
      </c>
      <c r="B494" s="3" t="s">
        <v>53</v>
      </c>
      <c r="C494" s="3"/>
      <c r="D494" s="3"/>
      <c r="E494" s="3"/>
      <c r="F494" s="3"/>
      <c r="G494" s="4" t="s">
        <v>64</v>
      </c>
      <c r="H494" s="3" t="s">
        <v>54</v>
      </c>
      <c r="I494" s="3"/>
      <c r="J494" s="3"/>
      <c r="K494" s="3"/>
      <c r="L494" s="3"/>
      <c r="M494" s="4" t="s">
        <v>64</v>
      </c>
      <c r="N494" s="3" t="s">
        <v>55</v>
      </c>
      <c r="O494" s="3"/>
      <c r="P494" s="3"/>
      <c r="Q494" s="3"/>
      <c r="R494" s="3"/>
      <c r="S494" s="4" t="s">
        <v>64</v>
      </c>
      <c r="T494" s="3" t="s">
        <v>56</v>
      </c>
      <c r="U494" s="3"/>
      <c r="V494" s="3"/>
      <c r="W494" s="3"/>
      <c r="X494" s="3"/>
      <c r="Y494" s="4" t="s">
        <v>64</v>
      </c>
    </row>
    <row r="495" spans="1:31" x14ac:dyDescent="0.2">
      <c r="A495" s="3"/>
      <c r="B495" s="4" t="s">
        <v>20</v>
      </c>
      <c r="C495" s="4" t="s">
        <v>21</v>
      </c>
      <c r="D495" s="4" t="s">
        <v>60</v>
      </c>
      <c r="E495" s="4" t="s">
        <v>61</v>
      </c>
      <c r="F495" s="4" t="s">
        <v>62</v>
      </c>
      <c r="G495" s="4"/>
      <c r="H495" s="4" t="s">
        <v>20</v>
      </c>
      <c r="I495" s="4" t="s">
        <v>21</v>
      </c>
      <c r="J495" s="4" t="s">
        <v>60</v>
      </c>
      <c r="K495" s="4" t="s">
        <v>61</v>
      </c>
      <c r="L495" s="4" t="s">
        <v>62</v>
      </c>
      <c r="M495" s="4"/>
      <c r="N495" s="4" t="s">
        <v>20</v>
      </c>
      <c r="O495" s="4" t="s">
        <v>21</v>
      </c>
      <c r="P495" s="4" t="s">
        <v>60</v>
      </c>
      <c r="Q495" s="4" t="s">
        <v>61</v>
      </c>
      <c r="R495" s="4" t="s">
        <v>62</v>
      </c>
      <c r="S495" s="4"/>
      <c r="T495" s="4" t="s">
        <v>20</v>
      </c>
      <c r="U495" s="4" t="s">
        <v>21</v>
      </c>
      <c r="V495" s="4" t="s">
        <v>60</v>
      </c>
      <c r="W495" s="4" t="s">
        <v>61</v>
      </c>
      <c r="X495" s="4" t="s">
        <v>62</v>
      </c>
      <c r="Y495" s="4"/>
    </row>
    <row r="496" spans="1:31" x14ac:dyDescent="0.2">
      <c r="A496" s="5" t="s">
        <v>57</v>
      </c>
      <c r="B496" s="8">
        <f>$I$12/$L$12*100</f>
        <v>72.058823529411768</v>
      </c>
      <c r="C496" s="8">
        <f>$I$13/$L$13*100</f>
        <v>12.745098039215685</v>
      </c>
      <c r="D496" s="8">
        <f>$I$14/$L$14*100</f>
        <v>1.4705882352941175</v>
      </c>
      <c r="E496" s="8">
        <f>$I$15/$L$15*100</f>
        <v>13.725490196078432</v>
      </c>
      <c r="F496" s="8">
        <f>$I$16/$L$16*100</f>
        <v>0</v>
      </c>
      <c r="G496" s="8">
        <f>SUM(B496:F496)</f>
        <v>100</v>
      </c>
      <c r="H496" s="8">
        <f>$I$32/$L$32*100</f>
        <v>60.526315789473685</v>
      </c>
      <c r="I496" s="8">
        <f>$I$33/$L$33*100</f>
        <v>15.789473684210526</v>
      </c>
      <c r="J496" s="8">
        <f>$I$34/$L$34*100</f>
        <v>10.526315789473683</v>
      </c>
      <c r="K496" s="8">
        <f>$I$35/$L$35*100</f>
        <v>13.157894736842104</v>
      </c>
      <c r="L496" s="8">
        <f>$I$36/$L$36*100</f>
        <v>0</v>
      </c>
      <c r="M496" s="8">
        <f>SUM(H496:L496)</f>
        <v>100</v>
      </c>
      <c r="N496" s="8">
        <f>$I$52/$L$52*100</f>
        <v>68.656716417910445</v>
      </c>
      <c r="O496" s="8">
        <f>$I$53/$L$53*100</f>
        <v>8.9552238805970141</v>
      </c>
      <c r="P496" s="8">
        <f>$I$54/$L$54*100</f>
        <v>3.7313432835820892</v>
      </c>
      <c r="Q496" s="8">
        <f>$I$55/$L$55*100</f>
        <v>18.656716417910449</v>
      </c>
      <c r="R496" s="8">
        <f>$I$56/$L$56*100</f>
        <v>0</v>
      </c>
      <c r="S496" s="8">
        <f>SUM(N496:R496)</f>
        <v>100</v>
      </c>
      <c r="T496" s="8">
        <f>$I$72/$L$72*100</f>
        <v>100</v>
      </c>
      <c r="U496" s="8">
        <f>$I$73/$L$73*100</f>
        <v>0</v>
      </c>
      <c r="V496" s="8">
        <f>$I$74/$L$74*100</f>
        <v>0</v>
      </c>
      <c r="W496" s="8">
        <f>$I$75/$L$75*100</f>
        <v>0</v>
      </c>
      <c r="X496" s="8">
        <f>$I$76/$L$76*100</f>
        <v>0</v>
      </c>
      <c r="Y496" s="8">
        <f>SUM(T496:X496)</f>
        <v>100</v>
      </c>
    </row>
    <row r="497" spans="1:30" x14ac:dyDescent="0.2">
      <c r="A497" s="5" t="s">
        <v>58</v>
      </c>
      <c r="B497" s="8">
        <f>$I$92/$L$92*100</f>
        <v>71.916010498687669</v>
      </c>
      <c r="C497" s="8">
        <f>$I$93/$L$93*100</f>
        <v>15.485564304461944</v>
      </c>
      <c r="D497" s="8">
        <f>$I$94/$L$94*100</f>
        <v>3.674540682414698</v>
      </c>
      <c r="E497" s="8">
        <f>$I$95/$L$95*100</f>
        <v>8.9238845144356951</v>
      </c>
      <c r="F497" s="8">
        <f>$I$96/$L$96*100</f>
        <v>0</v>
      </c>
      <c r="G497" s="8">
        <f>SUM(B497:F497)</f>
        <v>100.00000000000001</v>
      </c>
      <c r="H497" s="8">
        <f>$I$112/$L$112*100</f>
        <v>52.631578947368418</v>
      </c>
      <c r="I497" s="8">
        <f>$I$113/$L$113*100</f>
        <v>26.315789473684209</v>
      </c>
      <c r="J497" s="8">
        <f>$I$114/$L$114*100</f>
        <v>10.526315789473683</v>
      </c>
      <c r="K497" s="8">
        <f>$I$115/$L$115*100</f>
        <v>10.526315789473683</v>
      </c>
      <c r="L497" s="8">
        <f>$I$116/$L$116*100</f>
        <v>0</v>
      </c>
      <c r="M497" s="8">
        <f>SUM(H497:L497)</f>
        <v>100</v>
      </c>
      <c r="N497" s="8">
        <f>$I$132/$L$132*100</f>
        <v>76.19047619047619</v>
      </c>
      <c r="O497" s="8">
        <f>$I$133/$L$133*100</f>
        <v>11.904761904761903</v>
      </c>
      <c r="P497" s="8">
        <f>$I$134/$L$134*100</f>
        <v>7.1428571428571423</v>
      </c>
      <c r="Q497" s="8">
        <f>$I$135/$L$135*100</f>
        <v>4.7619047619047619</v>
      </c>
      <c r="R497" s="8">
        <f>$I$136/$L$136*100</f>
        <v>0</v>
      </c>
      <c r="S497" s="8">
        <f>SUM(N497:R497)</f>
        <v>99.999999999999986</v>
      </c>
      <c r="T497" s="8">
        <f>$I$152/$L$152*100</f>
        <v>33.333333333333329</v>
      </c>
      <c r="U497" s="8">
        <f>$I$153/$L$153*100</f>
        <v>29.629629629629626</v>
      </c>
      <c r="V497" s="8">
        <f>$I$154/$L$154*100</f>
        <v>29.629629629629626</v>
      </c>
      <c r="W497" s="8">
        <f>$I$155/$L$155*100</f>
        <v>7.4074074074074066</v>
      </c>
      <c r="X497" s="8">
        <f>$I$156/$L$156*100</f>
        <v>0</v>
      </c>
      <c r="Y497" s="8">
        <f>SUM(T497:X497)</f>
        <v>99.999999999999986</v>
      </c>
    </row>
    <row r="498" spans="1:30" ht="16" thickBot="1" x14ac:dyDescent="0.25">
      <c r="A498" s="9" t="s">
        <v>59</v>
      </c>
      <c r="B498" s="8">
        <f>$I$172/$L$172*100</f>
        <v>20.987654320987652</v>
      </c>
      <c r="C498" s="8">
        <f>$I$173/$L$173*100</f>
        <v>48.148148148148145</v>
      </c>
      <c r="D498" s="8">
        <f>$I$174/$L$174*100</f>
        <v>18.518518518518519</v>
      </c>
      <c r="E498" s="8">
        <f>$I$175/$L$175*100</f>
        <v>12.345679012345679</v>
      </c>
      <c r="F498" s="8">
        <f>$I$176/$L$176*100</f>
        <v>0</v>
      </c>
      <c r="G498" s="8">
        <f>SUM(B498:F498)</f>
        <v>100</v>
      </c>
      <c r="H498" s="8">
        <f>$I$192/$L$192*100</f>
        <v>28.571428571428569</v>
      </c>
      <c r="I498" s="8">
        <f>$I$193/$L$193*100</f>
        <v>28.571428571428569</v>
      </c>
      <c r="J498" s="8">
        <f>$I$194/$L$194*100</f>
        <v>0</v>
      </c>
      <c r="K498" s="8">
        <f>$I$195/$L$195*100</f>
        <v>42.857142857142854</v>
      </c>
      <c r="L498" s="8">
        <f>$I$196/$L$196*100</f>
        <v>0</v>
      </c>
      <c r="M498" s="8">
        <f>SUM(H498:L498)</f>
        <v>100</v>
      </c>
      <c r="N498" s="8">
        <f>$I$212/$L$212*100</f>
        <v>44.186046511627907</v>
      </c>
      <c r="O498" s="8">
        <f>$I$213/$L$213*100</f>
        <v>27.906976744186046</v>
      </c>
      <c r="P498" s="8">
        <f>$I$214/$L$214*100</f>
        <v>6.9767441860465116</v>
      </c>
      <c r="Q498" s="8">
        <f>$I$215/$L$215*100</f>
        <v>20.930232558139537</v>
      </c>
      <c r="R498" s="8">
        <f>$I$216/$L$216*100</f>
        <v>0</v>
      </c>
      <c r="S498" s="8">
        <f>SUM(N498:R498)</f>
        <v>100.00000000000001</v>
      </c>
      <c r="T498" s="8">
        <f>$I$232/$L$232*100</f>
        <v>50</v>
      </c>
      <c r="U498" s="8">
        <f>$I$233/$L$233*100</f>
        <v>20</v>
      </c>
      <c r="V498" s="8">
        <f>$I$234/$L$234*100</f>
        <v>0</v>
      </c>
      <c r="W498" s="8">
        <f>$I$235/$L$235*100</f>
        <v>30</v>
      </c>
      <c r="X498" s="8">
        <f>$I$236/$L$236*100</f>
        <v>0</v>
      </c>
      <c r="Y498" s="8">
        <f>SUM(T498:X498)</f>
        <v>100</v>
      </c>
    </row>
    <row r="499" spans="1:30" x14ac:dyDescent="0.2">
      <c r="A499" s="10" t="s">
        <v>50</v>
      </c>
      <c r="B499" s="11">
        <f>AVERAGE(B496:B498)</f>
        <v>54.987496116362365</v>
      </c>
      <c r="C499" s="11">
        <f t="shared" ref="C499" si="21">AVERAGE(C496:C498)</f>
        <v>25.459603497275257</v>
      </c>
      <c r="D499" s="11">
        <f t="shared" ref="D499" si="22">AVERAGE(D496:D498)</f>
        <v>7.8878824787424451</v>
      </c>
      <c r="E499" s="11">
        <f t="shared" ref="E499" si="23">AVERAGE(E496:E498)</f>
        <v>11.665017907619935</v>
      </c>
      <c r="F499" s="11">
        <f t="shared" ref="F499" si="24">AVERAGE(F496:F498)</f>
        <v>0</v>
      </c>
      <c r="G499" s="12"/>
      <c r="H499" s="11">
        <f>AVERAGE(H496:H498)</f>
        <v>47.243107769423567</v>
      </c>
      <c r="I499" s="11">
        <f t="shared" ref="I499" si="25">AVERAGE(I496:I498)</f>
        <v>23.558897243107765</v>
      </c>
      <c r="J499" s="11">
        <f t="shared" ref="J499" si="26">AVERAGE(J496:J498)</f>
        <v>7.0175438596491224</v>
      </c>
      <c r="K499" s="11">
        <f t="shared" ref="K499" si="27">AVERAGE(K496:K498)</f>
        <v>22.180451127819548</v>
      </c>
      <c r="L499" s="11">
        <f t="shared" ref="L499" si="28">AVERAGE(L496:L498)</f>
        <v>0</v>
      </c>
      <c r="M499" s="12"/>
      <c r="N499" s="11">
        <f>AVERAGE(N496:N498)</f>
        <v>63.011079706671524</v>
      </c>
      <c r="O499" s="11">
        <f t="shared" ref="O499" si="29">AVERAGE(O496:O498)</f>
        <v>16.255654176514987</v>
      </c>
      <c r="P499" s="11">
        <f t="shared" ref="P499" si="30">AVERAGE(P496:P498)</f>
        <v>5.9503148708285805</v>
      </c>
      <c r="Q499" s="11">
        <f t="shared" ref="Q499" si="31">AVERAGE(Q496:Q498)</f>
        <v>14.782951245984917</v>
      </c>
      <c r="R499" s="11">
        <f t="shared" ref="R499" si="32">AVERAGE(R496:R498)</f>
        <v>0</v>
      </c>
      <c r="S499" s="15"/>
      <c r="T499" s="11">
        <f>AVERAGE(T496:T498)</f>
        <v>61.111111111111107</v>
      </c>
      <c r="U499" s="11">
        <f t="shared" ref="U499" si="33">AVERAGE(U496:U498)</f>
        <v>16.543209876543209</v>
      </c>
      <c r="V499" s="11">
        <f t="shared" ref="V499" si="34">AVERAGE(V496:V498)</f>
        <v>9.8765432098765427</v>
      </c>
      <c r="W499" s="11">
        <f t="shared" ref="W499" si="35">AVERAGE(W496:W498)</f>
        <v>12.469135802469134</v>
      </c>
      <c r="X499" s="11">
        <f t="shared" ref="X499" si="36">AVERAGE(X496:X498)</f>
        <v>0</v>
      </c>
      <c r="Y499" s="15"/>
      <c r="Z499" s="8">
        <f>AVERAGE(B499,H499,N499,T499)</f>
        <v>56.588198675892144</v>
      </c>
      <c r="AA499" s="8">
        <f>AVERAGE(C499,I499,O499,U499)</f>
        <v>20.454341198360304</v>
      </c>
      <c r="AB499" s="8">
        <f>AVERAGE(D499,J499,P499,V499)</f>
        <v>7.6830711047741733</v>
      </c>
      <c r="AC499" s="8">
        <f>AVERAGE(E499,K499,Q499,W499)</f>
        <v>15.274389020973384</v>
      </c>
      <c r="AD499" s="8">
        <f>AVERAGE(F499,L499,R499,X499)</f>
        <v>0</v>
      </c>
    </row>
    <row r="503" spans="1:30" ht="32" x14ac:dyDescent="0.2">
      <c r="A503" s="2" t="s">
        <v>213</v>
      </c>
      <c r="B503" s="3" t="s">
        <v>53</v>
      </c>
      <c r="C503" s="3"/>
      <c r="D503" s="3"/>
      <c r="E503" s="3"/>
      <c r="F503" s="3"/>
      <c r="G503" s="4" t="s">
        <v>64</v>
      </c>
      <c r="H503" s="3" t="s">
        <v>54</v>
      </c>
      <c r="I503" s="3"/>
      <c r="J503" s="3"/>
      <c r="K503" s="3"/>
      <c r="L503" s="3"/>
      <c r="M503" s="4" t="s">
        <v>64</v>
      </c>
      <c r="N503" s="3" t="s">
        <v>55</v>
      </c>
      <c r="O503" s="3"/>
      <c r="P503" s="3"/>
      <c r="Q503" s="3"/>
      <c r="R503" s="3"/>
      <c r="S503" s="4" t="s">
        <v>64</v>
      </c>
      <c r="T503" s="3" t="s">
        <v>56</v>
      </c>
      <c r="U503" s="3"/>
      <c r="V503" s="3"/>
      <c r="W503" s="3"/>
      <c r="X503" s="3"/>
      <c r="Y503" s="4" t="s">
        <v>64</v>
      </c>
    </row>
    <row r="504" spans="1:30" x14ac:dyDescent="0.2">
      <c r="A504" s="3"/>
      <c r="B504" s="4" t="s">
        <v>20</v>
      </c>
      <c r="C504" s="4" t="s">
        <v>21</v>
      </c>
      <c r="D504" s="4" t="s">
        <v>60</v>
      </c>
      <c r="E504" s="4" t="s">
        <v>61</v>
      </c>
      <c r="F504" s="4" t="s">
        <v>62</v>
      </c>
      <c r="G504" s="4"/>
      <c r="H504" s="4" t="s">
        <v>20</v>
      </c>
      <c r="I504" s="4" t="s">
        <v>21</v>
      </c>
      <c r="J504" s="4" t="s">
        <v>60</v>
      </c>
      <c r="K504" s="4" t="s">
        <v>61</v>
      </c>
      <c r="L504" s="4" t="s">
        <v>62</v>
      </c>
      <c r="M504" s="4"/>
      <c r="N504" s="4" t="s">
        <v>20</v>
      </c>
      <c r="O504" s="4" t="s">
        <v>21</v>
      </c>
      <c r="P504" s="4" t="s">
        <v>60</v>
      </c>
      <c r="Q504" s="4" t="s">
        <v>61</v>
      </c>
      <c r="R504" s="4" t="s">
        <v>62</v>
      </c>
      <c r="S504" s="4"/>
      <c r="T504" s="4" t="s">
        <v>20</v>
      </c>
      <c r="U504" s="4" t="s">
        <v>21</v>
      </c>
      <c r="V504" s="4" t="s">
        <v>60</v>
      </c>
      <c r="W504" s="4" t="s">
        <v>61</v>
      </c>
      <c r="X504" s="4" t="s">
        <v>62</v>
      </c>
      <c r="Y504" s="4"/>
    </row>
    <row r="505" spans="1:30" x14ac:dyDescent="0.2">
      <c r="A505" s="5" t="s">
        <v>57</v>
      </c>
      <c r="B505" s="8">
        <f>$I$17/$L$17*100</f>
        <v>66.494845360824741</v>
      </c>
      <c r="C505" s="8">
        <f>$I$18/$L$18*100</f>
        <v>12.371134020618557</v>
      </c>
      <c r="D505" s="8">
        <f>$I$19/$L$19*100</f>
        <v>4.6391752577319592</v>
      </c>
      <c r="E505" s="8">
        <f>$I$20/$L$20*100</f>
        <v>16.494845360824741</v>
      </c>
      <c r="F505" s="8">
        <f>$I$21/$L$21*100</f>
        <v>0</v>
      </c>
      <c r="G505" s="8">
        <f>SUM(B505:F505)</f>
        <v>100</v>
      </c>
      <c r="H505" s="8">
        <f>$I$37/$L$37*100</f>
        <v>67.857142857142861</v>
      </c>
      <c r="I505" s="8">
        <f>$I$38/$L$38*100</f>
        <v>7.1428571428571423</v>
      </c>
      <c r="J505" s="8">
        <f>$I$39/$L$39*100</f>
        <v>0</v>
      </c>
      <c r="K505" s="8">
        <f>$I$40/$L$40*100</f>
        <v>25</v>
      </c>
      <c r="L505" s="8">
        <f>$I$41/$L$41*100</f>
        <v>0</v>
      </c>
      <c r="M505" s="8">
        <f>SUM(H505:L505)</f>
        <v>100</v>
      </c>
      <c r="N505" s="8">
        <f>$I$57/$L$57*100</f>
        <v>66.141732283464577</v>
      </c>
      <c r="O505" s="8">
        <f>$I$58/$L$58*100</f>
        <v>7.0866141732283463</v>
      </c>
      <c r="P505" s="8">
        <f>$I$59/$L$59*100</f>
        <v>4.7244094488188972</v>
      </c>
      <c r="Q505" s="8">
        <f>$I$60/$L$60*100</f>
        <v>22.047244094488189</v>
      </c>
      <c r="R505" s="8">
        <f>$I$61/$L$61*100</f>
        <v>0</v>
      </c>
      <c r="S505" s="8">
        <f>SUM(N505:R505)</f>
        <v>100.00000000000001</v>
      </c>
      <c r="T505" s="8">
        <f>$I$77/$L$77*100</f>
        <v>94.117647058823522</v>
      </c>
      <c r="U505" s="8">
        <f>$I$78/$L$78*100</f>
        <v>0</v>
      </c>
      <c r="V505" s="8">
        <f>$I$79/$L$79*100</f>
        <v>5.8823529411764701</v>
      </c>
      <c r="W505" s="8">
        <f>$I$80/$L$80*100</f>
        <v>0</v>
      </c>
      <c r="X505" s="8">
        <f>$I$81/$L$81*100</f>
        <v>0</v>
      </c>
      <c r="Y505" s="8">
        <f>SUM(T505:X505)</f>
        <v>99.999999999999986</v>
      </c>
    </row>
    <row r="506" spans="1:30" x14ac:dyDescent="0.2">
      <c r="A506" s="5" t="s">
        <v>58</v>
      </c>
      <c r="B506" s="8">
        <f>$I$97/$L$97*100</f>
        <v>72.849462365591393</v>
      </c>
      <c r="C506" s="8">
        <f>$I$98/$L$98*100</f>
        <v>17.741935483870968</v>
      </c>
      <c r="D506" s="8">
        <f>$I$99/$L$99*100</f>
        <v>3.225806451612903</v>
      </c>
      <c r="E506" s="8">
        <f>$I$100/$L$100*100</f>
        <v>6.182795698924731</v>
      </c>
      <c r="F506" s="8">
        <f>$I$111/$L$111*100</f>
        <v>0</v>
      </c>
      <c r="G506" s="8">
        <f>SUM(B506:F506)</f>
        <v>100</v>
      </c>
      <c r="H506" s="8">
        <f>$I$117/$L$117*100</f>
        <v>45.454545454545453</v>
      </c>
      <c r="I506" s="8">
        <f>$I$118/$L$118*100</f>
        <v>21.212121212121211</v>
      </c>
      <c r="J506" s="8">
        <f>$I$119/$L$119*100</f>
        <v>15.151515151515152</v>
      </c>
      <c r="K506" s="8">
        <f>$I$120/$L$120*100</f>
        <v>18.181818181818183</v>
      </c>
      <c r="L506" s="8">
        <f>$I$121/$L$121*100</f>
        <v>0</v>
      </c>
      <c r="M506" s="8">
        <f>SUM(H506:L506)</f>
        <v>100</v>
      </c>
      <c r="N506" s="8">
        <f>$I$137/$L$137*100</f>
        <v>71.05263157894737</v>
      </c>
      <c r="O506" s="8">
        <f>$I$138/$L$138*100</f>
        <v>10.526315789473683</v>
      </c>
      <c r="P506" s="8">
        <f>$I$139/$L$139*100</f>
        <v>13.157894736842104</v>
      </c>
      <c r="Q506" s="8">
        <f>$I$140/$L$140*100</f>
        <v>5.2631578947368416</v>
      </c>
      <c r="R506" s="8">
        <f>$I$141/$L$141*100</f>
        <v>0</v>
      </c>
      <c r="S506" s="8">
        <f>SUM(N506:R506)</f>
        <v>100</v>
      </c>
      <c r="T506" s="8">
        <f>$I$157/$L$157*100</f>
        <v>59.574468085106382</v>
      </c>
      <c r="U506" s="8">
        <f>$I$158/$L$158*100</f>
        <v>19.148936170212767</v>
      </c>
      <c r="V506" s="8">
        <f>$I$159/$L$159*100</f>
        <v>19.148936170212767</v>
      </c>
      <c r="W506" s="8">
        <f>$I$160/$L$160*100</f>
        <v>2.1276595744680851</v>
      </c>
      <c r="X506" s="8">
        <f>$I$161/$L$161*100</f>
        <v>0</v>
      </c>
      <c r="Y506" s="8">
        <f>SUM(T506:X506)</f>
        <v>100</v>
      </c>
    </row>
    <row r="507" spans="1:30" ht="16" thickBot="1" x14ac:dyDescent="0.25">
      <c r="A507" s="9" t="s">
        <v>59</v>
      </c>
      <c r="B507" s="8">
        <f>$I$177/$L$177*100</f>
        <v>15</v>
      </c>
      <c r="C507" s="8">
        <f>$I$178/$L$178*100</f>
        <v>43</v>
      </c>
      <c r="D507" s="8">
        <f>$I$179/$L$179*100</f>
        <v>24</v>
      </c>
      <c r="E507" s="8">
        <f>$I$180/$L$180*100</f>
        <v>18</v>
      </c>
      <c r="F507" s="8">
        <f>$I$181/$L$181*100</f>
        <v>0</v>
      </c>
      <c r="G507" s="8">
        <f>SUM(B507:F507)</f>
        <v>100</v>
      </c>
      <c r="H507" s="8">
        <f>$I$197/$L$197*100</f>
        <v>33.333333333333329</v>
      </c>
      <c r="I507" s="8">
        <f>$I$198/$L$198*100</f>
        <v>22.222222222222221</v>
      </c>
      <c r="J507" s="8">
        <f>$I$199/$L$199*100</f>
        <v>22.222222222222221</v>
      </c>
      <c r="K507" s="8">
        <f>$I$200/$L$200*100</f>
        <v>22.222222222222221</v>
      </c>
      <c r="L507" s="8">
        <f>$I$211/$L$211*100</f>
        <v>0</v>
      </c>
      <c r="M507" s="8">
        <f>SUM(H507:L507)</f>
        <v>100</v>
      </c>
      <c r="N507" s="8">
        <f>$I$217/$L$217*100</f>
        <v>33.333333333333329</v>
      </c>
      <c r="O507" s="8">
        <f>$I$218/$L$218*100</f>
        <v>38.461538461538467</v>
      </c>
      <c r="P507" s="8">
        <f>$I$219/$L$219*100</f>
        <v>17.948717948717949</v>
      </c>
      <c r="Q507" s="8">
        <f>$I$220/$L$220*100</f>
        <v>10.256410256410255</v>
      </c>
      <c r="R507" s="8">
        <f>$I$221/$L$221*100</f>
        <v>0</v>
      </c>
      <c r="S507" s="8">
        <f>SUM(N507:R507)</f>
        <v>100</v>
      </c>
      <c r="T507" s="8">
        <f>$I$237/$L$237*100</f>
        <v>29.411764705882355</v>
      </c>
      <c r="U507" s="8">
        <f>$I$238/$L$238*100</f>
        <v>47.058823529411761</v>
      </c>
      <c r="V507" s="8">
        <f>$I$239/$L$239*100</f>
        <v>11.76470588235294</v>
      </c>
      <c r="W507" s="8">
        <f>$I$240/$L$240*100</f>
        <v>11.76470588235294</v>
      </c>
      <c r="X507" s="8">
        <f>$I$241/$L$241*100</f>
        <v>0</v>
      </c>
      <c r="Y507" s="8">
        <f>SUM(T507:X507)</f>
        <v>100</v>
      </c>
    </row>
    <row r="508" spans="1:30" x14ac:dyDescent="0.2">
      <c r="A508" s="10" t="s">
        <v>50</v>
      </c>
      <c r="B508" s="11">
        <f>AVERAGE(B505:B507)</f>
        <v>51.448102575472042</v>
      </c>
      <c r="C508" s="11">
        <f t="shared" ref="C508" si="37">AVERAGE(C505:C507)</f>
        <v>24.371023168163173</v>
      </c>
      <c r="D508" s="11">
        <f t="shared" ref="D508" si="38">AVERAGE(D505:D507)</f>
        <v>10.62166056978162</v>
      </c>
      <c r="E508" s="11">
        <f t="shared" ref="E508" si="39">AVERAGE(E505:E507)</f>
        <v>13.559213686583158</v>
      </c>
      <c r="F508" s="11">
        <f t="shared" ref="F508" si="40">AVERAGE(F505:F507)</f>
        <v>0</v>
      </c>
      <c r="G508" s="12"/>
      <c r="H508" s="11">
        <f>AVERAGE(H505:H507)</f>
        <v>48.881673881673883</v>
      </c>
      <c r="I508" s="11">
        <f t="shared" ref="I508" si="41">AVERAGE(I505:I507)</f>
        <v>16.859066859066857</v>
      </c>
      <c r="J508" s="11">
        <f t="shared" ref="J508" si="42">AVERAGE(J505:J507)</f>
        <v>12.457912457912457</v>
      </c>
      <c r="K508" s="11">
        <f t="shared" ref="K508" si="43">AVERAGE(K505:K507)</f>
        <v>21.801346801346806</v>
      </c>
      <c r="L508" s="11">
        <f t="shared" ref="L508" si="44">AVERAGE(L505:L507)</f>
        <v>0</v>
      </c>
      <c r="M508" s="12"/>
      <c r="N508" s="11">
        <f>AVERAGE(N505:N507)</f>
        <v>56.84256573191508</v>
      </c>
      <c r="O508" s="11">
        <f t="shared" ref="O508" si="45">AVERAGE(O505:O507)</f>
        <v>18.691489474746831</v>
      </c>
      <c r="P508" s="11">
        <f t="shared" ref="P508" si="46">AVERAGE(P505:P507)</f>
        <v>11.943674044792985</v>
      </c>
      <c r="Q508" s="11">
        <f t="shared" ref="Q508" si="47">AVERAGE(Q505:Q507)</f>
        <v>12.522270748545097</v>
      </c>
      <c r="R508" s="11">
        <f t="shared" ref="R508" si="48">AVERAGE(R505:R507)</f>
        <v>0</v>
      </c>
      <c r="S508" s="15"/>
      <c r="T508" s="14">
        <f>AVERAGE(T505:T507)</f>
        <v>61.034626616604079</v>
      </c>
      <c r="U508" s="12">
        <f>AVERAGE(U505:U507)</f>
        <v>22.069253233208176</v>
      </c>
      <c r="V508" s="11">
        <f>AVERAGE(V505:V507)</f>
        <v>12.265331664580726</v>
      </c>
      <c r="W508" s="11">
        <f>AVERAGE(W505:W507)</f>
        <v>4.6307884856070087</v>
      </c>
      <c r="X508" s="11">
        <f>AVERAGE(X505:X507)</f>
        <v>0</v>
      </c>
      <c r="Y508" s="15"/>
      <c r="Z508" s="8">
        <f>AVERAGE(B508,H508,N508,T508)</f>
        <v>54.551742201416268</v>
      </c>
      <c r="AA508" s="8">
        <f>AVERAGE(C508,I508,O508,U508)</f>
        <v>20.497708183796259</v>
      </c>
      <c r="AB508" s="8">
        <f>AVERAGE(D508,J508,P508,V508)</f>
        <v>11.822144684266947</v>
      </c>
      <c r="AC508" s="8">
        <f>AVERAGE(E508,K508,Q508,W508)</f>
        <v>13.128404930520517</v>
      </c>
      <c r="AD508" s="8">
        <f>AVERAGE(F508,L508,R508,X508)</f>
        <v>0</v>
      </c>
    </row>
    <row r="511" spans="1:30" ht="32" x14ac:dyDescent="0.2">
      <c r="A511" s="2" t="s">
        <v>214</v>
      </c>
      <c r="B511" s="3" t="s">
        <v>53</v>
      </c>
      <c r="C511" s="3"/>
      <c r="D511" s="3"/>
      <c r="E511" s="3"/>
      <c r="F511" s="3"/>
      <c r="G511" s="4" t="s">
        <v>64</v>
      </c>
      <c r="H511" s="3" t="s">
        <v>54</v>
      </c>
      <c r="I511" s="3"/>
      <c r="J511" s="3"/>
      <c r="K511" s="3"/>
      <c r="L511" s="3"/>
      <c r="M511" s="4" t="s">
        <v>64</v>
      </c>
      <c r="N511" s="3" t="s">
        <v>55</v>
      </c>
      <c r="O511" s="3"/>
      <c r="P511" s="3"/>
      <c r="Q511" s="3"/>
      <c r="R511" s="3"/>
      <c r="S511" s="4" t="s">
        <v>64</v>
      </c>
      <c r="T511" s="3" t="s">
        <v>56</v>
      </c>
      <c r="U511" s="3"/>
      <c r="V511" s="3"/>
      <c r="W511" s="3"/>
      <c r="X511" s="3"/>
      <c r="Y511" s="4" t="s">
        <v>64</v>
      </c>
    </row>
    <row r="512" spans="1:30" x14ac:dyDescent="0.2">
      <c r="A512" s="3"/>
      <c r="B512" s="4" t="s">
        <v>20</v>
      </c>
      <c r="C512" s="4" t="s">
        <v>21</v>
      </c>
      <c r="D512" s="4" t="s">
        <v>60</v>
      </c>
      <c r="E512" s="4" t="s">
        <v>61</v>
      </c>
      <c r="F512" s="4" t="s">
        <v>62</v>
      </c>
      <c r="G512" s="4"/>
      <c r="H512" s="4" t="s">
        <v>20</v>
      </c>
      <c r="I512" s="4" t="s">
        <v>21</v>
      </c>
      <c r="J512" s="4" t="s">
        <v>60</v>
      </c>
      <c r="K512" s="4" t="s">
        <v>61</v>
      </c>
      <c r="L512" s="4" t="s">
        <v>62</v>
      </c>
      <c r="M512" s="4"/>
      <c r="N512" s="4" t="s">
        <v>20</v>
      </c>
      <c r="O512" s="4" t="s">
        <v>21</v>
      </c>
      <c r="P512" s="4" t="s">
        <v>60</v>
      </c>
      <c r="Q512" s="4" t="s">
        <v>61</v>
      </c>
      <c r="R512" s="4" t="s">
        <v>62</v>
      </c>
      <c r="S512" s="4"/>
      <c r="T512" s="4" t="s">
        <v>20</v>
      </c>
      <c r="U512" s="4" t="s">
        <v>21</v>
      </c>
      <c r="V512" s="4" t="s">
        <v>60</v>
      </c>
      <c r="W512" s="4" t="s">
        <v>61</v>
      </c>
      <c r="X512" s="4" t="s">
        <v>62</v>
      </c>
      <c r="Y512" s="4"/>
    </row>
    <row r="513" spans="1:30" x14ac:dyDescent="0.2">
      <c r="A513" s="5" t="s">
        <v>57</v>
      </c>
      <c r="B513" s="8">
        <f>$J$7/$M$7*100</f>
        <v>73.643410852713174</v>
      </c>
      <c r="C513" s="8">
        <f>$J$8/$M$8*100</f>
        <v>17.054263565891471</v>
      </c>
      <c r="D513" s="8">
        <f>$J$9/$M$9*100</f>
        <v>3.8759689922480618</v>
      </c>
      <c r="E513" s="8">
        <f>$J$10/$M$10*100</f>
        <v>5.4263565891472867</v>
      </c>
      <c r="F513" s="8">
        <f>$J$11/$M$11*100</f>
        <v>0</v>
      </c>
      <c r="G513" s="8">
        <f>SUM(B513:F513)</f>
        <v>100</v>
      </c>
      <c r="H513" s="8">
        <f>$J$27/$M$27*100</f>
        <v>63.829787234042556</v>
      </c>
      <c r="I513" s="8">
        <f>$J$28/$M$28*100</f>
        <v>29.787234042553191</v>
      </c>
      <c r="J513" s="8">
        <f>$J$29/$M$29*100</f>
        <v>6.3829787234042552</v>
      </c>
      <c r="K513" s="8">
        <f>$J$30/$M$30*100</f>
        <v>0</v>
      </c>
      <c r="L513" s="8">
        <f>$J$31/$M$31*100</f>
        <v>0</v>
      </c>
      <c r="M513" s="8">
        <f>SUM(H513:L513)</f>
        <v>100</v>
      </c>
      <c r="N513" s="8">
        <f>$J$47/$M$47*100</f>
        <v>80.124223602484463</v>
      </c>
      <c r="O513" s="8">
        <f>$J$48/$M$48*100</f>
        <v>13.043478260869565</v>
      </c>
      <c r="P513" s="8">
        <f>$J$49/$M$49*100</f>
        <v>6.2111801242236027</v>
      </c>
      <c r="Q513" s="8">
        <f>$J$50/$M$50*100</f>
        <v>0.6211180124223602</v>
      </c>
      <c r="R513" s="8">
        <f>$J$51/$M$51*100</f>
        <v>0</v>
      </c>
      <c r="S513" s="8">
        <f>SUM(N513:R513)</f>
        <v>99.999999999999986</v>
      </c>
      <c r="T513" s="8">
        <f>$J$67/$M$67*100</f>
        <v>57.894736842105267</v>
      </c>
      <c r="U513" s="8">
        <f>$J$68/$M$68*100</f>
        <v>36.84210526315789</v>
      </c>
      <c r="V513" s="8">
        <f>$J$69/$M$69*100</f>
        <v>5.2631578947368416</v>
      </c>
      <c r="W513" s="8">
        <f>$J$70/$M$70*100</f>
        <v>0</v>
      </c>
      <c r="X513" s="8">
        <f>$J$71/$M$71*100</f>
        <v>0</v>
      </c>
      <c r="Y513" s="8">
        <f>SUM(T513:X513)</f>
        <v>99.999999999999986</v>
      </c>
    </row>
    <row r="514" spans="1:30" x14ac:dyDescent="0.2">
      <c r="A514" s="5" t="s">
        <v>58</v>
      </c>
      <c r="B514" s="8">
        <f>$J$87/$M$87*100</f>
        <v>46.835443037974684</v>
      </c>
      <c r="C514" s="8">
        <f>$J$88/$M$88*100</f>
        <v>18.9873417721519</v>
      </c>
      <c r="D514" s="8">
        <f>$J$89/$M$89*100</f>
        <v>21.518987341772153</v>
      </c>
      <c r="E514" s="8">
        <f>$J$90/$M$90*100</f>
        <v>12.658227848101266</v>
      </c>
      <c r="F514" s="8">
        <f>$J$91/$M$91*100</f>
        <v>0</v>
      </c>
      <c r="G514" s="8">
        <f>SUM(B514:F514)</f>
        <v>100</v>
      </c>
      <c r="H514" s="8">
        <f>$J$107/$M$107*100</f>
        <v>80.555555555555557</v>
      </c>
      <c r="I514" s="8">
        <f>$J$108/$M$108*100</f>
        <v>5.5555555555555554</v>
      </c>
      <c r="J514" s="8">
        <f>$J$109/$M$109*100</f>
        <v>5.5555555555555554</v>
      </c>
      <c r="K514" s="8">
        <f>$J$110/$M$110*100</f>
        <v>8.3333333333333321</v>
      </c>
      <c r="L514" s="8">
        <f>$J$111/$M$111*100</f>
        <v>0</v>
      </c>
      <c r="M514" s="8">
        <f>SUM(H514:L514)</f>
        <v>100</v>
      </c>
      <c r="N514" s="8">
        <f>$J$127/$M$127*100</f>
        <v>42.857142857142854</v>
      </c>
      <c r="O514" s="8">
        <f>$J$128/$M$128*100</f>
        <v>19.727891156462583</v>
      </c>
      <c r="P514" s="8">
        <f>$J$129/$M$129*100</f>
        <v>12.925170068027212</v>
      </c>
      <c r="Q514" s="8">
        <f>$J$130/$M$130*100</f>
        <v>22.448979591836736</v>
      </c>
      <c r="R514" s="8">
        <f>$J$131/$M$131*100</f>
        <v>2.0408163265306123</v>
      </c>
      <c r="S514" s="8">
        <f>SUM(N514:R514)</f>
        <v>100</v>
      </c>
      <c r="T514" s="8">
        <f>$J$147/$M$147*100</f>
        <v>58.333333333333336</v>
      </c>
      <c r="U514" s="8">
        <f>$J$148/$M$148*100</f>
        <v>8.3333333333333321</v>
      </c>
      <c r="V514" s="8">
        <f>$J$149/$M$149*100</f>
        <v>4.1666666666666661</v>
      </c>
      <c r="W514" s="8">
        <f>$J$150/$M$150*100</f>
        <v>29.166666666666668</v>
      </c>
      <c r="X514" s="8">
        <f>$J$151/$M$151*100</f>
        <v>0</v>
      </c>
      <c r="Y514" s="8">
        <f>SUM(T514:X514)</f>
        <v>100.00000000000001</v>
      </c>
    </row>
    <row r="515" spans="1:30" ht="16" thickBot="1" x14ac:dyDescent="0.25">
      <c r="A515" s="9" t="s">
        <v>59</v>
      </c>
      <c r="B515" s="8">
        <f>$J$167/$M$167*100</f>
        <v>36.898395721925134</v>
      </c>
      <c r="C515" s="8">
        <f>$J$168/$M$168*100</f>
        <v>21.390374331550802</v>
      </c>
      <c r="D515" s="8">
        <f>$J$169/$M$169*100</f>
        <v>36.363636363636367</v>
      </c>
      <c r="E515" s="8">
        <f>$J$170/$M$170*100</f>
        <v>5.3475935828877006</v>
      </c>
      <c r="F515" s="8">
        <f>$J$171/$M$171*100</f>
        <v>0</v>
      </c>
      <c r="G515" s="8">
        <f>SUM(B515:F515)</f>
        <v>100</v>
      </c>
      <c r="H515" s="8">
        <f>$J$187/$M$187*100</f>
        <v>47.368421052631575</v>
      </c>
      <c r="I515" s="8">
        <f>$J$188/$M$188*100</f>
        <v>31.578947368421051</v>
      </c>
      <c r="J515" s="8">
        <f>$J$189/$M$189*100</f>
        <v>10.526315789473683</v>
      </c>
      <c r="K515" s="8">
        <f>$J$190/$M$190*100</f>
        <v>10.526315789473683</v>
      </c>
      <c r="L515" s="8">
        <f>$J$191/$M$191*100</f>
        <v>0</v>
      </c>
      <c r="M515" s="8">
        <f>SUM(H515:L515)</f>
        <v>100</v>
      </c>
      <c r="N515" s="8">
        <f>$J$207/$M$207*100</f>
        <v>50</v>
      </c>
      <c r="O515" s="8">
        <f>$J$208/$M$208*100</f>
        <v>23.333333333333332</v>
      </c>
      <c r="P515" s="8">
        <f>$J$209/$M$209*100</f>
        <v>20</v>
      </c>
      <c r="Q515" s="8">
        <f>$J$210/$M$210*100</f>
        <v>6.666666666666667</v>
      </c>
      <c r="R515" s="8">
        <f>$J$211/$M$211*100</f>
        <v>0</v>
      </c>
      <c r="S515" s="8">
        <f>SUM(N515:R515)</f>
        <v>100</v>
      </c>
      <c r="T515" s="8">
        <f>$J$227/$M$227*100</f>
        <v>21.686746987951807</v>
      </c>
      <c r="U515" s="8">
        <f>$J$228/$M$228*100</f>
        <v>53.01204819277109</v>
      </c>
      <c r="V515" s="8">
        <f>$J$229/$M$229*100</f>
        <v>20.481927710843372</v>
      </c>
      <c r="W515" s="8">
        <f>$J$230/$M$230*100</f>
        <v>4.8192771084337354</v>
      </c>
      <c r="X515" s="8">
        <f>$J$231/$M$231*100</f>
        <v>0</v>
      </c>
      <c r="Y515" s="8">
        <f>SUM(T515:X515)</f>
        <v>100</v>
      </c>
    </row>
    <row r="516" spans="1:30" x14ac:dyDescent="0.2">
      <c r="A516" s="10" t="s">
        <v>50</v>
      </c>
      <c r="B516" s="11">
        <f>AVERAGE(B513:B515)</f>
        <v>52.459083204204326</v>
      </c>
      <c r="C516" s="12">
        <f>AVERAGE(C513:C515)</f>
        <v>19.143993223198056</v>
      </c>
      <c r="D516" s="11">
        <f>AVERAGE(D513:D515)</f>
        <v>20.586197565885527</v>
      </c>
      <c r="E516" s="11">
        <f>AVERAGE(E513:E515)</f>
        <v>7.8107260067120841</v>
      </c>
      <c r="F516" s="11">
        <f>AVERAGE(F513:F515)</f>
        <v>0</v>
      </c>
      <c r="G516" s="12"/>
      <c r="H516" s="11">
        <f>AVERAGE(H513:H515)</f>
        <v>63.917921280743222</v>
      </c>
      <c r="I516" s="13">
        <f>AVERAGE(I513:I515)</f>
        <v>22.307245655509931</v>
      </c>
      <c r="J516" s="14">
        <f>AVERAGE(J513:J515)</f>
        <v>7.488283356144497</v>
      </c>
      <c r="K516" s="14">
        <f>AVERAGE(K513:K515)</f>
        <v>6.2865497076023376</v>
      </c>
      <c r="L516" s="14">
        <f>AVERAGE(L513:L515)</f>
        <v>0</v>
      </c>
      <c r="M516" s="12"/>
      <c r="N516" s="14">
        <f>AVERAGE(N513:N515)</f>
        <v>57.660455486542439</v>
      </c>
      <c r="O516" s="12">
        <f>AVERAGE(O513:O515)</f>
        <v>18.70156758355516</v>
      </c>
      <c r="P516" s="11">
        <f>AVERAGE(P513:P515)</f>
        <v>13.045450064083605</v>
      </c>
      <c r="Q516" s="11">
        <f>AVERAGE(Q513:Q515)</f>
        <v>9.9122547569752548</v>
      </c>
      <c r="R516" s="11">
        <f>AVERAGE(R513:R515)</f>
        <v>0.68027210884353739</v>
      </c>
      <c r="S516" s="15"/>
      <c r="T516" s="14">
        <f>AVERAGE(T513:T515)</f>
        <v>45.971605721130139</v>
      </c>
      <c r="U516" s="12">
        <f>AVERAGE(U513:U515)</f>
        <v>32.729162263087439</v>
      </c>
      <c r="V516" s="11">
        <f>AVERAGE(V513:V515)</f>
        <v>9.9705840907489591</v>
      </c>
      <c r="W516" s="11">
        <f>AVERAGE(W513:W515)</f>
        <v>11.328647925033467</v>
      </c>
      <c r="X516" s="11">
        <f>AVERAGE(X513:X515)</f>
        <v>0</v>
      </c>
      <c r="Y516" s="15"/>
      <c r="Z516" s="8">
        <f>AVERAGE(B516,H516,N516,T516)</f>
        <v>55.002266423155035</v>
      </c>
      <c r="AA516" s="8">
        <f>AVERAGE(C516,I516,O516,U516)</f>
        <v>23.220492181337647</v>
      </c>
      <c r="AB516" s="8">
        <f>AVERAGE(D516,J516,P516,V516)</f>
        <v>12.772628769215647</v>
      </c>
      <c r="AC516" s="8">
        <f>AVERAGE(E516,K516,Q516,W516)</f>
        <v>8.834544599080786</v>
      </c>
      <c r="AD516" s="8">
        <f>AVERAGE(F516,L516,R516,X516)</f>
        <v>0.17006802721088435</v>
      </c>
    </row>
    <row r="519" spans="1:30" ht="32" x14ac:dyDescent="0.2">
      <c r="A519" s="2" t="s">
        <v>215</v>
      </c>
      <c r="B519" s="3" t="s">
        <v>53</v>
      </c>
      <c r="C519" s="3"/>
      <c r="D519" s="3"/>
      <c r="E519" s="3"/>
      <c r="F519" s="3"/>
      <c r="G519" s="4" t="s">
        <v>64</v>
      </c>
      <c r="H519" s="3" t="s">
        <v>54</v>
      </c>
      <c r="I519" s="3"/>
      <c r="J519" s="3"/>
      <c r="K519" s="3"/>
      <c r="L519" s="3"/>
      <c r="M519" s="4" t="s">
        <v>64</v>
      </c>
      <c r="N519" s="3" t="s">
        <v>55</v>
      </c>
      <c r="O519" s="3"/>
      <c r="P519" s="3"/>
      <c r="Q519" s="3"/>
      <c r="R519" s="3"/>
      <c r="S519" s="4" t="s">
        <v>64</v>
      </c>
      <c r="T519" s="3" t="s">
        <v>56</v>
      </c>
      <c r="U519" s="3"/>
      <c r="V519" s="3"/>
      <c r="W519" s="3"/>
      <c r="X519" s="3"/>
      <c r="Y519" s="4" t="s">
        <v>64</v>
      </c>
    </row>
    <row r="520" spans="1:30" x14ac:dyDescent="0.2">
      <c r="A520" s="3"/>
      <c r="B520" s="4" t="s">
        <v>20</v>
      </c>
      <c r="C520" s="4" t="s">
        <v>21</v>
      </c>
      <c r="D520" s="4" t="s">
        <v>60</v>
      </c>
      <c r="E520" s="4" t="s">
        <v>61</v>
      </c>
      <c r="F520" s="4" t="s">
        <v>62</v>
      </c>
      <c r="G520" s="4"/>
      <c r="H520" s="4" t="s">
        <v>20</v>
      </c>
      <c r="I520" s="4" t="s">
        <v>21</v>
      </c>
      <c r="J520" s="4" t="s">
        <v>60</v>
      </c>
      <c r="K520" s="4" t="s">
        <v>61</v>
      </c>
      <c r="L520" s="4" t="s">
        <v>62</v>
      </c>
      <c r="M520" s="4"/>
      <c r="N520" s="4" t="s">
        <v>20</v>
      </c>
      <c r="O520" s="4" t="s">
        <v>21</v>
      </c>
      <c r="P520" s="4" t="s">
        <v>60</v>
      </c>
      <c r="Q520" s="4" t="s">
        <v>61</v>
      </c>
      <c r="R520" s="4" t="s">
        <v>62</v>
      </c>
      <c r="S520" s="4"/>
      <c r="T520" s="4" t="s">
        <v>20</v>
      </c>
      <c r="U520" s="4" t="s">
        <v>21</v>
      </c>
      <c r="V520" s="4" t="s">
        <v>60</v>
      </c>
      <c r="W520" s="4" t="s">
        <v>61</v>
      </c>
      <c r="X520" s="4" t="s">
        <v>62</v>
      </c>
      <c r="Y520" s="4"/>
    </row>
    <row r="521" spans="1:30" x14ac:dyDescent="0.2">
      <c r="A521" s="5" t="s">
        <v>57</v>
      </c>
      <c r="B521" s="8">
        <f>$J$12/$M$12*100</f>
        <v>65.882352941176464</v>
      </c>
      <c r="C521" s="8">
        <f>$J$13/$M$13*100</f>
        <v>29.411764705882355</v>
      </c>
      <c r="D521" s="8">
        <f>$J$14/$M$14*100</f>
        <v>3.5294117647058822</v>
      </c>
      <c r="E521" s="8">
        <f>$J$15/$M$15*100</f>
        <v>1.1764705882352942</v>
      </c>
      <c r="F521" s="8">
        <f>$J$16/$M$16*100</f>
        <v>0</v>
      </c>
      <c r="G521" s="8">
        <f>SUM(B521:F521)</f>
        <v>99.999999999999986</v>
      </c>
      <c r="H521" s="8">
        <f>$J$32/$M$32*100</f>
        <v>40</v>
      </c>
      <c r="I521" s="8">
        <f>$J$33/$M$33*100</f>
        <v>44</v>
      </c>
      <c r="J521" s="8">
        <f>$J$34/$M$34*100</f>
        <v>12</v>
      </c>
      <c r="K521" s="8">
        <f>$J$35/$M$35*100</f>
        <v>4</v>
      </c>
      <c r="L521" s="8">
        <f>$J$36/$M$36*100</f>
        <v>0</v>
      </c>
      <c r="M521" s="8">
        <f>SUM(H521:L521)</f>
        <v>100</v>
      </c>
      <c r="N521" s="8">
        <f>$J$52/$M$52*100</f>
        <v>50.617283950617285</v>
      </c>
      <c r="O521" s="8">
        <f>$J$53/$M$53*100</f>
        <v>30.864197530864196</v>
      </c>
      <c r="P521" s="8">
        <f>$J$54/$M$54*100</f>
        <v>8.6419753086419746</v>
      </c>
      <c r="Q521" s="8">
        <f>$J$55/$M$55*100</f>
        <v>9.8765432098765427</v>
      </c>
      <c r="R521" s="8">
        <f>$J$56/$M$56*100</f>
        <v>0</v>
      </c>
      <c r="S521" s="8">
        <f>SUM(N521:R521)</f>
        <v>100</v>
      </c>
      <c r="T521" s="8">
        <f>$J$72/$M$72*100</f>
        <v>25</v>
      </c>
      <c r="U521" s="8">
        <f>$J$73/$M$73*100</f>
        <v>40</v>
      </c>
      <c r="V521" s="8">
        <f>$J$74/$M$74*100</f>
        <v>20</v>
      </c>
      <c r="W521" s="8">
        <f>$J$75/$M$75*100</f>
        <v>15</v>
      </c>
      <c r="X521" s="8">
        <f>$J$76/$M$76*100</f>
        <v>0</v>
      </c>
      <c r="Y521" s="8">
        <f>SUM(T521:X521)</f>
        <v>100</v>
      </c>
    </row>
    <row r="522" spans="1:30" x14ac:dyDescent="0.2">
      <c r="A522" s="5" t="s">
        <v>58</v>
      </c>
      <c r="B522" s="8">
        <f>$J$92/$M$92*100</f>
        <v>33.82352941176471</v>
      </c>
      <c r="C522" s="8">
        <f>$J$93/$M$93*100</f>
        <v>25</v>
      </c>
      <c r="D522" s="8">
        <f>$J$94/$M$94*100</f>
        <v>10.294117647058822</v>
      </c>
      <c r="E522" s="8">
        <f>$J$95/$M$95*100</f>
        <v>30.882352941176471</v>
      </c>
      <c r="F522" s="8">
        <f>$J$96/$M$96*100</f>
        <v>0</v>
      </c>
      <c r="G522" s="8">
        <f>SUM(B522:F522)</f>
        <v>100</v>
      </c>
      <c r="H522" s="8">
        <f>$J$112/$M$112*100</f>
        <v>55.555555555555557</v>
      </c>
      <c r="I522" s="8">
        <f>$J$113/$M$113*100</f>
        <v>22.222222222222221</v>
      </c>
      <c r="J522" s="8">
        <f>$J$114/$M$114*100</f>
        <v>22.222222222222221</v>
      </c>
      <c r="K522" s="8">
        <f>$J$115/$M$115*100</f>
        <v>0</v>
      </c>
      <c r="L522" s="8">
        <f>$J$116/$M$116*100</f>
        <v>0</v>
      </c>
      <c r="M522" s="8">
        <f t="shared" ref="M522:M523" si="49">SUM(H522:L522)</f>
        <v>100</v>
      </c>
      <c r="N522" s="8">
        <f>$J$132/$M$132*100</f>
        <v>20</v>
      </c>
      <c r="O522" s="8">
        <f>$J$133/$M$133*100</f>
        <v>29.473684210526311</v>
      </c>
      <c r="P522" s="8">
        <f>$J$134/$M$134*100</f>
        <v>22.105263157894736</v>
      </c>
      <c r="Q522" s="8">
        <f>$J$135/$M$135*100</f>
        <v>27.368421052631582</v>
      </c>
      <c r="R522" s="8">
        <f>$J$136/$M$136*100</f>
        <v>1.0526315789473684</v>
      </c>
      <c r="S522" s="8">
        <f>SUM(N522:R522)</f>
        <v>100</v>
      </c>
      <c r="T522" s="8">
        <f>$J$152/$M$152*100</f>
        <v>28.571428571428569</v>
      </c>
      <c r="U522" s="8">
        <f>$J$153/$M$153*100</f>
        <v>28.571428571428569</v>
      </c>
      <c r="V522" s="8">
        <f>$J$154/$M$154*100</f>
        <v>14.285714285714285</v>
      </c>
      <c r="W522" s="8">
        <f>$J$155/$M$155*100</f>
        <v>28.571428571428569</v>
      </c>
      <c r="X522" s="8">
        <f>$J$156/$M$156*100</f>
        <v>0</v>
      </c>
      <c r="Y522" s="8">
        <f>SUM(T522:X522)</f>
        <v>99.999999999999986</v>
      </c>
    </row>
    <row r="523" spans="1:30" ht="16" thickBot="1" x14ac:dyDescent="0.25">
      <c r="A523" s="9" t="s">
        <v>59</v>
      </c>
      <c r="B523" s="8">
        <f>$J$172/$M$172*100</f>
        <v>28.063241106719367</v>
      </c>
      <c r="C523" s="8">
        <f>$J$173/$M$173*100</f>
        <v>35.968379446640313</v>
      </c>
      <c r="D523" s="8">
        <f>$J$174/$M$174*100</f>
        <v>26.086956521739129</v>
      </c>
      <c r="E523" s="8">
        <f>$J$175/$M$175*100</f>
        <v>9.8814229249011856</v>
      </c>
      <c r="F523" s="8">
        <f>$J$176/$M$176*100</f>
        <v>0</v>
      </c>
      <c r="G523" s="8">
        <f>SUM(B523:F523)</f>
        <v>100</v>
      </c>
      <c r="H523" s="8">
        <f>$J$192/$M$192*100</f>
        <v>10.526315789473683</v>
      </c>
      <c r="I523" s="8">
        <f>$J$193/$M$193*100</f>
        <v>47.368421052631575</v>
      </c>
      <c r="J523" s="8">
        <f>$J$194/$M$194*100</f>
        <v>21.052631578947366</v>
      </c>
      <c r="K523" s="8">
        <f>$J$195/$M$195*100</f>
        <v>21.052631578947366</v>
      </c>
      <c r="L523" s="8">
        <f>$J$196/$M$196*100</f>
        <v>0</v>
      </c>
      <c r="M523" s="8">
        <f t="shared" si="49"/>
        <v>100</v>
      </c>
      <c r="N523" s="8">
        <f>$J$212/$M$212*100</f>
        <v>30.303030303030305</v>
      </c>
      <c r="O523" s="8">
        <f>$J$213/$M$213*100</f>
        <v>26.262626262626267</v>
      </c>
      <c r="P523" s="8">
        <f>$J$214/$M$214*100</f>
        <v>21.212121212121211</v>
      </c>
      <c r="Q523" s="8">
        <f>$J$215/$M$215*100</f>
        <v>22.222222222222221</v>
      </c>
      <c r="R523" s="8">
        <f>$J$216/$M$216*100</f>
        <v>0</v>
      </c>
      <c r="S523" s="8">
        <f>SUM(N523:R523)</f>
        <v>100</v>
      </c>
      <c r="T523" s="8">
        <f>$J$232/$M$232*100</f>
        <v>32.051282051282051</v>
      </c>
      <c r="U523" s="8">
        <f>$J$233/$M$233*100</f>
        <v>33.333333333333329</v>
      </c>
      <c r="V523" s="8">
        <f>$J$234/$M$234*100</f>
        <v>15.384615384615385</v>
      </c>
      <c r="W523" s="8">
        <f>$J$235/$M$235*100</f>
        <v>19.230769230769234</v>
      </c>
      <c r="X523" s="8">
        <f>$J$236/$M$236*100</f>
        <v>0</v>
      </c>
      <c r="Y523" s="8">
        <f>SUM(T523:X523)</f>
        <v>100</v>
      </c>
    </row>
    <row r="524" spans="1:30" x14ac:dyDescent="0.2">
      <c r="A524" s="10" t="s">
        <v>50</v>
      </c>
      <c r="B524" s="11">
        <f>AVERAGE(B521:B523)</f>
        <v>42.589707819886847</v>
      </c>
      <c r="C524" s="12">
        <f>AVERAGE(C521:C523)</f>
        <v>30.126714717507554</v>
      </c>
      <c r="D524" s="11">
        <f>AVERAGE(D521:D523)</f>
        <v>13.303495311167945</v>
      </c>
      <c r="E524" s="11">
        <f>AVERAGE(E521:E523)</f>
        <v>13.980082151437651</v>
      </c>
      <c r="F524" s="11">
        <f>AVERAGE(F521:F523)</f>
        <v>0</v>
      </c>
      <c r="G524" s="12"/>
      <c r="H524" s="11">
        <f>AVERAGE(H521:H523)</f>
        <v>35.360623781676416</v>
      </c>
      <c r="I524" s="13">
        <f>AVERAGE(I521:I523)</f>
        <v>37.863547758284604</v>
      </c>
      <c r="J524" s="14">
        <f>AVERAGE(J521:J523)</f>
        <v>18.424951267056528</v>
      </c>
      <c r="K524" s="14">
        <f>AVERAGE(K521:K523)</f>
        <v>8.3508771929824555</v>
      </c>
      <c r="L524" s="14">
        <f>AVERAGE(L521:L523)</f>
        <v>0</v>
      </c>
      <c r="M524" s="12"/>
      <c r="N524" s="14">
        <f>AVERAGE(N521:N523)</f>
        <v>33.640104751215866</v>
      </c>
      <c r="O524" s="12">
        <f>AVERAGE(O521:O523)</f>
        <v>28.866836001338925</v>
      </c>
      <c r="P524" s="11">
        <f>AVERAGE(P521:P523)</f>
        <v>17.319786559552639</v>
      </c>
      <c r="Q524" s="11">
        <f>AVERAGE(Q521:Q523)</f>
        <v>19.822395494910115</v>
      </c>
      <c r="R524" s="11">
        <f>AVERAGE(R521:R523)</f>
        <v>0.35087719298245612</v>
      </c>
      <c r="S524" s="15"/>
      <c r="T524" s="14">
        <f>AVERAGE(T521:T523)</f>
        <v>28.540903540903543</v>
      </c>
      <c r="U524" s="12">
        <f>AVERAGE(U521:U523)</f>
        <v>33.968253968253968</v>
      </c>
      <c r="V524" s="11">
        <f>AVERAGE(V521:V523)</f>
        <v>16.556776556776558</v>
      </c>
      <c r="W524" s="11">
        <f>AVERAGE(W521:W523)</f>
        <v>20.934065934065934</v>
      </c>
      <c r="X524" s="11">
        <f>AVERAGE(X521:X523)</f>
        <v>0</v>
      </c>
      <c r="Y524" s="15"/>
      <c r="Z524" s="8">
        <f>AVERAGE(B524,H524,N524,T524)</f>
        <v>35.03283497342067</v>
      </c>
      <c r="AA524" s="8">
        <f>AVERAGE(C524,I524,O524,U524)</f>
        <v>32.706338111346263</v>
      </c>
      <c r="AB524" s="8">
        <f>AVERAGE(D524,J524,P524,V524)</f>
        <v>16.401252423638418</v>
      </c>
      <c r="AC524" s="8">
        <f>AVERAGE(E524,K524,Q524,W524)</f>
        <v>15.771855193349039</v>
      </c>
      <c r="AD524" s="8">
        <f>AVERAGE(F524,L524,R524,X524)</f>
        <v>8.771929824561403E-2</v>
      </c>
    </row>
    <row r="527" spans="1:30" ht="32" x14ac:dyDescent="0.2">
      <c r="A527" s="2" t="s">
        <v>216</v>
      </c>
      <c r="B527" s="3" t="s">
        <v>53</v>
      </c>
      <c r="C527" s="3"/>
      <c r="D527" s="3"/>
      <c r="E527" s="3"/>
      <c r="F527" s="3"/>
      <c r="G527" s="4" t="s">
        <v>64</v>
      </c>
      <c r="H527" s="3" t="s">
        <v>54</v>
      </c>
      <c r="I527" s="3"/>
      <c r="J527" s="3"/>
      <c r="K527" s="3"/>
      <c r="L527" s="3"/>
      <c r="M527" s="4" t="s">
        <v>64</v>
      </c>
      <c r="N527" s="3" t="s">
        <v>55</v>
      </c>
      <c r="O527" s="3"/>
      <c r="P527" s="3"/>
      <c r="Q527" s="3"/>
      <c r="R527" s="3"/>
      <c r="S527" s="4" t="s">
        <v>64</v>
      </c>
      <c r="T527" s="3" t="s">
        <v>56</v>
      </c>
      <c r="U527" s="3"/>
      <c r="V527" s="3"/>
      <c r="W527" s="3"/>
      <c r="X527" s="3"/>
      <c r="Y527" s="4" t="s">
        <v>64</v>
      </c>
    </row>
    <row r="528" spans="1:30" x14ac:dyDescent="0.2">
      <c r="A528" s="3"/>
      <c r="B528" s="4" t="s">
        <v>20</v>
      </c>
      <c r="C528" s="4" t="s">
        <v>21</v>
      </c>
      <c r="D528" s="4" t="s">
        <v>60</v>
      </c>
      <c r="E528" s="4" t="s">
        <v>61</v>
      </c>
      <c r="F528" s="4" t="s">
        <v>62</v>
      </c>
      <c r="G528" s="4"/>
      <c r="H528" s="4" t="s">
        <v>20</v>
      </c>
      <c r="I528" s="4" t="s">
        <v>21</v>
      </c>
      <c r="J528" s="4" t="s">
        <v>60</v>
      </c>
      <c r="K528" s="4" t="s">
        <v>61</v>
      </c>
      <c r="L528" s="4" t="s">
        <v>62</v>
      </c>
      <c r="M528" s="4"/>
      <c r="N528" s="4" t="s">
        <v>20</v>
      </c>
      <c r="O528" s="4" t="s">
        <v>21</v>
      </c>
      <c r="P528" s="4" t="s">
        <v>60</v>
      </c>
      <c r="Q528" s="4" t="s">
        <v>61</v>
      </c>
      <c r="R528" s="4" t="s">
        <v>62</v>
      </c>
      <c r="S528" s="4"/>
      <c r="T528" s="4" t="s">
        <v>20</v>
      </c>
      <c r="U528" s="4" t="s">
        <v>21</v>
      </c>
      <c r="V528" s="4" t="s">
        <v>60</v>
      </c>
      <c r="W528" s="4" t="s">
        <v>61</v>
      </c>
      <c r="X528" s="4" t="s">
        <v>62</v>
      </c>
      <c r="Y528" s="4"/>
    </row>
    <row r="529" spans="1:30" x14ac:dyDescent="0.2">
      <c r="A529" s="5" t="s">
        <v>57</v>
      </c>
      <c r="B529" s="8">
        <f>$J$17/$M$17*100</f>
        <v>50</v>
      </c>
      <c r="C529" s="8">
        <f>$J$18/$M$18*100</f>
        <v>23.611111111111111</v>
      </c>
      <c r="D529" s="8">
        <f>$J$19/$M$19*100</f>
        <v>15.277777777777779</v>
      </c>
      <c r="E529" s="8">
        <f>$J$20/$M$20*100</f>
        <v>11.111111111111111</v>
      </c>
      <c r="F529" s="8">
        <f>$J$21/$M$21*100</f>
        <v>0</v>
      </c>
      <c r="G529" s="8">
        <f>SUM(B529:F529)</f>
        <v>100</v>
      </c>
      <c r="H529" s="8">
        <f>$J$37/$M$37*100</f>
        <v>18.181818181818183</v>
      </c>
      <c r="I529" s="8">
        <f>$J$38/$M$38*100</f>
        <v>27.27272727272727</v>
      </c>
      <c r="J529" s="8">
        <f>$J$39/$M$39*100</f>
        <v>36.363636363636367</v>
      </c>
      <c r="K529" s="8">
        <f>$J$40/$M$40*100</f>
        <v>18.181818181818183</v>
      </c>
      <c r="L529" s="8">
        <f>$J$41/$M$41*100</f>
        <v>0</v>
      </c>
      <c r="M529" s="8">
        <f>SUM(H529:L529)</f>
        <v>100</v>
      </c>
      <c r="N529" s="8">
        <f>$J$57/$M$57*100</f>
        <v>37.333333333333336</v>
      </c>
      <c r="O529" s="8">
        <f>$J$58/$M$58*100</f>
        <v>42.666666666666671</v>
      </c>
      <c r="P529" s="8">
        <f>$J$59/$M$59*100</f>
        <v>12</v>
      </c>
      <c r="Q529" s="8">
        <f>$J$60/$M$60*100</f>
        <v>8</v>
      </c>
      <c r="R529" s="8">
        <f>$J$61/$M$61*100</f>
        <v>0</v>
      </c>
      <c r="S529" s="8">
        <f>SUM(N529:R529)</f>
        <v>100</v>
      </c>
      <c r="T529" s="8">
        <f>$J$77/$M$77*100</f>
        <v>6.666666666666667</v>
      </c>
      <c r="U529" s="8">
        <f>$J$78/$M$78*100</f>
        <v>26.666666666666668</v>
      </c>
      <c r="V529" s="8">
        <f>$J$79/$M$79*100</f>
        <v>46.666666666666664</v>
      </c>
      <c r="W529" s="8">
        <f>$J$80/$M$80*100</f>
        <v>20</v>
      </c>
      <c r="X529" s="8">
        <f>$J$81/$M$81*100</f>
        <v>0</v>
      </c>
      <c r="Y529" s="8">
        <f>SUM(T529:X529)</f>
        <v>100</v>
      </c>
    </row>
    <row r="530" spans="1:30" x14ac:dyDescent="0.2">
      <c r="A530" s="5" t="s">
        <v>58</v>
      </c>
      <c r="B530" s="8">
        <f>$J$97/$M$97*100</f>
        <v>30.612244897959183</v>
      </c>
      <c r="C530" s="8">
        <f>$J$98/$M$98*100</f>
        <v>18.367346938775512</v>
      </c>
      <c r="D530" s="8">
        <f>$J$99/$M$99*100</f>
        <v>16.326530612244898</v>
      </c>
      <c r="E530" s="8">
        <f>$J$100/$M$100*100</f>
        <v>34.693877551020407</v>
      </c>
      <c r="F530" s="8">
        <f>$J$111/$M$111*100</f>
        <v>0</v>
      </c>
      <c r="G530" s="8">
        <f>SUM(B530:F530)</f>
        <v>100</v>
      </c>
      <c r="H530" s="8">
        <f>$J$117/$M$117*100</f>
        <v>29.411764705882355</v>
      </c>
      <c r="I530" s="8">
        <f>$J$118/$M$118*100</f>
        <v>47.058823529411761</v>
      </c>
      <c r="J530" s="8">
        <f>$J$119/$M$119*100</f>
        <v>23.52941176470588</v>
      </c>
      <c r="K530" s="8">
        <f>$J$120/$M$120*100</f>
        <v>0</v>
      </c>
      <c r="L530" s="8">
        <f>$J$121/$M$121*100</f>
        <v>0</v>
      </c>
      <c r="M530" s="8">
        <f>SUM(H530:L530)</f>
        <v>100</v>
      </c>
      <c r="N530" s="8">
        <f>$J$137/$M$137*100</f>
        <v>7.4074074074074066</v>
      </c>
      <c r="O530" s="8">
        <f>$J$138/$M$138*100</f>
        <v>25</v>
      </c>
      <c r="P530" s="8">
        <f>$J$139/$M$139*100</f>
        <v>14.814814814814813</v>
      </c>
      <c r="Q530" s="8">
        <f>$J$140/$M$140*100</f>
        <v>51.851851851851848</v>
      </c>
      <c r="R530" s="8">
        <f>$J$141/$M$141*100</f>
        <v>0.92592592592592582</v>
      </c>
      <c r="S530" s="8">
        <f>SUM(N530:R530)</f>
        <v>99.999999999999986</v>
      </c>
      <c r="T530" s="8">
        <f>$J$157/$M$157*100</f>
        <v>22.222222222222221</v>
      </c>
      <c r="U530" s="8">
        <f>$J$158/$M$158*100</f>
        <v>22.222222222222221</v>
      </c>
      <c r="V530" s="8">
        <f>$J$159/$M$159*100</f>
        <v>22.222222222222221</v>
      </c>
      <c r="W530" s="8">
        <f>$J$160/$M$160*100</f>
        <v>33.333333333333329</v>
      </c>
      <c r="X530" s="8">
        <f>$J$161/$M$161*100</f>
        <v>0</v>
      </c>
      <c r="Y530" s="8">
        <f>SUM(T530:X530)</f>
        <v>99.999999999999986</v>
      </c>
    </row>
    <row r="531" spans="1:30" ht="16" thickBot="1" x14ac:dyDescent="0.25">
      <c r="A531" s="9" t="s">
        <v>59</v>
      </c>
      <c r="B531" s="8">
        <f>$J$177/$M$177*100</f>
        <v>28.645833333333332</v>
      </c>
      <c r="C531" s="8">
        <f>$J$178/$M$178*100</f>
        <v>28.645833333333332</v>
      </c>
      <c r="D531" s="8">
        <f>$J$179/$M$179*100</f>
        <v>22.395833333333336</v>
      </c>
      <c r="E531" s="8">
        <f>$J$180/$M$180*100</f>
        <v>20.3125</v>
      </c>
      <c r="F531" s="8">
        <f>$J$181/$M$181*100</f>
        <v>0</v>
      </c>
      <c r="G531" s="8">
        <f>SUM(B531:F531)</f>
        <v>100</v>
      </c>
      <c r="H531" s="8">
        <f>$J$197/$M$197*100</f>
        <v>10.526315789473683</v>
      </c>
      <c r="I531" s="8">
        <f>$J$198/$M$198*100</f>
        <v>63.157894736842103</v>
      </c>
      <c r="J531" s="8">
        <f>$J$199/$M$199*100</f>
        <v>5.2631578947368416</v>
      </c>
      <c r="K531" s="8">
        <f>$J$200/$M$200*100</f>
        <v>21.052631578947366</v>
      </c>
      <c r="L531" s="8">
        <f>$J$211/$M$211*100</f>
        <v>0</v>
      </c>
      <c r="M531" s="8">
        <f>SUM(H531:L531)</f>
        <v>99.999999999999986</v>
      </c>
      <c r="N531" s="8">
        <f>$J$217/$M$217*100</f>
        <v>13.274336283185843</v>
      </c>
      <c r="O531" s="8">
        <f>$J$218/$M$218*100</f>
        <v>39.823008849557525</v>
      </c>
      <c r="P531" s="8">
        <f>$J$219/$M$219*100</f>
        <v>8.8495575221238933</v>
      </c>
      <c r="Q531" s="8">
        <f>$J$220/$M$220*100</f>
        <v>38.053097345132741</v>
      </c>
      <c r="R531" s="8">
        <f>$J$221/$M$221*100</f>
        <v>0</v>
      </c>
      <c r="S531" s="8">
        <f>SUM(N531:R531)</f>
        <v>100</v>
      </c>
      <c r="T531" s="8">
        <f>$J$237/$M$237*100</f>
        <v>13.414634146341465</v>
      </c>
      <c r="U531" s="8">
        <f>$J$238/$M$238*100</f>
        <v>35.365853658536587</v>
      </c>
      <c r="V531" s="8">
        <f>$J$239/$M$239*100</f>
        <v>7.3170731707317067</v>
      </c>
      <c r="W531" s="8">
        <f>$J$240/$M$240*100</f>
        <v>43.902439024390247</v>
      </c>
      <c r="X531" s="8">
        <f>$J$241/$M$241*100</f>
        <v>0</v>
      </c>
      <c r="Y531" s="8">
        <f>SUM(T531:X531)</f>
        <v>100</v>
      </c>
    </row>
    <row r="532" spans="1:30" x14ac:dyDescent="0.2">
      <c r="A532" s="10" t="s">
        <v>50</v>
      </c>
      <c r="B532" s="11">
        <f>AVERAGE(B529:B531)</f>
        <v>36.419359410430836</v>
      </c>
      <c r="C532" s="12">
        <f>AVERAGE(C529:C531)</f>
        <v>23.541430461073318</v>
      </c>
      <c r="D532" s="11">
        <f>AVERAGE(D529:D531)</f>
        <v>18.000047241118668</v>
      </c>
      <c r="E532" s="11">
        <f>AVERAGE(E529:E531)</f>
        <v>22.039162887377174</v>
      </c>
      <c r="F532" s="11">
        <f>AVERAGE(F529:F531)</f>
        <v>0</v>
      </c>
      <c r="G532" s="12"/>
      <c r="H532" s="11">
        <f>AVERAGE(H529:H531)</f>
        <v>19.373299559058072</v>
      </c>
      <c r="I532" s="13">
        <f>AVERAGE(I529:I531)</f>
        <v>45.829815179660379</v>
      </c>
      <c r="J532" s="14">
        <f>AVERAGE(J529:J531)</f>
        <v>21.71873534102636</v>
      </c>
      <c r="K532" s="14">
        <f>AVERAGE(K529:K531)</f>
        <v>13.078149920255184</v>
      </c>
      <c r="L532" s="14">
        <f>AVERAGE(L529:L531)</f>
        <v>0</v>
      </c>
      <c r="M532" s="12"/>
      <c r="N532" s="14">
        <f>AVERAGE(N529:N531)</f>
        <v>19.338359007975527</v>
      </c>
      <c r="O532" s="12">
        <f>AVERAGE(O529:O531)</f>
        <v>35.829891838741396</v>
      </c>
      <c r="P532" s="11">
        <f>AVERAGE(P529:P531)</f>
        <v>11.888124112312902</v>
      </c>
      <c r="Q532" s="11">
        <f>AVERAGE(Q529:Q531)</f>
        <v>32.63498306566153</v>
      </c>
      <c r="R532" s="11">
        <f>AVERAGE(R529:R531)</f>
        <v>0.30864197530864196</v>
      </c>
      <c r="S532" s="15"/>
      <c r="T532" s="14">
        <f>AVERAGE(T529:T531)</f>
        <v>14.101174345076785</v>
      </c>
      <c r="U532" s="12">
        <f>AVERAGE(U529:U531)</f>
        <v>28.08491418247516</v>
      </c>
      <c r="V532" s="11">
        <f>AVERAGE(V529:V531)</f>
        <v>25.401987353206863</v>
      </c>
      <c r="W532" s="11">
        <f>AVERAGE(W529:W531)</f>
        <v>32.411924119241192</v>
      </c>
      <c r="X532" s="11">
        <f>AVERAGE(X529:X531)</f>
        <v>0</v>
      </c>
      <c r="Y532" s="15"/>
      <c r="Z532" s="8">
        <f>AVERAGE(B532,H532,N532,T532)</f>
        <v>22.308048080635306</v>
      </c>
      <c r="AA532" s="8">
        <f>AVERAGE(C532,I532,O532,U532)</f>
        <v>33.32151291548756</v>
      </c>
      <c r="AB532" s="8">
        <f>AVERAGE(D532,J532,P532,V532)</f>
        <v>19.252223511916199</v>
      </c>
      <c r="AC532" s="8">
        <f>AVERAGE(E532,K532,Q532,W532)</f>
        <v>25.04105499813377</v>
      </c>
      <c r="AD532" s="8">
        <f>AVERAGE(F532,L532,R532,X532)</f>
        <v>7.716049382716049E-2</v>
      </c>
    </row>
    <row r="535" spans="1:30" ht="32" x14ac:dyDescent="0.2">
      <c r="A535" s="2" t="s">
        <v>226</v>
      </c>
      <c r="B535" s="3" t="s">
        <v>53</v>
      </c>
      <c r="C535" s="3"/>
      <c r="D535" s="3"/>
      <c r="E535" s="3"/>
      <c r="F535" s="3"/>
      <c r="G535" s="4" t="s">
        <v>64</v>
      </c>
      <c r="H535" s="3" t="s">
        <v>54</v>
      </c>
      <c r="I535" s="3"/>
      <c r="J535" s="3"/>
      <c r="K535" s="3"/>
      <c r="L535" s="3"/>
      <c r="M535" s="4" t="s">
        <v>64</v>
      </c>
      <c r="N535" s="3" t="s">
        <v>55</v>
      </c>
      <c r="O535" s="3"/>
      <c r="P535" s="3"/>
      <c r="Q535" s="3"/>
      <c r="R535" s="3"/>
      <c r="S535" s="4" t="s">
        <v>64</v>
      </c>
      <c r="T535" s="3" t="s">
        <v>56</v>
      </c>
      <c r="U535" s="3"/>
      <c r="V535" s="3"/>
      <c r="W535" s="3"/>
      <c r="X535" s="3"/>
      <c r="Y535" s="4" t="s">
        <v>64</v>
      </c>
    </row>
    <row r="536" spans="1:30" x14ac:dyDescent="0.2">
      <c r="A536" s="3"/>
      <c r="B536" s="4" t="s">
        <v>20</v>
      </c>
      <c r="C536" s="4" t="s">
        <v>21</v>
      </c>
      <c r="D536" s="4" t="s">
        <v>60</v>
      </c>
      <c r="E536" s="4" t="s">
        <v>61</v>
      </c>
      <c r="F536" s="4" t="s">
        <v>62</v>
      </c>
      <c r="G536" s="4"/>
      <c r="H536" s="4" t="s">
        <v>20</v>
      </c>
      <c r="I536" s="4" t="s">
        <v>21</v>
      </c>
      <c r="J536" s="4" t="s">
        <v>60</v>
      </c>
      <c r="K536" s="4" t="s">
        <v>61</v>
      </c>
      <c r="L536" s="4" t="s">
        <v>62</v>
      </c>
      <c r="M536" s="4"/>
      <c r="N536" s="4" t="s">
        <v>20</v>
      </c>
      <c r="O536" s="4" t="s">
        <v>21</v>
      </c>
      <c r="P536" s="4" t="s">
        <v>60</v>
      </c>
      <c r="Q536" s="4" t="s">
        <v>61</v>
      </c>
      <c r="R536" s="4" t="s">
        <v>62</v>
      </c>
      <c r="S536" s="4"/>
      <c r="T536" s="4" t="s">
        <v>20</v>
      </c>
      <c r="U536" s="4" t="s">
        <v>21</v>
      </c>
      <c r="V536" s="4" t="s">
        <v>60</v>
      </c>
      <c r="W536" s="4" t="s">
        <v>61</v>
      </c>
      <c r="X536" s="4" t="s">
        <v>62</v>
      </c>
      <c r="Y536" s="4"/>
    </row>
    <row r="537" spans="1:30" x14ac:dyDescent="0.2">
      <c r="A537" s="5" t="s">
        <v>57</v>
      </c>
      <c r="B537" s="8">
        <f>$K$7/$M$7*100</f>
        <v>42.63565891472868</v>
      </c>
      <c r="C537" s="8">
        <f>$K$8/$M$8*100</f>
        <v>10.077519379844961</v>
      </c>
      <c r="D537" s="8">
        <f>$K$9/$M$9*100</f>
        <v>3.8759689922480618</v>
      </c>
      <c r="E537" s="8">
        <f>$K$10/$M$10*100</f>
        <v>3.8759689922480618</v>
      </c>
      <c r="F537" s="8">
        <f>$K$11/$M$11*100</f>
        <v>0</v>
      </c>
      <c r="G537" s="8">
        <f>SUM(B537:F537)</f>
        <v>60.465116279069761</v>
      </c>
      <c r="H537" s="8">
        <f>$K$27/$M$27*100</f>
        <v>48.936170212765958</v>
      </c>
      <c r="I537" s="8">
        <f>$K$28/$M$28*100</f>
        <v>25.531914893617021</v>
      </c>
      <c r="J537" s="8">
        <f>$K$29/$M$29*100</f>
        <v>2.1276595744680851</v>
      </c>
      <c r="K537" s="8">
        <f>$K$30/$M$30*100</f>
        <v>0</v>
      </c>
      <c r="L537" s="8">
        <f>$K$31/$M$31*100</f>
        <v>0</v>
      </c>
      <c r="M537" s="8">
        <f>SUM(H537:L537)</f>
        <v>76.595744680851055</v>
      </c>
      <c r="N537" s="8">
        <f>$K$47/$M$47*100</f>
        <v>60.248447204968947</v>
      </c>
      <c r="O537" s="8">
        <f>$K$48/$M$48*100</f>
        <v>8.0745341614906838</v>
      </c>
      <c r="P537" s="8">
        <f>$K$49/$M$49*100</f>
        <v>4.3478260869565215</v>
      </c>
      <c r="Q537" s="8">
        <f>$K$50/$M$50*100</f>
        <v>0</v>
      </c>
      <c r="R537" s="8">
        <f>$K$51/$M$51*100</f>
        <v>0</v>
      </c>
      <c r="S537" s="8">
        <f>SUM(N537:R537)</f>
        <v>72.670807453416145</v>
      </c>
      <c r="T537" s="8">
        <f>$K$67/$M$67*100</f>
        <v>57.894736842105267</v>
      </c>
      <c r="U537" s="8">
        <f>$K$68/$M$68*100</f>
        <v>36.84210526315789</v>
      </c>
      <c r="V537" s="8">
        <f>$K$69/$M$69*100</f>
        <v>5.2631578947368416</v>
      </c>
      <c r="W537" s="8">
        <f>$K$70/$M$70*100</f>
        <v>0</v>
      </c>
      <c r="X537" s="8">
        <f>$K$71/$M$71*100</f>
        <v>0</v>
      </c>
      <c r="Y537" s="8">
        <f>SUM(T537:X537)</f>
        <v>99.999999999999986</v>
      </c>
    </row>
    <row r="538" spans="1:30" x14ac:dyDescent="0.2">
      <c r="A538" s="5" t="s">
        <v>58</v>
      </c>
      <c r="B538" s="8">
        <f>$K$87/$M$87*100</f>
        <v>16.455696202531644</v>
      </c>
      <c r="C538" s="8">
        <f>$K$88/$M$88*100</f>
        <v>7.59493670886076</v>
      </c>
      <c r="D538" s="8">
        <f>$K$89/$M$89*100</f>
        <v>10.126582278481013</v>
      </c>
      <c r="E538" s="8">
        <f>$K$90/$M$90*100</f>
        <v>7.59493670886076</v>
      </c>
      <c r="F538" s="8">
        <f>$K$91/$M$91*100</f>
        <v>0</v>
      </c>
      <c r="G538" s="8">
        <f>SUM(B538:F538)</f>
        <v>41.77215189873418</v>
      </c>
      <c r="H538" s="8">
        <f>$K$107/$M$107*100</f>
        <v>52.777777777777779</v>
      </c>
      <c r="I538" s="8">
        <f>$K$108/$M$108*100</f>
        <v>0</v>
      </c>
      <c r="J538" s="8">
        <f>$K$109/$M$109*100</f>
        <v>5.5555555555555554</v>
      </c>
      <c r="K538" s="8">
        <f>$K$110/$M$110*100</f>
        <v>8.3333333333333321</v>
      </c>
      <c r="L538" s="8">
        <f>$K$111/$M$111*100</f>
        <v>0</v>
      </c>
      <c r="M538" s="8">
        <f>SUM(H538:L538)</f>
        <v>66.666666666666671</v>
      </c>
      <c r="N538" s="8">
        <f>$K$127/$M$127*100</f>
        <v>32.653061224489797</v>
      </c>
      <c r="O538" s="8">
        <f>$K$128/$M$128*100</f>
        <v>7.4829931972789119</v>
      </c>
      <c r="P538" s="8">
        <f>$K$129/$M$129*100</f>
        <v>6.1224489795918364</v>
      </c>
      <c r="Q538" s="8">
        <f>$K$130/$M$130*100</f>
        <v>5.4421768707482991</v>
      </c>
      <c r="R538" s="8">
        <f>$K$131/$M$131*100</f>
        <v>0</v>
      </c>
      <c r="S538" s="8">
        <f>SUM(N538:R538)</f>
        <v>51.700680272108841</v>
      </c>
      <c r="T538" s="8">
        <f>$K$147/$M$147*100</f>
        <v>50</v>
      </c>
      <c r="U538" s="8">
        <f>$K$148/$M$148*100</f>
        <v>8.3333333333333321</v>
      </c>
      <c r="V538" s="8">
        <f>$K$149/$M$149*100</f>
        <v>4.1666666666666661</v>
      </c>
      <c r="W538" s="8">
        <f>$K$150/$M$150*100</f>
        <v>16.666666666666664</v>
      </c>
      <c r="X538" s="8">
        <f>$K$151/$M$151*100</f>
        <v>0</v>
      </c>
      <c r="Y538" s="8">
        <f>SUM(T538:X538)</f>
        <v>79.166666666666657</v>
      </c>
    </row>
    <row r="539" spans="1:30" ht="16" thickBot="1" x14ac:dyDescent="0.25">
      <c r="A539" s="9" t="s">
        <v>59</v>
      </c>
      <c r="B539" s="8">
        <f>$K$167/$M$167*100</f>
        <v>6.4171122994652414</v>
      </c>
      <c r="C539" s="8">
        <f>$K$168/$M$168*100</f>
        <v>2.6737967914438503</v>
      </c>
      <c r="D539" s="8">
        <f>$K$169/$M$169*100</f>
        <v>6.9518716577540109</v>
      </c>
      <c r="E539" s="8">
        <f>$K$170/$M$170*100</f>
        <v>0.53475935828876997</v>
      </c>
      <c r="F539" s="8">
        <f>$K$171/$M$171*100</f>
        <v>0</v>
      </c>
      <c r="G539" s="8">
        <f>SUM(B539:F539)</f>
        <v>16.577540106951872</v>
      </c>
      <c r="H539" s="8">
        <f>$K$187/$M$187*100</f>
        <v>21.052631578947366</v>
      </c>
      <c r="I539" s="8">
        <f>$K$188/$M$188*100</f>
        <v>10.526315789473683</v>
      </c>
      <c r="J539" s="8">
        <f>$K$189/$M$189*100</f>
        <v>0</v>
      </c>
      <c r="K539" s="8">
        <f>$K$190/$M$190*100</f>
        <v>0</v>
      </c>
      <c r="L539" s="8">
        <f>$K$191/$M$191*100</f>
        <v>0</v>
      </c>
      <c r="M539" s="8">
        <f>SUM(H539:L539)</f>
        <v>31.578947368421048</v>
      </c>
      <c r="N539" s="8">
        <f>$K$207/$M$207*100</f>
        <v>30</v>
      </c>
      <c r="O539" s="8">
        <f>$K$208/$M$208*100</f>
        <v>19.166666666666668</v>
      </c>
      <c r="P539" s="8">
        <f>$K$209/$M$209*100</f>
        <v>15.833333333333332</v>
      </c>
      <c r="Q539" s="8">
        <f>$K$210/$M$210*100</f>
        <v>4.1666666666666661</v>
      </c>
      <c r="R539" s="8">
        <f>$K$211/$M$211*100</f>
        <v>0</v>
      </c>
      <c r="S539" s="8">
        <f>SUM(N539:R539)</f>
        <v>69.166666666666671</v>
      </c>
      <c r="T539" s="8">
        <f>$K$227/$M$227*100</f>
        <v>14.457831325301203</v>
      </c>
      <c r="U539" s="8">
        <f>$K$228/$M$228*100</f>
        <v>50.602409638554214</v>
      </c>
      <c r="V539" s="8">
        <f>$K$229/$M$229*100</f>
        <v>12.048192771084338</v>
      </c>
      <c r="W539" s="8">
        <f>$K$230/$M$230*100</f>
        <v>3.6144578313253009</v>
      </c>
      <c r="X539" s="8">
        <f>$K$231/$M$231*100</f>
        <v>0</v>
      </c>
      <c r="Y539" s="8">
        <f>SUM(T539:X539)</f>
        <v>80.722891566265048</v>
      </c>
    </row>
    <row r="540" spans="1:30" x14ac:dyDescent="0.2">
      <c r="A540" s="10" t="s">
        <v>50</v>
      </c>
      <c r="B540" s="11">
        <f>AVERAGE(B537:B539)</f>
        <v>21.836155805575189</v>
      </c>
      <c r="C540" s="12">
        <f>AVERAGE(C537:C539)</f>
        <v>6.78208429338319</v>
      </c>
      <c r="D540" s="11">
        <f>AVERAGE(D537:D539)</f>
        <v>6.984807642827696</v>
      </c>
      <c r="E540" s="11">
        <f>AVERAGE(E537:E539)</f>
        <v>4.0018883531325313</v>
      </c>
      <c r="F540" s="11">
        <f>AVERAGE(F537:F539)</f>
        <v>0</v>
      </c>
      <c r="G540" s="12"/>
      <c r="H540" s="11">
        <f>AVERAGE(H537:H539)</f>
        <v>40.922193189830374</v>
      </c>
      <c r="I540" s="13">
        <f>AVERAGE(I537:I539)</f>
        <v>12.019410227696902</v>
      </c>
      <c r="J540" s="14">
        <f>AVERAGE(J537:J539)</f>
        <v>2.5610717100078801</v>
      </c>
      <c r="K540" s="14">
        <f>AVERAGE(K537:K539)</f>
        <v>2.7777777777777772</v>
      </c>
      <c r="L540" s="14">
        <f>AVERAGE(L537:L539)</f>
        <v>0</v>
      </c>
      <c r="M540" s="12"/>
      <c r="N540" s="14">
        <f>AVERAGE(N537:N539)</f>
        <v>40.967169476486248</v>
      </c>
      <c r="O540" s="12">
        <f>AVERAGE(O537:O539)</f>
        <v>11.574731341812088</v>
      </c>
      <c r="P540" s="11">
        <f>AVERAGE(P537:P539)</f>
        <v>8.7678694666272303</v>
      </c>
      <c r="Q540" s="11">
        <f>AVERAGE(Q537:Q539)</f>
        <v>3.2029478458049887</v>
      </c>
      <c r="R540" s="11">
        <f>AVERAGE(R537:R539)</f>
        <v>0</v>
      </c>
      <c r="S540" s="15"/>
      <c r="T540" s="14">
        <f>AVERAGE(T537:T539)</f>
        <v>40.784189389135484</v>
      </c>
      <c r="U540" s="12">
        <f>AVERAGE(U537:U539)</f>
        <v>31.925949411681813</v>
      </c>
      <c r="V540" s="11">
        <f>AVERAGE(V537:V539)</f>
        <v>7.1593391108292819</v>
      </c>
      <c r="W540" s="11">
        <f>AVERAGE(W537:W539)</f>
        <v>6.7603748326639881</v>
      </c>
      <c r="X540" s="11">
        <f>AVERAGE(X537:X539)</f>
        <v>0</v>
      </c>
      <c r="Y540" s="15"/>
      <c r="Z540" s="8">
        <f>AVERAGE(B540,H540,N540,T540)</f>
        <v>36.127426965256824</v>
      </c>
      <c r="AA540" s="8">
        <f>AVERAGE(C540,I540,O540,U540)</f>
        <v>15.575543818643498</v>
      </c>
      <c r="AB540" s="8">
        <f>AVERAGE(D540,J540,P540,V540)</f>
        <v>6.368271982573023</v>
      </c>
      <c r="AC540" s="8">
        <f>AVERAGE(E540,K540,Q540,W540)</f>
        <v>4.185747202344821</v>
      </c>
      <c r="AD540" s="8">
        <f>AVERAGE(F540,L540,R540,X540)</f>
        <v>0</v>
      </c>
    </row>
    <row r="543" spans="1:30" ht="32" x14ac:dyDescent="0.2">
      <c r="A543" s="2" t="s">
        <v>227</v>
      </c>
      <c r="B543" s="3" t="s">
        <v>53</v>
      </c>
      <c r="C543" s="3"/>
      <c r="D543" s="3"/>
      <c r="E543" s="3"/>
      <c r="F543" s="3"/>
      <c r="G543" s="4" t="s">
        <v>64</v>
      </c>
      <c r="H543" s="3" t="s">
        <v>54</v>
      </c>
      <c r="I543" s="3"/>
      <c r="J543" s="3"/>
      <c r="K543" s="3"/>
      <c r="L543" s="3"/>
      <c r="M543" s="4" t="s">
        <v>64</v>
      </c>
      <c r="N543" s="3" t="s">
        <v>55</v>
      </c>
      <c r="O543" s="3"/>
      <c r="P543" s="3"/>
      <c r="Q543" s="3"/>
      <c r="R543" s="3"/>
      <c r="S543" s="4" t="s">
        <v>64</v>
      </c>
      <c r="T543" s="3" t="s">
        <v>56</v>
      </c>
      <c r="U543" s="3"/>
      <c r="V543" s="3"/>
      <c r="W543" s="3"/>
      <c r="X543" s="3"/>
      <c r="Y543" s="4" t="s">
        <v>64</v>
      </c>
    </row>
    <row r="544" spans="1:30" x14ac:dyDescent="0.2">
      <c r="A544" s="3"/>
      <c r="B544" s="4" t="s">
        <v>20</v>
      </c>
      <c r="C544" s="4" t="s">
        <v>21</v>
      </c>
      <c r="D544" s="4" t="s">
        <v>60</v>
      </c>
      <c r="E544" s="4" t="s">
        <v>61</v>
      </c>
      <c r="F544" s="4" t="s">
        <v>62</v>
      </c>
      <c r="G544" s="4"/>
      <c r="H544" s="4" t="s">
        <v>20</v>
      </c>
      <c r="I544" s="4" t="s">
        <v>21</v>
      </c>
      <c r="J544" s="4" t="s">
        <v>60</v>
      </c>
      <c r="K544" s="4" t="s">
        <v>61</v>
      </c>
      <c r="L544" s="4" t="s">
        <v>62</v>
      </c>
      <c r="M544" s="4"/>
      <c r="N544" s="4" t="s">
        <v>20</v>
      </c>
      <c r="O544" s="4" t="s">
        <v>21</v>
      </c>
      <c r="P544" s="4" t="s">
        <v>60</v>
      </c>
      <c r="Q544" s="4" t="s">
        <v>61</v>
      </c>
      <c r="R544" s="4" t="s">
        <v>62</v>
      </c>
      <c r="S544" s="4"/>
      <c r="T544" s="4" t="s">
        <v>20</v>
      </c>
      <c r="U544" s="4" t="s">
        <v>21</v>
      </c>
      <c r="V544" s="4" t="s">
        <v>60</v>
      </c>
      <c r="W544" s="4" t="s">
        <v>61</v>
      </c>
      <c r="X544" s="4" t="s">
        <v>62</v>
      </c>
      <c r="Y544" s="4"/>
    </row>
    <row r="545" spans="1:30" x14ac:dyDescent="0.2">
      <c r="A545" s="5" t="s">
        <v>57</v>
      </c>
      <c r="B545" s="8">
        <f>$K$12/$M$12*100</f>
        <v>16.470588235294116</v>
      </c>
      <c r="C545" s="8">
        <f>$K$13/$M$13*100</f>
        <v>16.470588235294116</v>
      </c>
      <c r="D545" s="8">
        <f>$K$14/$M$14*100</f>
        <v>2.3529411764705883</v>
      </c>
      <c r="E545" s="8">
        <f>$K$15/$M$15*100</f>
        <v>1.1764705882352942</v>
      </c>
      <c r="F545" s="8">
        <f>$K$16/$M$16*100</f>
        <v>0</v>
      </c>
      <c r="G545" s="8">
        <f>SUM(B545:F545)</f>
        <v>36.470588235294116</v>
      </c>
      <c r="H545" s="8">
        <f>$K$32/$M$32*100</f>
        <v>20</v>
      </c>
      <c r="I545" s="8">
        <f>$K$33/$M$33*100</f>
        <v>32</v>
      </c>
      <c r="J545" s="8">
        <f>$K$34/$M$34*100</f>
        <v>12</v>
      </c>
      <c r="K545" s="8">
        <f>$K$35/$M$35*100</f>
        <v>4</v>
      </c>
      <c r="L545" s="8">
        <f>$K$36/$M$36*100</f>
        <v>0</v>
      </c>
      <c r="M545" s="8">
        <f>SUM(H545:L545)</f>
        <v>68</v>
      </c>
      <c r="N545" s="8">
        <f>$K$52/$M$52*100</f>
        <v>35.802469135802468</v>
      </c>
      <c r="O545" s="8">
        <f>$K$53/$M$53*100</f>
        <v>29.629629629629626</v>
      </c>
      <c r="P545" s="8">
        <f>$K$54/$M$54*100</f>
        <v>8.6419753086419746</v>
      </c>
      <c r="Q545" s="8">
        <f>$K$55/$M$55*100</f>
        <v>9.8765432098765427</v>
      </c>
      <c r="R545" s="8">
        <f>$K$56/$M$56*100</f>
        <v>0</v>
      </c>
      <c r="S545" s="8">
        <f>SUM(N545:R545)</f>
        <v>83.950617283950621</v>
      </c>
      <c r="T545" s="8">
        <f>$K$72/$M$72*100</f>
        <v>25</v>
      </c>
      <c r="U545" s="8">
        <f>$K$73/$M$73*100</f>
        <v>40</v>
      </c>
      <c r="V545" s="8">
        <f>$K$74/$M$74*100</f>
        <v>20</v>
      </c>
      <c r="W545" s="8">
        <f>$K$75/$M$75*100</f>
        <v>15</v>
      </c>
      <c r="X545" s="8">
        <f>$K$76/$M$76*100</f>
        <v>0</v>
      </c>
      <c r="Y545" s="8">
        <f>SUM(T545:X545)</f>
        <v>100</v>
      </c>
    </row>
    <row r="546" spans="1:30" x14ac:dyDescent="0.2">
      <c r="A546" s="5" t="s">
        <v>58</v>
      </c>
      <c r="B546" s="8">
        <f>$K$92/$M$92*100</f>
        <v>10.294117647058822</v>
      </c>
      <c r="C546" s="8">
        <f>$K$93/$M$93*100</f>
        <v>10.294117647058822</v>
      </c>
      <c r="D546" s="8">
        <f>$K$94/$M$94*100</f>
        <v>4.4117647058823533</v>
      </c>
      <c r="E546" s="8">
        <f>$K$95/$M$95*100</f>
        <v>5.8823529411764701</v>
      </c>
      <c r="F546" s="8">
        <f>$K$96/$M$96*100</f>
        <v>0</v>
      </c>
      <c r="G546" s="8">
        <f>SUM(B546:F546)</f>
        <v>30.882352941176471</v>
      </c>
      <c r="H546" s="8">
        <f>$K$112/$M$112*100</f>
        <v>22.222222222222221</v>
      </c>
      <c r="I546" s="8">
        <f>$K$113/$M$113*100</f>
        <v>5.5555555555555554</v>
      </c>
      <c r="J546" s="8">
        <f>$K$114/$M$114*100</f>
        <v>5.5555555555555554</v>
      </c>
      <c r="K546" s="8">
        <f>$K$115/$M$115*100</f>
        <v>0</v>
      </c>
      <c r="L546" s="8">
        <f>$K$116/$M$116*100</f>
        <v>0</v>
      </c>
      <c r="M546" s="8">
        <f t="shared" ref="M546:M547" si="50">SUM(H546:L546)</f>
        <v>33.333333333333336</v>
      </c>
      <c r="N546" s="8">
        <f>$K$132/$M$132*100</f>
        <v>4.2105263157894735</v>
      </c>
      <c r="O546" s="8">
        <f>$K$133/$M$133*100</f>
        <v>18.947368421052634</v>
      </c>
      <c r="P546" s="8">
        <f>$K$134/$M$134*100</f>
        <v>14.736842105263156</v>
      </c>
      <c r="Q546" s="8">
        <f>$K$135/$M$135*100</f>
        <v>4.2105263157894735</v>
      </c>
      <c r="R546" s="8">
        <f>$K$136/$M$136*100</f>
        <v>0</v>
      </c>
      <c r="S546" s="8">
        <f>SUM(N546:R546)</f>
        <v>42.105263157894733</v>
      </c>
      <c r="T546" s="8">
        <f>$K$152/$M$152*100</f>
        <v>14.285714285714285</v>
      </c>
      <c r="U546" s="8">
        <f>$K$153/$M$153*100</f>
        <v>28.571428571428569</v>
      </c>
      <c r="V546" s="8">
        <f>$K$154/$M$154*100</f>
        <v>14.285714285714285</v>
      </c>
      <c r="W546" s="8">
        <f>$K$155/$M$155*100</f>
        <v>28.571428571428569</v>
      </c>
      <c r="X546" s="8">
        <f>$K$156/$M$156*100</f>
        <v>0</v>
      </c>
      <c r="Y546" s="8">
        <f>SUM(T546:X546)</f>
        <v>85.714285714285708</v>
      </c>
    </row>
    <row r="547" spans="1:30" ht="16" thickBot="1" x14ac:dyDescent="0.25">
      <c r="A547" s="9" t="s">
        <v>59</v>
      </c>
      <c r="B547" s="8">
        <f>$K$172/$M$172*100</f>
        <v>0.39525691699604742</v>
      </c>
      <c r="C547" s="8">
        <f>$K$173/$M$173*100</f>
        <v>4.3478260869565215</v>
      </c>
      <c r="D547" s="8">
        <f>$K$174/$M$174*100</f>
        <v>4.3478260869565215</v>
      </c>
      <c r="E547" s="8">
        <f>$K$175/$M$175*100</f>
        <v>4.3478260869565215</v>
      </c>
      <c r="F547" s="8">
        <f>$K$176/$M$176*100</f>
        <v>0</v>
      </c>
      <c r="G547" s="8">
        <f>SUM(B547:F547)</f>
        <v>13.438735177865611</v>
      </c>
      <c r="H547" s="8">
        <f>$K$192/$M$192*100</f>
        <v>0</v>
      </c>
      <c r="I547" s="8">
        <f>$K$193/$M$193*100</f>
        <v>0</v>
      </c>
      <c r="J547" s="8">
        <f>$K$194/$M$194*100</f>
        <v>10.526315789473683</v>
      </c>
      <c r="K547" s="8">
        <f>$K$195/$M$195*100</f>
        <v>10.526315789473683</v>
      </c>
      <c r="L547" s="8">
        <f>$K$196/$M$196*100</f>
        <v>0</v>
      </c>
      <c r="M547" s="8">
        <f t="shared" si="50"/>
        <v>21.052631578947366</v>
      </c>
      <c r="N547" s="8">
        <f>$K$212/$M$212*100</f>
        <v>12.121212121212121</v>
      </c>
      <c r="O547" s="8">
        <f>$K$213/$M$213*100</f>
        <v>23.232323232323232</v>
      </c>
      <c r="P547" s="8">
        <f>$K$214/$M$214*100</f>
        <v>20.202020202020201</v>
      </c>
      <c r="Q547" s="8">
        <f>$K$215/$M$215*100</f>
        <v>17.171717171717169</v>
      </c>
      <c r="R547" s="8">
        <f>$K$216/$M$216*100</f>
        <v>0</v>
      </c>
      <c r="S547" s="8">
        <f>SUM(N547:R547)</f>
        <v>72.72727272727272</v>
      </c>
      <c r="T547" s="8">
        <f>$K$232/$M$232*100</f>
        <v>17.948717948717949</v>
      </c>
      <c r="U547" s="8">
        <f>$K$233/$M$233*100</f>
        <v>23.076923076923077</v>
      </c>
      <c r="V547" s="8">
        <f>$K$234/$M$234*100</f>
        <v>8.9743589743589745</v>
      </c>
      <c r="W547" s="8">
        <f>$K$235/$M$235*100</f>
        <v>15.384615384615385</v>
      </c>
      <c r="X547" s="8">
        <f>$K$236/$M$236*100</f>
        <v>0</v>
      </c>
      <c r="Y547" s="8">
        <f>SUM(T547:X547)</f>
        <v>65.384615384615387</v>
      </c>
    </row>
    <row r="548" spans="1:30" x14ac:dyDescent="0.2">
      <c r="A548" s="10" t="s">
        <v>50</v>
      </c>
      <c r="B548" s="11">
        <f>AVERAGE(B545:B547)</f>
        <v>9.0533209331163285</v>
      </c>
      <c r="C548" s="12">
        <f>AVERAGE(C545:C547)</f>
        <v>10.370843989769819</v>
      </c>
      <c r="D548" s="11">
        <f>AVERAGE(D545:D547)</f>
        <v>3.7041773231031545</v>
      </c>
      <c r="E548" s="11">
        <f>AVERAGE(E545:E547)</f>
        <v>3.8022165387894287</v>
      </c>
      <c r="F548" s="11">
        <f>AVERAGE(F545:F547)</f>
        <v>0</v>
      </c>
      <c r="G548" s="12"/>
      <c r="H548" s="11">
        <f>AVERAGE(H545:H547)</f>
        <v>14.074074074074074</v>
      </c>
      <c r="I548" s="13">
        <f>AVERAGE(I545:I547)</f>
        <v>12.518518518518519</v>
      </c>
      <c r="J548" s="14">
        <f>AVERAGE(J545:J547)</f>
        <v>9.3606237816764146</v>
      </c>
      <c r="K548" s="14">
        <f>AVERAGE(K545:K547)</f>
        <v>4.8421052631578947</v>
      </c>
      <c r="L548" s="14">
        <f>AVERAGE(L545:L547)</f>
        <v>0</v>
      </c>
      <c r="M548" s="12"/>
      <c r="N548" s="14">
        <f>AVERAGE(N545:N547)</f>
        <v>17.378069190934685</v>
      </c>
      <c r="O548" s="12">
        <f>AVERAGE(O545:O547)</f>
        <v>23.936440427668497</v>
      </c>
      <c r="P548" s="11">
        <f>AVERAGE(P545:P547)</f>
        <v>14.52694587197511</v>
      </c>
      <c r="Q548" s="11">
        <f>AVERAGE(Q545:Q547)</f>
        <v>10.419595565794395</v>
      </c>
      <c r="R548" s="11">
        <f>AVERAGE(R545:R547)</f>
        <v>0</v>
      </c>
      <c r="S548" s="15"/>
      <c r="T548" s="14">
        <f>AVERAGE(T545:T547)</f>
        <v>19.078144078144078</v>
      </c>
      <c r="U548" s="12">
        <f>AVERAGE(U545:U547)</f>
        <v>30.549450549450551</v>
      </c>
      <c r="V548" s="11">
        <f>AVERAGE(V545:V547)</f>
        <v>14.420024420024419</v>
      </c>
      <c r="W548" s="11">
        <f>AVERAGE(W545:W547)</f>
        <v>19.652014652014653</v>
      </c>
      <c r="X548" s="11">
        <f>AVERAGE(X545:X547)</f>
        <v>0</v>
      </c>
      <c r="Y548" s="15"/>
      <c r="Z548" s="8">
        <f>AVERAGE(B548,H548,N548,T548)</f>
        <v>14.89590206906729</v>
      </c>
      <c r="AA548" s="8">
        <f>AVERAGE(C548,I548,O548,U548)</f>
        <v>19.343813371351846</v>
      </c>
      <c r="AB548" s="8">
        <f>AVERAGE(D548,J548,P548,V548)</f>
        <v>10.502942849194774</v>
      </c>
      <c r="AC548" s="8">
        <f>AVERAGE(E548,K548,Q548,W548)</f>
        <v>9.6789830049390932</v>
      </c>
      <c r="AD548" s="8">
        <f>AVERAGE(F548,L548,R548,X548)</f>
        <v>0</v>
      </c>
    </row>
    <row r="551" spans="1:30" ht="32" x14ac:dyDescent="0.2">
      <c r="A551" s="2" t="s">
        <v>228</v>
      </c>
      <c r="B551" s="3" t="s">
        <v>53</v>
      </c>
      <c r="C551" s="3"/>
      <c r="D551" s="3"/>
      <c r="E551" s="3"/>
      <c r="F551" s="3"/>
      <c r="G551" s="4" t="s">
        <v>64</v>
      </c>
      <c r="H551" s="3" t="s">
        <v>54</v>
      </c>
      <c r="I551" s="3"/>
      <c r="J551" s="3"/>
      <c r="K551" s="3"/>
      <c r="L551" s="3"/>
      <c r="M551" s="4" t="s">
        <v>64</v>
      </c>
      <c r="N551" s="3" t="s">
        <v>55</v>
      </c>
      <c r="O551" s="3"/>
      <c r="P551" s="3"/>
      <c r="Q551" s="3"/>
      <c r="R551" s="3"/>
      <c r="S551" s="4" t="s">
        <v>64</v>
      </c>
      <c r="T551" s="3" t="s">
        <v>56</v>
      </c>
      <c r="U551" s="3"/>
      <c r="V551" s="3"/>
      <c r="W551" s="3"/>
      <c r="X551" s="3"/>
      <c r="Y551" s="4" t="s">
        <v>64</v>
      </c>
    </row>
    <row r="552" spans="1:30" x14ac:dyDescent="0.2">
      <c r="A552" s="3"/>
      <c r="B552" s="4" t="s">
        <v>20</v>
      </c>
      <c r="C552" s="4" t="s">
        <v>21</v>
      </c>
      <c r="D552" s="4" t="s">
        <v>60</v>
      </c>
      <c r="E552" s="4" t="s">
        <v>61</v>
      </c>
      <c r="F552" s="4" t="s">
        <v>62</v>
      </c>
      <c r="G552" s="4"/>
      <c r="H552" s="4" t="s">
        <v>20</v>
      </c>
      <c r="I552" s="4" t="s">
        <v>21</v>
      </c>
      <c r="J552" s="4" t="s">
        <v>60</v>
      </c>
      <c r="K552" s="4" t="s">
        <v>61</v>
      </c>
      <c r="L552" s="4" t="s">
        <v>62</v>
      </c>
      <c r="M552" s="4"/>
      <c r="N552" s="4" t="s">
        <v>20</v>
      </c>
      <c r="O552" s="4" t="s">
        <v>21</v>
      </c>
      <c r="P552" s="4" t="s">
        <v>60</v>
      </c>
      <c r="Q552" s="4" t="s">
        <v>61</v>
      </c>
      <c r="R552" s="4" t="s">
        <v>62</v>
      </c>
      <c r="S552" s="4"/>
      <c r="T552" s="4" t="s">
        <v>20</v>
      </c>
      <c r="U552" s="4" t="s">
        <v>21</v>
      </c>
      <c r="V552" s="4" t="s">
        <v>60</v>
      </c>
      <c r="W552" s="4" t="s">
        <v>61</v>
      </c>
      <c r="X552" s="4" t="s">
        <v>62</v>
      </c>
      <c r="Y552" s="4"/>
    </row>
    <row r="553" spans="1:30" x14ac:dyDescent="0.2">
      <c r="A553" s="5" t="s">
        <v>57</v>
      </c>
      <c r="B553" s="8">
        <f>$K$17/$M$17*100</f>
        <v>0</v>
      </c>
      <c r="C553" s="8">
        <f>$K$18/$M$18*100</f>
        <v>8.3333333333333321</v>
      </c>
      <c r="D553" s="8">
        <f>$K$19/$M$19*100</f>
        <v>5.5555555555555554</v>
      </c>
      <c r="E553" s="8">
        <f>$K$20/$M$20*100</f>
        <v>8.3333333333333321</v>
      </c>
      <c r="F553" s="8">
        <f>$K$21/$M$21*100</f>
        <v>0</v>
      </c>
      <c r="G553" s="8">
        <f>SUM(B553:F553)</f>
        <v>22.222222222222221</v>
      </c>
      <c r="H553" s="8">
        <f>$K$37/$M$37*100</f>
        <v>0</v>
      </c>
      <c r="I553" s="8">
        <f>$K$38/$M$38*100</f>
        <v>18.181818181818183</v>
      </c>
      <c r="J553" s="8">
        <f>$K$39/$M$39*100</f>
        <v>31.818181818181817</v>
      </c>
      <c r="K553" s="8">
        <f>$K$40/$M$40*100</f>
        <v>13.636363636363635</v>
      </c>
      <c r="L553" s="8">
        <f>$K$41/$M$41*100</f>
        <v>0</v>
      </c>
      <c r="M553" s="8">
        <f>SUM(H553:L553)</f>
        <v>63.636363636363633</v>
      </c>
      <c r="N553" s="8">
        <f>$K$57/$M$57*100</f>
        <v>13.333333333333334</v>
      </c>
      <c r="O553" s="8">
        <f>$K$58/$M$58*100</f>
        <v>37.333333333333336</v>
      </c>
      <c r="P553" s="8">
        <f>$K$59/$M$59*100</f>
        <v>9.3333333333333339</v>
      </c>
      <c r="Q553" s="8">
        <f>$K$60/$M$60*100</f>
        <v>6.666666666666667</v>
      </c>
      <c r="R553" s="8">
        <f>$K$61/$M$61*100</f>
        <v>0</v>
      </c>
      <c r="S553" s="8">
        <f>SUM(N553:R553)</f>
        <v>66.666666666666671</v>
      </c>
      <c r="T553" s="8">
        <f>$K$77/$M$77*100</f>
        <v>6.666666666666667</v>
      </c>
      <c r="U553" s="8">
        <f>$K$78/$M$78*100</f>
        <v>26.666666666666668</v>
      </c>
      <c r="V553" s="8">
        <f>$K$79/$M$79*100</f>
        <v>46.666666666666664</v>
      </c>
      <c r="W553" s="8">
        <f>$K$80/$M$80*100</f>
        <v>20</v>
      </c>
      <c r="X553" s="8">
        <f>$K$81/$M$81*100</f>
        <v>0</v>
      </c>
      <c r="Y553" s="8">
        <f>SUM(T553:X553)</f>
        <v>100</v>
      </c>
    </row>
    <row r="554" spans="1:30" x14ac:dyDescent="0.2">
      <c r="A554" s="5" t="s">
        <v>58</v>
      </c>
      <c r="B554" s="8">
        <f>$K$97/$M$97*100</f>
        <v>2.0408163265306123</v>
      </c>
      <c r="C554" s="8">
        <f>$K$98/$M$98*100</f>
        <v>8.1632653061224492</v>
      </c>
      <c r="D554" s="8">
        <f>$K$99/$M$99*100</f>
        <v>2.0408163265306123</v>
      </c>
      <c r="E554" s="8">
        <f>$K$100/$M$100*100</f>
        <v>18.367346938775512</v>
      </c>
      <c r="F554" s="8">
        <f>$K$111/$M$111*100</f>
        <v>0</v>
      </c>
      <c r="G554" s="8">
        <f>SUM(B554:F554)</f>
        <v>30.612244897959187</v>
      </c>
      <c r="H554" s="8">
        <f>$K$117/$M$117*100</f>
        <v>0</v>
      </c>
      <c r="I554" s="8">
        <f>$K$118/$M$118*100</f>
        <v>35.294117647058826</v>
      </c>
      <c r="J554" s="8">
        <f>$K$119/$M$119*100</f>
        <v>11.76470588235294</v>
      </c>
      <c r="K554" s="8">
        <f>$K$120/$M$120*100</f>
        <v>0</v>
      </c>
      <c r="L554" s="8">
        <f>$K$121/$M$121*100</f>
        <v>0</v>
      </c>
      <c r="M554" s="8">
        <f>SUM(H554:L554)</f>
        <v>47.058823529411768</v>
      </c>
      <c r="N554" s="8">
        <f>$K$137/$M$137*100</f>
        <v>0</v>
      </c>
      <c r="O554" s="8">
        <f>$K$138/$M$138*100</f>
        <v>12.962962962962962</v>
      </c>
      <c r="P554" s="8">
        <f>$K$139/$M$139*100</f>
        <v>6.481481481481481</v>
      </c>
      <c r="Q554" s="8">
        <f>$K$140/$M$140*100</f>
        <v>15.74074074074074</v>
      </c>
      <c r="R554" s="8">
        <f>$K$141/$M$141*100</f>
        <v>0</v>
      </c>
      <c r="S554" s="8">
        <f>SUM(N554:R554)</f>
        <v>35.185185185185183</v>
      </c>
      <c r="T554" s="8">
        <f>$K$157/$M$157*100</f>
        <v>22.222222222222221</v>
      </c>
      <c r="U554" s="8">
        <f>$K$158/$M$158*100</f>
        <v>11.111111111111111</v>
      </c>
      <c r="V554" s="8">
        <f>$K$159/$M$159*100</f>
        <v>11.111111111111111</v>
      </c>
      <c r="W554" s="8">
        <f>$K$160/$M$160*100</f>
        <v>22.222222222222221</v>
      </c>
      <c r="X554" s="8">
        <f>$K$161/$M$161*100</f>
        <v>0</v>
      </c>
      <c r="Y554" s="8">
        <f>SUM(T554:X554)</f>
        <v>66.666666666666657</v>
      </c>
    </row>
    <row r="555" spans="1:30" ht="16" thickBot="1" x14ac:dyDescent="0.25">
      <c r="A555" s="9" t="s">
        <v>59</v>
      </c>
      <c r="B555" s="8">
        <f>$K$177/$M$177*100</f>
        <v>0</v>
      </c>
      <c r="C555" s="8">
        <f>$K$178/$M$178*100</f>
        <v>3.125</v>
      </c>
      <c r="D555" s="8">
        <f>$K$179/$M$179*100</f>
        <v>3.125</v>
      </c>
      <c r="E555" s="8">
        <f>$K$180/$M$180*100</f>
        <v>5.7291666666666661</v>
      </c>
      <c r="F555" s="8">
        <f>$K$181/$M$181*100</f>
        <v>0</v>
      </c>
      <c r="G555" s="8">
        <f>SUM(B555:F555)</f>
        <v>11.979166666666666</v>
      </c>
      <c r="H555" s="8">
        <f>$K$197/$M$197*100</f>
        <v>0</v>
      </c>
      <c r="I555" s="8">
        <f>$K$198/$M$198*100</f>
        <v>15.789473684210526</v>
      </c>
      <c r="J555" s="8">
        <f>$K$199/$M$199*100</f>
        <v>0</v>
      </c>
      <c r="K555" s="8">
        <f>$K$200/$M$200*100</f>
        <v>5.2631578947368416</v>
      </c>
      <c r="L555" s="8">
        <f>$K$211/$M$211*100</f>
        <v>0</v>
      </c>
      <c r="M555" s="8">
        <f>SUM(H555:L555)</f>
        <v>21.052631578947366</v>
      </c>
      <c r="N555" s="8">
        <f>$K$217/$M$217*100</f>
        <v>1.7699115044247788</v>
      </c>
      <c r="O555" s="8">
        <f>$K$218/$M$218*100</f>
        <v>27.43362831858407</v>
      </c>
      <c r="P555" s="8">
        <f>$K$219/$M$219*100</f>
        <v>7.9646017699115044</v>
      </c>
      <c r="Q555" s="8">
        <f>$K$220/$M$220*100</f>
        <v>35.398230088495573</v>
      </c>
      <c r="R555" s="8">
        <f>$K$221/$M$221*100</f>
        <v>0</v>
      </c>
      <c r="S555" s="8">
        <f>SUM(N555:R555)</f>
        <v>72.56637168141593</v>
      </c>
      <c r="T555" s="8">
        <f>$K$237/$M$237*100</f>
        <v>2.4390243902439024</v>
      </c>
      <c r="U555" s="8">
        <f>$K$238/$M$238*100</f>
        <v>19.512195121951219</v>
      </c>
      <c r="V555" s="8">
        <f>$K$239/$M$239*100</f>
        <v>3.6585365853658534</v>
      </c>
      <c r="W555" s="8">
        <f>$K$240/$M$240*100</f>
        <v>37.804878048780488</v>
      </c>
      <c r="X555" s="8">
        <f>$K$241/$M$241*100</f>
        <v>0</v>
      </c>
      <c r="Y555" s="8">
        <f>SUM(T555:X555)</f>
        <v>63.414634146341463</v>
      </c>
    </row>
    <row r="556" spans="1:30" x14ac:dyDescent="0.2">
      <c r="A556" s="10" t="s">
        <v>50</v>
      </c>
      <c r="B556" s="11">
        <f>AVERAGE(B553:B555)</f>
        <v>0.68027210884353739</v>
      </c>
      <c r="C556" s="12">
        <f>AVERAGE(C553:C555)</f>
        <v>6.5405328798185947</v>
      </c>
      <c r="D556" s="11">
        <f>AVERAGE(D553:D555)</f>
        <v>3.5737906273620559</v>
      </c>
      <c r="E556" s="11">
        <f>AVERAGE(E553:E555)</f>
        <v>10.809948979591837</v>
      </c>
      <c r="F556" s="11">
        <f>AVERAGE(F553:F555)</f>
        <v>0</v>
      </c>
      <c r="G556" s="12"/>
      <c r="H556" s="11">
        <f>AVERAGE(H553:H555)</f>
        <v>0</v>
      </c>
      <c r="I556" s="13">
        <f>AVERAGE(I553:I555)</f>
        <v>23.088469837695843</v>
      </c>
      <c r="J556" s="14">
        <f>AVERAGE(J553:J555)</f>
        <v>14.527629233511584</v>
      </c>
      <c r="K556" s="14">
        <f>AVERAGE(K553:K555)</f>
        <v>6.2998405103668249</v>
      </c>
      <c r="L556" s="14">
        <f>AVERAGE(L553:L555)</f>
        <v>0</v>
      </c>
      <c r="M556" s="12"/>
      <c r="N556" s="14">
        <f>AVERAGE(N553:N555)</f>
        <v>5.0344149459193703</v>
      </c>
      <c r="O556" s="12">
        <f>AVERAGE(O553:O555)</f>
        <v>25.909974871626787</v>
      </c>
      <c r="P556" s="11">
        <f>AVERAGE(P553:P555)</f>
        <v>7.9264721949087731</v>
      </c>
      <c r="Q556" s="11">
        <f>AVERAGE(Q553:Q555)</f>
        <v>19.268545831967661</v>
      </c>
      <c r="R556" s="11">
        <f>AVERAGE(R553:R555)</f>
        <v>0</v>
      </c>
      <c r="S556" s="15"/>
      <c r="T556" s="14">
        <f>AVERAGE(T553:T555)</f>
        <v>10.44263775971093</v>
      </c>
      <c r="U556" s="12">
        <f>AVERAGE(U553:U555)</f>
        <v>19.096657633242998</v>
      </c>
      <c r="V556" s="11">
        <f>AVERAGE(V553:V555)</f>
        <v>20.478771454381206</v>
      </c>
      <c r="W556" s="11">
        <f>AVERAGE(W553:W555)</f>
        <v>26.675700090334235</v>
      </c>
      <c r="X556" s="11">
        <f>AVERAGE(X553:X555)</f>
        <v>0</v>
      </c>
      <c r="Y556" s="15"/>
      <c r="Z556" s="8">
        <f>AVERAGE(B556,H556,N556,T556)</f>
        <v>4.0393312036184597</v>
      </c>
      <c r="AA556" s="8">
        <f>AVERAGE(C556,I556,O556,U556)</f>
        <v>18.658908805596056</v>
      </c>
      <c r="AB556" s="8">
        <f>AVERAGE(D556,J556,P556,V556)</f>
        <v>11.626665877540905</v>
      </c>
      <c r="AC556" s="8">
        <f>AVERAGE(E556,K556,Q556,W556)</f>
        <v>15.76350885306514</v>
      </c>
      <c r="AD556" s="8">
        <f>AVERAGE(F556,L556,R556,X556)</f>
        <v>0</v>
      </c>
    </row>
    <row r="561" spans="1:30" ht="32" x14ac:dyDescent="0.2">
      <c r="A561" s="2" t="s">
        <v>217</v>
      </c>
      <c r="B561" s="3" t="s">
        <v>53</v>
      </c>
      <c r="C561" s="3"/>
      <c r="D561" s="3"/>
      <c r="E561" s="3"/>
      <c r="F561" s="3"/>
      <c r="G561" s="4" t="s">
        <v>64</v>
      </c>
      <c r="H561" s="3" t="s">
        <v>54</v>
      </c>
      <c r="I561" s="3"/>
      <c r="J561" s="3"/>
      <c r="K561" s="3"/>
      <c r="L561" s="3"/>
      <c r="M561" s="4" t="s">
        <v>64</v>
      </c>
      <c r="N561" s="3" t="s">
        <v>55</v>
      </c>
      <c r="O561" s="3"/>
      <c r="P561" s="3"/>
      <c r="Q561" s="3"/>
      <c r="R561" s="3"/>
      <c r="S561" s="4" t="s">
        <v>64</v>
      </c>
      <c r="T561" s="3" t="s">
        <v>56</v>
      </c>
      <c r="U561" s="3"/>
      <c r="V561" s="3"/>
      <c r="W561" s="3"/>
      <c r="X561" s="3"/>
      <c r="Y561" s="4" t="s">
        <v>64</v>
      </c>
    </row>
    <row r="562" spans="1:30" x14ac:dyDescent="0.2">
      <c r="A562" s="2"/>
      <c r="B562" s="4" t="s">
        <v>20</v>
      </c>
      <c r="C562" s="4" t="s">
        <v>21</v>
      </c>
      <c r="D562" s="4" t="s">
        <v>60</v>
      </c>
      <c r="E562" s="4" t="s">
        <v>61</v>
      </c>
      <c r="F562" s="4" t="s">
        <v>62</v>
      </c>
      <c r="G562" s="4"/>
      <c r="H562" s="4" t="s">
        <v>20</v>
      </c>
      <c r="I562" s="4" t="s">
        <v>21</v>
      </c>
      <c r="J562" s="4" t="s">
        <v>60</v>
      </c>
      <c r="K562" s="4" t="s">
        <v>61</v>
      </c>
      <c r="L562" s="4" t="s">
        <v>62</v>
      </c>
      <c r="M562" s="4"/>
      <c r="N562" s="4" t="s">
        <v>20</v>
      </c>
      <c r="O562" s="4" t="s">
        <v>21</v>
      </c>
      <c r="P562" s="4" t="s">
        <v>60</v>
      </c>
      <c r="Q562" s="4" t="s">
        <v>61</v>
      </c>
      <c r="R562" s="4" t="s">
        <v>62</v>
      </c>
      <c r="S562" s="4"/>
      <c r="T562" s="4" t="s">
        <v>20</v>
      </c>
      <c r="U562" s="4" t="s">
        <v>21</v>
      </c>
      <c r="V562" s="4" t="s">
        <v>60</v>
      </c>
      <c r="W562" s="4" t="s">
        <v>61</v>
      </c>
      <c r="X562" s="4" t="s">
        <v>62</v>
      </c>
      <c r="Y562" s="4"/>
    </row>
    <row r="563" spans="1:30" x14ac:dyDescent="0.2">
      <c r="A563" s="5" t="s">
        <v>57</v>
      </c>
      <c r="B563" s="8">
        <f>$I$247/$L$247*100</f>
        <v>89.78102189781022</v>
      </c>
      <c r="C563" s="8">
        <f>$I$248/$L$248*100</f>
        <v>4.3795620437956204</v>
      </c>
      <c r="D563" s="8">
        <f>$I$249/$L$249*100</f>
        <v>0.72992700729927007</v>
      </c>
      <c r="E563" s="8">
        <f>$I$250/$L$250*100</f>
        <v>5.1094890510948909</v>
      </c>
      <c r="F563" s="8">
        <f>$I$251/$L$251*100</f>
        <v>0</v>
      </c>
      <c r="G563" s="8">
        <f>SUM(B563:F563)</f>
        <v>100</v>
      </c>
      <c r="H563" s="8">
        <f>$I$267/$L$267*100</f>
        <v>60</v>
      </c>
      <c r="I563" s="8">
        <f>$I$268/$L$268*100</f>
        <v>10</v>
      </c>
      <c r="J563" s="8">
        <f>$I$269/$L$269*100</f>
        <v>5</v>
      </c>
      <c r="K563" s="8">
        <f>$I$270/$L$270*100</f>
        <v>25</v>
      </c>
      <c r="L563" s="8">
        <f>$I$271/$L$271*100</f>
        <v>0</v>
      </c>
      <c r="M563" s="8">
        <f>SUM(H563:L563)</f>
        <v>100</v>
      </c>
      <c r="N563" s="8">
        <f>$I$287/$L$287*100</f>
        <v>66.666666666666657</v>
      </c>
      <c r="O563" s="8">
        <f>$I$288/$L$288*100</f>
        <v>21.212121212121211</v>
      </c>
      <c r="P563" s="8">
        <f>$I$289/$L$289*100</f>
        <v>0</v>
      </c>
      <c r="Q563" s="8">
        <f>$I$290/$L$290*100</f>
        <v>12.121212121212121</v>
      </c>
      <c r="R563" s="8">
        <f>$I$291/$L$291*100</f>
        <v>0</v>
      </c>
      <c r="S563" s="8">
        <f>SUM(N563:R563)</f>
        <v>100</v>
      </c>
      <c r="T563" s="8">
        <f>$I$307/$L$307*100</f>
        <v>100</v>
      </c>
      <c r="U563" s="8">
        <f>$I$308/$L$308*100</f>
        <v>0</v>
      </c>
      <c r="V563" s="8">
        <f>$I$309/$L$309*100</f>
        <v>0</v>
      </c>
      <c r="W563" s="8">
        <f>$I$310/$L$310*100</f>
        <v>0</v>
      </c>
      <c r="X563" s="8">
        <f>$I$311/$L$311*100</f>
        <v>0</v>
      </c>
      <c r="Y563" s="8">
        <f>SUM(T563:X563)</f>
        <v>100</v>
      </c>
    </row>
    <row r="564" spans="1:30" x14ac:dyDescent="0.2">
      <c r="A564" s="5" t="s">
        <v>58</v>
      </c>
      <c r="B564" s="8">
        <f>$I$327/$L$327*100</f>
        <v>82.8125</v>
      </c>
      <c r="C564" s="8">
        <f>$I$328/$L$328*100</f>
        <v>9.375</v>
      </c>
      <c r="D564" s="8">
        <f>$I$329/$L$329*100</f>
        <v>3.90625</v>
      </c>
      <c r="E564" s="8">
        <f>$I$330/$L$330*100</f>
        <v>3.90625</v>
      </c>
      <c r="F564" s="8">
        <f>$I$331/$L$331*100</f>
        <v>0</v>
      </c>
      <c r="G564" s="8">
        <f>SUM(B564:F564)</f>
        <v>100</v>
      </c>
      <c r="H564" s="8">
        <f>$I$347/$L$347*100</f>
        <v>47.058823529411761</v>
      </c>
      <c r="I564" s="8">
        <f>$I$348/$L$348*100</f>
        <v>41.17647058823529</v>
      </c>
      <c r="J564" s="8">
        <f>$I$349/$L$349*100</f>
        <v>0</v>
      </c>
      <c r="K564" s="8">
        <f>$I$350/$L$350*100</f>
        <v>11.76470588235294</v>
      </c>
      <c r="L564" s="8">
        <f>$I$351/$L$351*100</f>
        <v>0</v>
      </c>
      <c r="M564" s="8">
        <f>SUM(H564:L564)</f>
        <v>99.999999999999986</v>
      </c>
      <c r="N564" s="8">
        <f>$I$367/$L$367*100</f>
        <v>64.285714285714292</v>
      </c>
      <c r="O564" s="8">
        <f>$I$368/$L$368*100</f>
        <v>14.285714285714285</v>
      </c>
      <c r="P564" s="8">
        <f>$I$369/$L$369*100</f>
        <v>7.1428571428571423</v>
      </c>
      <c r="Q564" s="8">
        <f>$I$370/$L$370*100</f>
        <v>14.285714285714285</v>
      </c>
      <c r="R564" s="8">
        <f>$I$371/$L$371*100</f>
        <v>0</v>
      </c>
      <c r="S564" s="8">
        <f>SUM(N564:R564)</f>
        <v>100</v>
      </c>
      <c r="T564" s="8">
        <f>$I$387/$L$387*100</f>
        <v>61.53846153846154</v>
      </c>
      <c r="U564" s="8">
        <f>$I$388/$L$388*100</f>
        <v>30.76923076923077</v>
      </c>
      <c r="V564" s="8">
        <f>$I$389/$L$389*100</f>
        <v>7.6923076923076925</v>
      </c>
      <c r="W564" s="8">
        <f>$I$390/$L$390*100</f>
        <v>0</v>
      </c>
      <c r="X564" s="8">
        <f>$I$391/$L$391*100</f>
        <v>0</v>
      </c>
      <c r="Y564" s="8">
        <f>SUM(T564:X564)</f>
        <v>100</v>
      </c>
    </row>
    <row r="565" spans="1:30" ht="16" thickBot="1" x14ac:dyDescent="0.25">
      <c r="A565" s="9" t="s">
        <v>59</v>
      </c>
      <c r="B565" s="8">
        <f>$I$407/$L$407*100</f>
        <v>53.333333333333336</v>
      </c>
      <c r="C565" s="8">
        <f>$I$408/$L$408*100</f>
        <v>37.777777777777779</v>
      </c>
      <c r="D565" s="8">
        <f>$I$409/$L$409*100</f>
        <v>6.666666666666667</v>
      </c>
      <c r="E565" s="8">
        <f>$I$410/$L$410*100</f>
        <v>2.2222222222222223</v>
      </c>
      <c r="F565" s="8">
        <f>$I$411/$L$411*100</f>
        <v>0</v>
      </c>
      <c r="G565" s="8">
        <f>SUM(B565:F565)</f>
        <v>100.00000000000001</v>
      </c>
      <c r="H565" s="8">
        <f>$I$427/$L$427*100</f>
        <v>100</v>
      </c>
      <c r="I565" s="8">
        <f>$I$428/$L$428*100</f>
        <v>0</v>
      </c>
      <c r="J565" s="8">
        <f>$I$429/$L$429*100</f>
        <v>0</v>
      </c>
      <c r="K565" s="8">
        <f>$I$430/$L$430*100</f>
        <v>0</v>
      </c>
      <c r="L565" s="8">
        <f>$I$431/$L$431*100</f>
        <v>0</v>
      </c>
      <c r="M565" s="8">
        <f>SUM(H565:L565)</f>
        <v>100</v>
      </c>
      <c r="N565" s="8">
        <f>$I$447/$L$447*100</f>
        <v>65.517241379310349</v>
      </c>
      <c r="O565" s="8">
        <f>$I$448/$L$448*100</f>
        <v>31.03448275862069</v>
      </c>
      <c r="P565" s="8">
        <f>$I$449/$L$449*100</f>
        <v>3.4482758620689653</v>
      </c>
      <c r="Q565" s="8">
        <f>$I$450/$L$450*100</f>
        <v>0</v>
      </c>
      <c r="R565" s="8">
        <f>$I$451/$L$451*100</f>
        <v>0</v>
      </c>
      <c r="S565" s="8">
        <f>SUM(N565:R565)</f>
        <v>100.00000000000001</v>
      </c>
      <c r="T565" s="8">
        <f>$I$467/$L$467*100</f>
        <v>50</v>
      </c>
      <c r="U565" s="8">
        <f>$I$468/$L$468*100</f>
        <v>50</v>
      </c>
      <c r="V565" s="8">
        <f>$I$469/$L$469*100</f>
        <v>0</v>
      </c>
      <c r="W565" s="8">
        <f>$I$470/$L$470*100</f>
        <v>0</v>
      </c>
      <c r="X565" s="8">
        <f>$I$471/$L$471*100</f>
        <v>0</v>
      </c>
      <c r="Y565" s="8">
        <f>SUM(T565:X565)</f>
        <v>100</v>
      </c>
    </row>
    <row r="566" spans="1:30" x14ac:dyDescent="0.2">
      <c r="A566" s="10" t="s">
        <v>50</v>
      </c>
      <c r="B566" s="11">
        <f>AVERAGE(B563:B565)</f>
        <v>75.308951743714516</v>
      </c>
      <c r="C566" s="12">
        <f>AVERAGE(C563:C565)</f>
        <v>17.177446607191133</v>
      </c>
      <c r="D566" s="11">
        <f>AVERAGE(D563:D565)</f>
        <v>3.767614557988646</v>
      </c>
      <c r="E566" s="11">
        <f>AVERAGE(E563:E565)</f>
        <v>3.7459870911057038</v>
      </c>
      <c r="F566" s="11">
        <f>AVERAGE(F563:F565)</f>
        <v>0</v>
      </c>
      <c r="G566" s="12"/>
      <c r="H566" s="11">
        <f>AVERAGE(H563:H565)</f>
        <v>69.019607843137251</v>
      </c>
      <c r="I566" s="13">
        <f>AVERAGE(I563:I565)</f>
        <v>17.058823529411764</v>
      </c>
      <c r="J566" s="14">
        <f>AVERAGE(J563:J565)</f>
        <v>1.6666666666666667</v>
      </c>
      <c r="K566" s="14">
        <f>AVERAGE(K563:K565)</f>
        <v>12.254901960784315</v>
      </c>
      <c r="L566" s="14">
        <f>AVERAGE(L563:L565)</f>
        <v>0</v>
      </c>
      <c r="M566" s="12"/>
      <c r="N566" s="14">
        <f>AVERAGE(N563:N565)</f>
        <v>65.489874110563775</v>
      </c>
      <c r="O566" s="12">
        <f>AVERAGE(O563:O565)</f>
        <v>22.177439418818732</v>
      </c>
      <c r="P566" s="11">
        <f>AVERAGE(P563:P565)</f>
        <v>3.5303776683087023</v>
      </c>
      <c r="Q566" s="11">
        <f>AVERAGE(Q563:Q565)</f>
        <v>8.8023088023088025</v>
      </c>
      <c r="R566" s="11">
        <f>AVERAGE(R563:R565)</f>
        <v>0</v>
      </c>
      <c r="S566" s="15"/>
      <c r="T566" s="14">
        <f>AVERAGE(T563:T565)</f>
        <v>70.512820512820511</v>
      </c>
      <c r="U566" s="12">
        <f>AVERAGE(U563:U565)</f>
        <v>26.923076923076923</v>
      </c>
      <c r="V566" s="11">
        <f>AVERAGE(V563:V565)</f>
        <v>2.5641025641025643</v>
      </c>
      <c r="W566" s="11">
        <f>AVERAGE(W563:W565)</f>
        <v>0</v>
      </c>
      <c r="X566" s="11">
        <f>AVERAGE(X563:X565)</f>
        <v>0</v>
      </c>
      <c r="Y566" s="15"/>
      <c r="Z566" s="8">
        <f>AVERAGE(B566,H566,N566,T566)</f>
        <v>70.082813552559017</v>
      </c>
      <c r="AA566" s="8">
        <f>AVERAGE(C566,I566,O566,U566)</f>
        <v>20.834196619624638</v>
      </c>
      <c r="AB566" s="8">
        <f>AVERAGE(D566,J566,P566,V566)</f>
        <v>2.8821903642666444</v>
      </c>
      <c r="AC566" s="8">
        <f>AVERAGE(E566,K566,Q566,W566)</f>
        <v>6.2007994635497052</v>
      </c>
      <c r="AD566" s="8">
        <f>AVERAGE(F566,L566,R566,X566)</f>
        <v>0</v>
      </c>
    </row>
    <row r="569" spans="1:30" ht="32" x14ac:dyDescent="0.2">
      <c r="A569" s="2" t="s">
        <v>218</v>
      </c>
      <c r="B569" s="3" t="s">
        <v>53</v>
      </c>
      <c r="C569" s="3"/>
      <c r="D569" s="3"/>
      <c r="E569" s="3"/>
      <c r="F569" s="3"/>
      <c r="G569" s="4" t="s">
        <v>64</v>
      </c>
      <c r="H569" s="3" t="s">
        <v>54</v>
      </c>
      <c r="I569" s="3"/>
      <c r="J569" s="3"/>
      <c r="K569" s="3"/>
      <c r="L569" s="3"/>
      <c r="M569" s="4" t="s">
        <v>64</v>
      </c>
      <c r="N569" s="3" t="s">
        <v>55</v>
      </c>
      <c r="O569" s="3"/>
      <c r="P569" s="3"/>
      <c r="Q569" s="3"/>
      <c r="R569" s="3"/>
      <c r="S569" s="4" t="s">
        <v>64</v>
      </c>
      <c r="T569" s="3" t="s">
        <v>56</v>
      </c>
      <c r="U569" s="3"/>
      <c r="V569" s="3"/>
      <c r="W569" s="3"/>
      <c r="X569" s="3"/>
      <c r="Y569" s="4" t="s">
        <v>64</v>
      </c>
    </row>
    <row r="570" spans="1:30" x14ac:dyDescent="0.2">
      <c r="A570" s="3"/>
      <c r="B570" s="4" t="s">
        <v>20</v>
      </c>
      <c r="C570" s="4" t="s">
        <v>21</v>
      </c>
      <c r="D570" s="4" t="s">
        <v>60</v>
      </c>
      <c r="E570" s="4" t="s">
        <v>61</v>
      </c>
      <c r="F570" s="4" t="s">
        <v>62</v>
      </c>
      <c r="G570" s="4"/>
      <c r="H570" s="4" t="s">
        <v>20</v>
      </c>
      <c r="I570" s="4" t="s">
        <v>21</v>
      </c>
      <c r="J570" s="4" t="s">
        <v>60</v>
      </c>
      <c r="K570" s="4" t="s">
        <v>61</v>
      </c>
      <c r="L570" s="4" t="s">
        <v>62</v>
      </c>
      <c r="M570" s="4"/>
      <c r="N570" s="4" t="s">
        <v>20</v>
      </c>
      <c r="O570" s="4" t="s">
        <v>21</v>
      </c>
      <c r="P570" s="4" t="s">
        <v>60</v>
      </c>
      <c r="Q570" s="4" t="s">
        <v>61</v>
      </c>
      <c r="R570" s="4" t="s">
        <v>62</v>
      </c>
      <c r="S570" s="4"/>
      <c r="T570" s="4" t="s">
        <v>20</v>
      </c>
      <c r="U570" s="4" t="s">
        <v>21</v>
      </c>
      <c r="V570" s="4" t="s">
        <v>60</v>
      </c>
      <c r="W570" s="4" t="s">
        <v>61</v>
      </c>
      <c r="X570" s="4" t="s">
        <v>62</v>
      </c>
      <c r="Y570" s="4"/>
    </row>
    <row r="571" spans="1:30" x14ac:dyDescent="0.2">
      <c r="A571" s="5" t="s">
        <v>57</v>
      </c>
      <c r="B571" s="8">
        <f>$I$252/$L$252*100</f>
        <v>84.615384615384613</v>
      </c>
      <c r="C571" s="8">
        <f>$I$253/$L$253*100</f>
        <v>6.1538461538461542</v>
      </c>
      <c r="D571" s="8">
        <f>$I$254/$L$254*100</f>
        <v>2.3076923076923079</v>
      </c>
      <c r="E571" s="8">
        <f>$I$255/$L$255*100</f>
        <v>6.9230769230769234</v>
      </c>
      <c r="F571" s="8">
        <f>$I$256/$L$256*100</f>
        <v>0</v>
      </c>
      <c r="G571" s="8">
        <f>SUM(B571:F571)</f>
        <v>100</v>
      </c>
      <c r="H571" s="8">
        <f>$I$272/$L$272*100</f>
        <v>78.571428571428569</v>
      </c>
      <c r="I571" s="8">
        <f>$I$273/$L$273*100</f>
        <v>7.1428571428571423</v>
      </c>
      <c r="J571" s="8">
        <f>$I$274/$L$274*100</f>
        <v>0</v>
      </c>
      <c r="K571" s="8">
        <f t="shared" ref="K571" si="51">$I$275/$L$275*100</f>
        <v>14.285714285714285</v>
      </c>
      <c r="L571" s="8">
        <f>$I$276/$L$276*100</f>
        <v>0</v>
      </c>
      <c r="M571" s="8">
        <f>SUM(H571:L571)</f>
        <v>100</v>
      </c>
      <c r="N571" s="8">
        <f>$I$292/$L$292*100</f>
        <v>72.222222222222214</v>
      </c>
      <c r="O571" s="8">
        <f>$I$293/$L$293*100</f>
        <v>8.3333333333333321</v>
      </c>
      <c r="P571" s="8">
        <f>$I$294/$L$294*100</f>
        <v>5.5555555555555554</v>
      </c>
      <c r="Q571" s="8">
        <f>$I$295/$L$295*100</f>
        <v>13.888888888888889</v>
      </c>
      <c r="R571" s="8">
        <f>$I$296/$L$296*100</f>
        <v>0</v>
      </c>
      <c r="S571" s="8">
        <f>SUM(N571:R571)</f>
        <v>99.999999999999986</v>
      </c>
      <c r="T571" s="8">
        <f>$I$312/$L$312*100</f>
        <v>71.428571428571431</v>
      </c>
      <c r="U571" s="8">
        <f>$I$313/$L$313*100</f>
        <v>28.571428571428569</v>
      </c>
      <c r="V571" s="8">
        <f>$I$314/$L$314*100</f>
        <v>0</v>
      </c>
      <c r="W571" s="8">
        <f>$I$315/$L$315*100</f>
        <v>0</v>
      </c>
      <c r="X571" s="8">
        <f>$I$316/$L$316*100</f>
        <v>0</v>
      </c>
      <c r="Y571" s="8">
        <f>SUM(T571:X571)</f>
        <v>100</v>
      </c>
    </row>
    <row r="572" spans="1:30" x14ac:dyDescent="0.2">
      <c r="A572" s="5" t="s">
        <v>58</v>
      </c>
      <c r="B572" s="8">
        <f>$I$332/$L$332*100</f>
        <v>81.889763779527556</v>
      </c>
      <c r="C572" s="8">
        <f>$I$333/$L$333*100</f>
        <v>10.236220472440944</v>
      </c>
      <c r="D572" s="8">
        <f>$I$334/$L$334*100</f>
        <v>2.3622047244094486</v>
      </c>
      <c r="E572" s="8">
        <f>$I$335/$L$335*100</f>
        <v>5.5118110236220472</v>
      </c>
      <c r="F572" s="8">
        <f>$I$336/$L$336*100</f>
        <v>0</v>
      </c>
      <c r="G572" s="8">
        <f>SUM(B572:F572)</f>
        <v>100</v>
      </c>
      <c r="H572" s="8">
        <f>$I$352/$L$352*100</f>
        <v>57.142857142857139</v>
      </c>
      <c r="I572" s="8">
        <f>$I$353/$L$353*100</f>
        <v>21.428571428571427</v>
      </c>
      <c r="J572" s="8">
        <f>$I$354/$L$354*100</f>
        <v>0</v>
      </c>
      <c r="K572" s="8">
        <f t="shared" ref="K572" si="52">$I$355/$L$355*100</f>
        <v>21.428571428571427</v>
      </c>
      <c r="L572" s="8">
        <f>$I$356/$L$356*100</f>
        <v>0</v>
      </c>
      <c r="M572" s="8">
        <f>SUM(H572:L572)</f>
        <v>100</v>
      </c>
      <c r="N572" s="8">
        <f>$I$372/$L$372*100</f>
        <v>77.777777777777786</v>
      </c>
      <c r="O572" s="8">
        <f>$I$373/$L$373*100</f>
        <v>16.666666666666664</v>
      </c>
      <c r="P572" s="8">
        <f>$I$374/$L$374*100</f>
        <v>5.5555555555555554</v>
      </c>
      <c r="Q572" s="8">
        <f>$I$375/$L$375*100</f>
        <v>0</v>
      </c>
      <c r="R572" s="8">
        <f>$I$376/$L$376*100</f>
        <v>0</v>
      </c>
      <c r="S572" s="8">
        <f>SUM(N572:R572)</f>
        <v>100.00000000000001</v>
      </c>
      <c r="T572" s="8">
        <f>$I$392/$L$392*100</f>
        <v>66.666666666666657</v>
      </c>
      <c r="U572" s="8">
        <f>$I$393/$L$393*100</f>
        <v>11.111111111111111</v>
      </c>
      <c r="V572" s="8">
        <f>$I$394/$L$394*100</f>
        <v>11.111111111111111</v>
      </c>
      <c r="W572" s="8">
        <f>$I$395/$L$395*100</f>
        <v>11.111111111111111</v>
      </c>
      <c r="X572" s="8">
        <f>$I$396/$L$396*100</f>
        <v>0</v>
      </c>
      <c r="Y572" s="8">
        <f>SUM(T572:X572)</f>
        <v>100</v>
      </c>
    </row>
    <row r="573" spans="1:30" ht="16" thickBot="1" x14ac:dyDescent="0.25">
      <c r="A573" s="9" t="s">
        <v>59</v>
      </c>
      <c r="B573" s="8">
        <f>$I$412/$L$412*100</f>
        <v>51.351351351351347</v>
      </c>
      <c r="C573" s="8">
        <f>$I$413/$L$413*100</f>
        <v>37.837837837837839</v>
      </c>
      <c r="D573" s="8">
        <f>$I$414/$L$414*100</f>
        <v>5.4054054054054053</v>
      </c>
      <c r="E573" s="8">
        <f>$I$415/$L$415*100</f>
        <v>5.4054054054054053</v>
      </c>
      <c r="F573" s="8">
        <f>$I$416/$L$416*100</f>
        <v>0</v>
      </c>
      <c r="G573" s="8">
        <f>SUM(B573:F573)</f>
        <v>100</v>
      </c>
      <c r="H573" s="8">
        <f>$I$432/$L$432*100</f>
        <v>20</v>
      </c>
      <c r="I573" s="8">
        <f>$I$433/$L$433*100</f>
        <v>60</v>
      </c>
      <c r="J573" s="8">
        <f>$I$434/$L$434*100</f>
        <v>20</v>
      </c>
      <c r="K573" s="8">
        <f t="shared" ref="K573" si="53">$I$435/$L$435*100</f>
        <v>0</v>
      </c>
      <c r="L573" s="8">
        <f>$I$436/$L$436*100</f>
        <v>0</v>
      </c>
      <c r="M573" s="8">
        <f>SUM(H573:L573)</f>
        <v>100</v>
      </c>
      <c r="N573" s="8">
        <f>$I$452/$L$452*100</f>
        <v>70</v>
      </c>
      <c r="O573" s="8">
        <f>$I$453/$L$453*100</f>
        <v>20</v>
      </c>
      <c r="P573" s="8">
        <f>$I$454/$L$454*100</f>
        <v>3.3333333333333335</v>
      </c>
      <c r="Q573" s="8">
        <f>$I$455/$L$455*100</f>
        <v>6.666666666666667</v>
      </c>
      <c r="R573" s="8">
        <f>$I$456/$L$456*100</f>
        <v>0</v>
      </c>
      <c r="S573" s="8">
        <f>SUM(N573:R573)</f>
        <v>100</v>
      </c>
      <c r="T573" s="8">
        <f>$I$472/$L$472*100</f>
        <v>42.857142857142854</v>
      </c>
      <c r="U573" s="8">
        <f>$I$473/$L$473*100</f>
        <v>42.857142857142854</v>
      </c>
      <c r="V573" s="8">
        <f>$I$474/$L$474*100</f>
        <v>14.285714285714285</v>
      </c>
      <c r="W573" s="8">
        <f>$I$475/$L$475*100</f>
        <v>0</v>
      </c>
      <c r="X573" s="8">
        <f>$I$476/$L$476*100</f>
        <v>0</v>
      </c>
      <c r="Y573" s="8">
        <f>SUM(T573:X573)</f>
        <v>100</v>
      </c>
    </row>
    <row r="574" spans="1:30" x14ac:dyDescent="0.2">
      <c r="A574" s="10" t="s">
        <v>50</v>
      </c>
      <c r="B574" s="11">
        <f>AVERAGE(B571:B573)</f>
        <v>72.618833248754513</v>
      </c>
      <c r="C574" s="12">
        <f>AVERAGE(C571:C573)</f>
        <v>18.07596815470831</v>
      </c>
      <c r="D574" s="11">
        <f>AVERAGE(D571:D573)</f>
        <v>3.3584341458357208</v>
      </c>
      <c r="E574" s="11">
        <f>AVERAGE(E571:E573)</f>
        <v>5.9467644507014583</v>
      </c>
      <c r="F574" s="11">
        <f>AVERAGE(F571:F573)</f>
        <v>0</v>
      </c>
      <c r="G574" s="12"/>
      <c r="H574" s="11">
        <f>AVERAGE(H571:H573)</f>
        <v>51.904761904761905</v>
      </c>
      <c r="I574" s="13">
        <f>AVERAGE(I571:I573)</f>
        <v>29.523809523809522</v>
      </c>
      <c r="J574" s="14">
        <f>AVERAGE(J571:J573)</f>
        <v>6.666666666666667</v>
      </c>
      <c r="K574" s="14">
        <f>AVERAGE(K571:K573)</f>
        <v>11.904761904761903</v>
      </c>
      <c r="L574" s="14">
        <f>AVERAGE(L571:L573)</f>
        <v>0</v>
      </c>
      <c r="M574" s="12"/>
      <c r="N574" s="14">
        <f>AVERAGE(N571:N573)</f>
        <v>73.333333333333329</v>
      </c>
      <c r="O574" s="12">
        <f>AVERAGE(O571:O573)</f>
        <v>15</v>
      </c>
      <c r="P574" s="11">
        <f>AVERAGE(P571:P573)</f>
        <v>4.8148148148148149</v>
      </c>
      <c r="Q574" s="11">
        <f>AVERAGE(Q571:Q573)</f>
        <v>6.8518518518518521</v>
      </c>
      <c r="R574" s="11">
        <f>AVERAGE(R571:R573)</f>
        <v>0</v>
      </c>
      <c r="S574" s="15"/>
      <c r="T574" s="14">
        <f>AVERAGE(T571:T573)</f>
        <v>60.317460317460309</v>
      </c>
      <c r="U574" s="12">
        <f>AVERAGE(U571:U573)</f>
        <v>27.513227513227509</v>
      </c>
      <c r="V574" s="11">
        <f>AVERAGE(V571:V573)</f>
        <v>8.4656084656084651</v>
      </c>
      <c r="W574" s="11">
        <f>AVERAGE(W571:W573)</f>
        <v>3.7037037037037037</v>
      </c>
      <c r="X574" s="11">
        <f>AVERAGE(X571:X573)</f>
        <v>0</v>
      </c>
      <c r="Y574" s="15"/>
      <c r="Z574" s="8">
        <f>AVERAGE(B574,H574,N574,T574)</f>
        <v>64.543597201077517</v>
      </c>
      <c r="AA574" s="8">
        <f>AVERAGE(C574,I574,O574,U574)</f>
        <v>22.528251297936336</v>
      </c>
      <c r="AB574" s="8">
        <f>AVERAGE(D574,J574,P574,V574)</f>
        <v>5.8263810232314164</v>
      </c>
      <c r="AC574" s="8">
        <f>AVERAGE(E574,K574,Q574,W574)</f>
        <v>7.1017704777547292</v>
      </c>
      <c r="AD574" s="8">
        <f>AVERAGE(F574,L574,R574,X574)</f>
        <v>0</v>
      </c>
    </row>
    <row r="577" spans="1:30" ht="32" x14ac:dyDescent="0.2">
      <c r="A577" s="2" t="s">
        <v>219</v>
      </c>
      <c r="B577" s="3" t="s">
        <v>53</v>
      </c>
      <c r="C577" s="3"/>
      <c r="D577" s="3"/>
      <c r="E577" s="3"/>
      <c r="F577" s="3"/>
      <c r="G577" s="4" t="s">
        <v>64</v>
      </c>
      <c r="H577" s="3" t="s">
        <v>54</v>
      </c>
      <c r="I577" s="3"/>
      <c r="J577" s="3"/>
      <c r="K577" s="3"/>
      <c r="L577" s="3"/>
      <c r="M577" s="4" t="s">
        <v>64</v>
      </c>
      <c r="N577" s="3" t="s">
        <v>55</v>
      </c>
      <c r="O577" s="3"/>
      <c r="P577" s="3"/>
      <c r="Q577" s="3"/>
      <c r="R577" s="3"/>
      <c r="S577" s="4" t="s">
        <v>64</v>
      </c>
      <c r="T577" s="3" t="s">
        <v>56</v>
      </c>
      <c r="U577" s="3"/>
      <c r="V577" s="3"/>
      <c r="W577" s="3"/>
      <c r="X577" s="3"/>
      <c r="Y577" s="4" t="s">
        <v>64</v>
      </c>
    </row>
    <row r="578" spans="1:30" x14ac:dyDescent="0.2">
      <c r="A578" s="3"/>
      <c r="B578" s="4" t="s">
        <v>20</v>
      </c>
      <c r="C578" s="4" t="s">
        <v>21</v>
      </c>
      <c r="D578" s="4" t="s">
        <v>60</v>
      </c>
      <c r="E578" s="4" t="s">
        <v>61</v>
      </c>
      <c r="F578" s="4" t="s">
        <v>62</v>
      </c>
      <c r="G578" s="4"/>
      <c r="H578" s="4" t="s">
        <v>20</v>
      </c>
      <c r="I578" s="4" t="s">
        <v>21</v>
      </c>
      <c r="J578" s="4" t="s">
        <v>60</v>
      </c>
      <c r="K578" s="4" t="s">
        <v>61</v>
      </c>
      <c r="L578" s="4" t="s">
        <v>62</v>
      </c>
      <c r="M578" s="4"/>
      <c r="N578" s="4" t="s">
        <v>20</v>
      </c>
      <c r="O578" s="4" t="s">
        <v>21</v>
      </c>
      <c r="P578" s="4" t="s">
        <v>60</v>
      </c>
      <c r="Q578" s="4" t="s">
        <v>61</v>
      </c>
      <c r="R578" s="4" t="s">
        <v>62</v>
      </c>
      <c r="S578" s="4"/>
      <c r="T578" s="4" t="s">
        <v>20</v>
      </c>
      <c r="U578" s="4" t="s">
        <v>21</v>
      </c>
      <c r="V578" s="4" t="s">
        <v>60</v>
      </c>
      <c r="W578" s="4" t="s">
        <v>61</v>
      </c>
      <c r="X578" s="4" t="s">
        <v>62</v>
      </c>
      <c r="Y578" s="4"/>
    </row>
    <row r="579" spans="1:30" x14ac:dyDescent="0.2">
      <c r="A579" s="5" t="s">
        <v>57</v>
      </c>
      <c r="B579" s="8">
        <f>$I$257/$L$257*100</f>
        <v>63.636363636363633</v>
      </c>
      <c r="C579" s="8">
        <f>$I$258/$L$258*100</f>
        <v>22.222222222222221</v>
      </c>
      <c r="D579" s="8">
        <f>$I$259/$L$259*100</f>
        <v>1.0101010101010102</v>
      </c>
      <c r="E579" s="8">
        <f>$I$260/$L$260*100</f>
        <v>13.131313131313133</v>
      </c>
      <c r="F579" s="8">
        <f>$I$261/$L$261*100</f>
        <v>0</v>
      </c>
      <c r="G579" s="8">
        <f>SUM(B579:F579)</f>
        <v>100</v>
      </c>
      <c r="H579" s="8">
        <f>$I$277/$L$277*100</f>
        <v>72.727272727272734</v>
      </c>
      <c r="I579" s="8">
        <f>$I$278/$L$278*100</f>
        <v>0</v>
      </c>
      <c r="J579" s="8">
        <f>$I$279/$L$279*100</f>
        <v>0</v>
      </c>
      <c r="K579" s="8">
        <f>$I$280/$L$280*100</f>
        <v>27.27272727272727</v>
      </c>
      <c r="L579" s="8">
        <f>$I$281/$L$281*100</f>
        <v>0</v>
      </c>
      <c r="M579" s="8">
        <f>SUM(H579:L579)</f>
        <v>100</v>
      </c>
      <c r="N579" s="8">
        <f>$I$297/$L$297*100</f>
        <v>57.142857142857139</v>
      </c>
      <c r="O579" s="8">
        <f>$I$298/$L$298*100</f>
        <v>11.904761904761903</v>
      </c>
      <c r="P579" s="8">
        <f>$I$299/$L$299*100</f>
        <v>2.3809523809523809</v>
      </c>
      <c r="Q579" s="8">
        <f>$I$300/$L$300*100</f>
        <v>28.571428571428569</v>
      </c>
      <c r="R579" s="8">
        <f>$I$311/$L$311*100</f>
        <v>0</v>
      </c>
      <c r="S579" s="8">
        <f>SUM(N579:R579)</f>
        <v>99.999999999999986</v>
      </c>
      <c r="T579" s="8">
        <f>$I$317/$L$317*100</f>
        <v>100</v>
      </c>
      <c r="U579" s="8">
        <f>$I$318/$L$318*100</f>
        <v>0</v>
      </c>
      <c r="V579" s="8">
        <f>$I$319/$L$319*100</f>
        <v>0</v>
      </c>
      <c r="W579" s="8">
        <f>$I$320/$L$320*100</f>
        <v>0</v>
      </c>
      <c r="X579" s="8">
        <f>$I$321/$L$321*100</f>
        <v>0</v>
      </c>
      <c r="Y579" s="8">
        <f>SUM(T579:X579)</f>
        <v>100</v>
      </c>
    </row>
    <row r="580" spans="1:30" x14ac:dyDescent="0.2">
      <c r="A580" s="5" t="s">
        <v>58</v>
      </c>
      <c r="B580" s="8">
        <f>$I$337/$L$337*100</f>
        <v>63.076923076923073</v>
      </c>
      <c r="C580" s="8">
        <f>$I$338/$L$338*100</f>
        <v>22.30769230769231</v>
      </c>
      <c r="D580" s="8">
        <f>$I$339/$L$339*100</f>
        <v>5.384615384615385</v>
      </c>
      <c r="E580" s="8">
        <f>$I$340/$L$340*100</f>
        <v>9.2307692307692317</v>
      </c>
      <c r="F580" s="8">
        <f>$I$341/$L$341*100</f>
        <v>0</v>
      </c>
      <c r="G580" s="8">
        <f>SUM(B580:F580)</f>
        <v>100</v>
      </c>
      <c r="H580" s="8">
        <f>$I$357/$L$357*100</f>
        <v>36.363636363636367</v>
      </c>
      <c r="I580" s="8">
        <f>$I$358/$L$358*100</f>
        <v>45.454545454545453</v>
      </c>
      <c r="J580" s="8">
        <f>$I$359/$L$359*100</f>
        <v>9.0909090909090917</v>
      </c>
      <c r="K580" s="8">
        <f>$I$360/$L$360*100</f>
        <v>9.0909090909090917</v>
      </c>
      <c r="L580" s="8">
        <f>$I$361/$L$361*100</f>
        <v>0</v>
      </c>
      <c r="M580" s="8">
        <f>SUM(H580:L580)</f>
        <v>100</v>
      </c>
      <c r="N580" s="8">
        <f>$I$377/$L$377*100</f>
        <v>86.666666666666671</v>
      </c>
      <c r="O580" s="8">
        <f>$I$378/$L$378*100</f>
        <v>6.666666666666667</v>
      </c>
      <c r="P580" s="8">
        <f>$I$379/$L$379*100</f>
        <v>6.666666666666667</v>
      </c>
      <c r="Q580" s="8">
        <f>$I$380/$L$380*100</f>
        <v>0</v>
      </c>
      <c r="R580" s="8">
        <f>$I$381/$L$381*100</f>
        <v>0</v>
      </c>
      <c r="S580" s="8">
        <f>SUM(N580:R580)</f>
        <v>100.00000000000001</v>
      </c>
      <c r="T580" s="8">
        <f>$I$397/$L$397*100</f>
        <v>20</v>
      </c>
      <c r="U580" s="8">
        <f>$I$398/$L$398*100</f>
        <v>0</v>
      </c>
      <c r="V580" s="8">
        <f>$I$399/$L$399*100</f>
        <v>40</v>
      </c>
      <c r="W580" s="8">
        <f>$I$400/$L$400*100</f>
        <v>40</v>
      </c>
      <c r="X580" s="8">
        <f>$I$411/$L$411*100</f>
        <v>0</v>
      </c>
      <c r="Y580" s="8">
        <f>SUM(T580:X580)</f>
        <v>100</v>
      </c>
    </row>
    <row r="581" spans="1:30" ht="16" thickBot="1" x14ac:dyDescent="0.25">
      <c r="A581" s="9" t="s">
        <v>59</v>
      </c>
      <c r="B581" s="8">
        <f>$I$417/$L$417*100</f>
        <v>10.526315789473683</v>
      </c>
      <c r="C581" s="8">
        <f>$I$418/$L$418*100</f>
        <v>55.26315789473685</v>
      </c>
      <c r="D581" s="8">
        <f>$I$419/$L$419*100</f>
        <v>10.526315789473683</v>
      </c>
      <c r="E581" s="8">
        <f>$I$420/$L$420*100</f>
        <v>23.684210526315788</v>
      </c>
      <c r="F581" s="8">
        <f>$I$421/$L$421*100</f>
        <v>0</v>
      </c>
      <c r="G581" s="8">
        <f>SUM(B581:F581)</f>
        <v>100</v>
      </c>
      <c r="H581" s="8">
        <f>$I$437/$L$437*100</f>
        <v>50</v>
      </c>
      <c r="I581" s="8">
        <f>$I$438/$L$438*100</f>
        <v>0</v>
      </c>
      <c r="J581" s="8">
        <f>$I$439/$L$439*100</f>
        <v>50</v>
      </c>
      <c r="K581" s="8">
        <f>$I$440/$L$440*100</f>
        <v>0</v>
      </c>
      <c r="L581" s="8">
        <f>$I$441/$L$441*100</f>
        <v>0</v>
      </c>
      <c r="M581" s="8">
        <f>SUM(H581:L581)</f>
        <v>100</v>
      </c>
      <c r="N581" s="8">
        <f>$I$457/$L$457*100</f>
        <v>15.789473684210526</v>
      </c>
      <c r="O581" s="8">
        <f>$I$458/$L$458*100</f>
        <v>52.631578947368418</v>
      </c>
      <c r="P581" s="8">
        <f>$I$459/$L$459*100</f>
        <v>15.789473684210526</v>
      </c>
      <c r="Q581" s="8">
        <f>$I$460/$L$460*100</f>
        <v>15.789473684210526</v>
      </c>
      <c r="R581" s="8">
        <f>$I$461/$L$461*100</f>
        <v>0</v>
      </c>
      <c r="S581" s="8">
        <f>SUM(N581:R581)</f>
        <v>99.999999999999986</v>
      </c>
      <c r="T581" s="8">
        <f>$I$477/$L$477*100</f>
        <v>25</v>
      </c>
      <c r="U581" s="8">
        <f>$I$478/$L$478*100</f>
        <v>25</v>
      </c>
      <c r="V581" s="8">
        <f>$I$479/$L$479*100</f>
        <v>12.5</v>
      </c>
      <c r="W581" s="8">
        <f>$I$480/$L$480*100</f>
        <v>37.5</v>
      </c>
      <c r="X581" s="8">
        <f>$I$481/$L$481*100</f>
        <v>0</v>
      </c>
      <c r="Y581" s="8">
        <f>SUM(T581:X581)</f>
        <v>100</v>
      </c>
    </row>
    <row r="582" spans="1:30" x14ac:dyDescent="0.2">
      <c r="A582" s="10" t="s">
        <v>50</v>
      </c>
      <c r="B582" s="11">
        <f>AVERAGE(B579:B581)</f>
        <v>45.746534167586795</v>
      </c>
      <c r="C582" s="12">
        <f>AVERAGE(C579:C581)</f>
        <v>33.264357474883795</v>
      </c>
      <c r="D582" s="11">
        <f>AVERAGE(D579:D581)</f>
        <v>5.6403440613966929</v>
      </c>
      <c r="E582" s="11">
        <f>AVERAGE(E579:E581)</f>
        <v>15.348764296132719</v>
      </c>
      <c r="F582" s="11">
        <f>AVERAGE(F579:F581)</f>
        <v>0</v>
      </c>
      <c r="G582" s="12"/>
      <c r="H582" s="11">
        <f>AVERAGE(H579:H581)</f>
        <v>53.030303030303031</v>
      </c>
      <c r="I582" s="13">
        <f>AVERAGE(I579:I581)</f>
        <v>15.15151515151515</v>
      </c>
      <c r="J582" s="14">
        <f>AVERAGE(J579:J581)</f>
        <v>19.696969696969699</v>
      </c>
      <c r="K582" s="14">
        <f>AVERAGE(K579:K581)</f>
        <v>12.121212121212119</v>
      </c>
      <c r="L582" s="14">
        <f>AVERAGE(L579:L581)</f>
        <v>0</v>
      </c>
      <c r="M582" s="12"/>
      <c r="N582" s="14">
        <f>AVERAGE(N579:N581)</f>
        <v>53.199665831244772</v>
      </c>
      <c r="O582" s="12">
        <f>AVERAGE(O579:O581)</f>
        <v>23.734335839598998</v>
      </c>
      <c r="P582" s="11">
        <f>AVERAGE(P579:P581)</f>
        <v>8.2790309106098565</v>
      </c>
      <c r="Q582" s="11">
        <f>AVERAGE(Q579:Q581)</f>
        <v>14.786967418546366</v>
      </c>
      <c r="R582" s="11">
        <f>AVERAGE(R579:R581)</f>
        <v>0</v>
      </c>
      <c r="S582" s="15"/>
      <c r="T582" s="14">
        <f>AVERAGE(T579:T581)</f>
        <v>48.333333333333336</v>
      </c>
      <c r="U582" s="12">
        <f>AVERAGE(U579:U581)</f>
        <v>8.3333333333333339</v>
      </c>
      <c r="V582" s="11">
        <f>AVERAGE(V579:V581)</f>
        <v>17.5</v>
      </c>
      <c r="W582" s="11">
        <f>AVERAGE(W579:W581)</f>
        <v>25.833333333333332</v>
      </c>
      <c r="X582" s="11">
        <f>AVERAGE(X579:X581)</f>
        <v>0</v>
      </c>
      <c r="Y582" s="15"/>
      <c r="Z582" s="8">
        <f>AVERAGE(B582,H582,N582,T582)</f>
        <v>50.077459090616983</v>
      </c>
      <c r="AA582" s="8">
        <f>AVERAGE(C582,I582,O582,U582)</f>
        <v>20.120885449832816</v>
      </c>
      <c r="AB582" s="8">
        <f>AVERAGE(D582,J582,P582,V582)</f>
        <v>12.779086167244062</v>
      </c>
      <c r="AC582" s="8">
        <f>AVERAGE(E582,K582,Q582,W582)</f>
        <v>17.022569292306134</v>
      </c>
      <c r="AD582" s="8">
        <f>AVERAGE(F582,L582,R582,X582)</f>
        <v>0</v>
      </c>
    </row>
    <row r="585" spans="1:30" ht="32" x14ac:dyDescent="0.2">
      <c r="A585" s="2" t="s">
        <v>220</v>
      </c>
      <c r="B585" s="3" t="s">
        <v>53</v>
      </c>
      <c r="C585" s="3"/>
      <c r="D585" s="3"/>
      <c r="E585" s="3"/>
      <c r="F585" s="3"/>
      <c r="G585" s="4" t="s">
        <v>64</v>
      </c>
      <c r="H585" s="3" t="s">
        <v>54</v>
      </c>
      <c r="I585" s="3"/>
      <c r="J585" s="3"/>
      <c r="K585" s="3"/>
      <c r="L585" s="3"/>
      <c r="M585" s="4" t="s">
        <v>64</v>
      </c>
      <c r="N585" s="3" t="s">
        <v>55</v>
      </c>
      <c r="O585" s="3"/>
      <c r="P585" s="3"/>
      <c r="Q585" s="3"/>
      <c r="R585" s="3"/>
      <c r="S585" s="4" t="s">
        <v>64</v>
      </c>
      <c r="T585" s="3" t="s">
        <v>56</v>
      </c>
      <c r="U585" s="3"/>
      <c r="V585" s="3"/>
      <c r="W585" s="3"/>
      <c r="X585" s="3"/>
      <c r="Y585" s="4" t="s">
        <v>64</v>
      </c>
    </row>
    <row r="586" spans="1:30" x14ac:dyDescent="0.2">
      <c r="A586" s="3"/>
      <c r="B586" s="4" t="s">
        <v>20</v>
      </c>
      <c r="C586" s="4" t="s">
        <v>21</v>
      </c>
      <c r="D586" s="4" t="s">
        <v>60</v>
      </c>
      <c r="E586" s="4" t="s">
        <v>61</v>
      </c>
      <c r="F586" s="4" t="s">
        <v>62</v>
      </c>
      <c r="G586" s="4"/>
      <c r="H586" s="4" t="s">
        <v>20</v>
      </c>
      <c r="I586" s="4" t="s">
        <v>21</v>
      </c>
      <c r="J586" s="4" t="s">
        <v>60</v>
      </c>
      <c r="K586" s="4" t="s">
        <v>61</v>
      </c>
      <c r="L586" s="4" t="s">
        <v>62</v>
      </c>
      <c r="M586" s="4"/>
      <c r="N586" s="4" t="s">
        <v>20</v>
      </c>
      <c r="O586" s="4" t="s">
        <v>21</v>
      </c>
      <c r="P586" s="4" t="s">
        <v>60</v>
      </c>
      <c r="Q586" s="4" t="s">
        <v>61</v>
      </c>
      <c r="R586" s="4" t="s">
        <v>62</v>
      </c>
      <c r="S586" s="4"/>
      <c r="T586" s="4" t="s">
        <v>20</v>
      </c>
      <c r="U586" s="4" t="s">
        <v>21</v>
      </c>
      <c r="V586" s="4" t="s">
        <v>60</v>
      </c>
      <c r="W586" s="4" t="s">
        <v>61</v>
      </c>
      <c r="X586" s="4" t="s">
        <v>62</v>
      </c>
      <c r="Y586" s="4"/>
    </row>
    <row r="587" spans="1:30" x14ac:dyDescent="0.2">
      <c r="A587" s="5" t="s">
        <v>57</v>
      </c>
      <c r="B587" s="8">
        <f>$J$247/$M$247*100</f>
        <v>79.710144927536234</v>
      </c>
      <c r="C587" s="8">
        <f>$J$248/$M$248*100</f>
        <v>18.840579710144929</v>
      </c>
      <c r="D587" s="8">
        <f>$J$249/$M$249*100</f>
        <v>0</v>
      </c>
      <c r="E587" s="8">
        <f>$J$250/$M$250*100</f>
        <v>1.4492753623188406</v>
      </c>
      <c r="F587" s="8">
        <f>$J$251/$M$251*100</f>
        <v>0</v>
      </c>
      <c r="G587" s="8">
        <f>SUM(B587:F587)</f>
        <v>100</v>
      </c>
      <c r="H587" s="8">
        <f>$J$267/$M$267*100</f>
        <v>73.076923076923066</v>
      </c>
      <c r="I587" s="8">
        <f>$J$268/$M$268*100</f>
        <v>19.230769230769234</v>
      </c>
      <c r="J587" s="8">
        <f>$J$269/$M$269*100</f>
        <v>7.6923076923076925</v>
      </c>
      <c r="K587" s="8">
        <f>$J$270/$M$270*100</f>
        <v>0</v>
      </c>
      <c r="L587" s="8">
        <f>$J$271/$M$271*100</f>
        <v>0</v>
      </c>
      <c r="M587" s="8">
        <f>SUM(H587:L587)</f>
        <v>99.999999999999986</v>
      </c>
      <c r="N587" s="8">
        <f>$J$287/$M$287*100</f>
        <v>86.440677966101703</v>
      </c>
      <c r="O587" s="8">
        <f>$J$288/$M$288*100</f>
        <v>6.7796610169491522</v>
      </c>
      <c r="P587" s="8">
        <f>$J$289/$M$289*100</f>
        <v>6.7796610169491522</v>
      </c>
      <c r="Q587" s="8">
        <f>$J$290/$M$290*100</f>
        <v>0</v>
      </c>
      <c r="R587" s="8">
        <f>$J$291/$M$291*100</f>
        <v>0</v>
      </c>
      <c r="S587" s="8">
        <f>SUM(N587:R587)</f>
        <v>100</v>
      </c>
      <c r="T587" s="8">
        <f>$J$307/$M$307*100</f>
        <v>54.54545454545454</v>
      </c>
      <c r="U587" s="8">
        <f>$J$308/$M$308*100</f>
        <v>36.363636363636367</v>
      </c>
      <c r="V587" s="8">
        <f>$J$309/$M$309*100</f>
        <v>9.0909090909090917</v>
      </c>
      <c r="W587" s="8">
        <f>$J$310/$M$310*100</f>
        <v>0</v>
      </c>
      <c r="X587" s="8">
        <f>$J$311/$M$311*100</f>
        <v>0</v>
      </c>
      <c r="Y587" s="8">
        <f>SUM(T587:X587)</f>
        <v>100</v>
      </c>
    </row>
    <row r="588" spans="1:30" x14ac:dyDescent="0.2">
      <c r="A588" s="5" t="s">
        <v>58</v>
      </c>
      <c r="B588" s="8">
        <f>$J$327/$M$327*100</f>
        <v>63.414634146341463</v>
      </c>
      <c r="C588" s="8">
        <f>$J$328/$M$328*100</f>
        <v>19.512195121951219</v>
      </c>
      <c r="D588" s="8">
        <f>$J$329/$M$329*100</f>
        <v>2.4390243902439024</v>
      </c>
      <c r="E588" s="8">
        <f>$J$330/$M$330*100</f>
        <v>14.634146341463413</v>
      </c>
      <c r="F588" s="8">
        <f>$J$331/$M$331*100</f>
        <v>0</v>
      </c>
      <c r="G588" s="8">
        <f>SUM(B588:F588)</f>
        <v>100</v>
      </c>
      <c r="H588" s="8">
        <f>$J$347/$M$347*100</f>
        <v>61.111111111111114</v>
      </c>
      <c r="I588" s="8">
        <f>$J$348/$M$348*100</f>
        <v>16.666666666666664</v>
      </c>
      <c r="J588" s="8">
        <f>$J$349/$M$349*100</f>
        <v>11.111111111111111</v>
      </c>
      <c r="K588" s="8">
        <f>$J$350/$M$350*100</f>
        <v>11.111111111111111</v>
      </c>
      <c r="L588" s="8">
        <f>$J$351/$M$351*100</f>
        <v>0</v>
      </c>
      <c r="M588" s="8">
        <f t="shared" ref="M588:M589" si="54">SUM(H588:L588)</f>
        <v>100</v>
      </c>
      <c r="N588" s="8">
        <f>$J$367/$M$367*100</f>
        <v>54.901960784313729</v>
      </c>
      <c r="O588" s="8">
        <f>$J$368/$M$368*100</f>
        <v>15.686274509803921</v>
      </c>
      <c r="P588" s="8">
        <f>$J$369/$M$369*100</f>
        <v>9.8039215686274517</v>
      </c>
      <c r="Q588" s="8">
        <f>$J$370/$M$370*100</f>
        <v>19.607843137254903</v>
      </c>
      <c r="R588" s="8">
        <f>$J$371/$M$371*100</f>
        <v>0</v>
      </c>
      <c r="S588" s="8">
        <f>SUM(N588:R588)</f>
        <v>100.00000000000001</v>
      </c>
      <c r="T588" s="8">
        <f>$J$387/$M$387*100</f>
        <v>81.818181818181827</v>
      </c>
      <c r="U588" s="8">
        <f>$J$388/$M$388*100</f>
        <v>9.0909090909090917</v>
      </c>
      <c r="V588" s="8">
        <f>$J$389/$M$389*100</f>
        <v>9.0909090909090917</v>
      </c>
      <c r="W588" s="8">
        <f>$J$390/$M$390*100</f>
        <v>0</v>
      </c>
      <c r="X588" s="8">
        <f>$J$391/$M$391*100</f>
        <v>0</v>
      </c>
      <c r="Y588" s="8">
        <f>SUM(T588:X588)</f>
        <v>100.00000000000001</v>
      </c>
    </row>
    <row r="589" spans="1:30" ht="16" thickBot="1" x14ac:dyDescent="0.25">
      <c r="A589" s="9" t="s">
        <v>59</v>
      </c>
      <c r="B589" s="8">
        <f>$J$407/$M$407*100</f>
        <v>33.035714285714285</v>
      </c>
      <c r="C589" s="8">
        <f>$J$408/$M$408*100</f>
        <v>32.142857142857146</v>
      </c>
      <c r="D589" s="8">
        <f>$J$409/$M$409*100</f>
        <v>27.678571428571431</v>
      </c>
      <c r="E589" s="8">
        <f>$J$410/$M$410*100</f>
        <v>7.1428571428571423</v>
      </c>
      <c r="F589" s="8">
        <f>$J$411/$M$411*100</f>
        <v>0</v>
      </c>
      <c r="G589" s="8">
        <f>SUM(B589:F589)</f>
        <v>100</v>
      </c>
      <c r="H589" s="8">
        <f>$J$427/$M$427*100</f>
        <v>50</v>
      </c>
      <c r="I589" s="8">
        <f>$J$428/$M$428*100</f>
        <v>0</v>
      </c>
      <c r="J589" s="8">
        <f>$J$429/$M$429*100</f>
        <v>50</v>
      </c>
      <c r="K589" s="8">
        <f>$J$430/$M$430*100</f>
        <v>0</v>
      </c>
      <c r="L589" s="8">
        <f>$J$431/$M$431*100</f>
        <v>0</v>
      </c>
      <c r="M589" s="8">
        <f t="shared" si="54"/>
        <v>100</v>
      </c>
      <c r="N589" s="8">
        <f>$J$447/$M$447*100</f>
        <v>56.000000000000007</v>
      </c>
      <c r="O589" s="8">
        <f>$J$448/$M$448*100</f>
        <v>28.000000000000004</v>
      </c>
      <c r="P589" s="8">
        <f>$J$449/$M$449*100</f>
        <v>12</v>
      </c>
      <c r="Q589" s="8">
        <f>$J$450/$M$450*100</f>
        <v>4</v>
      </c>
      <c r="R589" s="8">
        <f>$J$451/$M$451*100</f>
        <v>0</v>
      </c>
      <c r="S589" s="8">
        <f>SUM(N589:R589)</f>
        <v>100.00000000000001</v>
      </c>
      <c r="T589" s="8">
        <f>$J$467/$M$467*100</f>
        <v>41.304347826086953</v>
      </c>
      <c r="U589" s="8">
        <f>$J$468/$M$468*100</f>
        <v>36.95652173913043</v>
      </c>
      <c r="V589" s="8">
        <f>$J$469/$M$469*100</f>
        <v>15.217391304347828</v>
      </c>
      <c r="W589" s="8">
        <f>$J$470/$M$470*100</f>
        <v>6.5217391304347823</v>
      </c>
      <c r="X589" s="8">
        <f>$J$471/$M$471*100</f>
        <v>0</v>
      </c>
      <c r="Y589" s="8">
        <f>SUM(T589:X589)</f>
        <v>99.999999999999986</v>
      </c>
    </row>
    <row r="590" spans="1:30" x14ac:dyDescent="0.2">
      <c r="A590" s="10" t="s">
        <v>50</v>
      </c>
      <c r="B590" s="11">
        <f>AVERAGE(B587:B589)</f>
        <v>58.720164453197327</v>
      </c>
      <c r="C590" s="12">
        <f>AVERAGE(C587:C589)</f>
        <v>23.498543991651093</v>
      </c>
      <c r="D590" s="11">
        <f>AVERAGE(D587:D589)</f>
        <v>10.039198606271777</v>
      </c>
      <c r="E590" s="11">
        <f>AVERAGE(E587:E589)</f>
        <v>7.7420929488797983</v>
      </c>
      <c r="F590" s="11">
        <f>AVERAGE(F587:F589)</f>
        <v>0</v>
      </c>
      <c r="G590" s="12"/>
      <c r="H590" s="11">
        <f>AVERAGE(H587:H589)</f>
        <v>61.396011396011396</v>
      </c>
      <c r="I590" s="13">
        <f>AVERAGE(I587:I589)</f>
        <v>11.965811965811966</v>
      </c>
      <c r="J590" s="14">
        <f>AVERAGE(J587:J589)</f>
        <v>22.934472934472936</v>
      </c>
      <c r="K590" s="14">
        <f>AVERAGE(K587:K589)</f>
        <v>3.7037037037037037</v>
      </c>
      <c r="L590" s="14">
        <f>AVERAGE(L587:L589)</f>
        <v>0</v>
      </c>
      <c r="M590" s="12"/>
      <c r="N590" s="14">
        <f>AVERAGE(N587:N589)</f>
        <v>65.780879583471815</v>
      </c>
      <c r="O590" s="12">
        <f>AVERAGE(O587:O589)</f>
        <v>16.821978508917692</v>
      </c>
      <c r="P590" s="11">
        <f>AVERAGE(P587:P589)</f>
        <v>9.5278608618588674</v>
      </c>
      <c r="Q590" s="11">
        <f>AVERAGE(Q587:Q589)</f>
        <v>7.8692810457516345</v>
      </c>
      <c r="R590" s="11">
        <f>AVERAGE(R587:R589)</f>
        <v>0</v>
      </c>
      <c r="S590" s="15"/>
      <c r="T590" s="14">
        <f>AVERAGE(T587:T589)</f>
        <v>59.222661396574438</v>
      </c>
      <c r="U590" s="12">
        <f>AVERAGE(U587:U589)</f>
        <v>27.470355731225297</v>
      </c>
      <c r="V590" s="11">
        <f>AVERAGE(V587:V589)</f>
        <v>11.133069828722006</v>
      </c>
      <c r="W590" s="11">
        <f>AVERAGE(W587:W589)</f>
        <v>2.1739130434782608</v>
      </c>
      <c r="X590" s="11">
        <f>AVERAGE(X587:X589)</f>
        <v>0</v>
      </c>
      <c r="Y590" s="15"/>
      <c r="Z590" s="8">
        <f>AVERAGE(B590,H590,N590,T590)</f>
        <v>61.279929207313742</v>
      </c>
      <c r="AA590" s="8">
        <f>AVERAGE(C590,I590,O590,U590)</f>
        <v>19.939172549401512</v>
      </c>
      <c r="AB590" s="8">
        <f>AVERAGE(D590,J590,P590,V590)</f>
        <v>13.408650557831397</v>
      </c>
      <c r="AC590" s="8">
        <f>AVERAGE(E590,K590,Q590,W590)</f>
        <v>5.3722476854533499</v>
      </c>
      <c r="AD590" s="8">
        <f>AVERAGE(F590,L590,R590,X590)</f>
        <v>0</v>
      </c>
    </row>
    <row r="593" spans="1:30" ht="32" x14ac:dyDescent="0.2">
      <c r="A593" s="2" t="s">
        <v>221</v>
      </c>
      <c r="B593" s="3" t="s">
        <v>53</v>
      </c>
      <c r="C593" s="3"/>
      <c r="D593" s="3"/>
      <c r="E593" s="3"/>
      <c r="F593" s="3"/>
      <c r="G593" s="4" t="s">
        <v>64</v>
      </c>
      <c r="H593" s="3" t="s">
        <v>54</v>
      </c>
      <c r="I593" s="3"/>
      <c r="J593" s="3"/>
      <c r="K593" s="3"/>
      <c r="L593" s="3"/>
      <c r="M593" s="4" t="s">
        <v>64</v>
      </c>
      <c r="N593" s="3" t="s">
        <v>55</v>
      </c>
      <c r="O593" s="3"/>
      <c r="P593" s="3"/>
      <c r="Q593" s="3"/>
      <c r="R593" s="3"/>
      <c r="S593" s="4" t="s">
        <v>64</v>
      </c>
      <c r="T593" s="3" t="s">
        <v>56</v>
      </c>
      <c r="U593" s="3"/>
      <c r="V593" s="3"/>
      <c r="W593" s="3"/>
      <c r="X593" s="3"/>
      <c r="Y593" s="4" t="s">
        <v>64</v>
      </c>
    </row>
    <row r="594" spans="1:30" x14ac:dyDescent="0.2">
      <c r="A594" s="3"/>
      <c r="B594" s="4" t="s">
        <v>20</v>
      </c>
      <c r="C594" s="4" t="s">
        <v>21</v>
      </c>
      <c r="D594" s="4" t="s">
        <v>60</v>
      </c>
      <c r="E594" s="4" t="s">
        <v>61</v>
      </c>
      <c r="F594" s="4" t="s">
        <v>62</v>
      </c>
      <c r="G594" s="4"/>
      <c r="H594" s="4" t="s">
        <v>20</v>
      </c>
      <c r="I594" s="4" t="s">
        <v>21</v>
      </c>
      <c r="J594" s="4" t="s">
        <v>60</v>
      </c>
      <c r="K594" s="4" t="s">
        <v>61</v>
      </c>
      <c r="L594" s="4" t="s">
        <v>62</v>
      </c>
      <c r="M594" s="4"/>
      <c r="N594" s="4" t="s">
        <v>20</v>
      </c>
      <c r="O594" s="4" t="s">
        <v>21</v>
      </c>
      <c r="P594" s="4" t="s">
        <v>60</v>
      </c>
      <c r="Q594" s="4" t="s">
        <v>61</v>
      </c>
      <c r="R594" s="4" t="s">
        <v>62</v>
      </c>
      <c r="S594" s="4"/>
      <c r="T594" s="4" t="s">
        <v>20</v>
      </c>
      <c r="U594" s="4" t="s">
        <v>21</v>
      </c>
      <c r="V594" s="4" t="s">
        <v>60</v>
      </c>
      <c r="W594" s="4" t="s">
        <v>61</v>
      </c>
      <c r="X594" s="4" t="s">
        <v>62</v>
      </c>
      <c r="Y594" s="4"/>
    </row>
    <row r="595" spans="1:30" x14ac:dyDescent="0.2">
      <c r="A595" s="5" t="s">
        <v>57</v>
      </c>
      <c r="B595" s="8">
        <f>$J$252/$M$252*100</f>
        <v>73.214285714285708</v>
      </c>
      <c r="C595" s="8">
        <f>$J$253/$M$253*100</f>
        <v>10.714285714285714</v>
      </c>
      <c r="D595" s="8">
        <f>$J$254/$M$254*100</f>
        <v>10.714285714285714</v>
      </c>
      <c r="E595" s="8">
        <f>$J$255/$M$255*100</f>
        <v>5.3571428571428568</v>
      </c>
      <c r="F595" s="8">
        <f>$J$256/$M$256*100</f>
        <v>0</v>
      </c>
      <c r="G595" s="8">
        <f>SUM(B595:F595)</f>
        <v>99.999999999999986</v>
      </c>
      <c r="H595" s="8">
        <f>$J$272/$M$272*100</f>
        <v>61.111111111111114</v>
      </c>
      <c r="I595" s="8">
        <f>$J$273/$M$273*100</f>
        <v>22.222222222222221</v>
      </c>
      <c r="J595" s="8">
        <f>$J$274/$M$274*100</f>
        <v>5.5555555555555554</v>
      </c>
      <c r="K595" s="8">
        <f>$J$275/$M$275*100</f>
        <v>11.111111111111111</v>
      </c>
      <c r="L595" s="8">
        <f>$J$276/$M$276*100</f>
        <v>0</v>
      </c>
      <c r="M595" s="8">
        <f>SUM(H595:L595)</f>
        <v>100.00000000000001</v>
      </c>
      <c r="N595" s="8">
        <f>$J$292/$M$292*100</f>
        <v>83.050847457627114</v>
      </c>
      <c r="O595" s="8">
        <f>$J$293/$M$293*100</f>
        <v>6.7796610169491522</v>
      </c>
      <c r="P595" s="8">
        <f>$J$294/$M$294*100</f>
        <v>6.7796610169491522</v>
      </c>
      <c r="Q595" s="8">
        <f>$J$295/$M$295*100</f>
        <v>3.3898305084745761</v>
      </c>
      <c r="R595" s="8">
        <f>$J$296/$M$296*100</f>
        <v>0</v>
      </c>
      <c r="S595" s="8">
        <f>SUM(N595:R595)</f>
        <v>99.999999999999986</v>
      </c>
      <c r="T595" s="8">
        <f>$J$312/$M$312*100</f>
        <v>50</v>
      </c>
      <c r="U595" s="8">
        <f>$J$313/$M$313*100</f>
        <v>37.5</v>
      </c>
      <c r="V595" s="8">
        <f>$J$314/$M$314*100</f>
        <v>12.5</v>
      </c>
      <c r="W595" s="8">
        <f>$J$315/$M$315*100</f>
        <v>0</v>
      </c>
      <c r="X595" s="8">
        <f>$J$316/$M$316*100</f>
        <v>0</v>
      </c>
      <c r="Y595" s="8">
        <f>SUM(T595:X595)</f>
        <v>100</v>
      </c>
    </row>
    <row r="596" spans="1:30" x14ac:dyDescent="0.2">
      <c r="A596" s="5" t="s">
        <v>58</v>
      </c>
      <c r="B596" s="8">
        <f>$J$332/$M$332*100</f>
        <v>39.024390243902438</v>
      </c>
      <c r="C596" s="8">
        <f>$J$333/$M$333*100</f>
        <v>39.024390243902438</v>
      </c>
      <c r="D596" s="8">
        <f>$J$334/$M$334*100</f>
        <v>12.195121951219512</v>
      </c>
      <c r="E596" s="8">
        <f>$J$335/$M$335*100</f>
        <v>9.7560975609756095</v>
      </c>
      <c r="F596" s="8">
        <f>$J$336/$M$336*100</f>
        <v>0</v>
      </c>
      <c r="G596" s="8">
        <f>SUM(B596:F596)</f>
        <v>100</v>
      </c>
      <c r="H596" s="8">
        <f>$J$352/$M$352*100</f>
        <v>77.777777777777786</v>
      </c>
      <c r="I596" s="8">
        <f>$J$353/$M$353*100</f>
        <v>11.111111111111111</v>
      </c>
      <c r="J596" s="8">
        <f>$J$354/$M$354*100</f>
        <v>0</v>
      </c>
      <c r="K596" s="8">
        <f>$J$355/$M$355*100</f>
        <v>11.111111111111111</v>
      </c>
      <c r="L596" s="8">
        <f>$J$356/$M$356*100</f>
        <v>0</v>
      </c>
      <c r="M596" s="8">
        <f t="shared" ref="M596:M597" si="55">SUM(H596:L596)</f>
        <v>100.00000000000001</v>
      </c>
      <c r="N596" s="8">
        <f>$J$372/$M$372*100</f>
        <v>45.714285714285715</v>
      </c>
      <c r="O596" s="8">
        <f>$J$373/$M$373*100</f>
        <v>27.142857142857142</v>
      </c>
      <c r="P596" s="8">
        <f>$J$374/$M$374*100</f>
        <v>12.857142857142856</v>
      </c>
      <c r="Q596" s="8">
        <f>$J$375/$M$375*100</f>
        <v>14.285714285714285</v>
      </c>
      <c r="R596" s="8">
        <f>$J$376/$M$376*100</f>
        <v>0</v>
      </c>
      <c r="S596" s="8">
        <f>SUM(N596:R596)</f>
        <v>100</v>
      </c>
      <c r="T596" s="8">
        <f>$J$392/$M$392*100</f>
        <v>100</v>
      </c>
      <c r="U596" s="8">
        <f>$J$393/$M$393*100</f>
        <v>0</v>
      </c>
      <c r="V596" s="8">
        <f>$J$394/$M$394*100</f>
        <v>0</v>
      </c>
      <c r="W596" s="8">
        <f>$J$395/$M$395*100</f>
        <v>0</v>
      </c>
      <c r="X596" s="8">
        <f>$J$396/$M$396*100</f>
        <v>0</v>
      </c>
      <c r="Y596" s="8">
        <f>SUM(T596:X596)</f>
        <v>100</v>
      </c>
    </row>
    <row r="597" spans="1:30" ht="16" thickBot="1" x14ac:dyDescent="0.25">
      <c r="A597" s="9" t="s">
        <v>59</v>
      </c>
      <c r="B597" s="8">
        <f>$J$412/$M$412*100</f>
        <v>29.770992366412212</v>
      </c>
      <c r="C597" s="8">
        <f>$J$413/$M$413*100</f>
        <v>22.137404580152673</v>
      </c>
      <c r="D597" s="8">
        <f>$J$414/$M$414*100</f>
        <v>28.244274809160309</v>
      </c>
      <c r="E597" s="8">
        <f>$J$415/$M$415*100</f>
        <v>19.847328244274809</v>
      </c>
      <c r="F597" s="8">
        <f>$J$416/$M$416*100</f>
        <v>0</v>
      </c>
      <c r="G597" s="8">
        <f>SUM(B597:F597)</f>
        <v>100</v>
      </c>
      <c r="H597" s="8">
        <f>$J$432/$M$432*100</f>
        <v>50</v>
      </c>
      <c r="I597" s="8">
        <f>$J$433/$M$433*100</f>
        <v>25</v>
      </c>
      <c r="J597" s="8">
        <f>$J$434/$M$434*100</f>
        <v>25</v>
      </c>
      <c r="K597" s="8">
        <f>$J$435/$M$435*100</f>
        <v>0</v>
      </c>
      <c r="L597" s="8">
        <f>$J$436/$M$436*100</f>
        <v>0</v>
      </c>
      <c r="M597" s="8">
        <f t="shared" si="55"/>
        <v>100</v>
      </c>
      <c r="N597" s="8">
        <f>$J$452/$M$452*100</f>
        <v>40.677966101694921</v>
      </c>
      <c r="O597" s="8">
        <f>$J$453/$M$453*100</f>
        <v>35.593220338983052</v>
      </c>
      <c r="P597" s="8">
        <f>$J$454/$M$454*100</f>
        <v>8.4745762711864394</v>
      </c>
      <c r="Q597" s="8">
        <f>$J$455/$M$455*100</f>
        <v>15.254237288135593</v>
      </c>
      <c r="R597" s="8">
        <f>$J$456/$M$456*100</f>
        <v>0</v>
      </c>
      <c r="S597" s="8">
        <f>SUM(N597:R597)</f>
        <v>100.00000000000001</v>
      </c>
      <c r="T597" s="8">
        <f>$J$472/$M$472*100</f>
        <v>19.047619047619047</v>
      </c>
      <c r="U597" s="8">
        <f>$J$473/$M$473*100</f>
        <v>59.523809523809526</v>
      </c>
      <c r="V597" s="8">
        <f>$J$474/$M$474*100</f>
        <v>7.1428571428571423</v>
      </c>
      <c r="W597" s="8">
        <f>$J$475/$M$475*100</f>
        <v>14.285714285714285</v>
      </c>
      <c r="X597" s="8">
        <f>$J$476/$M$476*100</f>
        <v>0</v>
      </c>
      <c r="Y597" s="8">
        <f>SUM(T597:X597)</f>
        <v>100</v>
      </c>
    </row>
    <row r="598" spans="1:30" x14ac:dyDescent="0.2">
      <c r="A598" s="10" t="s">
        <v>50</v>
      </c>
      <c r="B598" s="11">
        <f>AVERAGE(B595:B597)</f>
        <v>47.336556108200114</v>
      </c>
      <c r="C598" s="12">
        <f>AVERAGE(C595:C597)</f>
        <v>23.958693512780275</v>
      </c>
      <c r="D598" s="11">
        <f>AVERAGE(D595:D597)</f>
        <v>17.051227491555178</v>
      </c>
      <c r="E598" s="11">
        <f>AVERAGE(E595:E597)</f>
        <v>11.653522887464424</v>
      </c>
      <c r="F598" s="11">
        <f>AVERAGE(F595:F597)</f>
        <v>0</v>
      </c>
      <c r="G598" s="12"/>
      <c r="H598" s="11">
        <f>AVERAGE(H595:H597)</f>
        <v>62.962962962962969</v>
      </c>
      <c r="I598" s="13">
        <f>AVERAGE(I595:I597)</f>
        <v>19.444444444444443</v>
      </c>
      <c r="J598" s="14">
        <f>AVERAGE(J595:J597)</f>
        <v>10.185185185185185</v>
      </c>
      <c r="K598" s="14">
        <f>AVERAGE(K595:K597)</f>
        <v>7.4074074074074074</v>
      </c>
      <c r="L598" s="14">
        <f>AVERAGE(L595:L597)</f>
        <v>0</v>
      </c>
      <c r="M598" s="12"/>
      <c r="N598" s="14">
        <f>AVERAGE(N595:N597)</f>
        <v>56.481033091202583</v>
      </c>
      <c r="O598" s="12">
        <f>AVERAGE(O595:O597)</f>
        <v>23.171912832929781</v>
      </c>
      <c r="P598" s="11">
        <f>AVERAGE(P595:P597)</f>
        <v>9.3704600484261498</v>
      </c>
      <c r="Q598" s="11">
        <f>AVERAGE(Q595:Q597)</f>
        <v>10.976594027441484</v>
      </c>
      <c r="R598" s="11">
        <f>AVERAGE(R595:R597)</f>
        <v>0</v>
      </c>
      <c r="S598" s="15"/>
      <c r="T598" s="14">
        <f>AVERAGE(T595:T597)</f>
        <v>56.349206349206348</v>
      </c>
      <c r="U598" s="12">
        <f>AVERAGE(U595:U597)</f>
        <v>32.341269841269842</v>
      </c>
      <c r="V598" s="11">
        <f>AVERAGE(V595:V597)</f>
        <v>6.5476190476190474</v>
      </c>
      <c r="W598" s="11">
        <f>AVERAGE(W595:W597)</f>
        <v>4.7619047619047619</v>
      </c>
      <c r="X598" s="11">
        <f>AVERAGE(X595:X597)</f>
        <v>0</v>
      </c>
      <c r="Y598" s="15"/>
      <c r="Z598" s="8">
        <f>AVERAGE(B598,H598,N598,T598)</f>
        <v>55.782439627893005</v>
      </c>
      <c r="AA598" s="8">
        <f>AVERAGE(C598,I598,O598,U598)</f>
        <v>24.729080157856082</v>
      </c>
      <c r="AB598" s="8">
        <f>AVERAGE(D598,J598,P598,V598)</f>
        <v>10.78862294319639</v>
      </c>
      <c r="AC598" s="8">
        <f>AVERAGE(E598,K598,Q598,W598)</f>
        <v>8.699857271054519</v>
      </c>
      <c r="AD598" s="8">
        <f>AVERAGE(F598,L598,R598,X598)</f>
        <v>0</v>
      </c>
    </row>
    <row r="601" spans="1:30" ht="32" x14ac:dyDescent="0.2">
      <c r="A601" s="2" t="s">
        <v>222</v>
      </c>
      <c r="B601" s="3" t="s">
        <v>53</v>
      </c>
      <c r="C601" s="3"/>
      <c r="D601" s="3"/>
      <c r="E601" s="3"/>
      <c r="F601" s="3"/>
      <c r="G601" s="4" t="s">
        <v>64</v>
      </c>
      <c r="H601" s="3" t="s">
        <v>54</v>
      </c>
      <c r="I601" s="3"/>
      <c r="J601" s="3"/>
      <c r="K601" s="3"/>
      <c r="L601" s="3"/>
      <c r="M601" s="4" t="s">
        <v>64</v>
      </c>
      <c r="N601" s="3" t="s">
        <v>55</v>
      </c>
      <c r="O601" s="3"/>
      <c r="P601" s="3"/>
      <c r="Q601" s="3"/>
      <c r="R601" s="3"/>
      <c r="S601" s="4" t="s">
        <v>64</v>
      </c>
      <c r="T601" s="3" t="s">
        <v>56</v>
      </c>
      <c r="U601" s="3"/>
      <c r="V601" s="3"/>
      <c r="W601" s="3"/>
      <c r="X601" s="3"/>
      <c r="Y601" s="4" t="s">
        <v>64</v>
      </c>
    </row>
    <row r="602" spans="1:30" x14ac:dyDescent="0.2">
      <c r="A602" s="3"/>
      <c r="B602" s="4" t="s">
        <v>20</v>
      </c>
      <c r="C602" s="4" t="s">
        <v>21</v>
      </c>
      <c r="D602" s="4" t="s">
        <v>60</v>
      </c>
      <c r="E602" s="4" t="s">
        <v>61</v>
      </c>
      <c r="F602" s="4" t="s">
        <v>62</v>
      </c>
      <c r="G602" s="4"/>
      <c r="H602" s="4" t="s">
        <v>20</v>
      </c>
      <c r="I602" s="4" t="s">
        <v>21</v>
      </c>
      <c r="J602" s="4" t="s">
        <v>60</v>
      </c>
      <c r="K602" s="4" t="s">
        <v>61</v>
      </c>
      <c r="L602" s="4" t="s">
        <v>62</v>
      </c>
      <c r="M602" s="4"/>
      <c r="N602" s="4" t="s">
        <v>20</v>
      </c>
      <c r="O602" s="4" t="s">
        <v>21</v>
      </c>
      <c r="P602" s="4" t="s">
        <v>60</v>
      </c>
      <c r="Q602" s="4" t="s">
        <v>61</v>
      </c>
      <c r="R602" s="4" t="s">
        <v>62</v>
      </c>
      <c r="S602" s="4"/>
      <c r="T602" s="4" t="s">
        <v>20</v>
      </c>
      <c r="U602" s="4" t="s">
        <v>21</v>
      </c>
      <c r="V602" s="4" t="s">
        <v>60</v>
      </c>
      <c r="W602" s="4" t="s">
        <v>61</v>
      </c>
      <c r="X602" s="4" t="s">
        <v>62</v>
      </c>
      <c r="Y602" s="4"/>
    </row>
    <row r="603" spans="1:30" x14ac:dyDescent="0.2">
      <c r="A603" s="5" t="s">
        <v>57</v>
      </c>
      <c r="B603" s="8">
        <f>$J$257/$M$257*100</f>
        <v>37.5</v>
      </c>
      <c r="C603" s="8">
        <f>$J$258/$M$258*100</f>
        <v>46.875</v>
      </c>
      <c r="D603" s="8">
        <f>$J$259/$M$259*100</f>
        <v>6.25</v>
      </c>
      <c r="E603" s="8">
        <f>$J$260/$M$260*100</f>
        <v>9.375</v>
      </c>
      <c r="F603" s="8">
        <f>$J$261/$M$261*100</f>
        <v>0</v>
      </c>
      <c r="G603" s="8">
        <f>SUM(B603:F603)</f>
        <v>100</v>
      </c>
      <c r="H603" s="8">
        <f>$J$277/$M$277*100</f>
        <v>0</v>
      </c>
      <c r="I603" s="8">
        <f>$J$278/$M$278*100</f>
        <v>50</v>
      </c>
      <c r="J603" s="8">
        <f>$J$279/$M$279*100</f>
        <v>12.5</v>
      </c>
      <c r="K603" s="8">
        <f>$J$280/$M$280*100</f>
        <v>37.5</v>
      </c>
      <c r="L603" s="8">
        <f>$J$281/$M$281*100</f>
        <v>0</v>
      </c>
      <c r="M603" s="8">
        <f>SUM(H603:L603)</f>
        <v>100</v>
      </c>
      <c r="N603" s="8">
        <f>$J$297/$M$297*100</f>
        <v>25</v>
      </c>
      <c r="O603" s="8">
        <f>$J$298/$M$298*100</f>
        <v>50</v>
      </c>
      <c r="P603" s="8">
        <f>$J$299/$M$299*100</f>
        <v>10</v>
      </c>
      <c r="Q603" s="8">
        <f>$J$300/$M$300*100</f>
        <v>15</v>
      </c>
      <c r="R603" s="8">
        <f>$J$311/$M$311*100</f>
        <v>0</v>
      </c>
      <c r="S603" s="8">
        <f>SUM(N603:R603)</f>
        <v>100</v>
      </c>
      <c r="T603" s="8">
        <f>$J$317/$M$317*100</f>
        <v>0</v>
      </c>
      <c r="U603" s="8">
        <f>$J$318/$M$318*100</f>
        <v>50</v>
      </c>
      <c r="V603" s="8">
        <f>$J$319/$M$319*100</f>
        <v>25</v>
      </c>
      <c r="W603" s="8">
        <f>$J$320/$M$320*100</f>
        <v>25</v>
      </c>
      <c r="X603" s="8">
        <f>$J$321/$M$321*100</f>
        <v>0</v>
      </c>
      <c r="Y603" s="8">
        <f>SUM(T603:X603)</f>
        <v>100</v>
      </c>
    </row>
    <row r="604" spans="1:30" x14ac:dyDescent="0.2">
      <c r="A604" s="5" t="s">
        <v>58</v>
      </c>
      <c r="B604" s="8">
        <f>$J$337/$M$337*100</f>
        <v>16</v>
      </c>
      <c r="C604" s="8">
        <f>$J$338/$M$338*100</f>
        <v>32</v>
      </c>
      <c r="D604" s="8">
        <f>$J$339/$M$339*100</f>
        <v>24</v>
      </c>
      <c r="E604" s="8">
        <f>$J$340/$M$340*100</f>
        <v>28.000000000000004</v>
      </c>
      <c r="F604" s="8">
        <f>$J$341/$M$341*100</f>
        <v>0</v>
      </c>
      <c r="G604" s="8">
        <f>SUM(B604:F604)</f>
        <v>100</v>
      </c>
      <c r="H604" s="8">
        <f>$J$357/$M$357*100</f>
        <v>28.571428571428569</v>
      </c>
      <c r="I604" s="8">
        <f>$J$358/$M$358*100</f>
        <v>57.142857142857139</v>
      </c>
      <c r="J604" s="8">
        <f>$J$359/$M$359*100</f>
        <v>14.285714285714285</v>
      </c>
      <c r="K604" s="8">
        <f>$J$360/$M$360*100</f>
        <v>0</v>
      </c>
      <c r="L604" s="8">
        <f>$J$361/$M$361*100</f>
        <v>0</v>
      </c>
      <c r="M604" s="8">
        <f t="shared" ref="M604:M605" si="56">SUM(H604:L604)</f>
        <v>100</v>
      </c>
      <c r="N604" s="8">
        <f>$J$377/$M$377*100</f>
        <v>13.888888888888889</v>
      </c>
      <c r="O604" s="8">
        <f>$J$378/$M$378*100</f>
        <v>30.555555555555557</v>
      </c>
      <c r="P604" s="8">
        <f>$J$379/$M$379*100</f>
        <v>27.777777777777779</v>
      </c>
      <c r="Q604" s="8">
        <f>$J$380/$M$380*100</f>
        <v>27.777777777777779</v>
      </c>
      <c r="R604" s="8">
        <f>$J$381/$M$381*100</f>
        <v>0</v>
      </c>
      <c r="S604" s="8">
        <f>SUM(N604:R604)</f>
        <v>100</v>
      </c>
      <c r="T604" s="8">
        <f>$J$397/$M$397*100</f>
        <v>33.333333333333329</v>
      </c>
      <c r="U604" s="8">
        <f>$J$398/$M$398*100</f>
        <v>0</v>
      </c>
      <c r="V604" s="8">
        <f>$J$399/$M$399*100</f>
        <v>0</v>
      </c>
      <c r="W604" s="8">
        <f>$J$400/$M$400*100</f>
        <v>66.666666666666657</v>
      </c>
      <c r="X604" s="8">
        <f>$J$411/$M$411*100</f>
        <v>0</v>
      </c>
      <c r="Y604" s="8">
        <f>SUM(T604:X604)</f>
        <v>99.999999999999986</v>
      </c>
    </row>
    <row r="605" spans="1:30" ht="16" thickBot="1" x14ac:dyDescent="0.25">
      <c r="A605" s="9" t="s">
        <v>59</v>
      </c>
      <c r="B605" s="8">
        <f>$J$417/$M$417*100</f>
        <v>30.357142857142854</v>
      </c>
      <c r="C605" s="8">
        <f>$J$418/$M$418*100</f>
        <v>27.678571428571431</v>
      </c>
      <c r="D605" s="8">
        <f>$J$419/$M$419*100</f>
        <v>27.678571428571431</v>
      </c>
      <c r="E605" s="8">
        <f>$J$420/$M$420*100</f>
        <v>14.285714285714285</v>
      </c>
      <c r="F605" s="8">
        <f>$J$421/$M$421*100</f>
        <v>0</v>
      </c>
      <c r="G605" s="8">
        <f>SUM(B605:F605)</f>
        <v>100</v>
      </c>
      <c r="H605" s="8">
        <f>$J$437/$M$437*100</f>
        <v>28.571428571428569</v>
      </c>
      <c r="I605" s="8">
        <f>$J$438/$M$438*100</f>
        <v>42.857142857142854</v>
      </c>
      <c r="J605" s="8">
        <f>$J$439/$M$439*100</f>
        <v>14.285714285714285</v>
      </c>
      <c r="K605" s="8">
        <f>$J$440/$M$440*100</f>
        <v>14.285714285714285</v>
      </c>
      <c r="L605" s="8">
        <f>$J$441/$M$441*100</f>
        <v>0</v>
      </c>
      <c r="M605" s="8">
        <f t="shared" si="56"/>
        <v>99.999999999999972</v>
      </c>
      <c r="N605" s="8">
        <f>$J$457/$M$457*100</f>
        <v>18.867924528301888</v>
      </c>
      <c r="O605" s="8">
        <f>$J$458/$M$458*100</f>
        <v>33.962264150943398</v>
      </c>
      <c r="P605" s="8">
        <f>$J$459/$M$459*100</f>
        <v>18.867924528301888</v>
      </c>
      <c r="Q605" s="8">
        <f>$J$460/$M$460*100</f>
        <v>28.30188679245283</v>
      </c>
      <c r="R605" s="8">
        <f>$J$461/$M$461*100</f>
        <v>0</v>
      </c>
      <c r="S605" s="8">
        <f>SUM(N605:R605)</f>
        <v>100</v>
      </c>
      <c r="T605" s="8">
        <f>$J$477/$M$477*100</f>
        <v>25</v>
      </c>
      <c r="U605" s="8">
        <f>$J$478/$M$478*100</f>
        <v>37.5</v>
      </c>
      <c r="V605" s="8">
        <f>$J$479/$M$479*100</f>
        <v>12.5</v>
      </c>
      <c r="W605" s="8">
        <f>$J$480/$M$480*100</f>
        <v>25</v>
      </c>
      <c r="X605" s="8">
        <f>$J$481/$M$481*100</f>
        <v>0</v>
      </c>
      <c r="Y605" s="8">
        <f>SUM(T605:X605)</f>
        <v>100</v>
      </c>
    </row>
    <row r="606" spans="1:30" x14ac:dyDescent="0.2">
      <c r="A606" s="10" t="s">
        <v>50</v>
      </c>
      <c r="B606" s="11">
        <f>AVERAGE(B603:B605)</f>
        <v>27.952380952380953</v>
      </c>
      <c r="C606" s="12">
        <f>AVERAGE(C603:C605)</f>
        <v>35.517857142857146</v>
      </c>
      <c r="D606" s="11">
        <f>AVERAGE(D603:D605)</f>
        <v>19.30952380952381</v>
      </c>
      <c r="E606" s="11">
        <f>AVERAGE(E603:E605)</f>
        <v>17.220238095238095</v>
      </c>
      <c r="F606" s="11">
        <f>AVERAGE(F603:F605)</f>
        <v>0</v>
      </c>
      <c r="G606" s="12"/>
      <c r="H606" s="11">
        <f>AVERAGE(H603:H605)</f>
        <v>19.047619047619047</v>
      </c>
      <c r="I606" s="13">
        <f>AVERAGE(I603:I605)</f>
        <v>50</v>
      </c>
      <c r="J606" s="14">
        <f>AVERAGE(J603:J605)</f>
        <v>13.69047619047619</v>
      </c>
      <c r="K606" s="14">
        <f>AVERAGE(K603:K605)</f>
        <v>17.261904761904763</v>
      </c>
      <c r="L606" s="14">
        <f>AVERAGE(L603:L605)</f>
        <v>0</v>
      </c>
      <c r="M606" s="12"/>
      <c r="N606" s="14">
        <f>AVERAGE(N603:N605)</f>
        <v>19.252271139063591</v>
      </c>
      <c r="O606" s="12">
        <f>AVERAGE(O603:O605)</f>
        <v>38.172606568832983</v>
      </c>
      <c r="P606" s="11">
        <f>AVERAGE(P603:P605)</f>
        <v>18.881900768693225</v>
      </c>
      <c r="Q606" s="11">
        <f>AVERAGE(Q603:Q605)</f>
        <v>23.693221523410202</v>
      </c>
      <c r="R606" s="11">
        <f>AVERAGE(R603:R605)</f>
        <v>0</v>
      </c>
      <c r="S606" s="15"/>
      <c r="T606" s="14">
        <f>AVERAGE(T603:T605)</f>
        <v>19.444444444444443</v>
      </c>
      <c r="U606" s="12">
        <f>AVERAGE(U603:U605)</f>
        <v>29.166666666666668</v>
      </c>
      <c r="V606" s="11">
        <f>AVERAGE(V603:V605)</f>
        <v>12.5</v>
      </c>
      <c r="W606" s="11">
        <f>AVERAGE(W603:W605)</f>
        <v>38.888888888888886</v>
      </c>
      <c r="X606" s="11">
        <f>AVERAGE(X603:X605)</f>
        <v>0</v>
      </c>
      <c r="Y606" s="15"/>
      <c r="Z606" s="8">
        <f>AVERAGE(B606,H606,N606,T606)</f>
        <v>21.424178895877009</v>
      </c>
      <c r="AA606" s="8">
        <f>AVERAGE(C606,I606,O606,U606)</f>
        <v>38.214282594589193</v>
      </c>
      <c r="AB606" s="8">
        <f>AVERAGE(D606,J606,P606,V606)</f>
        <v>16.095475192173307</v>
      </c>
      <c r="AC606" s="8">
        <f>AVERAGE(E606,K606,Q606,W606)</f>
        <v>24.266063317360487</v>
      </c>
      <c r="AD606" s="8">
        <f>AVERAGE(F606,L606,R606,X606)</f>
        <v>0</v>
      </c>
    </row>
    <row r="609" spans="1:51" ht="32" x14ac:dyDescent="0.2">
      <c r="A609" s="2" t="s">
        <v>229</v>
      </c>
      <c r="B609" s="3" t="s">
        <v>53</v>
      </c>
      <c r="C609" s="3"/>
      <c r="D609" s="3"/>
      <c r="E609" s="3"/>
      <c r="F609" s="3"/>
      <c r="G609" s="4" t="s">
        <v>64</v>
      </c>
      <c r="H609" s="3" t="s">
        <v>54</v>
      </c>
      <c r="I609" s="3"/>
      <c r="J609" s="3"/>
      <c r="K609" s="3"/>
      <c r="L609" s="3"/>
      <c r="M609" s="4" t="s">
        <v>64</v>
      </c>
      <c r="N609" s="3" t="s">
        <v>55</v>
      </c>
      <c r="O609" s="3"/>
      <c r="P609" s="3"/>
      <c r="Q609" s="3"/>
      <c r="R609" s="3"/>
      <c r="S609" s="4" t="s">
        <v>64</v>
      </c>
      <c r="T609" s="3" t="s">
        <v>56</v>
      </c>
      <c r="U609" s="3"/>
      <c r="V609" s="3"/>
      <c r="W609" s="3"/>
      <c r="X609" s="3"/>
      <c r="Y609" s="4" t="s">
        <v>64</v>
      </c>
    </row>
    <row r="610" spans="1:51" x14ac:dyDescent="0.2">
      <c r="A610" s="3"/>
      <c r="B610" s="4" t="s">
        <v>20</v>
      </c>
      <c r="C610" s="4" t="s">
        <v>21</v>
      </c>
      <c r="D610" s="4" t="s">
        <v>60</v>
      </c>
      <c r="E610" s="4" t="s">
        <v>61</v>
      </c>
      <c r="F610" s="4" t="s">
        <v>62</v>
      </c>
      <c r="G610" s="4"/>
      <c r="H610" s="4" t="s">
        <v>20</v>
      </c>
      <c r="I610" s="4" t="s">
        <v>21</v>
      </c>
      <c r="J610" s="4" t="s">
        <v>60</v>
      </c>
      <c r="K610" s="4" t="s">
        <v>61</v>
      </c>
      <c r="L610" s="4" t="s">
        <v>62</v>
      </c>
      <c r="M610" s="4"/>
      <c r="N610" s="4" t="s">
        <v>20</v>
      </c>
      <c r="O610" s="4" t="s">
        <v>21</v>
      </c>
      <c r="P610" s="4" t="s">
        <v>60</v>
      </c>
      <c r="Q610" s="4" t="s">
        <v>61</v>
      </c>
      <c r="R610" s="4" t="s">
        <v>62</v>
      </c>
      <c r="S610" s="4"/>
      <c r="T610" s="4" t="s">
        <v>20</v>
      </c>
      <c r="U610" s="4" t="s">
        <v>21</v>
      </c>
      <c r="V610" s="4" t="s">
        <v>60</v>
      </c>
      <c r="W610" s="4" t="s">
        <v>61</v>
      </c>
      <c r="X610" s="4" t="s">
        <v>62</v>
      </c>
      <c r="Y610" s="4"/>
    </row>
    <row r="611" spans="1:51" x14ac:dyDescent="0.2">
      <c r="A611" s="5" t="s">
        <v>57</v>
      </c>
      <c r="B611" s="8">
        <f>$K$247/$M$247*100</f>
        <v>49.275362318840585</v>
      </c>
      <c r="C611" s="8">
        <f>$K$248/$M$248*100</f>
        <v>14.492753623188406</v>
      </c>
      <c r="D611" s="8">
        <f>$K$249/$M$249*100</f>
        <v>0</v>
      </c>
      <c r="E611" s="8">
        <f>$K$250/$M$250*100</f>
        <v>1.4492753623188406</v>
      </c>
      <c r="F611" s="8">
        <f>$K$251/$M$251*100</f>
        <v>0</v>
      </c>
      <c r="G611" s="8">
        <f>SUM(B611:F611)</f>
        <v>65.217391304347828</v>
      </c>
      <c r="H611" s="8">
        <f>$K$267/$M$267*100</f>
        <v>53.846153846153847</v>
      </c>
      <c r="I611" s="8">
        <f>$K$268/$M$268*100</f>
        <v>15.384615384615385</v>
      </c>
      <c r="J611" s="8">
        <f>$K$269/$M$269*100</f>
        <v>7.6923076923076925</v>
      </c>
      <c r="K611" s="8">
        <f>$K$270/$M$270*100</f>
        <v>0</v>
      </c>
      <c r="L611" s="8">
        <f>$K$271/$M$271*100</f>
        <v>0</v>
      </c>
      <c r="M611" s="8">
        <f>SUM(H611:L611)</f>
        <v>76.92307692307692</v>
      </c>
      <c r="N611" s="8">
        <f>$K$287/$M$287*100</f>
        <v>79.66101694915254</v>
      </c>
      <c r="O611" s="8">
        <f>$K$288/$M$288*100</f>
        <v>6.7796610169491522</v>
      </c>
      <c r="P611" s="8">
        <f>$K$289/$M$289*100</f>
        <v>6.7796610169491522</v>
      </c>
      <c r="Q611" s="8">
        <f>$K$290/$M$290*100</f>
        <v>0</v>
      </c>
      <c r="R611" s="8">
        <f>$K$291/$M$291*100</f>
        <v>0</v>
      </c>
      <c r="S611" s="8">
        <f>SUM(N611:R611)</f>
        <v>93.220338983050837</v>
      </c>
      <c r="T611" s="8">
        <f>$K$307/$M$307*100</f>
        <v>54.54545454545454</v>
      </c>
      <c r="U611" s="8">
        <f>$K$308/$M$308*100</f>
        <v>36.363636363636367</v>
      </c>
      <c r="V611" s="8">
        <f>$K$309/$M$309*100</f>
        <v>9.0909090909090917</v>
      </c>
      <c r="W611" s="8">
        <f>$K$310/$M$310*100</f>
        <v>0</v>
      </c>
      <c r="X611" s="8">
        <f>$K$311/$M$311*100</f>
        <v>0</v>
      </c>
      <c r="Y611" s="8">
        <f>SUM(T611:X611)</f>
        <v>100</v>
      </c>
    </row>
    <row r="612" spans="1:51" x14ac:dyDescent="0.2">
      <c r="A612" s="5" t="s">
        <v>58</v>
      </c>
      <c r="B612" s="8">
        <f>$K$327/$M$327*100</f>
        <v>31.707317073170731</v>
      </c>
      <c r="C612" s="8">
        <f>$K$328/$M$328*100</f>
        <v>9.7560975609756095</v>
      </c>
      <c r="D612" s="8">
        <f>$K$329/$M$329*100</f>
        <v>2.4390243902439024</v>
      </c>
      <c r="E612" s="8">
        <f>$K$330/$M$330*100</f>
        <v>9.7560975609756095</v>
      </c>
      <c r="F612" s="8">
        <f>$K$331/$M$331*100</f>
        <v>0</v>
      </c>
      <c r="G612" s="8">
        <f>SUM(B612:F612)</f>
        <v>53.658536585365852</v>
      </c>
      <c r="H612" s="8">
        <f>$K$347/$M$347*100</f>
        <v>55.555555555555557</v>
      </c>
      <c r="I612" s="8">
        <f>$K$348/$M$348*100</f>
        <v>5.5555555555555554</v>
      </c>
      <c r="J612" s="8">
        <f>$K$349/$M$349*100</f>
        <v>11.111111111111111</v>
      </c>
      <c r="K612" s="8">
        <f>$K$350/$M$350*100</f>
        <v>11.111111111111111</v>
      </c>
      <c r="L612" s="8">
        <f>$K$351/$M$351*100</f>
        <v>0</v>
      </c>
      <c r="M612" s="8">
        <f t="shared" ref="M612:M613" si="57">SUM(H612:L612)</f>
        <v>83.333333333333343</v>
      </c>
      <c r="N612" s="8">
        <f>$K$367/$M$367*100</f>
        <v>43.137254901960787</v>
      </c>
      <c r="O612" s="8">
        <f>$K$368/$M$368*100</f>
        <v>11.76470588235294</v>
      </c>
      <c r="P612" s="8">
        <f>$K$369/$M$369*100</f>
        <v>1.9607843137254901</v>
      </c>
      <c r="Q612" s="8">
        <f>$K$370/$M$370*100</f>
        <v>11.76470588235294</v>
      </c>
      <c r="R612" s="8">
        <f>$K$371/$M$371*100</f>
        <v>0</v>
      </c>
      <c r="S612" s="8">
        <f>SUM(N612:R612)</f>
        <v>68.627450980392155</v>
      </c>
      <c r="T612" s="8">
        <f>$K$387/$M$387*100</f>
        <v>81.818181818181827</v>
      </c>
      <c r="U612" s="8">
        <f>$K$388/$M$388*100</f>
        <v>9.0909090909090917</v>
      </c>
      <c r="V612" s="8">
        <f>$K$389/$M$389*100</f>
        <v>9.0909090909090917</v>
      </c>
      <c r="W612" s="8">
        <f>$K$390/$M$390*100</f>
        <v>0</v>
      </c>
      <c r="X612" s="8">
        <f>$K$391/$M$391*100</f>
        <v>0</v>
      </c>
      <c r="Y612" s="8">
        <f>SUM(T612:X612)</f>
        <v>100.00000000000001</v>
      </c>
    </row>
    <row r="613" spans="1:51" ht="16" thickBot="1" x14ac:dyDescent="0.25">
      <c r="A613" s="9" t="s">
        <v>59</v>
      </c>
      <c r="B613" s="8">
        <f>$K$407/$M$407*100</f>
        <v>10.714285714285714</v>
      </c>
      <c r="C613" s="8">
        <f>$K$408/$M$408*100</f>
        <v>4.4642857142857144</v>
      </c>
      <c r="D613" s="8">
        <f>$K$409/$M$409*100</f>
        <v>5.3571428571428568</v>
      </c>
      <c r="E613" s="8">
        <f>$K$410/$M$410*100</f>
        <v>1.7857142857142856</v>
      </c>
      <c r="F613" s="8">
        <f>$K$411/$M$411*100</f>
        <v>0</v>
      </c>
      <c r="G613" s="8">
        <f>SUM(B613:F613)</f>
        <v>22.321428571428569</v>
      </c>
      <c r="H613" s="8">
        <f>$K$427/$M$427*100</f>
        <v>12.5</v>
      </c>
      <c r="I613" s="8">
        <f>$K$428/$M$428*100</f>
        <v>0</v>
      </c>
      <c r="J613" s="8">
        <f>$K$429/$M$429*100</f>
        <v>0</v>
      </c>
      <c r="K613" s="8">
        <f>$K$430/$M$430*100</f>
        <v>0</v>
      </c>
      <c r="L613" s="8">
        <f>$K$431/$M$431*100</f>
        <v>0</v>
      </c>
      <c r="M613" s="8">
        <f t="shared" si="57"/>
        <v>12.5</v>
      </c>
      <c r="N613" s="8">
        <f>$K$447/$M$447*100</f>
        <v>38</v>
      </c>
      <c r="O613" s="8">
        <f>$K$448/$M$448*100</f>
        <v>24</v>
      </c>
      <c r="P613" s="8">
        <f>$K$449/$M$449*100</f>
        <v>6</v>
      </c>
      <c r="Q613" s="8">
        <f>$K$450/$M$450*100</f>
        <v>4</v>
      </c>
      <c r="R613" s="8">
        <f>$K$451/$M$451*100</f>
        <v>0</v>
      </c>
      <c r="S613" s="8">
        <f>SUM(N613:R613)</f>
        <v>72</v>
      </c>
      <c r="T613" s="8">
        <f>$K$467/$M$467*100</f>
        <v>30.434782608695656</v>
      </c>
      <c r="U613" s="8">
        <f>$K$468/$M$468*100</f>
        <v>26.086956521739129</v>
      </c>
      <c r="V613" s="8">
        <f>$K$469/$M$469*100</f>
        <v>13.043478260869565</v>
      </c>
      <c r="W613" s="8">
        <f>$K$470/$M$470*100</f>
        <v>4.3478260869565215</v>
      </c>
      <c r="X613" s="8">
        <f>$K$471/$M$471*100</f>
        <v>0</v>
      </c>
      <c r="Y613" s="8">
        <f>SUM(T613:X613)</f>
        <v>73.91304347826086</v>
      </c>
    </row>
    <row r="614" spans="1:51" x14ac:dyDescent="0.2">
      <c r="A614" s="10" t="s">
        <v>50</v>
      </c>
      <c r="B614" s="11">
        <f>AVERAGE(B611:B613)</f>
        <v>30.565655035432343</v>
      </c>
      <c r="C614" s="12">
        <f>AVERAGE(C611:C613)</f>
        <v>9.5710456328165776</v>
      </c>
      <c r="D614" s="11">
        <f>AVERAGE(D611:D613)</f>
        <v>2.5987224157955864</v>
      </c>
      <c r="E614" s="11">
        <f>AVERAGE(E611:E613)</f>
        <v>4.330362403002912</v>
      </c>
      <c r="F614" s="11">
        <f>AVERAGE(F611:F613)</f>
        <v>0</v>
      </c>
      <c r="G614" s="12"/>
      <c r="H614" s="11">
        <f>AVERAGE(H611:H613)</f>
        <v>40.633903133903139</v>
      </c>
      <c r="I614" s="13">
        <f>AVERAGE(I611:I613)</f>
        <v>6.9800569800569798</v>
      </c>
      <c r="J614" s="14">
        <f>AVERAGE(J611:J613)</f>
        <v>6.267806267806268</v>
      </c>
      <c r="K614" s="14">
        <f>AVERAGE(K611:K613)</f>
        <v>3.7037037037037037</v>
      </c>
      <c r="L614" s="14">
        <f>AVERAGE(L611:L613)</f>
        <v>0</v>
      </c>
      <c r="M614" s="12"/>
      <c r="N614" s="14">
        <f>AVERAGE(N611:N613)</f>
        <v>53.599423950371111</v>
      </c>
      <c r="O614" s="12">
        <f>AVERAGE(O611:O613)</f>
        <v>14.181455633100697</v>
      </c>
      <c r="P614" s="11">
        <f>AVERAGE(P611:P613)</f>
        <v>4.9134817768915475</v>
      </c>
      <c r="Q614" s="11">
        <f>AVERAGE(Q611:Q613)</f>
        <v>5.2549019607843137</v>
      </c>
      <c r="R614" s="11">
        <f>AVERAGE(R611:R613)</f>
        <v>0</v>
      </c>
      <c r="S614" s="15"/>
      <c r="T614" s="14">
        <f>AVERAGE(T611:T613)</f>
        <v>55.599472990777343</v>
      </c>
      <c r="U614" s="12">
        <f>AVERAGE(U611:U613)</f>
        <v>23.847167325428199</v>
      </c>
      <c r="V614" s="11">
        <f>AVERAGE(V611:V613)</f>
        <v>10.408432147562584</v>
      </c>
      <c r="W614" s="11">
        <f>AVERAGE(W611:W613)</f>
        <v>1.4492753623188406</v>
      </c>
      <c r="X614" s="11">
        <f>AVERAGE(X611:X613)</f>
        <v>0</v>
      </c>
      <c r="Y614" s="15"/>
      <c r="Z614" s="8">
        <f>AVERAGE(B614,H614,N614,T614)</f>
        <v>45.099613777620988</v>
      </c>
      <c r="AA614" s="8">
        <f>AVERAGE(C614,I614,O614,U614)</f>
        <v>13.644931392850612</v>
      </c>
      <c r="AB614" s="8">
        <f>AVERAGE(D614,J614,P614,V614)</f>
        <v>6.0471106520139966</v>
      </c>
      <c r="AC614" s="8">
        <f>AVERAGE(E614,K614,Q614,W614)</f>
        <v>3.6845608574524427</v>
      </c>
      <c r="AD614" s="8">
        <f>AVERAGE(F614,L614,R614,X614)</f>
        <v>0</v>
      </c>
    </row>
    <row r="615" spans="1:51" x14ac:dyDescent="0.2">
      <c r="AG615" t="s">
        <v>150</v>
      </c>
      <c r="AH615" s="3" t="s">
        <v>20</v>
      </c>
      <c r="AI615" s="3" t="s">
        <v>21</v>
      </c>
      <c r="AJ615" s="3" t="s">
        <v>60</v>
      </c>
      <c r="AK615" s="3" t="s">
        <v>61</v>
      </c>
      <c r="AL615" s="3" t="s">
        <v>62</v>
      </c>
      <c r="AM615" s="3" t="s">
        <v>200</v>
      </c>
      <c r="AN615" s="3" t="s">
        <v>201</v>
      </c>
    </row>
    <row r="616" spans="1:51" x14ac:dyDescent="0.2">
      <c r="AG616" s="18" t="s">
        <v>158</v>
      </c>
      <c r="AH616" s="8" cm="1">
        <f t="array" ref="AH616:AL616">Z566:AD566</f>
        <v>70.082813552559017</v>
      </c>
      <c r="AI616" s="8">
        <v>20.834196619624638</v>
      </c>
      <c r="AJ616" s="7">
        <v>2.8821903642666444</v>
      </c>
      <c r="AK616" s="7">
        <v>6.2007994635497052</v>
      </c>
      <c r="AL616" s="8">
        <v>0</v>
      </c>
      <c r="AM616" s="8">
        <f>SUM(AH616:AI616)</f>
        <v>90.917010172183652</v>
      </c>
      <c r="AN616" s="8">
        <f>SUM(AH616:AJ616)</f>
        <v>93.7992005364503</v>
      </c>
    </row>
    <row r="617" spans="1:51" ht="33" thickBot="1" x14ac:dyDescent="0.25">
      <c r="A617" s="2" t="s">
        <v>230</v>
      </c>
      <c r="B617" s="3" t="s">
        <v>53</v>
      </c>
      <c r="C617" s="3"/>
      <c r="D617" s="3"/>
      <c r="E617" s="3"/>
      <c r="F617" s="3"/>
      <c r="G617" s="4" t="s">
        <v>64</v>
      </c>
      <c r="H617" s="3" t="s">
        <v>54</v>
      </c>
      <c r="I617" s="3"/>
      <c r="J617" s="3"/>
      <c r="K617" s="3"/>
      <c r="L617" s="3"/>
      <c r="M617" s="4" t="s">
        <v>64</v>
      </c>
      <c r="N617" s="3" t="s">
        <v>55</v>
      </c>
      <c r="O617" s="3"/>
      <c r="P617" s="3"/>
      <c r="Q617" s="3"/>
      <c r="R617" s="3"/>
      <c r="S617" s="4" t="s">
        <v>64</v>
      </c>
      <c r="T617" s="3" t="s">
        <v>56</v>
      </c>
      <c r="U617" s="3"/>
      <c r="V617" s="3"/>
      <c r="W617" s="3"/>
      <c r="X617" s="3"/>
      <c r="Y617" s="4" t="s">
        <v>64</v>
      </c>
      <c r="AG617" s="18" t="s">
        <v>159</v>
      </c>
      <c r="AH617" s="8" cm="1">
        <f t="array" ref="AH617:AL617">Z574:AD574</f>
        <v>64.543597201077517</v>
      </c>
      <c r="AI617" s="8">
        <v>22.528251297936336</v>
      </c>
      <c r="AJ617" s="7">
        <v>5.8263810232314164</v>
      </c>
      <c r="AK617" s="8">
        <v>7.1017704777547292</v>
      </c>
      <c r="AL617" s="8">
        <v>0</v>
      </c>
      <c r="AM617" s="8">
        <f>SUM(AH617:AI617)</f>
        <v>87.071848499013853</v>
      </c>
      <c r="AN617" s="8">
        <f>SUM(AH617:AJ617)</f>
        <v>92.898229522245273</v>
      </c>
      <c r="AQ617" s="27" t="s">
        <v>236</v>
      </c>
      <c r="AS617" s="3" t="s">
        <v>20</v>
      </c>
      <c r="AT617" s="3" t="s">
        <v>21</v>
      </c>
      <c r="AU617" s="3" t="s">
        <v>60</v>
      </c>
      <c r="AV617" s="3" t="s">
        <v>61</v>
      </c>
      <c r="AW617" s="3" t="s">
        <v>62</v>
      </c>
      <c r="AX617" s="3" t="s">
        <v>237</v>
      </c>
      <c r="AY617" s="3" t="s">
        <v>238</v>
      </c>
    </row>
    <row r="618" spans="1:51" x14ac:dyDescent="0.2">
      <c r="A618" s="3"/>
      <c r="B618" s="4" t="s">
        <v>20</v>
      </c>
      <c r="C618" s="4" t="s">
        <v>21</v>
      </c>
      <c r="D618" s="4" t="s">
        <v>60</v>
      </c>
      <c r="E618" s="4" t="s">
        <v>61</v>
      </c>
      <c r="F618" s="4" t="s">
        <v>62</v>
      </c>
      <c r="G618" s="4"/>
      <c r="H618" s="4" t="s">
        <v>20</v>
      </c>
      <c r="I618" s="4" t="s">
        <v>21</v>
      </c>
      <c r="J618" s="4" t="s">
        <v>60</v>
      </c>
      <c r="K618" s="4" t="s">
        <v>61</v>
      </c>
      <c r="L618" s="4" t="s">
        <v>62</v>
      </c>
      <c r="M618" s="4"/>
      <c r="N618" s="4" t="s">
        <v>20</v>
      </c>
      <c r="O618" s="4" t="s">
        <v>21</v>
      </c>
      <c r="P618" s="4" t="s">
        <v>60</v>
      </c>
      <c r="Q618" s="4" t="s">
        <v>61</v>
      </c>
      <c r="R618" s="4" t="s">
        <v>62</v>
      </c>
      <c r="S618" s="4"/>
      <c r="T618" s="4" t="s">
        <v>20</v>
      </c>
      <c r="U618" s="4" t="s">
        <v>21</v>
      </c>
      <c r="V618" s="4" t="s">
        <v>60</v>
      </c>
      <c r="W618" s="4" t="s">
        <v>61</v>
      </c>
      <c r="X618" s="4" t="s">
        <v>62</v>
      </c>
      <c r="Y618" s="4"/>
      <c r="AG618" s="18" t="s">
        <v>160</v>
      </c>
      <c r="AH618" s="8" cm="1">
        <f t="array" ref="AH618:AL618">Z582:AD582</f>
        <v>50.077459090616983</v>
      </c>
      <c r="AI618" s="8">
        <v>20.120885449832816</v>
      </c>
      <c r="AJ618" s="8">
        <v>12.779086167244062</v>
      </c>
      <c r="AK618" s="8">
        <v>17.022569292306134</v>
      </c>
      <c r="AL618" s="8">
        <v>0</v>
      </c>
      <c r="AM618" s="8">
        <f t="shared" ref="AM618" si="58">SUM(AH618:AI618)</f>
        <v>70.198344540449796</v>
      </c>
      <c r="AN618" s="8">
        <f>SUM(AH618:AJ618)</f>
        <v>82.977430707693856</v>
      </c>
      <c r="AP618" s="19" t="s">
        <v>168</v>
      </c>
      <c r="AQ618" s="8">
        <f>SUM(AH624:AK624)</f>
        <v>68.476216679938034</v>
      </c>
      <c r="AS618" s="8">
        <f>AH624/$AQ$618*100</f>
        <v>65.861719534563818</v>
      </c>
      <c r="AT618" s="8">
        <f t="shared" ref="AT618:AW618" si="59">AI624/$AQ$618*100</f>
        <v>19.926526397665693</v>
      </c>
      <c r="AU618" s="8">
        <f t="shared" si="59"/>
        <v>8.8309648885518257</v>
      </c>
      <c r="AV618" s="8">
        <f t="shared" si="59"/>
        <v>5.3807891792186799</v>
      </c>
      <c r="AW618" s="8">
        <f t="shared" si="59"/>
        <v>0</v>
      </c>
      <c r="AX618" s="8">
        <f>SUM(AS618:AT618)</f>
        <v>85.788245932229515</v>
      </c>
      <c r="AY618" s="8" cm="1">
        <f t="array" ref="AY618:AY620">AU622:AU624</f>
        <v>94.619210820781348</v>
      </c>
    </row>
    <row r="619" spans="1:51" x14ac:dyDescent="0.2">
      <c r="A619" s="5" t="s">
        <v>57</v>
      </c>
      <c r="B619" s="8">
        <f>$K$252/$M$252*100</f>
        <v>57.142857142857139</v>
      </c>
      <c r="C619" s="8">
        <f>$K$253/$M$253*100</f>
        <v>7.1428571428571423</v>
      </c>
      <c r="D619" s="8">
        <f>$K$254/$M$254*100</f>
        <v>8.9285714285714288</v>
      </c>
      <c r="E619" s="8">
        <f>$K$255/$M$255*100</f>
        <v>3.5714285714285712</v>
      </c>
      <c r="F619" s="8">
        <f>$K$256/$M$256*100</f>
        <v>0</v>
      </c>
      <c r="G619" s="8">
        <f>SUM(B619:F619)</f>
        <v>76.785714285714278</v>
      </c>
      <c r="H619" s="8">
        <f>$K$272/$M$272*100</f>
        <v>55.555555555555557</v>
      </c>
      <c r="I619" s="8">
        <f>$K$273/$M$273*100</f>
        <v>5.5555555555555554</v>
      </c>
      <c r="J619" s="8">
        <f>$K$274/$M$274*100</f>
        <v>5.5555555555555554</v>
      </c>
      <c r="K619" s="8">
        <f>$K$275/$M$275*100</f>
        <v>5.5555555555555554</v>
      </c>
      <c r="L619" s="8">
        <f>$K$276/$M$276*100</f>
        <v>0</v>
      </c>
      <c r="M619" s="8">
        <f>SUM(H619:L619)</f>
        <v>72.222222222222229</v>
      </c>
      <c r="N619" s="8">
        <f>$K$292/$M$292*100</f>
        <v>71.186440677966104</v>
      </c>
      <c r="O619" s="8">
        <f>$K$293/$M$293*100</f>
        <v>5.0847457627118651</v>
      </c>
      <c r="P619" s="8">
        <f>$K$294/$M$294*100</f>
        <v>5.0847457627118651</v>
      </c>
      <c r="Q619" s="8">
        <f>$K$295/$M$295*100</f>
        <v>3.3898305084745761</v>
      </c>
      <c r="R619" s="8">
        <f>$K$296/$M$296*100</f>
        <v>0</v>
      </c>
      <c r="S619" s="8">
        <f>SUM(N619:R619)</f>
        <v>84.745762711864401</v>
      </c>
      <c r="T619" s="8">
        <f>$K$312/$M$312*100</f>
        <v>50</v>
      </c>
      <c r="U619" s="8">
        <f>$K$313/$M$313*100</f>
        <v>37.5</v>
      </c>
      <c r="V619" s="8">
        <f>$K$314/$M$314*100</f>
        <v>12.5</v>
      </c>
      <c r="W619" s="8">
        <f>$K$315/$M$315*100</f>
        <v>0</v>
      </c>
      <c r="X619" s="8">
        <f>$K$316/$M$316*100</f>
        <v>0</v>
      </c>
      <c r="Y619" s="8">
        <f>SUM(T619:X619)</f>
        <v>100</v>
      </c>
      <c r="AP619" s="18" t="s">
        <v>169</v>
      </c>
      <c r="AQ619" s="8">
        <f>SUM(AH625:AK625)</f>
        <v>65.874141680324996</v>
      </c>
      <c r="AS619" s="8">
        <f>AH625/$AQ$619*100</f>
        <v>60.899873004034653</v>
      </c>
      <c r="AT619" s="8">
        <f t="shared" ref="AT619:AW619" si="60">AI625/$AQ$619*100</f>
        <v>22.544920028689898</v>
      </c>
      <c r="AU619" s="8">
        <f t="shared" si="60"/>
        <v>7.5829358302621896</v>
      </c>
      <c r="AV619" s="8">
        <f t="shared" si="60"/>
        <v>8.9722711370132568</v>
      </c>
      <c r="AW619" s="8">
        <f t="shared" si="60"/>
        <v>0</v>
      </c>
      <c r="AX619" s="8">
        <f>SUM(AS619:AT619)</f>
        <v>83.444793032724547</v>
      </c>
      <c r="AY619" s="8">
        <v>91.027728862986734</v>
      </c>
    </row>
    <row r="620" spans="1:51" x14ac:dyDescent="0.2">
      <c r="A620" s="5" t="s">
        <v>58</v>
      </c>
      <c r="B620" s="8">
        <f>$K$332/$M$332*100</f>
        <v>26.829268292682929</v>
      </c>
      <c r="C620" s="8">
        <f>$K$333/$M$333*100</f>
        <v>19.512195121951219</v>
      </c>
      <c r="D620" s="8">
        <f>$K$334/$M$334*100</f>
        <v>9.7560975609756095</v>
      </c>
      <c r="E620" s="8">
        <f>$K$335/$M$335*100</f>
        <v>4.8780487804878048</v>
      </c>
      <c r="F620" s="8">
        <f>$K$336/$M$336*100</f>
        <v>0</v>
      </c>
      <c r="G620" s="8">
        <f>SUM(B620:F620)</f>
        <v>60.975609756097562</v>
      </c>
      <c r="H620" s="8">
        <f>$K$352/$M$352*100</f>
        <v>55.555555555555557</v>
      </c>
      <c r="I620" s="8">
        <f>$K$353/$M$353*100</f>
        <v>11.111111111111111</v>
      </c>
      <c r="J620" s="8">
        <f>$K$354/$M$354*100</f>
        <v>0</v>
      </c>
      <c r="K620" s="8">
        <f>$K$355/$M$355*100</f>
        <v>11.111111111111111</v>
      </c>
      <c r="L620" s="8">
        <f>$K$356/$M$356*100</f>
        <v>0</v>
      </c>
      <c r="M620" s="8">
        <f t="shared" ref="M620:M621" si="61">SUM(H620:L620)</f>
        <v>77.777777777777786</v>
      </c>
      <c r="N620" s="8">
        <f>$K$372/$M$372*100</f>
        <v>32.857142857142854</v>
      </c>
      <c r="O620" s="8">
        <f>$K$373/$M$373*100</f>
        <v>14.285714285714285</v>
      </c>
      <c r="P620" s="8">
        <f>$K$374/$M$374*100</f>
        <v>4.2857142857142856</v>
      </c>
      <c r="Q620" s="8">
        <f>$K$375/$M$375*100</f>
        <v>8.5714285714285712</v>
      </c>
      <c r="R620" s="8">
        <f>$K$376/$M$376*100</f>
        <v>0</v>
      </c>
      <c r="S620" s="8">
        <f>SUM(N620:R620)</f>
        <v>59.999999999999993</v>
      </c>
      <c r="T620" s="8">
        <f>$K$392/$M$392*100</f>
        <v>83.333333333333343</v>
      </c>
      <c r="U620" s="8">
        <f>$K$393/$M$393*100</f>
        <v>0</v>
      </c>
      <c r="V620" s="8">
        <f>$K$394/$M$394*100</f>
        <v>0</v>
      </c>
      <c r="W620" s="8">
        <f>$K$395/$M$395*100</f>
        <v>0</v>
      </c>
      <c r="X620" s="8">
        <f>$K$396/$M$396*100</f>
        <v>0</v>
      </c>
      <c r="Y620" s="8">
        <f>SUM(T620:X620)</f>
        <v>83.333333333333343</v>
      </c>
      <c r="AG620" t="s">
        <v>151</v>
      </c>
      <c r="AH620" s="3" t="s">
        <v>20</v>
      </c>
      <c r="AI620" s="3" t="s">
        <v>21</v>
      </c>
      <c r="AJ620" s="3" t="s">
        <v>60</v>
      </c>
      <c r="AK620" s="3" t="s">
        <v>61</v>
      </c>
      <c r="AL620" s="3" t="s">
        <v>62</v>
      </c>
      <c r="AP620" s="18" t="s">
        <v>170</v>
      </c>
      <c r="AQ620" s="8">
        <f>SUM(AH626:AK626)</f>
        <v>48.564874089048615</v>
      </c>
      <c r="AS620" s="8">
        <f>AH626/$AQ$620*100</f>
        <v>2.9385092828957649</v>
      </c>
      <c r="AT620" s="8">
        <f t="shared" ref="AT620:AW620" si="62">AI626/$AQ$620*100</f>
        <v>47.310434343948899</v>
      </c>
      <c r="AU620" s="8">
        <f t="shared" si="62"/>
        <v>21.461094524576353</v>
      </c>
      <c r="AV620" s="8">
        <f t="shared" si="62"/>
        <v>28.289961848578987</v>
      </c>
      <c r="AW620" s="8">
        <f t="shared" si="62"/>
        <v>0</v>
      </c>
      <c r="AX620" s="8">
        <f>SUM(AS620:AT620)</f>
        <v>50.248943626844664</v>
      </c>
      <c r="AY620" s="8">
        <v>71.710038151421017</v>
      </c>
    </row>
    <row r="621" spans="1:51" ht="16" thickBot="1" x14ac:dyDescent="0.25">
      <c r="A621" s="9" t="s">
        <v>59</v>
      </c>
      <c r="B621" s="8">
        <f>$K$412/$M$412*100</f>
        <v>9.9236641221374047</v>
      </c>
      <c r="C621" s="8">
        <f>$K$413/$M$413*100</f>
        <v>5.343511450381679</v>
      </c>
      <c r="D621" s="8">
        <f>$K$414/$M$414*100</f>
        <v>2.2900763358778624</v>
      </c>
      <c r="E621" s="8">
        <f>$K$415/$M$415*100</f>
        <v>11.450381679389313</v>
      </c>
      <c r="F621" s="8">
        <f>$K$416/$M$416*100</f>
        <v>0</v>
      </c>
      <c r="G621" s="8">
        <f>SUM(B621:F621)</f>
        <v>29.007633587786259</v>
      </c>
      <c r="H621" s="8">
        <f>$K$432/$M$432*100</f>
        <v>0</v>
      </c>
      <c r="I621" s="8">
        <f>$K$433/$M$433*100</f>
        <v>0</v>
      </c>
      <c r="J621" s="8">
        <f>$K$434/$M$434*100</f>
        <v>0</v>
      </c>
      <c r="K621" s="8">
        <f>$K$435/$M$435*100</f>
        <v>0</v>
      </c>
      <c r="L621" s="8">
        <f>$K$436/$M$436*100</f>
        <v>0</v>
      </c>
      <c r="M621" s="8">
        <f t="shared" si="61"/>
        <v>0</v>
      </c>
      <c r="N621" s="8">
        <f>$K$452/$M$452*100</f>
        <v>27.118644067796609</v>
      </c>
      <c r="O621" s="8">
        <f>$K$453/$M$453*100</f>
        <v>32.20338983050847</v>
      </c>
      <c r="P621" s="8">
        <f>$K$454/$M$454*100</f>
        <v>6.7796610169491522</v>
      </c>
      <c r="Q621" s="8">
        <f>$K$455/$M$455*100</f>
        <v>15.254237288135593</v>
      </c>
      <c r="R621" s="8">
        <f>$K$456/$M$456*100</f>
        <v>0</v>
      </c>
      <c r="S621" s="8">
        <f>SUM(N621:R621)</f>
        <v>81.355932203389827</v>
      </c>
      <c r="T621" s="8">
        <f>$K$472/$M$472*100</f>
        <v>11.904761904761903</v>
      </c>
      <c r="U621" s="8">
        <f>$K$473/$M$473*100</f>
        <v>40.476190476190474</v>
      </c>
      <c r="V621" s="8">
        <f>$K$474/$M$474*100</f>
        <v>4.7619047619047619</v>
      </c>
      <c r="W621" s="8">
        <f>$K$475/$M$475*100</f>
        <v>7.1428571428571423</v>
      </c>
      <c r="X621" s="8">
        <f>$K$476/$M$476*100</f>
        <v>0</v>
      </c>
      <c r="Y621" s="8">
        <f>SUM(T621:X621)</f>
        <v>64.285714285714278</v>
      </c>
      <c r="AG621" s="18" t="s">
        <v>158</v>
      </c>
      <c r="AH621" s="8" cm="1">
        <f t="array" ref="AH621:AL621">Z590:AD590</f>
        <v>61.279929207313742</v>
      </c>
      <c r="AI621" s="8">
        <v>19.939172549401512</v>
      </c>
      <c r="AJ621" s="8">
        <v>13.408650557831397</v>
      </c>
      <c r="AK621" s="8">
        <v>5.3722476854533499</v>
      </c>
      <c r="AL621" s="8">
        <v>0</v>
      </c>
      <c r="AM621" s="8">
        <f>SUM(AH621:AI621)</f>
        <v>81.219101756715247</v>
      </c>
      <c r="AN621" s="8">
        <f>SUM(AH621:AJ621)</f>
        <v>94.62775231454664</v>
      </c>
    </row>
    <row r="622" spans="1:51" x14ac:dyDescent="0.2">
      <c r="A622" s="10" t="s">
        <v>50</v>
      </c>
      <c r="B622" s="11">
        <f>AVERAGE(B619:B621)</f>
        <v>31.298596519225825</v>
      </c>
      <c r="C622" s="12">
        <f>AVERAGE(C619:C621)</f>
        <v>10.666187905063348</v>
      </c>
      <c r="D622" s="11">
        <f>AVERAGE(D619:D621)</f>
        <v>6.9915817751416336</v>
      </c>
      <c r="E622" s="11">
        <f>AVERAGE(E619:E621)</f>
        <v>6.633286343768563</v>
      </c>
      <c r="F622" s="11">
        <f>AVERAGE(F619:F621)</f>
        <v>0</v>
      </c>
      <c r="G622" s="12"/>
      <c r="H622" s="11">
        <f>AVERAGE(H619:H621)</f>
        <v>37.037037037037038</v>
      </c>
      <c r="I622" s="13">
        <f>AVERAGE(I619:I621)</f>
        <v>5.5555555555555545</v>
      </c>
      <c r="J622" s="14">
        <f>AVERAGE(J619:J621)</f>
        <v>1.8518518518518519</v>
      </c>
      <c r="K622" s="14">
        <f>AVERAGE(K619:K621)</f>
        <v>5.5555555555555545</v>
      </c>
      <c r="L622" s="14">
        <f>AVERAGE(L619:L621)</f>
        <v>0</v>
      </c>
      <c r="M622" s="12"/>
      <c r="N622" s="14">
        <f>AVERAGE(N619:N621)</f>
        <v>43.720742534301849</v>
      </c>
      <c r="O622" s="12">
        <f>AVERAGE(O619:O621)</f>
        <v>17.191283292978209</v>
      </c>
      <c r="P622" s="11">
        <f>AVERAGE(P619:P621)</f>
        <v>5.383373688458434</v>
      </c>
      <c r="Q622" s="11">
        <f>AVERAGE(Q619:Q621)</f>
        <v>9.0718321226795808</v>
      </c>
      <c r="R622" s="11">
        <f>AVERAGE(R619:R621)</f>
        <v>0</v>
      </c>
      <c r="S622" s="15"/>
      <c r="T622" s="14">
        <f>AVERAGE(T619:T621)</f>
        <v>48.412698412698411</v>
      </c>
      <c r="U622" s="12">
        <f>AVERAGE(U619:U621)</f>
        <v>25.992063492063494</v>
      </c>
      <c r="V622" s="11">
        <f>AVERAGE(V619:V621)</f>
        <v>5.753968253968254</v>
      </c>
      <c r="W622" s="11">
        <f>AVERAGE(W619:W621)</f>
        <v>2.3809523809523809</v>
      </c>
      <c r="X622" s="11">
        <f>AVERAGE(X619:X621)</f>
        <v>0</v>
      </c>
      <c r="Y622" s="15"/>
      <c r="Z622" s="8">
        <f>AVERAGE(B622,H622,N622,T622)</f>
        <v>40.117268625815782</v>
      </c>
      <c r="AA622" s="8">
        <f>AVERAGE(C622,I622,O622,U622)</f>
        <v>14.851272561415151</v>
      </c>
      <c r="AB622" s="8">
        <f>AVERAGE(D622,J622,P622,V622)</f>
        <v>4.9951938923550436</v>
      </c>
      <c r="AC622" s="8">
        <f>AVERAGE(E622,K622,Q622,W622)</f>
        <v>5.9104066007390195</v>
      </c>
      <c r="AD622" s="8">
        <f>AVERAGE(F622,L622,R622,X622)</f>
        <v>0</v>
      </c>
      <c r="AG622" s="18" t="s">
        <v>159</v>
      </c>
      <c r="AH622" s="8" cm="1">
        <f t="array" ref="AH622:AL622">Z598:AD598</f>
        <v>55.782439627893005</v>
      </c>
      <c r="AI622" s="8">
        <v>24.729080157856082</v>
      </c>
      <c r="AJ622" s="8">
        <v>10.78862294319639</v>
      </c>
      <c r="AK622" s="8">
        <v>8.699857271054519</v>
      </c>
      <c r="AL622" s="8">
        <v>0</v>
      </c>
      <c r="AM622" s="8">
        <f t="shared" ref="AM622:AM623" si="63">SUM(AH622:AI622)</f>
        <v>80.511519785749087</v>
      </c>
      <c r="AN622" s="8">
        <f>SUM(AH622:AJ622)</f>
        <v>91.300142728945474</v>
      </c>
      <c r="AT622" s="8">
        <f>SUM(AS618:AT618)</f>
        <v>85.788245932229515</v>
      </c>
      <c r="AU622" s="8">
        <f>SUM(AS618:AU618)</f>
        <v>94.619210820781348</v>
      </c>
    </row>
    <row r="623" spans="1:51" ht="16" thickBot="1" x14ac:dyDescent="0.25">
      <c r="AG623" s="18" t="s">
        <v>160</v>
      </c>
      <c r="AH623" s="8" cm="1">
        <f t="array" ref="AH623:AL623">Z606:AD606</f>
        <v>21.424178895877009</v>
      </c>
      <c r="AI623" s="8">
        <v>38.214282594589193</v>
      </c>
      <c r="AJ623" s="8">
        <v>16.095475192173307</v>
      </c>
      <c r="AK623" s="8">
        <v>24.266063317360487</v>
      </c>
      <c r="AL623" s="8">
        <v>0</v>
      </c>
      <c r="AM623" s="8">
        <f t="shared" si="63"/>
        <v>59.638461490466199</v>
      </c>
      <c r="AN623" s="8">
        <f>SUM(AH623:AJ623)</f>
        <v>75.733936682639509</v>
      </c>
      <c r="AT623" s="8">
        <f t="shared" ref="AT623:AT624" si="64">SUM(AS619:AT619)</f>
        <v>83.444793032724547</v>
      </c>
      <c r="AU623" s="8">
        <f t="shared" ref="AU623:AU624" si="65">SUM(AS619:AU619)</f>
        <v>91.027728862986734</v>
      </c>
    </row>
    <row r="624" spans="1:51" x14ac:dyDescent="0.2">
      <c r="AG624" s="19" t="s">
        <v>168</v>
      </c>
      <c r="AH624" s="20" cm="1">
        <f t="array" ref="AH624:AL624">Z614:AD614</f>
        <v>45.099613777620988</v>
      </c>
      <c r="AI624" s="21">
        <v>13.644931392850612</v>
      </c>
      <c r="AJ624" s="21">
        <v>6.0471106520139966</v>
      </c>
      <c r="AK624" s="21">
        <v>3.6845608574524427</v>
      </c>
      <c r="AL624" s="20">
        <v>0</v>
      </c>
      <c r="AM624" s="8">
        <f>AVERAGE(AH624:AK624)</f>
        <v>17.119054169984508</v>
      </c>
      <c r="AN624" s="8">
        <f>SUM(AH624:AJ624)</f>
        <v>64.791655822485595</v>
      </c>
      <c r="AO624" s="8">
        <f>SUM(AH624:AK624)</f>
        <v>68.476216679938034</v>
      </c>
      <c r="AT624" s="8">
        <f t="shared" si="64"/>
        <v>50.248943626844664</v>
      </c>
      <c r="AU624" s="8">
        <f t="shared" si="65"/>
        <v>71.710038151421017</v>
      </c>
    </row>
    <row r="625" spans="1:41" ht="32" x14ac:dyDescent="0.2">
      <c r="A625" s="2" t="s">
        <v>231</v>
      </c>
      <c r="B625" s="3" t="s">
        <v>53</v>
      </c>
      <c r="C625" s="3"/>
      <c r="D625" s="3"/>
      <c r="E625" s="3"/>
      <c r="F625" s="3"/>
      <c r="G625" s="4" t="s">
        <v>64</v>
      </c>
      <c r="H625" s="3" t="s">
        <v>54</v>
      </c>
      <c r="I625" s="3"/>
      <c r="J625" s="3"/>
      <c r="K625" s="3"/>
      <c r="L625" s="3"/>
      <c r="M625" s="4" t="s">
        <v>64</v>
      </c>
      <c r="N625" s="3" t="s">
        <v>55</v>
      </c>
      <c r="O625" s="3"/>
      <c r="P625" s="3"/>
      <c r="Q625" s="3"/>
      <c r="R625" s="3"/>
      <c r="S625" s="4" t="s">
        <v>64</v>
      </c>
      <c r="T625" s="3" t="s">
        <v>56</v>
      </c>
      <c r="U625" s="3"/>
      <c r="V625" s="3"/>
      <c r="W625" s="3"/>
      <c r="X625" s="3"/>
      <c r="Y625" s="4" t="s">
        <v>64</v>
      </c>
      <c r="AG625" s="18" t="s">
        <v>169</v>
      </c>
      <c r="AH625" s="8" cm="1">
        <f t="array" ref="AH625:AL625">Z622:AD622</f>
        <v>40.117268625815782</v>
      </c>
      <c r="AI625" s="8">
        <v>14.851272561415151</v>
      </c>
      <c r="AJ625" s="7">
        <v>4.9951938923550436</v>
      </c>
      <c r="AK625" s="7">
        <v>5.9104066007390195</v>
      </c>
      <c r="AL625" s="8">
        <v>0</v>
      </c>
      <c r="AM625" s="8">
        <f t="shared" ref="AM625:AM630" si="66">AVERAGE(AH625:AK625)</f>
        <v>16.468535420081249</v>
      </c>
      <c r="AN625" s="8">
        <f>SUM(AH625:AJ625)</f>
        <v>59.963735079585973</v>
      </c>
      <c r="AO625" s="8">
        <f t="shared" ref="AO625:AO626" si="67">SUM(AH625:AK625)</f>
        <v>65.874141680324996</v>
      </c>
    </row>
    <row r="626" spans="1:41" x14ac:dyDescent="0.2">
      <c r="A626" s="3"/>
      <c r="B626" s="4" t="s">
        <v>20</v>
      </c>
      <c r="C626" s="4" t="s">
        <v>21</v>
      </c>
      <c r="D626" s="4" t="s">
        <v>60</v>
      </c>
      <c r="E626" s="4" t="s">
        <v>61</v>
      </c>
      <c r="F626" s="4" t="s">
        <v>62</v>
      </c>
      <c r="G626" s="4"/>
      <c r="H626" s="4" t="s">
        <v>20</v>
      </c>
      <c r="I626" s="4" t="s">
        <v>21</v>
      </c>
      <c r="J626" s="4" t="s">
        <v>60</v>
      </c>
      <c r="K626" s="4" t="s">
        <v>61</v>
      </c>
      <c r="L626" s="4" t="s">
        <v>62</v>
      </c>
      <c r="M626" s="4"/>
      <c r="N626" s="4" t="s">
        <v>20</v>
      </c>
      <c r="O626" s="4" t="s">
        <v>21</v>
      </c>
      <c r="P626" s="4" t="s">
        <v>60</v>
      </c>
      <c r="Q626" s="4" t="s">
        <v>61</v>
      </c>
      <c r="R626" s="4" t="s">
        <v>62</v>
      </c>
      <c r="S626" s="4"/>
      <c r="T626" s="4" t="s">
        <v>20</v>
      </c>
      <c r="U626" s="4" t="s">
        <v>21</v>
      </c>
      <c r="V626" s="4" t="s">
        <v>60</v>
      </c>
      <c r="W626" s="4" t="s">
        <v>61</v>
      </c>
      <c r="X626" s="4" t="s">
        <v>62</v>
      </c>
      <c r="Y626" s="4"/>
      <c r="AG626" s="18" t="s">
        <v>170</v>
      </c>
      <c r="AH626" s="7" cm="1">
        <f t="array" ref="AH626:AL626">Z630:AD630</f>
        <v>1.4270833333333335</v>
      </c>
      <c r="AI626" s="8">
        <v>22.976252870120796</v>
      </c>
      <c r="AJ626" s="8">
        <v>10.422553533992213</v>
      </c>
      <c r="AK626" s="8">
        <v>13.738984351602276</v>
      </c>
      <c r="AL626" s="8">
        <v>0</v>
      </c>
      <c r="AM626" s="8">
        <f t="shared" si="66"/>
        <v>12.141218522262154</v>
      </c>
      <c r="AN626" s="8">
        <f>SUM(AH626:AJ626)</f>
        <v>34.825889737446339</v>
      </c>
      <c r="AO626" s="8">
        <f t="shared" si="67"/>
        <v>48.564874089048615</v>
      </c>
    </row>
    <row r="627" spans="1:41" x14ac:dyDescent="0.2">
      <c r="A627" s="5" t="s">
        <v>57</v>
      </c>
      <c r="B627" s="8">
        <f>$K$257/$M$257*100</f>
        <v>3.125</v>
      </c>
      <c r="C627" s="8">
        <f>$K$258/$M$258*100</f>
        <v>31.25</v>
      </c>
      <c r="D627" s="8">
        <f>$K$259/$M$259*100</f>
        <v>3.125</v>
      </c>
      <c r="E627" s="8">
        <f>$K$260/$M$260*100</f>
        <v>9.375</v>
      </c>
      <c r="F627" s="8">
        <f>$K$261/$M$261*100</f>
        <v>0</v>
      </c>
      <c r="G627" s="8">
        <f>SUM(B627:F627)</f>
        <v>46.875</v>
      </c>
      <c r="H627" s="8">
        <f>$K$277/$M$277*100</f>
        <v>0</v>
      </c>
      <c r="I627" s="8">
        <f>$K$278/$M$278*100</f>
        <v>25</v>
      </c>
      <c r="J627" s="8">
        <f>$K$279/$M$279*100</f>
        <v>12.5</v>
      </c>
      <c r="K627" s="8">
        <f>$K$280/$M$280*100</f>
        <v>12.5</v>
      </c>
      <c r="L627" s="8">
        <f>$K$281/$M$281*100</f>
        <v>0</v>
      </c>
      <c r="M627" s="8">
        <f>SUM(H627:L627)</f>
        <v>50</v>
      </c>
      <c r="N627" s="8">
        <f>$K$297/$M$297*100</f>
        <v>10</v>
      </c>
      <c r="O627" s="8">
        <f>$K$298/$M$298*100</f>
        <v>50</v>
      </c>
      <c r="P627" s="8">
        <f>$K$299/$M$299*100</f>
        <v>10</v>
      </c>
      <c r="Q627" s="8">
        <f>$K$300/$M$300*100</f>
        <v>15</v>
      </c>
      <c r="R627" s="8">
        <f>$K$311/$M$311*100</f>
        <v>0</v>
      </c>
      <c r="S627" s="8">
        <f>SUM(N627:R627)</f>
        <v>85</v>
      </c>
      <c r="T627" s="8">
        <f>$K$317/$M$317*100</f>
        <v>0</v>
      </c>
      <c r="U627" s="8">
        <f>$K$318/$M$318*100</f>
        <v>50</v>
      </c>
      <c r="V627" s="8">
        <f>$K$319/$M$319*100</f>
        <v>25</v>
      </c>
      <c r="W627" s="8">
        <f>$K$320/$M$320*100</f>
        <v>25</v>
      </c>
      <c r="X627" s="8">
        <f>$K$321/$M$321*100</f>
        <v>0</v>
      </c>
      <c r="Y627" s="8">
        <f>SUM(T627:X627)</f>
        <v>100</v>
      </c>
      <c r="AH627" s="27" t="s">
        <v>198</v>
      </c>
      <c r="AI627" s="27"/>
      <c r="AJ627" s="27"/>
      <c r="AK627" s="27"/>
      <c r="AL627" s="27"/>
      <c r="AM627" s="8" t="s">
        <v>199</v>
      </c>
    </row>
    <row r="628" spans="1:41" x14ac:dyDescent="0.2">
      <c r="A628" s="5" t="s">
        <v>58</v>
      </c>
      <c r="B628" s="8">
        <f>$K$337/$M$337*100</f>
        <v>4</v>
      </c>
      <c r="C628" s="8">
        <f>$K$338/$M$338*100</f>
        <v>20</v>
      </c>
      <c r="D628" s="8">
        <f>$K$339/$M$339*100</f>
        <v>16</v>
      </c>
      <c r="E628" s="8">
        <f>$K$340/$M$340*100</f>
        <v>12</v>
      </c>
      <c r="F628" s="8">
        <f>$K$341/$M$341*100</f>
        <v>0</v>
      </c>
      <c r="G628" s="8">
        <f>SUM(B628:F628)</f>
        <v>52</v>
      </c>
      <c r="H628" s="8">
        <f>$K$357/$M$357*100</f>
        <v>0</v>
      </c>
      <c r="I628" s="8">
        <f>$K$358/$M$358*100</f>
        <v>42.857142857142854</v>
      </c>
      <c r="J628" s="8">
        <f>$K$359/$M$359*100</f>
        <v>14.285714285714285</v>
      </c>
      <c r="K628" s="8">
        <f>$K$360/$M$360*100</f>
        <v>0</v>
      </c>
      <c r="L628" s="8">
        <f>$K$361/$M$361*100</f>
        <v>0</v>
      </c>
      <c r="M628" s="8">
        <f t="shared" ref="M628:M629" si="68">SUM(H628:L628)</f>
        <v>57.142857142857139</v>
      </c>
      <c r="N628" s="8">
        <f>$K$377/$M$377*100</f>
        <v>0</v>
      </c>
      <c r="O628" s="8">
        <f>$K$378/$M$378*100</f>
        <v>13.888888888888889</v>
      </c>
      <c r="P628" s="8">
        <f>$K$379/$M$379*100</f>
        <v>16.666666666666664</v>
      </c>
      <c r="Q628" s="8">
        <f>$K$380/$M$380*100</f>
        <v>8.3333333333333321</v>
      </c>
      <c r="R628" s="8">
        <f>$K$381/$M$381*100</f>
        <v>0</v>
      </c>
      <c r="S628" s="8">
        <f>SUM(N628:R628)</f>
        <v>38.888888888888886</v>
      </c>
      <c r="T628" s="8">
        <f>$K$397/$M$397*100</f>
        <v>0</v>
      </c>
      <c r="U628" s="8">
        <f>$K$398/$M$398*100</f>
        <v>0</v>
      </c>
      <c r="V628" s="8">
        <f>$K$399/$M$399*100</f>
        <v>0</v>
      </c>
      <c r="W628" s="8">
        <f>$K$400/$M$400*100</f>
        <v>33.333333333333329</v>
      </c>
      <c r="X628" s="8">
        <f>$K$411/$M$411*100</f>
        <v>0</v>
      </c>
      <c r="Y628" s="8">
        <f>SUM(T628:X628)</f>
        <v>33.333333333333329</v>
      </c>
      <c r="AH628" s="28">
        <f>AH624/AH621</f>
        <v>0.73596060506281336</v>
      </c>
      <c r="AI628" s="24">
        <f t="shared" ref="AI628:AK628" si="69">AI624/AI621</f>
        <v>0.68432786561447223</v>
      </c>
      <c r="AJ628" s="24">
        <f t="shared" si="69"/>
        <v>0.45098577414131713</v>
      </c>
      <c r="AK628" s="24">
        <f t="shared" si="69"/>
        <v>0.68585089020174472</v>
      </c>
      <c r="AM628" s="24">
        <f>AVERAGE(AH628:AK628)</f>
        <v>0.63928128375508686</v>
      </c>
      <c r="AN628" s="24"/>
    </row>
    <row r="629" spans="1:41" ht="16" thickBot="1" x14ac:dyDescent="0.25">
      <c r="A629" s="9" t="s">
        <v>59</v>
      </c>
      <c r="B629" s="8">
        <f>$K$417/$M$417*100</f>
        <v>0</v>
      </c>
      <c r="C629" s="8">
        <f>$K$418/$M$418*100</f>
        <v>4.4642857142857144</v>
      </c>
      <c r="D629" s="8">
        <f>$K$419/$M$419*100</f>
        <v>1.7857142857142856</v>
      </c>
      <c r="E629" s="8">
        <f>$K$420/$M$420*100</f>
        <v>3.5714285714285712</v>
      </c>
      <c r="F629" s="8">
        <f>$K$421/$M$421*100</f>
        <v>0</v>
      </c>
      <c r="G629" s="8">
        <f>SUM(B629:F629)</f>
        <v>9.8214285714285712</v>
      </c>
      <c r="H629" s="8">
        <f>$K$437/$M$437*100</f>
        <v>0</v>
      </c>
      <c r="I629" s="8">
        <f>$K$438/$M$438*100</f>
        <v>0</v>
      </c>
      <c r="J629" s="8">
        <f>$K$439/$M$439*100</f>
        <v>0</v>
      </c>
      <c r="K629" s="8">
        <f>$K$440/$M$440*100</f>
        <v>0</v>
      </c>
      <c r="L629" s="8">
        <f>$K$441/$M$441*100</f>
        <v>0</v>
      </c>
      <c r="M629" s="8">
        <f t="shared" si="68"/>
        <v>0</v>
      </c>
      <c r="N629" s="8">
        <f>$K$457/$M$457*100</f>
        <v>0</v>
      </c>
      <c r="O629" s="8">
        <f>$K$458/$M$458*100</f>
        <v>20.754716981132077</v>
      </c>
      <c r="P629" s="8">
        <f>$K$459/$M$459*100</f>
        <v>13.20754716981132</v>
      </c>
      <c r="Q629" s="8">
        <f>$K$460/$M$460*100</f>
        <v>20.754716981132077</v>
      </c>
      <c r="R629" s="8">
        <f>$K$461/$M$461*100</f>
        <v>0</v>
      </c>
      <c r="S629" s="8">
        <f>SUM(N629:R629)</f>
        <v>54.716981132075475</v>
      </c>
      <c r="T629" s="8">
        <f>$K$477/$M$477*100</f>
        <v>0</v>
      </c>
      <c r="U629" s="8">
        <f>$K$478/$M$478*100</f>
        <v>17.5</v>
      </c>
      <c r="V629" s="8">
        <f>$K$479/$M$479*100</f>
        <v>12.5</v>
      </c>
      <c r="W629" s="8">
        <f>$K$480/$M$480*100</f>
        <v>25</v>
      </c>
      <c r="X629" s="8">
        <f>$K$481/$M$481*100</f>
        <v>0</v>
      </c>
      <c r="Y629" s="8">
        <f>SUM(T629:X629)</f>
        <v>55</v>
      </c>
      <c r="AH629" s="24">
        <f t="shared" ref="AH629:AK630" si="70">AH625/AH622</f>
        <v>0.71917379184964625</v>
      </c>
      <c r="AI629" s="24">
        <f t="shared" si="70"/>
        <v>0.60055903683490264</v>
      </c>
      <c r="AJ629" s="24">
        <f t="shared" si="70"/>
        <v>0.46300569763680116</v>
      </c>
      <c r="AK629" s="24">
        <f t="shared" si="70"/>
        <v>0.67936822600569091</v>
      </c>
      <c r="AM629" s="24">
        <f t="shared" si="66"/>
        <v>0.61552668808176025</v>
      </c>
      <c r="AN629" s="24"/>
    </row>
    <row r="630" spans="1:41" ht="16" thickBot="1" x14ac:dyDescent="0.25">
      <c r="A630" s="10" t="s">
        <v>50</v>
      </c>
      <c r="B630" s="11">
        <f>AVERAGE(B627:B629)</f>
        <v>2.375</v>
      </c>
      <c r="C630" s="12">
        <f>AVERAGE(C627:C629)</f>
        <v>18.571428571428573</v>
      </c>
      <c r="D630" s="11">
        <f>AVERAGE(D627:D629)</f>
        <v>6.9702380952380949</v>
      </c>
      <c r="E630" s="11">
        <f>AVERAGE(E627:E629)</f>
        <v>8.3154761904761898</v>
      </c>
      <c r="F630" s="11">
        <f>AVERAGE(F627:F629)</f>
        <v>0</v>
      </c>
      <c r="G630" s="12"/>
      <c r="H630" s="11">
        <f>AVERAGE(H627:H629)</f>
        <v>0</v>
      </c>
      <c r="I630" s="13">
        <f>AVERAGE(I627:I629)</f>
        <v>22.61904761904762</v>
      </c>
      <c r="J630" s="14">
        <f>AVERAGE(J627:J629)</f>
        <v>8.9285714285714288</v>
      </c>
      <c r="K630" s="14">
        <f>AVERAGE(K627:K629)</f>
        <v>4.166666666666667</v>
      </c>
      <c r="L630" s="14">
        <f>AVERAGE(L627:L629)</f>
        <v>0</v>
      </c>
      <c r="M630" s="12"/>
      <c r="N630" s="14">
        <f>AVERAGE(N627:N629)</f>
        <v>3.3333333333333335</v>
      </c>
      <c r="O630" s="12">
        <f>AVERAGE(O627:O629)</f>
        <v>28.214535290006989</v>
      </c>
      <c r="P630" s="11">
        <f>AVERAGE(P627:P629)</f>
        <v>13.291404612159328</v>
      </c>
      <c r="Q630" s="11">
        <f>AVERAGE(Q627:Q629)</f>
        <v>14.696016771488468</v>
      </c>
      <c r="R630" s="11">
        <f>AVERAGE(R627:R629)</f>
        <v>0</v>
      </c>
      <c r="S630" s="15"/>
      <c r="T630" s="14">
        <f>AVERAGE(T627:T629)</f>
        <v>0</v>
      </c>
      <c r="U630" s="12">
        <f>AVERAGE(U627:U629)</f>
        <v>22.5</v>
      </c>
      <c r="V630" s="11">
        <f>AVERAGE(V627:V629)</f>
        <v>12.5</v>
      </c>
      <c r="W630" s="11">
        <f>AVERAGE(W627:W629)</f>
        <v>27.777777777777775</v>
      </c>
      <c r="X630" s="11">
        <f>AVERAGE(X627:X629)</f>
        <v>0</v>
      </c>
      <c r="Y630" s="15"/>
      <c r="Z630" s="8">
        <f>AVERAGE(B630,H630,N630,T630)</f>
        <v>1.4270833333333335</v>
      </c>
      <c r="AA630" s="8">
        <f>AVERAGE(C630,I630,O630,U630)</f>
        <v>22.976252870120796</v>
      </c>
      <c r="AB630" s="8">
        <f>AVERAGE(D630,J630,P630,V630)</f>
        <v>10.422553533992213</v>
      </c>
      <c r="AC630" s="8">
        <f>AVERAGE(E630,K630,Q630,W630)</f>
        <v>13.738984351602276</v>
      </c>
      <c r="AD630" s="8">
        <f>AVERAGE(F630,L630,R630,X630)</f>
        <v>0</v>
      </c>
      <c r="AH630" s="24">
        <f>AH626/AH623</f>
        <v>6.6610876443342695E-2</v>
      </c>
      <c r="AI630" s="24">
        <f>AI626/AI623</f>
        <v>0.6012477877413831</v>
      </c>
      <c r="AJ630" s="24">
        <f t="shared" si="70"/>
        <v>0.64754556231184479</v>
      </c>
      <c r="AK630" s="24">
        <f t="shared" si="70"/>
        <v>0.56618101469195037</v>
      </c>
      <c r="AM630" s="26">
        <f t="shared" si="66"/>
        <v>0.47039631029713025</v>
      </c>
      <c r="AN630" s="24"/>
    </row>
    <row r="631" spans="1:41" x14ac:dyDescent="0.2">
      <c r="AG631" t="s">
        <v>199</v>
      </c>
      <c r="AH631" s="25">
        <f>AVERAGE(AH628:AH630)</f>
        <v>0.50724842445193408</v>
      </c>
      <c r="AI631" s="25">
        <f t="shared" ref="AI631:AK631" si="71">AVERAGE(AI628:AI630)</f>
        <v>0.62871156339691936</v>
      </c>
      <c r="AJ631" s="25">
        <f t="shared" si="71"/>
        <v>0.52051234469665442</v>
      </c>
      <c r="AK631" s="25">
        <f t="shared" si="71"/>
        <v>0.6438000436331287</v>
      </c>
      <c r="AM631" s="25">
        <f>AVERAGE(AM628:AM630)</f>
        <v>0.57506809404465908</v>
      </c>
    </row>
  </sheetData>
  <mergeCells count="5">
    <mergeCell ref="A486:A487"/>
    <mergeCell ref="B486:F486"/>
    <mergeCell ref="H486:L486"/>
    <mergeCell ref="N486:R486"/>
    <mergeCell ref="T486:X48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49A7-7D3D-5043-AE2E-6E73BCCB5A79}">
  <dimension ref="A1:BI768"/>
  <sheetViews>
    <sheetView topLeftCell="AF467" zoomScale="60" zoomScaleNormal="60" workbookViewId="0">
      <selection activeCell="AO464" sqref="AO464"/>
    </sheetView>
  </sheetViews>
  <sheetFormatPr baseColWidth="10" defaultColWidth="8.83203125" defaultRowHeight="15" x14ac:dyDescent="0.2"/>
  <cols>
    <col min="1" max="1" width="30.1640625" bestFit="1" customWidth="1"/>
    <col min="2" max="2" width="20" customWidth="1"/>
    <col min="3" max="3" width="8" customWidth="1"/>
    <col min="4" max="4" width="12" customWidth="1"/>
    <col min="5" max="5" width="30.5" bestFit="1" customWidth="1"/>
    <col min="6" max="6" width="12" customWidth="1"/>
    <col min="7" max="7" width="18" customWidth="1"/>
    <col min="8" max="8" width="14" customWidth="1"/>
    <col min="9" max="14" width="20" customWidth="1"/>
    <col min="15" max="15" width="13" customWidth="1"/>
    <col min="22" max="22" width="10.5" bestFit="1" customWidth="1"/>
    <col min="28" max="28" width="13.83203125" bestFit="1" customWidth="1"/>
    <col min="29" max="29" width="15.1640625" bestFit="1" customWidth="1"/>
    <col min="32" max="32" width="15.1640625" bestFit="1" customWidth="1"/>
    <col min="38" max="38" width="14.33203125" bestFit="1" customWidth="1"/>
    <col min="39" max="39" width="15.6640625" bestFit="1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103</v>
      </c>
      <c r="B2" t="s">
        <v>16</v>
      </c>
      <c r="C2" t="s">
        <v>17</v>
      </c>
      <c r="D2" t="s">
        <v>75</v>
      </c>
      <c r="E2" t="s">
        <v>106</v>
      </c>
      <c r="F2">
        <v>3</v>
      </c>
      <c r="G2" t="s">
        <v>19</v>
      </c>
      <c r="H2" t="s">
        <v>20</v>
      </c>
      <c r="I2">
        <v>212</v>
      </c>
      <c r="J2">
        <v>85</v>
      </c>
      <c r="K2">
        <v>0</v>
      </c>
      <c r="L2">
        <v>261</v>
      </c>
      <c r="M2">
        <v>98</v>
      </c>
      <c r="N2">
        <v>0</v>
      </c>
      <c r="O2">
        <v>997</v>
      </c>
    </row>
    <row r="3" spans="1:15" x14ac:dyDescent="0.2">
      <c r="A3" t="s">
        <v>103</v>
      </c>
      <c r="B3" t="s">
        <v>16</v>
      </c>
      <c r="C3" t="s">
        <v>17</v>
      </c>
      <c r="D3" t="s">
        <v>75</v>
      </c>
      <c r="E3" t="s">
        <v>106</v>
      </c>
      <c r="F3">
        <v>3</v>
      </c>
      <c r="G3" t="s">
        <v>19</v>
      </c>
      <c r="H3" t="s">
        <v>21</v>
      </c>
      <c r="I3">
        <v>17</v>
      </c>
      <c r="J3">
        <v>9</v>
      </c>
      <c r="K3">
        <v>0</v>
      </c>
      <c r="L3">
        <v>261</v>
      </c>
      <c r="M3">
        <v>98</v>
      </c>
      <c r="N3">
        <v>0</v>
      </c>
      <c r="O3">
        <v>997</v>
      </c>
    </row>
    <row r="4" spans="1:15" x14ac:dyDescent="0.2">
      <c r="A4" t="s">
        <v>103</v>
      </c>
      <c r="B4" t="s">
        <v>16</v>
      </c>
      <c r="C4" t="s">
        <v>17</v>
      </c>
      <c r="D4" t="s">
        <v>75</v>
      </c>
      <c r="E4" t="s">
        <v>106</v>
      </c>
      <c r="F4">
        <v>3</v>
      </c>
      <c r="G4" t="s">
        <v>19</v>
      </c>
      <c r="H4" t="s">
        <v>22</v>
      </c>
      <c r="I4">
        <v>2</v>
      </c>
      <c r="J4">
        <v>0</v>
      </c>
      <c r="K4">
        <v>0</v>
      </c>
      <c r="L4">
        <v>261</v>
      </c>
      <c r="M4">
        <v>98</v>
      </c>
      <c r="N4">
        <v>0</v>
      </c>
      <c r="O4">
        <v>997</v>
      </c>
    </row>
    <row r="5" spans="1:15" x14ac:dyDescent="0.2">
      <c r="A5" t="s">
        <v>103</v>
      </c>
      <c r="B5" t="s">
        <v>16</v>
      </c>
      <c r="C5" t="s">
        <v>17</v>
      </c>
      <c r="D5" t="s">
        <v>75</v>
      </c>
      <c r="E5" t="s">
        <v>106</v>
      </c>
      <c r="F5">
        <v>3</v>
      </c>
      <c r="G5" t="s">
        <v>19</v>
      </c>
      <c r="H5" t="s">
        <v>23</v>
      </c>
      <c r="I5">
        <v>30</v>
      </c>
      <c r="J5">
        <v>4</v>
      </c>
      <c r="K5">
        <v>0</v>
      </c>
      <c r="L5">
        <v>261</v>
      </c>
      <c r="M5">
        <v>98</v>
      </c>
      <c r="N5">
        <v>0</v>
      </c>
      <c r="O5">
        <v>997</v>
      </c>
    </row>
    <row r="6" spans="1:15" x14ac:dyDescent="0.2">
      <c r="A6" t="s">
        <v>103</v>
      </c>
      <c r="B6" t="s">
        <v>16</v>
      </c>
      <c r="C6" t="s">
        <v>17</v>
      </c>
      <c r="D6" t="s">
        <v>75</v>
      </c>
      <c r="E6" t="s">
        <v>106</v>
      </c>
      <c r="F6">
        <v>3</v>
      </c>
      <c r="G6" t="s">
        <v>19</v>
      </c>
      <c r="H6" t="s">
        <v>24</v>
      </c>
      <c r="I6">
        <v>0</v>
      </c>
      <c r="J6">
        <v>0</v>
      </c>
      <c r="K6">
        <v>0</v>
      </c>
      <c r="L6">
        <v>261</v>
      </c>
      <c r="M6">
        <v>98</v>
      </c>
      <c r="N6">
        <v>0</v>
      </c>
      <c r="O6">
        <v>997</v>
      </c>
    </row>
    <row r="7" spans="1:15" x14ac:dyDescent="0.2">
      <c r="A7" t="s">
        <v>103</v>
      </c>
      <c r="B7" t="s">
        <v>16</v>
      </c>
      <c r="C7" t="s">
        <v>17</v>
      </c>
      <c r="D7" t="s">
        <v>75</v>
      </c>
      <c r="E7" t="s">
        <v>185</v>
      </c>
      <c r="F7">
        <v>3</v>
      </c>
      <c r="G7" t="s">
        <v>130</v>
      </c>
      <c r="H7" t="s">
        <v>20</v>
      </c>
      <c r="I7">
        <v>137</v>
      </c>
      <c r="J7">
        <v>63</v>
      </c>
      <c r="K7">
        <v>0</v>
      </c>
      <c r="L7">
        <v>179</v>
      </c>
      <c r="M7">
        <v>71</v>
      </c>
      <c r="N7">
        <v>0</v>
      </c>
      <c r="O7">
        <v>1000</v>
      </c>
    </row>
    <row r="8" spans="1:15" x14ac:dyDescent="0.2">
      <c r="A8" t="s">
        <v>103</v>
      </c>
      <c r="B8" t="s">
        <v>16</v>
      </c>
      <c r="C8" t="s">
        <v>17</v>
      </c>
      <c r="D8" t="s">
        <v>75</v>
      </c>
      <c r="E8" t="s">
        <v>185</v>
      </c>
      <c r="F8">
        <v>3</v>
      </c>
      <c r="G8" t="s">
        <v>130</v>
      </c>
      <c r="H8" t="s">
        <v>21</v>
      </c>
      <c r="I8">
        <v>17</v>
      </c>
      <c r="J8">
        <v>5</v>
      </c>
      <c r="K8">
        <v>0</v>
      </c>
      <c r="L8">
        <v>179</v>
      </c>
      <c r="M8">
        <v>71</v>
      </c>
      <c r="N8">
        <v>0</v>
      </c>
      <c r="O8">
        <v>1000</v>
      </c>
    </row>
    <row r="9" spans="1:15" x14ac:dyDescent="0.2">
      <c r="A9" t="s">
        <v>103</v>
      </c>
      <c r="B9" t="s">
        <v>16</v>
      </c>
      <c r="C9" t="s">
        <v>17</v>
      </c>
      <c r="D9" t="s">
        <v>75</v>
      </c>
      <c r="E9" t="s">
        <v>185</v>
      </c>
      <c r="F9">
        <v>3</v>
      </c>
      <c r="G9" t="s">
        <v>130</v>
      </c>
      <c r="H9" t="s">
        <v>22</v>
      </c>
      <c r="I9">
        <v>0</v>
      </c>
      <c r="J9">
        <v>1</v>
      </c>
      <c r="K9">
        <v>0</v>
      </c>
      <c r="L9">
        <v>179</v>
      </c>
      <c r="M9">
        <v>71</v>
      </c>
      <c r="N9">
        <v>0</v>
      </c>
      <c r="O9">
        <v>1000</v>
      </c>
    </row>
    <row r="10" spans="1:15" x14ac:dyDescent="0.2">
      <c r="A10" t="s">
        <v>103</v>
      </c>
      <c r="B10" t="s">
        <v>16</v>
      </c>
      <c r="C10" t="s">
        <v>17</v>
      </c>
      <c r="D10" t="s">
        <v>75</v>
      </c>
      <c r="E10" t="s">
        <v>185</v>
      </c>
      <c r="F10">
        <v>3</v>
      </c>
      <c r="G10" t="s">
        <v>130</v>
      </c>
      <c r="H10" t="s">
        <v>23</v>
      </c>
      <c r="I10">
        <v>25</v>
      </c>
      <c r="J10">
        <v>2</v>
      </c>
      <c r="K10">
        <v>0</v>
      </c>
      <c r="L10">
        <v>179</v>
      </c>
      <c r="M10">
        <v>71</v>
      </c>
      <c r="N10">
        <v>0</v>
      </c>
      <c r="O10">
        <v>1000</v>
      </c>
    </row>
    <row r="11" spans="1:15" x14ac:dyDescent="0.2">
      <c r="A11" t="s">
        <v>103</v>
      </c>
      <c r="B11" t="s">
        <v>16</v>
      </c>
      <c r="C11" t="s">
        <v>17</v>
      </c>
      <c r="D11" t="s">
        <v>75</v>
      </c>
      <c r="E11" t="s">
        <v>185</v>
      </c>
      <c r="F11">
        <v>3</v>
      </c>
      <c r="G11" t="s">
        <v>130</v>
      </c>
      <c r="H11" t="s">
        <v>24</v>
      </c>
      <c r="I11">
        <v>0</v>
      </c>
      <c r="J11">
        <v>0</v>
      </c>
      <c r="K11">
        <v>0</v>
      </c>
      <c r="L11">
        <v>179</v>
      </c>
      <c r="M11">
        <v>71</v>
      </c>
      <c r="N11">
        <v>0</v>
      </c>
      <c r="O11">
        <v>1000</v>
      </c>
    </row>
    <row r="12" spans="1:15" x14ac:dyDescent="0.2">
      <c r="A12" t="s">
        <v>103</v>
      </c>
      <c r="B12" t="s">
        <v>16</v>
      </c>
      <c r="C12" t="s">
        <v>17</v>
      </c>
      <c r="D12" t="s">
        <v>75</v>
      </c>
      <c r="E12" t="s">
        <v>184</v>
      </c>
      <c r="F12">
        <v>3</v>
      </c>
      <c r="G12" t="s">
        <v>128</v>
      </c>
      <c r="H12" t="s">
        <v>20</v>
      </c>
      <c r="I12">
        <v>142</v>
      </c>
      <c r="J12">
        <v>57</v>
      </c>
      <c r="K12">
        <v>0</v>
      </c>
      <c r="L12">
        <v>188</v>
      </c>
      <c r="M12">
        <v>61</v>
      </c>
      <c r="N12">
        <v>0</v>
      </c>
      <c r="O12">
        <v>1000</v>
      </c>
    </row>
    <row r="13" spans="1:15" x14ac:dyDescent="0.2">
      <c r="A13" t="s">
        <v>103</v>
      </c>
      <c r="B13" t="s">
        <v>16</v>
      </c>
      <c r="C13" t="s">
        <v>17</v>
      </c>
      <c r="D13" t="s">
        <v>75</v>
      </c>
      <c r="E13" t="s">
        <v>184</v>
      </c>
      <c r="F13">
        <v>3</v>
      </c>
      <c r="G13" t="s">
        <v>128</v>
      </c>
      <c r="H13" t="s">
        <v>21</v>
      </c>
      <c r="I13">
        <v>19</v>
      </c>
      <c r="J13">
        <v>4</v>
      </c>
      <c r="K13">
        <v>0</v>
      </c>
      <c r="L13">
        <v>188</v>
      </c>
      <c r="M13">
        <v>61</v>
      </c>
      <c r="N13">
        <v>0</v>
      </c>
      <c r="O13">
        <v>1000</v>
      </c>
    </row>
    <row r="14" spans="1:15" x14ac:dyDescent="0.2">
      <c r="A14" t="s">
        <v>103</v>
      </c>
      <c r="B14" t="s">
        <v>16</v>
      </c>
      <c r="C14" t="s">
        <v>17</v>
      </c>
      <c r="D14" t="s">
        <v>75</v>
      </c>
      <c r="E14" t="s">
        <v>184</v>
      </c>
      <c r="F14">
        <v>3</v>
      </c>
      <c r="G14" t="s">
        <v>128</v>
      </c>
      <c r="H14" t="s">
        <v>22</v>
      </c>
      <c r="I14">
        <v>2</v>
      </c>
      <c r="J14">
        <v>0</v>
      </c>
      <c r="K14">
        <v>0</v>
      </c>
      <c r="L14">
        <v>188</v>
      </c>
      <c r="M14">
        <v>61</v>
      </c>
      <c r="N14">
        <v>0</v>
      </c>
      <c r="O14">
        <v>1000</v>
      </c>
    </row>
    <row r="15" spans="1:15" x14ac:dyDescent="0.2">
      <c r="A15" t="s">
        <v>103</v>
      </c>
      <c r="B15" t="s">
        <v>16</v>
      </c>
      <c r="C15" t="s">
        <v>17</v>
      </c>
      <c r="D15" t="s">
        <v>75</v>
      </c>
      <c r="E15" t="s">
        <v>184</v>
      </c>
      <c r="F15">
        <v>3</v>
      </c>
      <c r="G15" t="s">
        <v>128</v>
      </c>
      <c r="H15" t="s">
        <v>23</v>
      </c>
      <c r="I15">
        <v>25</v>
      </c>
      <c r="J15">
        <v>0</v>
      </c>
      <c r="K15">
        <v>0</v>
      </c>
      <c r="L15">
        <v>188</v>
      </c>
      <c r="M15">
        <v>61</v>
      </c>
      <c r="N15">
        <v>0</v>
      </c>
      <c r="O15">
        <v>1000</v>
      </c>
    </row>
    <row r="16" spans="1:15" x14ac:dyDescent="0.2">
      <c r="A16" t="s">
        <v>103</v>
      </c>
      <c r="B16" t="s">
        <v>16</v>
      </c>
      <c r="C16" t="s">
        <v>17</v>
      </c>
      <c r="D16" t="s">
        <v>75</v>
      </c>
      <c r="E16" t="s">
        <v>184</v>
      </c>
      <c r="F16">
        <v>3</v>
      </c>
      <c r="G16" t="s">
        <v>128</v>
      </c>
      <c r="H16" t="s">
        <v>24</v>
      </c>
      <c r="I16">
        <v>0</v>
      </c>
      <c r="J16">
        <v>0</v>
      </c>
      <c r="K16">
        <v>0</v>
      </c>
      <c r="L16">
        <v>188</v>
      </c>
      <c r="M16">
        <v>61</v>
      </c>
      <c r="N16">
        <v>0</v>
      </c>
      <c r="O16">
        <v>1000</v>
      </c>
    </row>
    <row r="17" spans="1:15" x14ac:dyDescent="0.2">
      <c r="A17" t="s">
        <v>103</v>
      </c>
      <c r="B17" t="s">
        <v>16</v>
      </c>
      <c r="C17" t="s">
        <v>17</v>
      </c>
      <c r="D17" t="s">
        <v>75</v>
      </c>
      <c r="E17" t="s">
        <v>183</v>
      </c>
      <c r="F17">
        <v>3</v>
      </c>
      <c r="G17" t="s">
        <v>126</v>
      </c>
      <c r="H17" t="s">
        <v>20</v>
      </c>
      <c r="I17">
        <v>136</v>
      </c>
      <c r="J17">
        <v>61</v>
      </c>
      <c r="K17">
        <v>0</v>
      </c>
      <c r="L17">
        <v>171</v>
      </c>
      <c r="M17">
        <v>70</v>
      </c>
      <c r="N17">
        <v>0</v>
      </c>
      <c r="O17">
        <v>999</v>
      </c>
    </row>
    <row r="18" spans="1:15" x14ac:dyDescent="0.2">
      <c r="A18" t="s">
        <v>103</v>
      </c>
      <c r="B18" t="s">
        <v>16</v>
      </c>
      <c r="C18" t="s">
        <v>17</v>
      </c>
      <c r="D18" t="s">
        <v>75</v>
      </c>
      <c r="E18" t="s">
        <v>183</v>
      </c>
      <c r="F18">
        <v>3</v>
      </c>
      <c r="G18" t="s">
        <v>126</v>
      </c>
      <c r="H18" t="s">
        <v>21</v>
      </c>
      <c r="I18">
        <v>16</v>
      </c>
      <c r="J18">
        <v>3</v>
      </c>
      <c r="K18">
        <v>0</v>
      </c>
      <c r="L18">
        <v>171</v>
      </c>
      <c r="M18">
        <v>70</v>
      </c>
      <c r="N18">
        <v>0</v>
      </c>
      <c r="O18">
        <v>999</v>
      </c>
    </row>
    <row r="19" spans="1:15" x14ac:dyDescent="0.2">
      <c r="A19" t="s">
        <v>103</v>
      </c>
      <c r="B19" t="s">
        <v>16</v>
      </c>
      <c r="C19" t="s">
        <v>17</v>
      </c>
      <c r="D19" t="s">
        <v>75</v>
      </c>
      <c r="E19" t="s">
        <v>183</v>
      </c>
      <c r="F19">
        <v>3</v>
      </c>
      <c r="G19" t="s">
        <v>126</v>
      </c>
      <c r="H19" t="s">
        <v>22</v>
      </c>
      <c r="I19">
        <v>0</v>
      </c>
      <c r="J19">
        <v>1</v>
      </c>
      <c r="K19">
        <v>0</v>
      </c>
      <c r="L19">
        <v>171</v>
      </c>
      <c r="M19">
        <v>70</v>
      </c>
      <c r="N19">
        <v>0</v>
      </c>
      <c r="O19">
        <v>999</v>
      </c>
    </row>
    <row r="20" spans="1:15" x14ac:dyDescent="0.2">
      <c r="A20" t="s">
        <v>103</v>
      </c>
      <c r="B20" t="s">
        <v>16</v>
      </c>
      <c r="C20" t="s">
        <v>17</v>
      </c>
      <c r="D20" t="s">
        <v>75</v>
      </c>
      <c r="E20" t="s">
        <v>183</v>
      </c>
      <c r="F20">
        <v>3</v>
      </c>
      <c r="G20" t="s">
        <v>126</v>
      </c>
      <c r="H20" t="s">
        <v>23</v>
      </c>
      <c r="I20">
        <v>19</v>
      </c>
      <c r="J20">
        <v>5</v>
      </c>
      <c r="K20">
        <v>0</v>
      </c>
      <c r="L20">
        <v>171</v>
      </c>
      <c r="M20">
        <v>70</v>
      </c>
      <c r="N20">
        <v>0</v>
      </c>
      <c r="O20">
        <v>999</v>
      </c>
    </row>
    <row r="21" spans="1:15" x14ac:dyDescent="0.2">
      <c r="A21" t="s">
        <v>103</v>
      </c>
      <c r="B21" t="s">
        <v>16</v>
      </c>
      <c r="C21" t="s">
        <v>17</v>
      </c>
      <c r="D21" t="s">
        <v>75</v>
      </c>
      <c r="E21" t="s">
        <v>183</v>
      </c>
      <c r="F21">
        <v>3</v>
      </c>
      <c r="G21" t="s">
        <v>126</v>
      </c>
      <c r="H21" t="s">
        <v>24</v>
      </c>
      <c r="I21">
        <v>0</v>
      </c>
      <c r="J21">
        <v>0</v>
      </c>
      <c r="K21">
        <v>0</v>
      </c>
      <c r="L21">
        <v>171</v>
      </c>
      <c r="M21">
        <v>70</v>
      </c>
      <c r="N21">
        <v>0</v>
      </c>
      <c r="O21">
        <v>999</v>
      </c>
    </row>
    <row r="22" spans="1:15" x14ac:dyDescent="0.2">
      <c r="A22" t="s">
        <v>91</v>
      </c>
      <c r="B22" t="s">
        <v>16</v>
      </c>
      <c r="C22" t="s">
        <v>17</v>
      </c>
      <c r="D22" t="s">
        <v>75</v>
      </c>
      <c r="E22" t="s">
        <v>94</v>
      </c>
      <c r="F22">
        <v>3</v>
      </c>
      <c r="G22" t="s">
        <v>19</v>
      </c>
      <c r="H22" t="s">
        <v>20</v>
      </c>
      <c r="I22">
        <v>38</v>
      </c>
      <c r="J22">
        <v>15</v>
      </c>
      <c r="K22">
        <v>0</v>
      </c>
      <c r="L22">
        <v>46</v>
      </c>
      <c r="M22">
        <v>18</v>
      </c>
      <c r="N22">
        <v>0</v>
      </c>
      <c r="O22">
        <v>996</v>
      </c>
    </row>
    <row r="23" spans="1:15" x14ac:dyDescent="0.2">
      <c r="A23" t="s">
        <v>91</v>
      </c>
      <c r="B23" t="s">
        <v>16</v>
      </c>
      <c r="C23" t="s">
        <v>17</v>
      </c>
      <c r="D23" t="s">
        <v>75</v>
      </c>
      <c r="E23" t="s">
        <v>94</v>
      </c>
      <c r="F23">
        <v>3</v>
      </c>
      <c r="G23" t="s">
        <v>19</v>
      </c>
      <c r="H23" t="s">
        <v>21</v>
      </c>
      <c r="I23">
        <v>4</v>
      </c>
      <c r="J23">
        <v>0</v>
      </c>
      <c r="K23">
        <v>0</v>
      </c>
      <c r="L23">
        <v>46</v>
      </c>
      <c r="M23">
        <v>18</v>
      </c>
      <c r="N23">
        <v>0</v>
      </c>
      <c r="O23">
        <v>996</v>
      </c>
    </row>
    <row r="24" spans="1:15" x14ac:dyDescent="0.2">
      <c r="A24" t="s">
        <v>91</v>
      </c>
      <c r="B24" t="s">
        <v>16</v>
      </c>
      <c r="C24" t="s">
        <v>17</v>
      </c>
      <c r="D24" t="s">
        <v>75</v>
      </c>
      <c r="E24" t="s">
        <v>94</v>
      </c>
      <c r="F24">
        <v>3</v>
      </c>
      <c r="G24" t="s">
        <v>19</v>
      </c>
      <c r="H24" t="s">
        <v>22</v>
      </c>
      <c r="I24">
        <v>2</v>
      </c>
      <c r="J24">
        <v>0</v>
      </c>
      <c r="K24">
        <v>0</v>
      </c>
      <c r="L24">
        <v>46</v>
      </c>
      <c r="M24">
        <v>18</v>
      </c>
      <c r="N24">
        <v>0</v>
      </c>
      <c r="O24">
        <v>996</v>
      </c>
    </row>
    <row r="25" spans="1:15" x14ac:dyDescent="0.2">
      <c r="A25" t="s">
        <v>91</v>
      </c>
      <c r="B25" t="s">
        <v>16</v>
      </c>
      <c r="C25" t="s">
        <v>17</v>
      </c>
      <c r="D25" t="s">
        <v>75</v>
      </c>
      <c r="E25" t="s">
        <v>94</v>
      </c>
      <c r="F25">
        <v>3</v>
      </c>
      <c r="G25" t="s">
        <v>19</v>
      </c>
      <c r="H25" t="s">
        <v>23</v>
      </c>
      <c r="I25">
        <v>2</v>
      </c>
      <c r="J25">
        <v>3</v>
      </c>
      <c r="K25">
        <v>0</v>
      </c>
      <c r="L25">
        <v>46</v>
      </c>
      <c r="M25">
        <v>18</v>
      </c>
      <c r="N25">
        <v>0</v>
      </c>
      <c r="O25">
        <v>996</v>
      </c>
    </row>
    <row r="26" spans="1:15" x14ac:dyDescent="0.2">
      <c r="A26" t="s">
        <v>91</v>
      </c>
      <c r="B26" t="s">
        <v>16</v>
      </c>
      <c r="C26" t="s">
        <v>17</v>
      </c>
      <c r="D26" t="s">
        <v>75</v>
      </c>
      <c r="E26" t="s">
        <v>94</v>
      </c>
      <c r="F26">
        <v>3</v>
      </c>
      <c r="G26" t="s">
        <v>19</v>
      </c>
      <c r="H26" t="s">
        <v>24</v>
      </c>
      <c r="I26">
        <v>0</v>
      </c>
      <c r="J26">
        <v>0</v>
      </c>
      <c r="K26">
        <v>0</v>
      </c>
      <c r="L26">
        <v>46</v>
      </c>
      <c r="M26">
        <v>18</v>
      </c>
      <c r="N26">
        <v>0</v>
      </c>
      <c r="O26">
        <v>996</v>
      </c>
    </row>
    <row r="27" spans="1:15" x14ac:dyDescent="0.2">
      <c r="A27" t="s">
        <v>91</v>
      </c>
      <c r="B27" t="s">
        <v>16</v>
      </c>
      <c r="C27" t="s">
        <v>17</v>
      </c>
      <c r="D27" t="s">
        <v>75</v>
      </c>
      <c r="E27" t="s">
        <v>182</v>
      </c>
      <c r="F27">
        <v>3</v>
      </c>
      <c r="G27" t="s">
        <v>130</v>
      </c>
      <c r="H27" t="s">
        <v>20</v>
      </c>
      <c r="I27">
        <v>27</v>
      </c>
      <c r="J27">
        <v>12</v>
      </c>
      <c r="K27">
        <v>0</v>
      </c>
      <c r="L27">
        <v>32</v>
      </c>
      <c r="M27">
        <v>16</v>
      </c>
      <c r="N27">
        <v>0</v>
      </c>
      <c r="O27">
        <v>994</v>
      </c>
    </row>
    <row r="28" spans="1:15" x14ac:dyDescent="0.2">
      <c r="A28" t="s">
        <v>91</v>
      </c>
      <c r="B28" t="s">
        <v>16</v>
      </c>
      <c r="C28" t="s">
        <v>17</v>
      </c>
      <c r="D28" t="s">
        <v>75</v>
      </c>
      <c r="E28" t="s">
        <v>182</v>
      </c>
      <c r="F28">
        <v>3</v>
      </c>
      <c r="G28" t="s">
        <v>130</v>
      </c>
      <c r="H28" t="s">
        <v>21</v>
      </c>
      <c r="I28">
        <v>0</v>
      </c>
      <c r="J28">
        <v>2</v>
      </c>
      <c r="K28">
        <v>0</v>
      </c>
      <c r="L28">
        <v>32</v>
      </c>
      <c r="M28">
        <v>16</v>
      </c>
      <c r="N28">
        <v>0</v>
      </c>
      <c r="O28">
        <v>994</v>
      </c>
    </row>
    <row r="29" spans="1:15" x14ac:dyDescent="0.2">
      <c r="A29" t="s">
        <v>91</v>
      </c>
      <c r="B29" t="s">
        <v>16</v>
      </c>
      <c r="C29" t="s">
        <v>17</v>
      </c>
      <c r="D29" t="s">
        <v>75</v>
      </c>
      <c r="E29" t="s">
        <v>182</v>
      </c>
      <c r="F29">
        <v>3</v>
      </c>
      <c r="G29" t="s">
        <v>130</v>
      </c>
      <c r="H29" t="s">
        <v>22</v>
      </c>
      <c r="I29">
        <v>0</v>
      </c>
      <c r="J29">
        <v>0</v>
      </c>
      <c r="K29">
        <v>0</v>
      </c>
      <c r="L29">
        <v>32</v>
      </c>
      <c r="M29">
        <v>16</v>
      </c>
      <c r="N29">
        <v>0</v>
      </c>
      <c r="O29">
        <v>994</v>
      </c>
    </row>
    <row r="30" spans="1:15" x14ac:dyDescent="0.2">
      <c r="A30" t="s">
        <v>91</v>
      </c>
      <c r="B30" t="s">
        <v>16</v>
      </c>
      <c r="C30" t="s">
        <v>17</v>
      </c>
      <c r="D30" t="s">
        <v>75</v>
      </c>
      <c r="E30" t="s">
        <v>182</v>
      </c>
      <c r="F30">
        <v>3</v>
      </c>
      <c r="G30" t="s">
        <v>130</v>
      </c>
      <c r="H30" t="s">
        <v>23</v>
      </c>
      <c r="I30">
        <v>5</v>
      </c>
      <c r="J30">
        <v>2</v>
      </c>
      <c r="K30">
        <v>0</v>
      </c>
      <c r="L30">
        <v>32</v>
      </c>
      <c r="M30">
        <v>16</v>
      </c>
      <c r="N30">
        <v>0</v>
      </c>
      <c r="O30">
        <v>994</v>
      </c>
    </row>
    <row r="31" spans="1:15" x14ac:dyDescent="0.2">
      <c r="A31" t="s">
        <v>91</v>
      </c>
      <c r="B31" t="s">
        <v>16</v>
      </c>
      <c r="C31" t="s">
        <v>17</v>
      </c>
      <c r="D31" t="s">
        <v>75</v>
      </c>
      <c r="E31" t="s">
        <v>182</v>
      </c>
      <c r="F31">
        <v>3</v>
      </c>
      <c r="G31" t="s">
        <v>130</v>
      </c>
      <c r="H31" t="s">
        <v>24</v>
      </c>
      <c r="I31">
        <v>0</v>
      </c>
      <c r="J31">
        <v>0</v>
      </c>
      <c r="K31">
        <v>0</v>
      </c>
      <c r="L31">
        <v>32</v>
      </c>
      <c r="M31">
        <v>16</v>
      </c>
      <c r="N31">
        <v>0</v>
      </c>
      <c r="O31">
        <v>994</v>
      </c>
    </row>
    <row r="32" spans="1:15" x14ac:dyDescent="0.2">
      <c r="A32" t="s">
        <v>91</v>
      </c>
      <c r="B32" t="s">
        <v>16</v>
      </c>
      <c r="C32" t="s">
        <v>17</v>
      </c>
      <c r="D32" t="s">
        <v>75</v>
      </c>
      <c r="E32" t="s">
        <v>181</v>
      </c>
      <c r="F32">
        <v>3</v>
      </c>
      <c r="G32" t="s">
        <v>128</v>
      </c>
      <c r="H32" t="s">
        <v>20</v>
      </c>
      <c r="I32">
        <v>24</v>
      </c>
      <c r="J32">
        <v>10</v>
      </c>
      <c r="K32">
        <v>0</v>
      </c>
      <c r="L32">
        <v>29</v>
      </c>
      <c r="M32">
        <v>10</v>
      </c>
      <c r="N32">
        <v>0</v>
      </c>
      <c r="O32">
        <v>994</v>
      </c>
    </row>
    <row r="33" spans="1:15" x14ac:dyDescent="0.2">
      <c r="A33" t="s">
        <v>91</v>
      </c>
      <c r="B33" t="s">
        <v>16</v>
      </c>
      <c r="C33" t="s">
        <v>17</v>
      </c>
      <c r="D33" t="s">
        <v>75</v>
      </c>
      <c r="E33" t="s">
        <v>181</v>
      </c>
      <c r="F33">
        <v>3</v>
      </c>
      <c r="G33" t="s">
        <v>128</v>
      </c>
      <c r="H33" t="s">
        <v>21</v>
      </c>
      <c r="I33">
        <v>3</v>
      </c>
      <c r="J33">
        <v>0</v>
      </c>
      <c r="K33">
        <v>0</v>
      </c>
      <c r="L33">
        <v>29</v>
      </c>
      <c r="M33">
        <v>10</v>
      </c>
      <c r="N33">
        <v>0</v>
      </c>
      <c r="O33">
        <v>994</v>
      </c>
    </row>
    <row r="34" spans="1:15" x14ac:dyDescent="0.2">
      <c r="A34" t="s">
        <v>91</v>
      </c>
      <c r="B34" t="s">
        <v>16</v>
      </c>
      <c r="C34" t="s">
        <v>17</v>
      </c>
      <c r="D34" t="s">
        <v>75</v>
      </c>
      <c r="E34" t="s">
        <v>181</v>
      </c>
      <c r="F34">
        <v>3</v>
      </c>
      <c r="G34" t="s">
        <v>128</v>
      </c>
      <c r="H34" t="s">
        <v>22</v>
      </c>
      <c r="I34">
        <v>1</v>
      </c>
      <c r="J34">
        <v>0</v>
      </c>
      <c r="K34">
        <v>0</v>
      </c>
      <c r="L34">
        <v>29</v>
      </c>
      <c r="M34">
        <v>10</v>
      </c>
      <c r="N34">
        <v>0</v>
      </c>
      <c r="O34">
        <v>994</v>
      </c>
    </row>
    <row r="35" spans="1:15" x14ac:dyDescent="0.2">
      <c r="A35" t="s">
        <v>91</v>
      </c>
      <c r="B35" t="s">
        <v>16</v>
      </c>
      <c r="C35" t="s">
        <v>17</v>
      </c>
      <c r="D35" t="s">
        <v>75</v>
      </c>
      <c r="E35" t="s">
        <v>181</v>
      </c>
      <c r="F35">
        <v>3</v>
      </c>
      <c r="G35" t="s">
        <v>128</v>
      </c>
      <c r="H35" t="s">
        <v>23</v>
      </c>
      <c r="I35">
        <v>1</v>
      </c>
      <c r="J35">
        <v>0</v>
      </c>
      <c r="K35">
        <v>0</v>
      </c>
      <c r="L35">
        <v>29</v>
      </c>
      <c r="M35">
        <v>10</v>
      </c>
      <c r="N35">
        <v>0</v>
      </c>
      <c r="O35">
        <v>994</v>
      </c>
    </row>
    <row r="36" spans="1:15" x14ac:dyDescent="0.2">
      <c r="A36" t="s">
        <v>91</v>
      </c>
      <c r="B36" t="s">
        <v>16</v>
      </c>
      <c r="C36" t="s">
        <v>17</v>
      </c>
      <c r="D36" t="s">
        <v>75</v>
      </c>
      <c r="E36" t="s">
        <v>181</v>
      </c>
      <c r="F36">
        <v>3</v>
      </c>
      <c r="G36" t="s">
        <v>128</v>
      </c>
      <c r="H36" t="s">
        <v>24</v>
      </c>
      <c r="I36">
        <v>0</v>
      </c>
      <c r="J36">
        <v>0</v>
      </c>
      <c r="K36">
        <v>0</v>
      </c>
      <c r="L36">
        <v>29</v>
      </c>
      <c r="M36">
        <v>10</v>
      </c>
      <c r="N36">
        <v>0</v>
      </c>
      <c r="O36">
        <v>994</v>
      </c>
    </row>
    <row r="37" spans="1:15" x14ac:dyDescent="0.2">
      <c r="A37" t="s">
        <v>91</v>
      </c>
      <c r="B37" t="s">
        <v>16</v>
      </c>
      <c r="C37" t="s">
        <v>17</v>
      </c>
      <c r="D37" t="s">
        <v>75</v>
      </c>
      <c r="E37" t="s">
        <v>180</v>
      </c>
      <c r="F37">
        <v>3</v>
      </c>
      <c r="G37" t="s">
        <v>126</v>
      </c>
      <c r="H37" t="s">
        <v>20</v>
      </c>
      <c r="I37">
        <v>21</v>
      </c>
      <c r="J37">
        <v>10</v>
      </c>
      <c r="K37">
        <v>0</v>
      </c>
      <c r="L37">
        <v>27</v>
      </c>
      <c r="M37">
        <v>11</v>
      </c>
      <c r="N37">
        <v>0</v>
      </c>
      <c r="O37">
        <v>996</v>
      </c>
    </row>
    <row r="38" spans="1:15" x14ac:dyDescent="0.2">
      <c r="A38" t="s">
        <v>91</v>
      </c>
      <c r="B38" t="s">
        <v>16</v>
      </c>
      <c r="C38" t="s">
        <v>17</v>
      </c>
      <c r="D38" t="s">
        <v>75</v>
      </c>
      <c r="E38" t="s">
        <v>180</v>
      </c>
      <c r="F38">
        <v>3</v>
      </c>
      <c r="G38" t="s">
        <v>126</v>
      </c>
      <c r="H38" t="s">
        <v>21</v>
      </c>
      <c r="I38">
        <v>1</v>
      </c>
      <c r="J38">
        <v>0</v>
      </c>
      <c r="K38">
        <v>0</v>
      </c>
      <c r="L38">
        <v>27</v>
      </c>
      <c r="M38">
        <v>11</v>
      </c>
      <c r="N38">
        <v>0</v>
      </c>
      <c r="O38">
        <v>996</v>
      </c>
    </row>
    <row r="39" spans="1:15" x14ac:dyDescent="0.2">
      <c r="A39" t="s">
        <v>91</v>
      </c>
      <c r="B39" t="s">
        <v>16</v>
      </c>
      <c r="C39" t="s">
        <v>17</v>
      </c>
      <c r="D39" t="s">
        <v>75</v>
      </c>
      <c r="E39" t="s">
        <v>180</v>
      </c>
      <c r="F39">
        <v>3</v>
      </c>
      <c r="G39" t="s">
        <v>126</v>
      </c>
      <c r="H39" t="s">
        <v>22</v>
      </c>
      <c r="I39">
        <v>1</v>
      </c>
      <c r="J39">
        <v>0</v>
      </c>
      <c r="K39">
        <v>0</v>
      </c>
      <c r="L39">
        <v>27</v>
      </c>
      <c r="M39">
        <v>11</v>
      </c>
      <c r="N39">
        <v>0</v>
      </c>
      <c r="O39">
        <v>996</v>
      </c>
    </row>
    <row r="40" spans="1:15" x14ac:dyDescent="0.2">
      <c r="A40" t="s">
        <v>91</v>
      </c>
      <c r="B40" t="s">
        <v>16</v>
      </c>
      <c r="C40" t="s">
        <v>17</v>
      </c>
      <c r="D40" t="s">
        <v>75</v>
      </c>
      <c r="E40" t="s">
        <v>180</v>
      </c>
      <c r="F40">
        <v>3</v>
      </c>
      <c r="G40" t="s">
        <v>126</v>
      </c>
      <c r="H40" t="s">
        <v>23</v>
      </c>
      <c r="I40">
        <v>4</v>
      </c>
      <c r="J40">
        <v>1</v>
      </c>
      <c r="K40">
        <v>0</v>
      </c>
      <c r="L40">
        <v>27</v>
      </c>
      <c r="M40">
        <v>11</v>
      </c>
      <c r="N40">
        <v>0</v>
      </c>
      <c r="O40">
        <v>996</v>
      </c>
    </row>
    <row r="41" spans="1:15" x14ac:dyDescent="0.2">
      <c r="A41" t="s">
        <v>91</v>
      </c>
      <c r="B41" t="s">
        <v>16</v>
      </c>
      <c r="C41" t="s">
        <v>17</v>
      </c>
      <c r="D41" t="s">
        <v>75</v>
      </c>
      <c r="E41" t="s">
        <v>180</v>
      </c>
      <c r="F41">
        <v>3</v>
      </c>
      <c r="G41" t="s">
        <v>126</v>
      </c>
      <c r="H41" t="s">
        <v>24</v>
      </c>
      <c r="I41">
        <v>0</v>
      </c>
      <c r="J41">
        <v>0</v>
      </c>
      <c r="K41">
        <v>0</v>
      </c>
      <c r="L41">
        <v>27</v>
      </c>
      <c r="M41">
        <v>11</v>
      </c>
      <c r="N41">
        <v>0</v>
      </c>
      <c r="O41">
        <v>996</v>
      </c>
    </row>
    <row r="42" spans="1:15" x14ac:dyDescent="0.2">
      <c r="A42" t="s">
        <v>76</v>
      </c>
      <c r="B42" t="s">
        <v>16</v>
      </c>
      <c r="C42" t="s">
        <v>17</v>
      </c>
      <c r="D42" t="s">
        <v>75</v>
      </c>
      <c r="E42" t="s">
        <v>81</v>
      </c>
      <c r="F42">
        <v>3</v>
      </c>
      <c r="G42" t="s">
        <v>19</v>
      </c>
      <c r="H42" t="s">
        <v>20</v>
      </c>
      <c r="I42">
        <v>199</v>
      </c>
      <c r="J42">
        <v>258</v>
      </c>
      <c r="K42">
        <v>0</v>
      </c>
      <c r="L42">
        <v>253</v>
      </c>
      <c r="M42">
        <v>273</v>
      </c>
      <c r="N42">
        <v>0</v>
      </c>
      <c r="O42">
        <v>685</v>
      </c>
    </row>
    <row r="43" spans="1:15" x14ac:dyDescent="0.2">
      <c r="A43" t="s">
        <v>76</v>
      </c>
      <c r="B43" t="s">
        <v>16</v>
      </c>
      <c r="C43" t="s">
        <v>17</v>
      </c>
      <c r="D43" t="s">
        <v>75</v>
      </c>
      <c r="E43" t="s">
        <v>81</v>
      </c>
      <c r="F43">
        <v>3</v>
      </c>
      <c r="G43" t="s">
        <v>19</v>
      </c>
      <c r="H43" t="s">
        <v>21</v>
      </c>
      <c r="I43">
        <v>12</v>
      </c>
      <c r="J43">
        <v>6</v>
      </c>
      <c r="K43">
        <v>0</v>
      </c>
      <c r="L43">
        <v>253</v>
      </c>
      <c r="M43">
        <v>273</v>
      </c>
      <c r="N43">
        <v>0</v>
      </c>
      <c r="O43">
        <v>685</v>
      </c>
    </row>
    <row r="44" spans="1:15" x14ac:dyDescent="0.2">
      <c r="A44" t="s">
        <v>76</v>
      </c>
      <c r="B44" t="s">
        <v>16</v>
      </c>
      <c r="C44" t="s">
        <v>17</v>
      </c>
      <c r="D44" t="s">
        <v>75</v>
      </c>
      <c r="E44" t="s">
        <v>81</v>
      </c>
      <c r="F44">
        <v>3</v>
      </c>
      <c r="G44" t="s">
        <v>19</v>
      </c>
      <c r="H44" t="s">
        <v>22</v>
      </c>
      <c r="I44">
        <v>2</v>
      </c>
      <c r="J44">
        <v>3</v>
      </c>
      <c r="K44">
        <v>0</v>
      </c>
      <c r="L44">
        <v>253</v>
      </c>
      <c r="M44">
        <v>273</v>
      </c>
      <c r="N44">
        <v>0</v>
      </c>
      <c r="O44">
        <v>685</v>
      </c>
    </row>
    <row r="45" spans="1:15" x14ac:dyDescent="0.2">
      <c r="A45" t="s">
        <v>76</v>
      </c>
      <c r="B45" t="s">
        <v>16</v>
      </c>
      <c r="C45" t="s">
        <v>17</v>
      </c>
      <c r="D45" t="s">
        <v>75</v>
      </c>
      <c r="E45" t="s">
        <v>81</v>
      </c>
      <c r="F45">
        <v>3</v>
      </c>
      <c r="G45" t="s">
        <v>19</v>
      </c>
      <c r="H45" t="s">
        <v>23</v>
      </c>
      <c r="I45">
        <v>40</v>
      </c>
      <c r="J45">
        <v>6</v>
      </c>
      <c r="K45">
        <v>0</v>
      </c>
      <c r="L45">
        <v>253</v>
      </c>
      <c r="M45">
        <v>273</v>
      </c>
      <c r="N45">
        <v>0</v>
      </c>
      <c r="O45">
        <v>685</v>
      </c>
    </row>
    <row r="46" spans="1:15" x14ac:dyDescent="0.2">
      <c r="A46" t="s">
        <v>76</v>
      </c>
      <c r="B46" t="s">
        <v>16</v>
      </c>
      <c r="C46" t="s">
        <v>17</v>
      </c>
      <c r="D46" t="s">
        <v>75</v>
      </c>
      <c r="E46" t="s">
        <v>81</v>
      </c>
      <c r="F46">
        <v>3</v>
      </c>
      <c r="G46" t="s">
        <v>19</v>
      </c>
      <c r="H46" t="s">
        <v>24</v>
      </c>
      <c r="I46">
        <v>0</v>
      </c>
      <c r="J46">
        <v>0</v>
      </c>
      <c r="K46">
        <v>0</v>
      </c>
      <c r="L46">
        <v>253</v>
      </c>
      <c r="M46">
        <v>273</v>
      </c>
      <c r="N46">
        <v>0</v>
      </c>
      <c r="O46">
        <v>685</v>
      </c>
    </row>
    <row r="47" spans="1:15" x14ac:dyDescent="0.2">
      <c r="A47" t="s">
        <v>76</v>
      </c>
      <c r="B47" t="s">
        <v>16</v>
      </c>
      <c r="C47" t="s">
        <v>17</v>
      </c>
      <c r="D47" t="s">
        <v>75</v>
      </c>
      <c r="E47" t="s">
        <v>179</v>
      </c>
      <c r="F47">
        <v>3</v>
      </c>
      <c r="G47" t="s">
        <v>130</v>
      </c>
      <c r="H47" t="s">
        <v>20</v>
      </c>
      <c r="I47">
        <v>114</v>
      </c>
      <c r="J47">
        <v>185</v>
      </c>
      <c r="K47">
        <v>0</v>
      </c>
      <c r="L47">
        <v>144</v>
      </c>
      <c r="M47">
        <v>194</v>
      </c>
      <c r="N47">
        <v>0</v>
      </c>
      <c r="O47">
        <v>685</v>
      </c>
    </row>
    <row r="48" spans="1:15" x14ac:dyDescent="0.2">
      <c r="A48" t="s">
        <v>76</v>
      </c>
      <c r="B48" t="s">
        <v>16</v>
      </c>
      <c r="C48" t="s">
        <v>17</v>
      </c>
      <c r="D48" t="s">
        <v>75</v>
      </c>
      <c r="E48" t="s">
        <v>179</v>
      </c>
      <c r="F48">
        <v>3</v>
      </c>
      <c r="G48" t="s">
        <v>130</v>
      </c>
      <c r="H48" t="s">
        <v>21</v>
      </c>
      <c r="I48">
        <v>1</v>
      </c>
      <c r="J48">
        <v>2</v>
      </c>
      <c r="K48">
        <v>0</v>
      </c>
      <c r="L48">
        <v>144</v>
      </c>
      <c r="M48">
        <v>194</v>
      </c>
      <c r="N48">
        <v>0</v>
      </c>
      <c r="O48">
        <v>685</v>
      </c>
    </row>
    <row r="49" spans="1:15" x14ac:dyDescent="0.2">
      <c r="A49" t="s">
        <v>76</v>
      </c>
      <c r="B49" t="s">
        <v>16</v>
      </c>
      <c r="C49" t="s">
        <v>17</v>
      </c>
      <c r="D49" t="s">
        <v>75</v>
      </c>
      <c r="E49" t="s">
        <v>179</v>
      </c>
      <c r="F49">
        <v>3</v>
      </c>
      <c r="G49" t="s">
        <v>130</v>
      </c>
      <c r="H49" t="s">
        <v>22</v>
      </c>
      <c r="I49">
        <v>3</v>
      </c>
      <c r="J49">
        <v>0</v>
      </c>
      <c r="K49">
        <v>0</v>
      </c>
      <c r="L49">
        <v>144</v>
      </c>
      <c r="M49">
        <v>194</v>
      </c>
      <c r="N49">
        <v>0</v>
      </c>
      <c r="O49">
        <v>685</v>
      </c>
    </row>
    <row r="50" spans="1:15" x14ac:dyDescent="0.2">
      <c r="A50" t="s">
        <v>76</v>
      </c>
      <c r="B50" t="s">
        <v>16</v>
      </c>
      <c r="C50" t="s">
        <v>17</v>
      </c>
      <c r="D50" t="s">
        <v>75</v>
      </c>
      <c r="E50" t="s">
        <v>179</v>
      </c>
      <c r="F50">
        <v>3</v>
      </c>
      <c r="G50" t="s">
        <v>130</v>
      </c>
      <c r="H50" t="s">
        <v>23</v>
      </c>
      <c r="I50">
        <v>26</v>
      </c>
      <c r="J50">
        <v>7</v>
      </c>
      <c r="K50">
        <v>0</v>
      </c>
      <c r="L50">
        <v>144</v>
      </c>
      <c r="M50">
        <v>194</v>
      </c>
      <c r="N50">
        <v>0</v>
      </c>
      <c r="O50">
        <v>685</v>
      </c>
    </row>
    <row r="51" spans="1:15" x14ac:dyDescent="0.2">
      <c r="A51" t="s">
        <v>76</v>
      </c>
      <c r="B51" t="s">
        <v>16</v>
      </c>
      <c r="C51" t="s">
        <v>17</v>
      </c>
      <c r="D51" t="s">
        <v>75</v>
      </c>
      <c r="E51" t="s">
        <v>179</v>
      </c>
      <c r="F51">
        <v>3</v>
      </c>
      <c r="G51" t="s">
        <v>130</v>
      </c>
      <c r="H51" t="s">
        <v>24</v>
      </c>
      <c r="I51">
        <v>0</v>
      </c>
      <c r="J51">
        <v>0</v>
      </c>
      <c r="K51">
        <v>0</v>
      </c>
      <c r="L51">
        <v>144</v>
      </c>
      <c r="M51">
        <v>194</v>
      </c>
      <c r="N51">
        <v>0</v>
      </c>
      <c r="O51">
        <v>685</v>
      </c>
    </row>
    <row r="52" spans="1:15" x14ac:dyDescent="0.2">
      <c r="A52" t="s">
        <v>76</v>
      </c>
      <c r="B52" t="s">
        <v>16</v>
      </c>
      <c r="C52" t="s">
        <v>17</v>
      </c>
      <c r="D52" t="s">
        <v>75</v>
      </c>
      <c r="E52" t="s">
        <v>178</v>
      </c>
      <c r="F52">
        <v>3</v>
      </c>
      <c r="G52" t="s">
        <v>128</v>
      </c>
      <c r="H52" t="s">
        <v>20</v>
      </c>
      <c r="I52">
        <v>127</v>
      </c>
      <c r="J52">
        <v>172</v>
      </c>
      <c r="K52">
        <v>0</v>
      </c>
      <c r="L52">
        <v>165</v>
      </c>
      <c r="M52">
        <v>185</v>
      </c>
      <c r="N52">
        <v>0</v>
      </c>
      <c r="O52">
        <v>687</v>
      </c>
    </row>
    <row r="53" spans="1:15" x14ac:dyDescent="0.2">
      <c r="A53" t="s">
        <v>76</v>
      </c>
      <c r="B53" t="s">
        <v>16</v>
      </c>
      <c r="C53" t="s">
        <v>17</v>
      </c>
      <c r="D53" t="s">
        <v>75</v>
      </c>
      <c r="E53" t="s">
        <v>178</v>
      </c>
      <c r="F53">
        <v>3</v>
      </c>
      <c r="G53" t="s">
        <v>128</v>
      </c>
      <c r="H53" t="s">
        <v>21</v>
      </c>
      <c r="I53">
        <v>8</v>
      </c>
      <c r="J53">
        <v>4</v>
      </c>
      <c r="K53">
        <v>0</v>
      </c>
      <c r="L53">
        <v>165</v>
      </c>
      <c r="M53">
        <v>185</v>
      </c>
      <c r="N53">
        <v>0</v>
      </c>
      <c r="O53">
        <v>687</v>
      </c>
    </row>
    <row r="54" spans="1:15" x14ac:dyDescent="0.2">
      <c r="A54" t="s">
        <v>76</v>
      </c>
      <c r="B54" t="s">
        <v>16</v>
      </c>
      <c r="C54" t="s">
        <v>17</v>
      </c>
      <c r="D54" t="s">
        <v>75</v>
      </c>
      <c r="E54" t="s">
        <v>178</v>
      </c>
      <c r="F54">
        <v>3</v>
      </c>
      <c r="G54" t="s">
        <v>128</v>
      </c>
      <c r="H54" t="s">
        <v>22</v>
      </c>
      <c r="I54">
        <v>4</v>
      </c>
      <c r="J54">
        <v>0</v>
      </c>
      <c r="K54">
        <v>0</v>
      </c>
      <c r="L54">
        <v>165</v>
      </c>
      <c r="M54">
        <v>185</v>
      </c>
      <c r="N54">
        <v>0</v>
      </c>
      <c r="O54">
        <v>687</v>
      </c>
    </row>
    <row r="55" spans="1:15" x14ac:dyDescent="0.2">
      <c r="A55" t="s">
        <v>76</v>
      </c>
      <c r="B55" t="s">
        <v>16</v>
      </c>
      <c r="C55" t="s">
        <v>17</v>
      </c>
      <c r="D55" t="s">
        <v>75</v>
      </c>
      <c r="E55" t="s">
        <v>178</v>
      </c>
      <c r="F55">
        <v>3</v>
      </c>
      <c r="G55" t="s">
        <v>128</v>
      </c>
      <c r="H55" t="s">
        <v>23</v>
      </c>
      <c r="I55">
        <v>26</v>
      </c>
      <c r="J55">
        <v>9</v>
      </c>
      <c r="K55">
        <v>0</v>
      </c>
      <c r="L55">
        <v>165</v>
      </c>
      <c r="M55">
        <v>185</v>
      </c>
      <c r="N55">
        <v>0</v>
      </c>
      <c r="O55">
        <v>687</v>
      </c>
    </row>
    <row r="56" spans="1:15" x14ac:dyDescent="0.2">
      <c r="A56" t="s">
        <v>76</v>
      </c>
      <c r="B56" t="s">
        <v>16</v>
      </c>
      <c r="C56" t="s">
        <v>17</v>
      </c>
      <c r="D56" t="s">
        <v>75</v>
      </c>
      <c r="E56" t="s">
        <v>178</v>
      </c>
      <c r="F56">
        <v>3</v>
      </c>
      <c r="G56" t="s">
        <v>128</v>
      </c>
      <c r="H56" t="s">
        <v>24</v>
      </c>
      <c r="I56">
        <v>0</v>
      </c>
      <c r="J56">
        <v>0</v>
      </c>
      <c r="K56">
        <v>0</v>
      </c>
      <c r="L56">
        <v>165</v>
      </c>
      <c r="M56">
        <v>185</v>
      </c>
      <c r="N56">
        <v>0</v>
      </c>
      <c r="O56">
        <v>687</v>
      </c>
    </row>
    <row r="57" spans="1:15" x14ac:dyDescent="0.2">
      <c r="A57" t="s">
        <v>76</v>
      </c>
      <c r="B57" t="s">
        <v>16</v>
      </c>
      <c r="C57" t="s">
        <v>17</v>
      </c>
      <c r="D57" t="s">
        <v>75</v>
      </c>
      <c r="E57" t="s">
        <v>177</v>
      </c>
      <c r="F57">
        <v>3</v>
      </c>
      <c r="G57" t="s">
        <v>126</v>
      </c>
      <c r="H57" t="s">
        <v>20</v>
      </c>
      <c r="I57">
        <v>126</v>
      </c>
      <c r="J57">
        <v>171</v>
      </c>
      <c r="K57">
        <v>0</v>
      </c>
      <c r="L57">
        <v>168</v>
      </c>
      <c r="M57">
        <v>178</v>
      </c>
      <c r="N57">
        <v>0</v>
      </c>
      <c r="O57">
        <v>686</v>
      </c>
    </row>
    <row r="58" spans="1:15" x14ac:dyDescent="0.2">
      <c r="A58" t="s">
        <v>76</v>
      </c>
      <c r="B58" t="s">
        <v>16</v>
      </c>
      <c r="C58" t="s">
        <v>17</v>
      </c>
      <c r="D58" t="s">
        <v>75</v>
      </c>
      <c r="E58" t="s">
        <v>177</v>
      </c>
      <c r="F58">
        <v>3</v>
      </c>
      <c r="G58" t="s">
        <v>126</v>
      </c>
      <c r="H58" t="s">
        <v>21</v>
      </c>
      <c r="I58">
        <v>8</v>
      </c>
      <c r="J58">
        <v>4</v>
      </c>
      <c r="K58">
        <v>0</v>
      </c>
      <c r="L58">
        <v>168</v>
      </c>
      <c r="M58">
        <v>178</v>
      </c>
      <c r="N58">
        <v>0</v>
      </c>
      <c r="O58">
        <v>686</v>
      </c>
    </row>
    <row r="59" spans="1:15" x14ac:dyDescent="0.2">
      <c r="A59" t="s">
        <v>76</v>
      </c>
      <c r="B59" t="s">
        <v>16</v>
      </c>
      <c r="C59" t="s">
        <v>17</v>
      </c>
      <c r="D59" t="s">
        <v>75</v>
      </c>
      <c r="E59" t="s">
        <v>177</v>
      </c>
      <c r="F59">
        <v>3</v>
      </c>
      <c r="G59" t="s">
        <v>126</v>
      </c>
      <c r="H59" t="s">
        <v>22</v>
      </c>
      <c r="I59">
        <v>1</v>
      </c>
      <c r="J59">
        <v>2</v>
      </c>
      <c r="K59">
        <v>0</v>
      </c>
      <c r="L59">
        <v>168</v>
      </c>
      <c r="M59">
        <v>178</v>
      </c>
      <c r="N59">
        <v>0</v>
      </c>
      <c r="O59">
        <v>686</v>
      </c>
    </row>
    <row r="60" spans="1:15" x14ac:dyDescent="0.2">
      <c r="A60" t="s">
        <v>76</v>
      </c>
      <c r="B60" t="s">
        <v>16</v>
      </c>
      <c r="C60" t="s">
        <v>17</v>
      </c>
      <c r="D60" t="s">
        <v>75</v>
      </c>
      <c r="E60" t="s">
        <v>177</v>
      </c>
      <c r="F60">
        <v>3</v>
      </c>
      <c r="G60" t="s">
        <v>126</v>
      </c>
      <c r="H60" t="s">
        <v>23</v>
      </c>
      <c r="I60">
        <v>33</v>
      </c>
      <c r="J60">
        <v>1</v>
      </c>
      <c r="K60">
        <v>0</v>
      </c>
      <c r="L60">
        <v>168</v>
      </c>
      <c r="M60">
        <v>178</v>
      </c>
      <c r="N60">
        <v>0</v>
      </c>
      <c r="O60">
        <v>686</v>
      </c>
    </row>
    <row r="61" spans="1:15" x14ac:dyDescent="0.2">
      <c r="A61" t="s">
        <v>76</v>
      </c>
      <c r="B61" t="s">
        <v>16</v>
      </c>
      <c r="C61" t="s">
        <v>17</v>
      </c>
      <c r="D61" t="s">
        <v>75</v>
      </c>
      <c r="E61" t="s">
        <v>177</v>
      </c>
      <c r="F61">
        <v>3</v>
      </c>
      <c r="G61" t="s">
        <v>126</v>
      </c>
      <c r="H61" t="s">
        <v>24</v>
      </c>
      <c r="I61">
        <v>0</v>
      </c>
      <c r="J61">
        <v>0</v>
      </c>
      <c r="K61">
        <v>0</v>
      </c>
      <c r="L61">
        <v>168</v>
      </c>
      <c r="M61">
        <v>178</v>
      </c>
      <c r="N61">
        <v>0</v>
      </c>
      <c r="O61">
        <v>686</v>
      </c>
    </row>
    <row r="62" spans="1:15" x14ac:dyDescent="0.2">
      <c r="A62" t="s">
        <v>115</v>
      </c>
      <c r="B62" t="s">
        <v>16</v>
      </c>
      <c r="C62" t="s">
        <v>17</v>
      </c>
      <c r="D62" t="s">
        <v>75</v>
      </c>
      <c r="E62" t="s">
        <v>118</v>
      </c>
      <c r="F62">
        <v>3</v>
      </c>
      <c r="G62" t="s">
        <v>19</v>
      </c>
      <c r="H62" t="s">
        <v>20</v>
      </c>
      <c r="I62">
        <v>80</v>
      </c>
      <c r="J62">
        <v>48</v>
      </c>
      <c r="K62">
        <v>0</v>
      </c>
      <c r="L62">
        <v>81</v>
      </c>
      <c r="M62">
        <v>49</v>
      </c>
      <c r="N62">
        <v>0</v>
      </c>
      <c r="O62">
        <v>196</v>
      </c>
    </row>
    <row r="63" spans="1:15" x14ac:dyDescent="0.2">
      <c r="A63" t="s">
        <v>115</v>
      </c>
      <c r="B63" t="s">
        <v>16</v>
      </c>
      <c r="C63" t="s">
        <v>17</v>
      </c>
      <c r="D63" t="s">
        <v>75</v>
      </c>
      <c r="E63" t="s">
        <v>118</v>
      </c>
      <c r="F63">
        <v>3</v>
      </c>
      <c r="G63" t="s">
        <v>19</v>
      </c>
      <c r="H63" t="s">
        <v>21</v>
      </c>
      <c r="I63">
        <v>1</v>
      </c>
      <c r="J63">
        <v>0</v>
      </c>
      <c r="K63">
        <v>0</v>
      </c>
      <c r="L63">
        <v>81</v>
      </c>
      <c r="M63">
        <v>49</v>
      </c>
      <c r="N63">
        <v>0</v>
      </c>
      <c r="O63">
        <v>196</v>
      </c>
    </row>
    <row r="64" spans="1:15" x14ac:dyDescent="0.2">
      <c r="A64" t="s">
        <v>115</v>
      </c>
      <c r="B64" t="s">
        <v>16</v>
      </c>
      <c r="C64" t="s">
        <v>17</v>
      </c>
      <c r="D64" t="s">
        <v>75</v>
      </c>
      <c r="E64" t="s">
        <v>118</v>
      </c>
      <c r="F64">
        <v>3</v>
      </c>
      <c r="G64" t="s">
        <v>19</v>
      </c>
      <c r="H64" t="s">
        <v>22</v>
      </c>
      <c r="I64">
        <v>0</v>
      </c>
      <c r="J64">
        <v>0</v>
      </c>
      <c r="K64">
        <v>0</v>
      </c>
      <c r="L64">
        <v>81</v>
      </c>
      <c r="M64">
        <v>49</v>
      </c>
      <c r="N64">
        <v>0</v>
      </c>
      <c r="O64">
        <v>196</v>
      </c>
    </row>
    <row r="65" spans="1:15" x14ac:dyDescent="0.2">
      <c r="A65" t="s">
        <v>115</v>
      </c>
      <c r="B65" t="s">
        <v>16</v>
      </c>
      <c r="C65" t="s">
        <v>17</v>
      </c>
      <c r="D65" t="s">
        <v>75</v>
      </c>
      <c r="E65" t="s">
        <v>118</v>
      </c>
      <c r="F65">
        <v>3</v>
      </c>
      <c r="G65" t="s">
        <v>19</v>
      </c>
      <c r="H65" t="s">
        <v>23</v>
      </c>
      <c r="I65">
        <v>0</v>
      </c>
      <c r="J65">
        <v>1</v>
      </c>
      <c r="K65">
        <v>0</v>
      </c>
      <c r="L65">
        <v>81</v>
      </c>
      <c r="M65">
        <v>49</v>
      </c>
      <c r="N65">
        <v>0</v>
      </c>
      <c r="O65">
        <v>196</v>
      </c>
    </row>
    <row r="66" spans="1:15" x14ac:dyDescent="0.2">
      <c r="A66" t="s">
        <v>115</v>
      </c>
      <c r="B66" t="s">
        <v>16</v>
      </c>
      <c r="C66" t="s">
        <v>17</v>
      </c>
      <c r="D66" t="s">
        <v>75</v>
      </c>
      <c r="E66" t="s">
        <v>118</v>
      </c>
      <c r="F66">
        <v>3</v>
      </c>
      <c r="G66" t="s">
        <v>19</v>
      </c>
      <c r="H66" t="s">
        <v>24</v>
      </c>
      <c r="I66">
        <v>0</v>
      </c>
      <c r="J66">
        <v>0</v>
      </c>
      <c r="K66">
        <v>0</v>
      </c>
      <c r="L66">
        <v>81</v>
      </c>
      <c r="M66">
        <v>49</v>
      </c>
      <c r="N66">
        <v>0</v>
      </c>
      <c r="O66">
        <v>196</v>
      </c>
    </row>
    <row r="67" spans="1:15" x14ac:dyDescent="0.2">
      <c r="A67" t="s">
        <v>115</v>
      </c>
      <c r="B67" t="s">
        <v>16</v>
      </c>
      <c r="C67" t="s">
        <v>17</v>
      </c>
      <c r="D67" t="s">
        <v>75</v>
      </c>
      <c r="E67" t="s">
        <v>176</v>
      </c>
      <c r="F67">
        <v>3</v>
      </c>
      <c r="G67" t="s">
        <v>130</v>
      </c>
      <c r="H67" t="s">
        <v>20</v>
      </c>
      <c r="I67">
        <v>59</v>
      </c>
      <c r="J67">
        <v>28</v>
      </c>
      <c r="K67">
        <v>0</v>
      </c>
      <c r="L67">
        <v>60</v>
      </c>
      <c r="M67">
        <v>35</v>
      </c>
      <c r="N67">
        <v>0</v>
      </c>
      <c r="O67">
        <v>194</v>
      </c>
    </row>
    <row r="68" spans="1:15" x14ac:dyDescent="0.2">
      <c r="A68" t="s">
        <v>115</v>
      </c>
      <c r="B68" t="s">
        <v>16</v>
      </c>
      <c r="C68" t="s">
        <v>17</v>
      </c>
      <c r="D68" t="s">
        <v>75</v>
      </c>
      <c r="E68" t="s">
        <v>176</v>
      </c>
      <c r="F68">
        <v>3</v>
      </c>
      <c r="G68" t="s">
        <v>130</v>
      </c>
      <c r="H68" t="s">
        <v>21</v>
      </c>
      <c r="I68">
        <v>1</v>
      </c>
      <c r="J68">
        <v>0</v>
      </c>
      <c r="K68">
        <v>0</v>
      </c>
      <c r="L68">
        <v>60</v>
      </c>
      <c r="M68">
        <v>35</v>
      </c>
      <c r="N68">
        <v>0</v>
      </c>
      <c r="O68">
        <v>194</v>
      </c>
    </row>
    <row r="69" spans="1:15" x14ac:dyDescent="0.2">
      <c r="A69" t="s">
        <v>115</v>
      </c>
      <c r="B69" t="s">
        <v>16</v>
      </c>
      <c r="C69" t="s">
        <v>17</v>
      </c>
      <c r="D69" t="s">
        <v>75</v>
      </c>
      <c r="E69" t="s">
        <v>176</v>
      </c>
      <c r="F69">
        <v>3</v>
      </c>
      <c r="G69" t="s">
        <v>130</v>
      </c>
      <c r="H69" t="s">
        <v>22</v>
      </c>
      <c r="I69">
        <v>0</v>
      </c>
      <c r="J69">
        <v>0</v>
      </c>
      <c r="K69">
        <v>0</v>
      </c>
      <c r="L69">
        <v>60</v>
      </c>
      <c r="M69">
        <v>35</v>
      </c>
      <c r="N69">
        <v>0</v>
      </c>
      <c r="O69">
        <v>194</v>
      </c>
    </row>
    <row r="70" spans="1:15" x14ac:dyDescent="0.2">
      <c r="A70" t="s">
        <v>115</v>
      </c>
      <c r="B70" t="s">
        <v>16</v>
      </c>
      <c r="C70" t="s">
        <v>17</v>
      </c>
      <c r="D70" t="s">
        <v>75</v>
      </c>
      <c r="E70" t="s">
        <v>176</v>
      </c>
      <c r="F70">
        <v>3</v>
      </c>
      <c r="G70" t="s">
        <v>130</v>
      </c>
      <c r="H70" t="s">
        <v>23</v>
      </c>
      <c r="I70">
        <v>0</v>
      </c>
      <c r="J70">
        <v>7</v>
      </c>
      <c r="K70">
        <v>0</v>
      </c>
      <c r="L70">
        <v>60</v>
      </c>
      <c r="M70">
        <v>35</v>
      </c>
      <c r="N70">
        <v>0</v>
      </c>
      <c r="O70">
        <v>194</v>
      </c>
    </row>
    <row r="71" spans="1:15" x14ac:dyDescent="0.2">
      <c r="A71" t="s">
        <v>115</v>
      </c>
      <c r="B71" t="s">
        <v>16</v>
      </c>
      <c r="C71" t="s">
        <v>17</v>
      </c>
      <c r="D71" t="s">
        <v>75</v>
      </c>
      <c r="E71" t="s">
        <v>176</v>
      </c>
      <c r="F71">
        <v>3</v>
      </c>
      <c r="G71" t="s">
        <v>130</v>
      </c>
      <c r="H71" t="s">
        <v>24</v>
      </c>
      <c r="I71">
        <v>0</v>
      </c>
      <c r="J71">
        <v>0</v>
      </c>
      <c r="K71">
        <v>0</v>
      </c>
      <c r="L71">
        <v>60</v>
      </c>
      <c r="M71">
        <v>35</v>
      </c>
      <c r="N71">
        <v>0</v>
      </c>
      <c r="O71">
        <v>194</v>
      </c>
    </row>
    <row r="72" spans="1:15" x14ac:dyDescent="0.2">
      <c r="A72" t="s">
        <v>115</v>
      </c>
      <c r="B72" t="s">
        <v>16</v>
      </c>
      <c r="C72" t="s">
        <v>17</v>
      </c>
      <c r="D72" t="s">
        <v>75</v>
      </c>
      <c r="E72" t="s">
        <v>175</v>
      </c>
      <c r="F72">
        <v>3</v>
      </c>
      <c r="G72" t="s">
        <v>128</v>
      </c>
      <c r="H72" t="s">
        <v>20</v>
      </c>
      <c r="I72">
        <v>62</v>
      </c>
      <c r="J72">
        <v>32</v>
      </c>
      <c r="K72">
        <v>0</v>
      </c>
      <c r="L72">
        <v>63</v>
      </c>
      <c r="M72">
        <v>36</v>
      </c>
      <c r="N72">
        <v>0</v>
      </c>
      <c r="O72">
        <v>197</v>
      </c>
    </row>
    <row r="73" spans="1:15" x14ac:dyDescent="0.2">
      <c r="A73" t="s">
        <v>115</v>
      </c>
      <c r="B73" t="s">
        <v>16</v>
      </c>
      <c r="C73" t="s">
        <v>17</v>
      </c>
      <c r="D73" t="s">
        <v>75</v>
      </c>
      <c r="E73" t="s">
        <v>175</v>
      </c>
      <c r="F73">
        <v>3</v>
      </c>
      <c r="G73" t="s">
        <v>128</v>
      </c>
      <c r="H73" t="s">
        <v>21</v>
      </c>
      <c r="I73">
        <v>1</v>
      </c>
      <c r="J73">
        <v>0</v>
      </c>
      <c r="K73">
        <v>0</v>
      </c>
      <c r="L73">
        <v>63</v>
      </c>
      <c r="M73">
        <v>36</v>
      </c>
      <c r="N73">
        <v>0</v>
      </c>
      <c r="O73">
        <v>197</v>
      </c>
    </row>
    <row r="74" spans="1:15" x14ac:dyDescent="0.2">
      <c r="A74" t="s">
        <v>115</v>
      </c>
      <c r="B74" t="s">
        <v>16</v>
      </c>
      <c r="C74" t="s">
        <v>17</v>
      </c>
      <c r="D74" t="s">
        <v>75</v>
      </c>
      <c r="E74" t="s">
        <v>175</v>
      </c>
      <c r="F74">
        <v>3</v>
      </c>
      <c r="G74" t="s">
        <v>128</v>
      </c>
      <c r="H74" t="s">
        <v>22</v>
      </c>
      <c r="I74">
        <v>0</v>
      </c>
      <c r="J74">
        <v>0</v>
      </c>
      <c r="K74">
        <v>0</v>
      </c>
      <c r="L74">
        <v>63</v>
      </c>
      <c r="M74">
        <v>36</v>
      </c>
      <c r="N74">
        <v>0</v>
      </c>
      <c r="O74">
        <v>197</v>
      </c>
    </row>
    <row r="75" spans="1:15" x14ac:dyDescent="0.2">
      <c r="A75" t="s">
        <v>115</v>
      </c>
      <c r="B75" t="s">
        <v>16</v>
      </c>
      <c r="C75" t="s">
        <v>17</v>
      </c>
      <c r="D75" t="s">
        <v>75</v>
      </c>
      <c r="E75" t="s">
        <v>175</v>
      </c>
      <c r="F75">
        <v>3</v>
      </c>
      <c r="G75" t="s">
        <v>128</v>
      </c>
      <c r="H75" t="s">
        <v>23</v>
      </c>
      <c r="I75">
        <v>0</v>
      </c>
      <c r="J75">
        <v>4</v>
      </c>
      <c r="K75">
        <v>0</v>
      </c>
      <c r="L75">
        <v>63</v>
      </c>
      <c r="M75">
        <v>36</v>
      </c>
      <c r="N75">
        <v>0</v>
      </c>
      <c r="O75">
        <v>197</v>
      </c>
    </row>
    <row r="76" spans="1:15" x14ac:dyDescent="0.2">
      <c r="A76" t="s">
        <v>115</v>
      </c>
      <c r="B76" t="s">
        <v>16</v>
      </c>
      <c r="C76" t="s">
        <v>17</v>
      </c>
      <c r="D76" t="s">
        <v>75</v>
      </c>
      <c r="E76" t="s">
        <v>175</v>
      </c>
      <c r="F76">
        <v>3</v>
      </c>
      <c r="G76" t="s">
        <v>128</v>
      </c>
      <c r="H76" t="s">
        <v>24</v>
      </c>
      <c r="I76">
        <v>0</v>
      </c>
      <c r="J76">
        <v>0</v>
      </c>
      <c r="K76">
        <v>0</v>
      </c>
      <c r="L76">
        <v>63</v>
      </c>
      <c r="M76">
        <v>36</v>
      </c>
      <c r="N76">
        <v>0</v>
      </c>
      <c r="O76">
        <v>197</v>
      </c>
    </row>
    <row r="77" spans="1:15" x14ac:dyDescent="0.2">
      <c r="A77" t="s">
        <v>115</v>
      </c>
      <c r="B77" t="s">
        <v>16</v>
      </c>
      <c r="C77" t="s">
        <v>17</v>
      </c>
      <c r="D77" t="s">
        <v>75</v>
      </c>
      <c r="E77" t="s">
        <v>174</v>
      </c>
      <c r="F77">
        <v>3</v>
      </c>
      <c r="G77" t="s">
        <v>126</v>
      </c>
      <c r="H77" t="s">
        <v>20</v>
      </c>
      <c r="I77">
        <v>59</v>
      </c>
      <c r="J77">
        <v>30</v>
      </c>
      <c r="K77">
        <v>0</v>
      </c>
      <c r="L77">
        <v>61</v>
      </c>
      <c r="M77">
        <v>30</v>
      </c>
      <c r="N77">
        <v>0</v>
      </c>
      <c r="O77">
        <v>196</v>
      </c>
    </row>
    <row r="78" spans="1:15" x14ac:dyDescent="0.2">
      <c r="A78" t="s">
        <v>115</v>
      </c>
      <c r="B78" t="s">
        <v>16</v>
      </c>
      <c r="C78" t="s">
        <v>17</v>
      </c>
      <c r="D78" t="s">
        <v>75</v>
      </c>
      <c r="E78" t="s">
        <v>174</v>
      </c>
      <c r="F78">
        <v>3</v>
      </c>
      <c r="G78" t="s">
        <v>126</v>
      </c>
      <c r="H78" t="s">
        <v>21</v>
      </c>
      <c r="I78">
        <v>2</v>
      </c>
      <c r="J78">
        <v>0</v>
      </c>
      <c r="K78">
        <v>0</v>
      </c>
      <c r="L78">
        <v>61</v>
      </c>
      <c r="M78">
        <v>30</v>
      </c>
      <c r="N78">
        <v>0</v>
      </c>
      <c r="O78">
        <v>196</v>
      </c>
    </row>
    <row r="79" spans="1:15" x14ac:dyDescent="0.2">
      <c r="A79" t="s">
        <v>115</v>
      </c>
      <c r="B79" t="s">
        <v>16</v>
      </c>
      <c r="C79" t="s">
        <v>17</v>
      </c>
      <c r="D79" t="s">
        <v>75</v>
      </c>
      <c r="E79" t="s">
        <v>174</v>
      </c>
      <c r="F79">
        <v>3</v>
      </c>
      <c r="G79" t="s">
        <v>126</v>
      </c>
      <c r="H79" t="s">
        <v>22</v>
      </c>
      <c r="I79">
        <v>0</v>
      </c>
      <c r="J79">
        <v>0</v>
      </c>
      <c r="K79">
        <v>0</v>
      </c>
      <c r="L79">
        <v>61</v>
      </c>
      <c r="M79">
        <v>30</v>
      </c>
      <c r="N79">
        <v>0</v>
      </c>
      <c r="O79">
        <v>196</v>
      </c>
    </row>
    <row r="80" spans="1:15" x14ac:dyDescent="0.2">
      <c r="A80" t="s">
        <v>115</v>
      </c>
      <c r="B80" t="s">
        <v>16</v>
      </c>
      <c r="C80" t="s">
        <v>17</v>
      </c>
      <c r="D80" t="s">
        <v>75</v>
      </c>
      <c r="E80" t="s">
        <v>174</v>
      </c>
      <c r="F80">
        <v>3</v>
      </c>
      <c r="G80" t="s">
        <v>126</v>
      </c>
      <c r="H80" t="s">
        <v>23</v>
      </c>
      <c r="I80">
        <v>0</v>
      </c>
      <c r="J80">
        <v>0</v>
      </c>
      <c r="K80">
        <v>0</v>
      </c>
      <c r="L80">
        <v>61</v>
      </c>
      <c r="M80">
        <v>30</v>
      </c>
      <c r="N80">
        <v>0</v>
      </c>
      <c r="O80">
        <v>196</v>
      </c>
    </row>
    <row r="81" spans="1:15" x14ac:dyDescent="0.2">
      <c r="A81" t="s">
        <v>115</v>
      </c>
      <c r="B81" t="s">
        <v>16</v>
      </c>
      <c r="C81" t="s">
        <v>17</v>
      </c>
      <c r="D81" t="s">
        <v>75</v>
      </c>
      <c r="E81" t="s">
        <v>174</v>
      </c>
      <c r="F81">
        <v>3</v>
      </c>
      <c r="G81" t="s">
        <v>126</v>
      </c>
      <c r="H81" t="s">
        <v>24</v>
      </c>
      <c r="I81">
        <v>0</v>
      </c>
      <c r="J81">
        <v>0</v>
      </c>
      <c r="K81">
        <v>0</v>
      </c>
      <c r="L81">
        <v>61</v>
      </c>
      <c r="M81">
        <v>30</v>
      </c>
      <c r="N81">
        <v>0</v>
      </c>
      <c r="O81">
        <v>196</v>
      </c>
    </row>
    <row r="82" spans="1:15" x14ac:dyDescent="0.2">
      <c r="A82" t="s">
        <v>112</v>
      </c>
      <c r="B82" t="s">
        <v>37</v>
      </c>
      <c r="C82" t="s">
        <v>17</v>
      </c>
      <c r="D82" t="s">
        <v>75</v>
      </c>
      <c r="E82" t="s">
        <v>106</v>
      </c>
      <c r="F82">
        <v>3</v>
      </c>
      <c r="G82" t="s">
        <v>19</v>
      </c>
      <c r="H82" t="s">
        <v>20</v>
      </c>
      <c r="I82">
        <v>668</v>
      </c>
      <c r="J82">
        <v>43</v>
      </c>
      <c r="K82">
        <v>0</v>
      </c>
      <c r="L82">
        <v>879</v>
      </c>
      <c r="M82">
        <v>79</v>
      </c>
      <c r="N82">
        <v>0</v>
      </c>
      <c r="O82">
        <v>995</v>
      </c>
    </row>
    <row r="83" spans="1:15" x14ac:dyDescent="0.2">
      <c r="A83" t="s">
        <v>112</v>
      </c>
      <c r="B83" t="s">
        <v>37</v>
      </c>
      <c r="C83" t="s">
        <v>17</v>
      </c>
      <c r="D83" t="s">
        <v>75</v>
      </c>
      <c r="E83" t="s">
        <v>106</v>
      </c>
      <c r="F83">
        <v>3</v>
      </c>
      <c r="G83" t="s">
        <v>19</v>
      </c>
      <c r="H83" t="s">
        <v>21</v>
      </c>
      <c r="I83">
        <v>104</v>
      </c>
      <c r="J83">
        <v>12</v>
      </c>
      <c r="K83">
        <v>0</v>
      </c>
      <c r="L83">
        <v>879</v>
      </c>
      <c r="M83">
        <v>79</v>
      </c>
      <c r="N83">
        <v>0</v>
      </c>
      <c r="O83">
        <v>995</v>
      </c>
    </row>
    <row r="84" spans="1:15" x14ac:dyDescent="0.2">
      <c r="A84" t="s">
        <v>112</v>
      </c>
      <c r="B84" t="s">
        <v>37</v>
      </c>
      <c r="C84" t="s">
        <v>17</v>
      </c>
      <c r="D84" t="s">
        <v>75</v>
      </c>
      <c r="E84" t="s">
        <v>106</v>
      </c>
      <c r="F84">
        <v>3</v>
      </c>
      <c r="G84" t="s">
        <v>19</v>
      </c>
      <c r="H84" t="s">
        <v>22</v>
      </c>
      <c r="I84">
        <v>33</v>
      </c>
      <c r="J84">
        <v>7</v>
      </c>
      <c r="K84">
        <v>0</v>
      </c>
      <c r="L84">
        <v>879</v>
      </c>
      <c r="M84">
        <v>79</v>
      </c>
      <c r="N84">
        <v>0</v>
      </c>
      <c r="O84">
        <v>995</v>
      </c>
    </row>
    <row r="85" spans="1:15" x14ac:dyDescent="0.2">
      <c r="A85" t="s">
        <v>112</v>
      </c>
      <c r="B85" t="s">
        <v>37</v>
      </c>
      <c r="C85" t="s">
        <v>17</v>
      </c>
      <c r="D85" t="s">
        <v>75</v>
      </c>
      <c r="E85" t="s">
        <v>106</v>
      </c>
      <c r="F85">
        <v>3</v>
      </c>
      <c r="G85" t="s">
        <v>19</v>
      </c>
      <c r="H85" t="s">
        <v>23</v>
      </c>
      <c r="I85">
        <v>74</v>
      </c>
      <c r="J85">
        <v>17</v>
      </c>
      <c r="K85">
        <v>0</v>
      </c>
      <c r="L85">
        <v>879</v>
      </c>
      <c r="M85">
        <v>79</v>
      </c>
      <c r="N85">
        <v>0</v>
      </c>
      <c r="O85">
        <v>995</v>
      </c>
    </row>
    <row r="86" spans="1:15" x14ac:dyDescent="0.2">
      <c r="A86" t="s">
        <v>112</v>
      </c>
      <c r="B86" t="s">
        <v>37</v>
      </c>
      <c r="C86" t="s">
        <v>17</v>
      </c>
      <c r="D86" t="s">
        <v>75</v>
      </c>
      <c r="E86" t="s">
        <v>106</v>
      </c>
      <c r="F86">
        <v>3</v>
      </c>
      <c r="G86" t="s">
        <v>19</v>
      </c>
      <c r="H86" t="s">
        <v>24</v>
      </c>
      <c r="I86">
        <v>0</v>
      </c>
      <c r="J86">
        <v>0</v>
      </c>
      <c r="K86">
        <v>0</v>
      </c>
      <c r="L86">
        <v>879</v>
      </c>
      <c r="M86">
        <v>79</v>
      </c>
      <c r="N86">
        <v>0</v>
      </c>
      <c r="O86">
        <v>995</v>
      </c>
    </row>
    <row r="87" spans="1:15" x14ac:dyDescent="0.2">
      <c r="A87" t="s">
        <v>112</v>
      </c>
      <c r="B87" t="s">
        <v>37</v>
      </c>
      <c r="C87" t="s">
        <v>17</v>
      </c>
      <c r="D87" t="s">
        <v>75</v>
      </c>
      <c r="E87" t="s">
        <v>185</v>
      </c>
      <c r="F87">
        <v>3</v>
      </c>
      <c r="G87" t="s">
        <v>130</v>
      </c>
      <c r="H87" t="s">
        <v>20</v>
      </c>
      <c r="I87">
        <v>478</v>
      </c>
      <c r="J87">
        <v>31</v>
      </c>
      <c r="K87">
        <v>0</v>
      </c>
      <c r="L87">
        <v>600</v>
      </c>
      <c r="M87">
        <v>50</v>
      </c>
      <c r="N87">
        <v>0</v>
      </c>
      <c r="O87">
        <v>995</v>
      </c>
    </row>
    <row r="88" spans="1:15" x14ac:dyDescent="0.2">
      <c r="A88" t="s">
        <v>112</v>
      </c>
      <c r="B88" t="s">
        <v>37</v>
      </c>
      <c r="C88" t="s">
        <v>17</v>
      </c>
      <c r="D88" t="s">
        <v>75</v>
      </c>
      <c r="E88" t="s">
        <v>185</v>
      </c>
      <c r="F88">
        <v>3</v>
      </c>
      <c r="G88" t="s">
        <v>130</v>
      </c>
      <c r="H88" t="s">
        <v>21</v>
      </c>
      <c r="I88">
        <v>58</v>
      </c>
      <c r="J88">
        <v>7</v>
      </c>
      <c r="K88">
        <v>0</v>
      </c>
      <c r="L88">
        <v>600</v>
      </c>
      <c r="M88">
        <v>50</v>
      </c>
      <c r="N88">
        <v>0</v>
      </c>
      <c r="O88">
        <v>995</v>
      </c>
    </row>
    <row r="89" spans="1:15" x14ac:dyDescent="0.2">
      <c r="A89" t="s">
        <v>112</v>
      </c>
      <c r="B89" t="s">
        <v>37</v>
      </c>
      <c r="C89" t="s">
        <v>17</v>
      </c>
      <c r="D89" t="s">
        <v>75</v>
      </c>
      <c r="E89" t="s">
        <v>185</v>
      </c>
      <c r="F89">
        <v>3</v>
      </c>
      <c r="G89" t="s">
        <v>130</v>
      </c>
      <c r="H89" t="s">
        <v>22</v>
      </c>
      <c r="I89">
        <v>15</v>
      </c>
      <c r="J89">
        <v>3</v>
      </c>
      <c r="K89">
        <v>0</v>
      </c>
      <c r="L89">
        <v>600</v>
      </c>
      <c r="M89">
        <v>50</v>
      </c>
      <c r="N89">
        <v>0</v>
      </c>
      <c r="O89">
        <v>995</v>
      </c>
    </row>
    <row r="90" spans="1:15" x14ac:dyDescent="0.2">
      <c r="A90" t="s">
        <v>112</v>
      </c>
      <c r="B90" t="s">
        <v>37</v>
      </c>
      <c r="C90" t="s">
        <v>17</v>
      </c>
      <c r="D90" t="s">
        <v>75</v>
      </c>
      <c r="E90" t="s">
        <v>185</v>
      </c>
      <c r="F90">
        <v>3</v>
      </c>
      <c r="G90" t="s">
        <v>130</v>
      </c>
      <c r="H90" t="s">
        <v>23</v>
      </c>
      <c r="I90">
        <v>49</v>
      </c>
      <c r="J90">
        <v>9</v>
      </c>
      <c r="K90">
        <v>0</v>
      </c>
      <c r="L90">
        <v>600</v>
      </c>
      <c r="M90">
        <v>50</v>
      </c>
      <c r="N90">
        <v>0</v>
      </c>
      <c r="O90">
        <v>995</v>
      </c>
    </row>
    <row r="91" spans="1:15" x14ac:dyDescent="0.2">
      <c r="A91" t="s">
        <v>112</v>
      </c>
      <c r="B91" t="s">
        <v>37</v>
      </c>
      <c r="C91" t="s">
        <v>17</v>
      </c>
      <c r="D91" t="s">
        <v>75</v>
      </c>
      <c r="E91" t="s">
        <v>185</v>
      </c>
      <c r="F91">
        <v>3</v>
      </c>
      <c r="G91" t="s">
        <v>130</v>
      </c>
      <c r="H91" t="s">
        <v>24</v>
      </c>
      <c r="I91">
        <v>0</v>
      </c>
      <c r="J91">
        <v>0</v>
      </c>
      <c r="K91">
        <v>0</v>
      </c>
      <c r="L91">
        <v>600</v>
      </c>
      <c r="M91">
        <v>50</v>
      </c>
      <c r="N91">
        <v>0</v>
      </c>
      <c r="O91">
        <v>995</v>
      </c>
    </row>
    <row r="92" spans="1:15" x14ac:dyDescent="0.2">
      <c r="A92" t="s">
        <v>112</v>
      </c>
      <c r="B92" t="s">
        <v>37</v>
      </c>
      <c r="C92" t="s">
        <v>17</v>
      </c>
      <c r="D92" t="s">
        <v>75</v>
      </c>
      <c r="E92" t="s">
        <v>184</v>
      </c>
      <c r="F92">
        <v>3</v>
      </c>
      <c r="G92" t="s">
        <v>128</v>
      </c>
      <c r="H92" t="s">
        <v>20</v>
      </c>
      <c r="I92">
        <v>447</v>
      </c>
      <c r="J92">
        <v>25</v>
      </c>
      <c r="K92">
        <v>0</v>
      </c>
      <c r="L92">
        <v>599</v>
      </c>
      <c r="M92">
        <v>43</v>
      </c>
      <c r="N92">
        <v>0</v>
      </c>
      <c r="O92">
        <v>992</v>
      </c>
    </row>
    <row r="93" spans="1:15" x14ac:dyDescent="0.2">
      <c r="A93" t="s">
        <v>112</v>
      </c>
      <c r="B93" t="s">
        <v>37</v>
      </c>
      <c r="C93" t="s">
        <v>17</v>
      </c>
      <c r="D93" t="s">
        <v>75</v>
      </c>
      <c r="E93" t="s">
        <v>184</v>
      </c>
      <c r="F93">
        <v>3</v>
      </c>
      <c r="G93" t="s">
        <v>128</v>
      </c>
      <c r="H93" t="s">
        <v>21</v>
      </c>
      <c r="I93">
        <v>79</v>
      </c>
      <c r="J93">
        <v>6</v>
      </c>
      <c r="K93">
        <v>0</v>
      </c>
      <c r="L93">
        <v>599</v>
      </c>
      <c r="M93">
        <v>43</v>
      </c>
      <c r="N93">
        <v>0</v>
      </c>
      <c r="O93">
        <v>992</v>
      </c>
    </row>
    <row r="94" spans="1:15" x14ac:dyDescent="0.2">
      <c r="A94" t="s">
        <v>112</v>
      </c>
      <c r="B94" t="s">
        <v>37</v>
      </c>
      <c r="C94" t="s">
        <v>17</v>
      </c>
      <c r="D94" t="s">
        <v>75</v>
      </c>
      <c r="E94" t="s">
        <v>184</v>
      </c>
      <c r="F94">
        <v>3</v>
      </c>
      <c r="G94" t="s">
        <v>128</v>
      </c>
      <c r="H94" t="s">
        <v>22</v>
      </c>
      <c r="I94">
        <v>12</v>
      </c>
      <c r="J94">
        <v>3</v>
      </c>
      <c r="K94">
        <v>0</v>
      </c>
      <c r="L94">
        <v>599</v>
      </c>
      <c r="M94">
        <v>43</v>
      </c>
      <c r="N94">
        <v>0</v>
      </c>
      <c r="O94">
        <v>992</v>
      </c>
    </row>
    <row r="95" spans="1:15" x14ac:dyDescent="0.2">
      <c r="A95" t="s">
        <v>112</v>
      </c>
      <c r="B95" t="s">
        <v>37</v>
      </c>
      <c r="C95" t="s">
        <v>17</v>
      </c>
      <c r="D95" t="s">
        <v>75</v>
      </c>
      <c r="E95" t="s">
        <v>184</v>
      </c>
      <c r="F95">
        <v>3</v>
      </c>
      <c r="G95" t="s">
        <v>128</v>
      </c>
      <c r="H95" t="s">
        <v>23</v>
      </c>
      <c r="I95">
        <v>61</v>
      </c>
      <c r="J95">
        <v>9</v>
      </c>
      <c r="K95">
        <v>0</v>
      </c>
      <c r="L95">
        <v>599</v>
      </c>
      <c r="M95">
        <v>43</v>
      </c>
      <c r="N95">
        <v>0</v>
      </c>
      <c r="O95">
        <v>992</v>
      </c>
    </row>
    <row r="96" spans="1:15" x14ac:dyDescent="0.2">
      <c r="A96" t="s">
        <v>112</v>
      </c>
      <c r="B96" t="s">
        <v>37</v>
      </c>
      <c r="C96" t="s">
        <v>17</v>
      </c>
      <c r="D96" t="s">
        <v>75</v>
      </c>
      <c r="E96" t="s">
        <v>184</v>
      </c>
      <c r="F96">
        <v>3</v>
      </c>
      <c r="G96" t="s">
        <v>128</v>
      </c>
      <c r="H96" t="s">
        <v>24</v>
      </c>
      <c r="I96">
        <v>0</v>
      </c>
      <c r="J96">
        <v>0</v>
      </c>
      <c r="K96">
        <v>0</v>
      </c>
      <c r="L96">
        <v>599</v>
      </c>
      <c r="M96">
        <v>43</v>
      </c>
      <c r="N96">
        <v>0</v>
      </c>
      <c r="O96">
        <v>992</v>
      </c>
    </row>
    <row r="97" spans="1:15" x14ac:dyDescent="0.2">
      <c r="A97" t="s">
        <v>112</v>
      </c>
      <c r="B97" t="s">
        <v>37</v>
      </c>
      <c r="C97" t="s">
        <v>17</v>
      </c>
      <c r="D97" t="s">
        <v>75</v>
      </c>
      <c r="E97" t="s">
        <v>183</v>
      </c>
      <c r="F97">
        <v>3</v>
      </c>
      <c r="G97" t="s">
        <v>126</v>
      </c>
      <c r="H97" t="s">
        <v>20</v>
      </c>
      <c r="I97">
        <v>441</v>
      </c>
      <c r="J97">
        <v>31</v>
      </c>
      <c r="K97">
        <v>0</v>
      </c>
      <c r="L97">
        <v>593</v>
      </c>
      <c r="M97">
        <v>62</v>
      </c>
      <c r="N97">
        <v>0</v>
      </c>
      <c r="O97">
        <v>995</v>
      </c>
    </row>
    <row r="98" spans="1:15" x14ac:dyDescent="0.2">
      <c r="A98" t="s">
        <v>112</v>
      </c>
      <c r="B98" t="s">
        <v>37</v>
      </c>
      <c r="C98" t="s">
        <v>17</v>
      </c>
      <c r="D98" t="s">
        <v>75</v>
      </c>
      <c r="E98" t="s">
        <v>183</v>
      </c>
      <c r="F98">
        <v>3</v>
      </c>
      <c r="G98" t="s">
        <v>126</v>
      </c>
      <c r="H98" t="s">
        <v>21</v>
      </c>
      <c r="I98">
        <v>80</v>
      </c>
      <c r="J98">
        <v>17</v>
      </c>
      <c r="K98">
        <v>0</v>
      </c>
      <c r="L98">
        <v>593</v>
      </c>
      <c r="M98">
        <v>62</v>
      </c>
      <c r="N98">
        <v>0</v>
      </c>
      <c r="O98">
        <v>995</v>
      </c>
    </row>
    <row r="99" spans="1:15" x14ac:dyDescent="0.2">
      <c r="A99" t="s">
        <v>112</v>
      </c>
      <c r="B99" t="s">
        <v>37</v>
      </c>
      <c r="C99" t="s">
        <v>17</v>
      </c>
      <c r="D99" t="s">
        <v>75</v>
      </c>
      <c r="E99" t="s">
        <v>183</v>
      </c>
      <c r="F99">
        <v>3</v>
      </c>
      <c r="G99" t="s">
        <v>126</v>
      </c>
      <c r="H99" t="s">
        <v>22</v>
      </c>
      <c r="I99">
        <v>15</v>
      </c>
      <c r="J99">
        <v>2</v>
      </c>
      <c r="K99">
        <v>0</v>
      </c>
      <c r="L99">
        <v>593</v>
      </c>
      <c r="M99">
        <v>62</v>
      </c>
      <c r="N99">
        <v>0</v>
      </c>
      <c r="O99">
        <v>995</v>
      </c>
    </row>
    <row r="100" spans="1:15" x14ac:dyDescent="0.2">
      <c r="A100" t="s">
        <v>112</v>
      </c>
      <c r="B100" t="s">
        <v>37</v>
      </c>
      <c r="C100" t="s">
        <v>17</v>
      </c>
      <c r="D100" t="s">
        <v>75</v>
      </c>
      <c r="E100" t="s">
        <v>183</v>
      </c>
      <c r="F100">
        <v>3</v>
      </c>
      <c r="G100" t="s">
        <v>126</v>
      </c>
      <c r="H100" t="s">
        <v>23</v>
      </c>
      <c r="I100">
        <v>57</v>
      </c>
      <c r="J100">
        <v>12</v>
      </c>
      <c r="K100">
        <v>0</v>
      </c>
      <c r="L100">
        <v>593</v>
      </c>
      <c r="M100">
        <v>62</v>
      </c>
      <c r="N100">
        <v>0</v>
      </c>
      <c r="O100">
        <v>995</v>
      </c>
    </row>
    <row r="101" spans="1:15" x14ac:dyDescent="0.2">
      <c r="A101" t="s">
        <v>112</v>
      </c>
      <c r="B101" t="s">
        <v>37</v>
      </c>
      <c r="C101" t="s">
        <v>17</v>
      </c>
      <c r="D101" t="s">
        <v>75</v>
      </c>
      <c r="E101" t="s">
        <v>183</v>
      </c>
      <c r="F101">
        <v>3</v>
      </c>
      <c r="G101" t="s">
        <v>126</v>
      </c>
      <c r="H101" t="s">
        <v>24</v>
      </c>
      <c r="I101">
        <v>0</v>
      </c>
      <c r="J101">
        <v>0</v>
      </c>
      <c r="K101">
        <v>0</v>
      </c>
      <c r="L101">
        <v>593</v>
      </c>
      <c r="M101">
        <v>62</v>
      </c>
      <c r="N101">
        <v>0</v>
      </c>
      <c r="O101">
        <v>995</v>
      </c>
    </row>
    <row r="102" spans="1:15" x14ac:dyDescent="0.2">
      <c r="A102" t="s">
        <v>100</v>
      </c>
      <c r="B102" t="s">
        <v>37</v>
      </c>
      <c r="C102" t="s">
        <v>17</v>
      </c>
      <c r="D102" t="s">
        <v>75</v>
      </c>
      <c r="E102" t="s">
        <v>94</v>
      </c>
      <c r="F102">
        <v>3</v>
      </c>
      <c r="G102" t="s">
        <v>19</v>
      </c>
      <c r="H102" t="s">
        <v>20</v>
      </c>
      <c r="I102">
        <v>40</v>
      </c>
      <c r="J102">
        <v>16</v>
      </c>
      <c r="K102">
        <v>0</v>
      </c>
      <c r="L102">
        <v>60</v>
      </c>
      <c r="M102">
        <v>19</v>
      </c>
      <c r="N102">
        <v>0</v>
      </c>
      <c r="O102">
        <v>994</v>
      </c>
    </row>
    <row r="103" spans="1:15" x14ac:dyDescent="0.2">
      <c r="A103" t="s">
        <v>100</v>
      </c>
      <c r="B103" t="s">
        <v>37</v>
      </c>
      <c r="C103" t="s">
        <v>17</v>
      </c>
      <c r="D103" t="s">
        <v>75</v>
      </c>
      <c r="E103" t="s">
        <v>94</v>
      </c>
      <c r="F103">
        <v>3</v>
      </c>
      <c r="G103" t="s">
        <v>19</v>
      </c>
      <c r="H103" t="s">
        <v>21</v>
      </c>
      <c r="I103">
        <v>8</v>
      </c>
      <c r="J103">
        <v>1</v>
      </c>
      <c r="K103">
        <v>0</v>
      </c>
      <c r="L103">
        <v>60</v>
      </c>
      <c r="M103">
        <v>19</v>
      </c>
      <c r="N103">
        <v>0</v>
      </c>
      <c r="O103">
        <v>994</v>
      </c>
    </row>
    <row r="104" spans="1:15" x14ac:dyDescent="0.2">
      <c r="A104" t="s">
        <v>100</v>
      </c>
      <c r="B104" t="s">
        <v>37</v>
      </c>
      <c r="C104" t="s">
        <v>17</v>
      </c>
      <c r="D104" t="s">
        <v>75</v>
      </c>
      <c r="E104" t="s">
        <v>94</v>
      </c>
      <c r="F104">
        <v>3</v>
      </c>
      <c r="G104" t="s">
        <v>19</v>
      </c>
      <c r="H104" t="s">
        <v>22</v>
      </c>
      <c r="I104">
        <v>5</v>
      </c>
      <c r="J104">
        <v>1</v>
      </c>
      <c r="K104">
        <v>0</v>
      </c>
      <c r="L104">
        <v>60</v>
      </c>
      <c r="M104">
        <v>19</v>
      </c>
      <c r="N104">
        <v>0</v>
      </c>
      <c r="O104">
        <v>994</v>
      </c>
    </row>
    <row r="105" spans="1:15" x14ac:dyDescent="0.2">
      <c r="A105" t="s">
        <v>100</v>
      </c>
      <c r="B105" t="s">
        <v>37</v>
      </c>
      <c r="C105" t="s">
        <v>17</v>
      </c>
      <c r="D105" t="s">
        <v>75</v>
      </c>
      <c r="E105" t="s">
        <v>94</v>
      </c>
      <c r="F105">
        <v>3</v>
      </c>
      <c r="G105" t="s">
        <v>19</v>
      </c>
      <c r="H105" t="s">
        <v>23</v>
      </c>
      <c r="I105">
        <v>7</v>
      </c>
      <c r="J105">
        <v>1</v>
      </c>
      <c r="K105">
        <v>0</v>
      </c>
      <c r="L105">
        <v>60</v>
      </c>
      <c r="M105">
        <v>19</v>
      </c>
      <c r="N105">
        <v>0</v>
      </c>
      <c r="O105">
        <v>994</v>
      </c>
    </row>
    <row r="106" spans="1:15" x14ac:dyDescent="0.2">
      <c r="A106" t="s">
        <v>100</v>
      </c>
      <c r="B106" t="s">
        <v>37</v>
      </c>
      <c r="C106" t="s">
        <v>17</v>
      </c>
      <c r="D106" t="s">
        <v>75</v>
      </c>
      <c r="E106" t="s">
        <v>94</v>
      </c>
      <c r="F106">
        <v>3</v>
      </c>
      <c r="G106" t="s">
        <v>19</v>
      </c>
      <c r="H106" t="s">
        <v>24</v>
      </c>
      <c r="I106">
        <v>0</v>
      </c>
      <c r="J106">
        <v>0</v>
      </c>
      <c r="K106">
        <v>0</v>
      </c>
      <c r="L106">
        <v>60</v>
      </c>
      <c r="M106">
        <v>19</v>
      </c>
      <c r="N106">
        <v>0</v>
      </c>
      <c r="O106">
        <v>994</v>
      </c>
    </row>
    <row r="107" spans="1:15" x14ac:dyDescent="0.2">
      <c r="A107" t="s">
        <v>100</v>
      </c>
      <c r="B107" t="s">
        <v>37</v>
      </c>
      <c r="C107" t="s">
        <v>17</v>
      </c>
      <c r="D107" t="s">
        <v>75</v>
      </c>
      <c r="E107" t="s">
        <v>182</v>
      </c>
      <c r="F107">
        <v>3</v>
      </c>
      <c r="G107" t="s">
        <v>130</v>
      </c>
      <c r="H107" t="s">
        <v>20</v>
      </c>
      <c r="I107">
        <v>23</v>
      </c>
      <c r="J107">
        <v>8</v>
      </c>
      <c r="K107">
        <v>0</v>
      </c>
      <c r="L107">
        <v>32</v>
      </c>
      <c r="M107">
        <v>10</v>
      </c>
      <c r="N107">
        <v>0</v>
      </c>
      <c r="O107">
        <v>991</v>
      </c>
    </row>
    <row r="108" spans="1:15" x14ac:dyDescent="0.2">
      <c r="A108" t="s">
        <v>100</v>
      </c>
      <c r="B108" t="s">
        <v>37</v>
      </c>
      <c r="C108" t="s">
        <v>17</v>
      </c>
      <c r="D108" t="s">
        <v>75</v>
      </c>
      <c r="E108" t="s">
        <v>182</v>
      </c>
      <c r="F108">
        <v>3</v>
      </c>
      <c r="G108" t="s">
        <v>130</v>
      </c>
      <c r="H108" t="s">
        <v>21</v>
      </c>
      <c r="I108">
        <v>7</v>
      </c>
      <c r="J108">
        <v>2</v>
      </c>
      <c r="K108">
        <v>0</v>
      </c>
      <c r="L108">
        <v>32</v>
      </c>
      <c r="M108">
        <v>10</v>
      </c>
      <c r="N108">
        <v>0</v>
      </c>
      <c r="O108">
        <v>991</v>
      </c>
    </row>
    <row r="109" spans="1:15" x14ac:dyDescent="0.2">
      <c r="A109" t="s">
        <v>100</v>
      </c>
      <c r="B109" t="s">
        <v>37</v>
      </c>
      <c r="C109" t="s">
        <v>17</v>
      </c>
      <c r="D109" t="s">
        <v>75</v>
      </c>
      <c r="E109" t="s">
        <v>182</v>
      </c>
      <c r="F109">
        <v>3</v>
      </c>
      <c r="G109" t="s">
        <v>130</v>
      </c>
      <c r="H109" t="s">
        <v>22</v>
      </c>
      <c r="I109">
        <v>0</v>
      </c>
      <c r="J109">
        <v>0</v>
      </c>
      <c r="K109">
        <v>0</v>
      </c>
      <c r="L109">
        <v>32</v>
      </c>
      <c r="M109">
        <v>10</v>
      </c>
      <c r="N109">
        <v>0</v>
      </c>
      <c r="O109">
        <v>991</v>
      </c>
    </row>
    <row r="110" spans="1:15" x14ac:dyDescent="0.2">
      <c r="A110" t="s">
        <v>100</v>
      </c>
      <c r="B110" t="s">
        <v>37</v>
      </c>
      <c r="C110" t="s">
        <v>17</v>
      </c>
      <c r="D110" t="s">
        <v>75</v>
      </c>
      <c r="E110" t="s">
        <v>182</v>
      </c>
      <c r="F110">
        <v>3</v>
      </c>
      <c r="G110" t="s">
        <v>130</v>
      </c>
      <c r="H110" t="s">
        <v>23</v>
      </c>
      <c r="I110">
        <v>2</v>
      </c>
      <c r="J110">
        <v>0</v>
      </c>
      <c r="K110">
        <v>0</v>
      </c>
      <c r="L110">
        <v>32</v>
      </c>
      <c r="M110">
        <v>10</v>
      </c>
      <c r="N110">
        <v>0</v>
      </c>
      <c r="O110">
        <v>991</v>
      </c>
    </row>
    <row r="111" spans="1:15" x14ac:dyDescent="0.2">
      <c r="A111" t="s">
        <v>100</v>
      </c>
      <c r="B111" t="s">
        <v>37</v>
      </c>
      <c r="C111" t="s">
        <v>17</v>
      </c>
      <c r="D111" t="s">
        <v>75</v>
      </c>
      <c r="E111" t="s">
        <v>182</v>
      </c>
      <c r="F111">
        <v>3</v>
      </c>
      <c r="G111" t="s">
        <v>130</v>
      </c>
      <c r="H111" t="s">
        <v>24</v>
      </c>
      <c r="I111">
        <v>0</v>
      </c>
      <c r="J111">
        <v>0</v>
      </c>
      <c r="K111">
        <v>0</v>
      </c>
      <c r="L111">
        <v>32</v>
      </c>
      <c r="M111">
        <v>10</v>
      </c>
      <c r="N111">
        <v>0</v>
      </c>
      <c r="O111">
        <v>991</v>
      </c>
    </row>
    <row r="112" spans="1:15" x14ac:dyDescent="0.2">
      <c r="A112" t="s">
        <v>100</v>
      </c>
      <c r="B112" t="s">
        <v>37</v>
      </c>
      <c r="C112" t="s">
        <v>17</v>
      </c>
      <c r="D112" t="s">
        <v>75</v>
      </c>
      <c r="E112" t="s">
        <v>181</v>
      </c>
      <c r="F112">
        <v>3</v>
      </c>
      <c r="G112" t="s">
        <v>128</v>
      </c>
      <c r="H112" t="s">
        <v>20</v>
      </c>
      <c r="I112">
        <v>24</v>
      </c>
      <c r="J112">
        <v>10</v>
      </c>
      <c r="K112">
        <v>0</v>
      </c>
      <c r="L112">
        <v>37</v>
      </c>
      <c r="M112">
        <v>11</v>
      </c>
      <c r="N112">
        <v>0</v>
      </c>
      <c r="O112">
        <v>995</v>
      </c>
    </row>
    <row r="113" spans="1:15" x14ac:dyDescent="0.2">
      <c r="A113" t="s">
        <v>100</v>
      </c>
      <c r="B113" t="s">
        <v>37</v>
      </c>
      <c r="C113" t="s">
        <v>17</v>
      </c>
      <c r="D113" t="s">
        <v>75</v>
      </c>
      <c r="E113" t="s">
        <v>181</v>
      </c>
      <c r="F113">
        <v>3</v>
      </c>
      <c r="G113" t="s">
        <v>128</v>
      </c>
      <c r="H113" t="s">
        <v>21</v>
      </c>
      <c r="I113">
        <v>10</v>
      </c>
      <c r="J113">
        <v>0</v>
      </c>
      <c r="K113">
        <v>0</v>
      </c>
      <c r="L113">
        <v>37</v>
      </c>
      <c r="M113">
        <v>11</v>
      </c>
      <c r="N113">
        <v>0</v>
      </c>
      <c r="O113">
        <v>995</v>
      </c>
    </row>
    <row r="114" spans="1:15" x14ac:dyDescent="0.2">
      <c r="A114" t="s">
        <v>100</v>
      </c>
      <c r="B114" t="s">
        <v>37</v>
      </c>
      <c r="C114" t="s">
        <v>17</v>
      </c>
      <c r="D114" t="s">
        <v>75</v>
      </c>
      <c r="E114" t="s">
        <v>181</v>
      </c>
      <c r="F114">
        <v>3</v>
      </c>
      <c r="G114" t="s">
        <v>128</v>
      </c>
      <c r="H114" t="s">
        <v>22</v>
      </c>
      <c r="I114">
        <v>0</v>
      </c>
      <c r="J114">
        <v>0</v>
      </c>
      <c r="K114">
        <v>0</v>
      </c>
      <c r="L114">
        <v>37</v>
      </c>
      <c r="M114">
        <v>11</v>
      </c>
      <c r="N114">
        <v>0</v>
      </c>
      <c r="O114">
        <v>995</v>
      </c>
    </row>
    <row r="115" spans="1:15" x14ac:dyDescent="0.2">
      <c r="A115" t="s">
        <v>100</v>
      </c>
      <c r="B115" t="s">
        <v>37</v>
      </c>
      <c r="C115" t="s">
        <v>17</v>
      </c>
      <c r="D115" t="s">
        <v>75</v>
      </c>
      <c r="E115" t="s">
        <v>181</v>
      </c>
      <c r="F115">
        <v>3</v>
      </c>
      <c r="G115" t="s">
        <v>128</v>
      </c>
      <c r="H115" t="s">
        <v>23</v>
      </c>
      <c r="I115">
        <v>3</v>
      </c>
      <c r="J115">
        <v>1</v>
      </c>
      <c r="K115">
        <v>0</v>
      </c>
      <c r="L115">
        <v>37</v>
      </c>
      <c r="M115">
        <v>11</v>
      </c>
      <c r="N115">
        <v>0</v>
      </c>
      <c r="O115">
        <v>995</v>
      </c>
    </row>
    <row r="116" spans="1:15" x14ac:dyDescent="0.2">
      <c r="A116" t="s">
        <v>100</v>
      </c>
      <c r="B116" t="s">
        <v>37</v>
      </c>
      <c r="C116" t="s">
        <v>17</v>
      </c>
      <c r="D116" t="s">
        <v>75</v>
      </c>
      <c r="E116" t="s">
        <v>181</v>
      </c>
      <c r="F116">
        <v>3</v>
      </c>
      <c r="G116" t="s">
        <v>128</v>
      </c>
      <c r="H116" t="s">
        <v>24</v>
      </c>
      <c r="I116">
        <v>0</v>
      </c>
      <c r="J116">
        <v>0</v>
      </c>
      <c r="K116">
        <v>0</v>
      </c>
      <c r="L116">
        <v>37</v>
      </c>
      <c r="M116">
        <v>11</v>
      </c>
      <c r="N116">
        <v>0</v>
      </c>
      <c r="O116">
        <v>995</v>
      </c>
    </row>
    <row r="117" spans="1:15" x14ac:dyDescent="0.2">
      <c r="A117" t="s">
        <v>100</v>
      </c>
      <c r="B117" t="s">
        <v>37</v>
      </c>
      <c r="C117" t="s">
        <v>17</v>
      </c>
      <c r="D117" t="s">
        <v>75</v>
      </c>
      <c r="E117" t="s">
        <v>180</v>
      </c>
      <c r="F117">
        <v>3</v>
      </c>
      <c r="G117" t="s">
        <v>126</v>
      </c>
      <c r="H117" t="s">
        <v>20</v>
      </c>
      <c r="I117">
        <v>24</v>
      </c>
      <c r="J117">
        <v>10</v>
      </c>
      <c r="K117">
        <v>0</v>
      </c>
      <c r="L117">
        <v>44</v>
      </c>
      <c r="M117">
        <v>11</v>
      </c>
      <c r="N117">
        <v>0</v>
      </c>
      <c r="O117">
        <v>996</v>
      </c>
    </row>
    <row r="118" spans="1:15" x14ac:dyDescent="0.2">
      <c r="A118" t="s">
        <v>100</v>
      </c>
      <c r="B118" t="s">
        <v>37</v>
      </c>
      <c r="C118" t="s">
        <v>17</v>
      </c>
      <c r="D118" t="s">
        <v>75</v>
      </c>
      <c r="E118" t="s">
        <v>180</v>
      </c>
      <c r="F118">
        <v>3</v>
      </c>
      <c r="G118" t="s">
        <v>126</v>
      </c>
      <c r="H118" t="s">
        <v>21</v>
      </c>
      <c r="I118">
        <v>9</v>
      </c>
      <c r="J118">
        <v>0</v>
      </c>
      <c r="K118">
        <v>0</v>
      </c>
      <c r="L118">
        <v>44</v>
      </c>
      <c r="M118">
        <v>11</v>
      </c>
      <c r="N118">
        <v>0</v>
      </c>
      <c r="O118">
        <v>996</v>
      </c>
    </row>
    <row r="119" spans="1:15" x14ac:dyDescent="0.2">
      <c r="A119" t="s">
        <v>100</v>
      </c>
      <c r="B119" t="s">
        <v>37</v>
      </c>
      <c r="C119" t="s">
        <v>17</v>
      </c>
      <c r="D119" t="s">
        <v>75</v>
      </c>
      <c r="E119" t="s">
        <v>180</v>
      </c>
      <c r="F119">
        <v>3</v>
      </c>
      <c r="G119" t="s">
        <v>126</v>
      </c>
      <c r="H119" t="s">
        <v>22</v>
      </c>
      <c r="I119">
        <v>3</v>
      </c>
      <c r="J119">
        <v>0</v>
      </c>
      <c r="K119">
        <v>0</v>
      </c>
      <c r="L119">
        <v>44</v>
      </c>
      <c r="M119">
        <v>11</v>
      </c>
      <c r="N119">
        <v>0</v>
      </c>
      <c r="O119">
        <v>996</v>
      </c>
    </row>
    <row r="120" spans="1:15" x14ac:dyDescent="0.2">
      <c r="A120" t="s">
        <v>100</v>
      </c>
      <c r="B120" t="s">
        <v>37</v>
      </c>
      <c r="C120" t="s">
        <v>17</v>
      </c>
      <c r="D120" t="s">
        <v>75</v>
      </c>
      <c r="E120" t="s">
        <v>180</v>
      </c>
      <c r="F120">
        <v>3</v>
      </c>
      <c r="G120" t="s">
        <v>126</v>
      </c>
      <c r="H120" t="s">
        <v>23</v>
      </c>
      <c r="I120">
        <v>8</v>
      </c>
      <c r="J120">
        <v>1</v>
      </c>
      <c r="K120">
        <v>0</v>
      </c>
      <c r="L120">
        <v>44</v>
      </c>
      <c r="M120">
        <v>11</v>
      </c>
      <c r="N120">
        <v>0</v>
      </c>
      <c r="O120">
        <v>996</v>
      </c>
    </row>
    <row r="121" spans="1:15" x14ac:dyDescent="0.2">
      <c r="A121" t="s">
        <v>100</v>
      </c>
      <c r="B121" t="s">
        <v>37</v>
      </c>
      <c r="C121" t="s">
        <v>17</v>
      </c>
      <c r="D121" t="s">
        <v>75</v>
      </c>
      <c r="E121" t="s">
        <v>180</v>
      </c>
      <c r="F121">
        <v>3</v>
      </c>
      <c r="G121" t="s">
        <v>126</v>
      </c>
      <c r="H121" t="s">
        <v>24</v>
      </c>
      <c r="I121">
        <v>0</v>
      </c>
      <c r="J121">
        <v>0</v>
      </c>
      <c r="K121">
        <v>0</v>
      </c>
      <c r="L121">
        <v>44</v>
      </c>
      <c r="M121">
        <v>11</v>
      </c>
      <c r="N121">
        <v>0</v>
      </c>
      <c r="O121">
        <v>996</v>
      </c>
    </row>
    <row r="122" spans="1:15" x14ac:dyDescent="0.2">
      <c r="A122" t="s">
        <v>88</v>
      </c>
      <c r="B122" t="s">
        <v>37</v>
      </c>
      <c r="C122" t="s">
        <v>17</v>
      </c>
      <c r="D122" t="s">
        <v>75</v>
      </c>
      <c r="E122" t="s">
        <v>81</v>
      </c>
      <c r="F122">
        <v>3</v>
      </c>
      <c r="G122" t="s">
        <v>19</v>
      </c>
      <c r="H122" t="s">
        <v>20</v>
      </c>
      <c r="I122">
        <v>74</v>
      </c>
      <c r="J122">
        <v>53</v>
      </c>
      <c r="K122">
        <v>0</v>
      </c>
      <c r="L122">
        <v>89</v>
      </c>
      <c r="M122">
        <v>177</v>
      </c>
      <c r="N122">
        <v>0</v>
      </c>
      <c r="O122">
        <v>681</v>
      </c>
    </row>
    <row r="123" spans="1:15" x14ac:dyDescent="0.2">
      <c r="A123" t="s">
        <v>88</v>
      </c>
      <c r="B123" t="s">
        <v>37</v>
      </c>
      <c r="C123" t="s">
        <v>17</v>
      </c>
      <c r="D123" t="s">
        <v>75</v>
      </c>
      <c r="E123" t="s">
        <v>81</v>
      </c>
      <c r="F123">
        <v>3</v>
      </c>
      <c r="G123" t="s">
        <v>19</v>
      </c>
      <c r="H123" t="s">
        <v>21</v>
      </c>
      <c r="I123">
        <v>6</v>
      </c>
      <c r="J123">
        <v>15</v>
      </c>
      <c r="K123">
        <v>0</v>
      </c>
      <c r="L123">
        <v>89</v>
      </c>
      <c r="M123">
        <v>177</v>
      </c>
      <c r="N123">
        <v>0</v>
      </c>
      <c r="O123">
        <v>681</v>
      </c>
    </row>
    <row r="124" spans="1:15" x14ac:dyDescent="0.2">
      <c r="A124" t="s">
        <v>88</v>
      </c>
      <c r="B124" t="s">
        <v>37</v>
      </c>
      <c r="C124" t="s">
        <v>17</v>
      </c>
      <c r="D124" t="s">
        <v>75</v>
      </c>
      <c r="E124" t="s">
        <v>81</v>
      </c>
      <c r="F124">
        <v>3</v>
      </c>
      <c r="G124" t="s">
        <v>19</v>
      </c>
      <c r="H124" t="s">
        <v>22</v>
      </c>
      <c r="I124">
        <v>0</v>
      </c>
      <c r="J124">
        <v>8</v>
      </c>
      <c r="K124">
        <v>0</v>
      </c>
      <c r="L124">
        <v>89</v>
      </c>
      <c r="M124">
        <v>177</v>
      </c>
      <c r="N124">
        <v>0</v>
      </c>
      <c r="O124">
        <v>681</v>
      </c>
    </row>
    <row r="125" spans="1:15" x14ac:dyDescent="0.2">
      <c r="A125" t="s">
        <v>88</v>
      </c>
      <c r="B125" t="s">
        <v>37</v>
      </c>
      <c r="C125" t="s">
        <v>17</v>
      </c>
      <c r="D125" t="s">
        <v>75</v>
      </c>
      <c r="E125" t="s">
        <v>81</v>
      </c>
      <c r="F125">
        <v>3</v>
      </c>
      <c r="G125" t="s">
        <v>19</v>
      </c>
      <c r="H125" t="s">
        <v>23</v>
      </c>
      <c r="I125">
        <v>9</v>
      </c>
      <c r="J125">
        <v>100</v>
      </c>
      <c r="K125">
        <v>0</v>
      </c>
      <c r="L125">
        <v>89</v>
      </c>
      <c r="M125">
        <v>177</v>
      </c>
      <c r="N125">
        <v>0</v>
      </c>
      <c r="O125">
        <v>681</v>
      </c>
    </row>
    <row r="126" spans="1:15" x14ac:dyDescent="0.2">
      <c r="A126" t="s">
        <v>88</v>
      </c>
      <c r="B126" t="s">
        <v>37</v>
      </c>
      <c r="C126" t="s">
        <v>17</v>
      </c>
      <c r="D126" t="s">
        <v>75</v>
      </c>
      <c r="E126" t="s">
        <v>81</v>
      </c>
      <c r="F126">
        <v>3</v>
      </c>
      <c r="G126" t="s">
        <v>19</v>
      </c>
      <c r="H126" t="s">
        <v>24</v>
      </c>
      <c r="I126">
        <v>0</v>
      </c>
      <c r="J126">
        <v>1</v>
      </c>
      <c r="K126">
        <v>0</v>
      </c>
      <c r="L126">
        <v>89</v>
      </c>
      <c r="M126">
        <v>177</v>
      </c>
      <c r="N126">
        <v>0</v>
      </c>
      <c r="O126">
        <v>681</v>
      </c>
    </row>
    <row r="127" spans="1:15" x14ac:dyDescent="0.2">
      <c r="A127" t="s">
        <v>88</v>
      </c>
      <c r="B127" t="s">
        <v>37</v>
      </c>
      <c r="C127" t="s">
        <v>17</v>
      </c>
      <c r="D127" t="s">
        <v>75</v>
      </c>
      <c r="E127" t="s">
        <v>179</v>
      </c>
      <c r="F127">
        <v>3</v>
      </c>
      <c r="G127" t="s">
        <v>130</v>
      </c>
      <c r="H127" t="s">
        <v>20</v>
      </c>
      <c r="I127">
        <v>41</v>
      </c>
      <c r="J127">
        <v>27</v>
      </c>
      <c r="K127">
        <v>0</v>
      </c>
      <c r="L127">
        <v>51</v>
      </c>
      <c r="M127">
        <v>111</v>
      </c>
      <c r="N127">
        <v>0</v>
      </c>
      <c r="O127">
        <v>682</v>
      </c>
    </row>
    <row r="128" spans="1:15" x14ac:dyDescent="0.2">
      <c r="A128" t="s">
        <v>88</v>
      </c>
      <c r="B128" t="s">
        <v>37</v>
      </c>
      <c r="C128" t="s">
        <v>17</v>
      </c>
      <c r="D128" t="s">
        <v>75</v>
      </c>
      <c r="E128" t="s">
        <v>179</v>
      </c>
      <c r="F128">
        <v>3</v>
      </c>
      <c r="G128" t="s">
        <v>130</v>
      </c>
      <c r="H128" t="s">
        <v>21</v>
      </c>
      <c r="I128">
        <v>6</v>
      </c>
      <c r="J128">
        <v>3</v>
      </c>
      <c r="K128">
        <v>0</v>
      </c>
      <c r="L128">
        <v>51</v>
      </c>
      <c r="M128">
        <v>111</v>
      </c>
      <c r="N128">
        <v>0</v>
      </c>
      <c r="O128">
        <v>682</v>
      </c>
    </row>
    <row r="129" spans="1:15" x14ac:dyDescent="0.2">
      <c r="A129" t="s">
        <v>88</v>
      </c>
      <c r="B129" t="s">
        <v>37</v>
      </c>
      <c r="C129" t="s">
        <v>17</v>
      </c>
      <c r="D129" t="s">
        <v>75</v>
      </c>
      <c r="E129" t="s">
        <v>179</v>
      </c>
      <c r="F129">
        <v>3</v>
      </c>
      <c r="G129" t="s">
        <v>130</v>
      </c>
      <c r="H129" t="s">
        <v>22</v>
      </c>
      <c r="I129">
        <v>0</v>
      </c>
      <c r="J129">
        <v>0</v>
      </c>
      <c r="K129">
        <v>0</v>
      </c>
      <c r="L129">
        <v>51</v>
      </c>
      <c r="M129">
        <v>111</v>
      </c>
      <c r="N129">
        <v>0</v>
      </c>
      <c r="O129">
        <v>682</v>
      </c>
    </row>
    <row r="130" spans="1:15" x14ac:dyDescent="0.2">
      <c r="A130" t="s">
        <v>88</v>
      </c>
      <c r="B130" t="s">
        <v>37</v>
      </c>
      <c r="C130" t="s">
        <v>17</v>
      </c>
      <c r="D130" t="s">
        <v>75</v>
      </c>
      <c r="E130" t="s">
        <v>179</v>
      </c>
      <c r="F130">
        <v>3</v>
      </c>
      <c r="G130" t="s">
        <v>130</v>
      </c>
      <c r="H130" t="s">
        <v>23</v>
      </c>
      <c r="I130">
        <v>4</v>
      </c>
      <c r="J130">
        <v>80</v>
      </c>
      <c r="K130">
        <v>0</v>
      </c>
      <c r="L130">
        <v>51</v>
      </c>
      <c r="M130">
        <v>111</v>
      </c>
      <c r="N130">
        <v>0</v>
      </c>
      <c r="O130">
        <v>682</v>
      </c>
    </row>
    <row r="131" spans="1:15" x14ac:dyDescent="0.2">
      <c r="A131" t="s">
        <v>88</v>
      </c>
      <c r="B131" t="s">
        <v>37</v>
      </c>
      <c r="C131" t="s">
        <v>17</v>
      </c>
      <c r="D131" t="s">
        <v>75</v>
      </c>
      <c r="E131" t="s">
        <v>179</v>
      </c>
      <c r="F131">
        <v>3</v>
      </c>
      <c r="G131" t="s">
        <v>130</v>
      </c>
      <c r="H131" t="s">
        <v>24</v>
      </c>
      <c r="I131">
        <v>0</v>
      </c>
      <c r="J131">
        <v>1</v>
      </c>
      <c r="K131">
        <v>0</v>
      </c>
      <c r="L131">
        <v>51</v>
      </c>
      <c r="M131">
        <v>111</v>
      </c>
      <c r="N131">
        <v>0</v>
      </c>
      <c r="O131">
        <v>682</v>
      </c>
    </row>
    <row r="132" spans="1:15" x14ac:dyDescent="0.2">
      <c r="A132" t="s">
        <v>88</v>
      </c>
      <c r="B132" t="s">
        <v>37</v>
      </c>
      <c r="C132" t="s">
        <v>17</v>
      </c>
      <c r="D132" t="s">
        <v>75</v>
      </c>
      <c r="E132" t="s">
        <v>178</v>
      </c>
      <c r="F132">
        <v>3</v>
      </c>
      <c r="G132" t="s">
        <v>128</v>
      </c>
      <c r="H132" t="s">
        <v>20</v>
      </c>
      <c r="I132">
        <v>43</v>
      </c>
      <c r="J132">
        <v>29</v>
      </c>
      <c r="K132">
        <v>0</v>
      </c>
      <c r="L132">
        <v>57</v>
      </c>
      <c r="M132">
        <v>117</v>
      </c>
      <c r="N132">
        <v>0</v>
      </c>
      <c r="O132">
        <v>681</v>
      </c>
    </row>
    <row r="133" spans="1:15" x14ac:dyDescent="0.2">
      <c r="A133" t="s">
        <v>88</v>
      </c>
      <c r="B133" t="s">
        <v>37</v>
      </c>
      <c r="C133" t="s">
        <v>17</v>
      </c>
      <c r="D133" t="s">
        <v>75</v>
      </c>
      <c r="E133" t="s">
        <v>178</v>
      </c>
      <c r="F133">
        <v>3</v>
      </c>
      <c r="G133" t="s">
        <v>128</v>
      </c>
      <c r="H133" t="s">
        <v>21</v>
      </c>
      <c r="I133">
        <v>6</v>
      </c>
      <c r="J133">
        <v>4</v>
      </c>
      <c r="K133">
        <v>0</v>
      </c>
      <c r="L133">
        <v>57</v>
      </c>
      <c r="M133">
        <v>117</v>
      </c>
      <c r="N133">
        <v>0</v>
      </c>
      <c r="O133">
        <v>681</v>
      </c>
    </row>
    <row r="134" spans="1:15" x14ac:dyDescent="0.2">
      <c r="A134" t="s">
        <v>88</v>
      </c>
      <c r="B134" t="s">
        <v>37</v>
      </c>
      <c r="C134" t="s">
        <v>17</v>
      </c>
      <c r="D134" t="s">
        <v>75</v>
      </c>
      <c r="E134" t="s">
        <v>178</v>
      </c>
      <c r="F134">
        <v>3</v>
      </c>
      <c r="G134" t="s">
        <v>128</v>
      </c>
      <c r="H134" t="s">
        <v>22</v>
      </c>
      <c r="I134">
        <v>0</v>
      </c>
      <c r="J134">
        <v>0</v>
      </c>
      <c r="K134">
        <v>0</v>
      </c>
      <c r="L134">
        <v>57</v>
      </c>
      <c r="M134">
        <v>117</v>
      </c>
      <c r="N134">
        <v>0</v>
      </c>
      <c r="O134">
        <v>681</v>
      </c>
    </row>
    <row r="135" spans="1:15" x14ac:dyDescent="0.2">
      <c r="A135" t="s">
        <v>88</v>
      </c>
      <c r="B135" t="s">
        <v>37</v>
      </c>
      <c r="C135" t="s">
        <v>17</v>
      </c>
      <c r="D135" t="s">
        <v>75</v>
      </c>
      <c r="E135" t="s">
        <v>178</v>
      </c>
      <c r="F135">
        <v>3</v>
      </c>
      <c r="G135" t="s">
        <v>128</v>
      </c>
      <c r="H135" t="s">
        <v>23</v>
      </c>
      <c r="I135">
        <v>8</v>
      </c>
      <c r="J135">
        <v>84</v>
      </c>
      <c r="K135">
        <v>0</v>
      </c>
      <c r="L135">
        <v>57</v>
      </c>
      <c r="M135">
        <v>117</v>
      </c>
      <c r="N135">
        <v>0</v>
      </c>
      <c r="O135">
        <v>681</v>
      </c>
    </row>
    <row r="136" spans="1:15" x14ac:dyDescent="0.2">
      <c r="A136" t="s">
        <v>88</v>
      </c>
      <c r="B136" t="s">
        <v>37</v>
      </c>
      <c r="C136" t="s">
        <v>17</v>
      </c>
      <c r="D136" t="s">
        <v>75</v>
      </c>
      <c r="E136" t="s">
        <v>178</v>
      </c>
      <c r="F136">
        <v>3</v>
      </c>
      <c r="G136" t="s">
        <v>128</v>
      </c>
      <c r="H136" t="s">
        <v>24</v>
      </c>
      <c r="I136">
        <v>0</v>
      </c>
      <c r="J136">
        <v>0</v>
      </c>
      <c r="K136">
        <v>0</v>
      </c>
      <c r="L136">
        <v>57</v>
      </c>
      <c r="M136">
        <v>117</v>
      </c>
      <c r="N136">
        <v>0</v>
      </c>
      <c r="O136">
        <v>681</v>
      </c>
    </row>
    <row r="137" spans="1:15" x14ac:dyDescent="0.2">
      <c r="A137" t="s">
        <v>88</v>
      </c>
      <c r="B137" t="s">
        <v>37</v>
      </c>
      <c r="C137" t="s">
        <v>17</v>
      </c>
      <c r="D137" t="s">
        <v>75</v>
      </c>
      <c r="E137" t="s">
        <v>177</v>
      </c>
      <c r="F137">
        <v>3</v>
      </c>
      <c r="G137" t="s">
        <v>126</v>
      </c>
      <c r="H137" t="s">
        <v>20</v>
      </c>
      <c r="I137">
        <v>41</v>
      </c>
      <c r="J137">
        <v>26</v>
      </c>
      <c r="K137">
        <v>0</v>
      </c>
      <c r="L137">
        <v>46</v>
      </c>
      <c r="M137">
        <v>124</v>
      </c>
      <c r="N137">
        <v>0</v>
      </c>
      <c r="O137">
        <v>680</v>
      </c>
    </row>
    <row r="138" spans="1:15" x14ac:dyDescent="0.2">
      <c r="A138" t="s">
        <v>88</v>
      </c>
      <c r="B138" t="s">
        <v>37</v>
      </c>
      <c r="C138" t="s">
        <v>17</v>
      </c>
      <c r="D138" t="s">
        <v>75</v>
      </c>
      <c r="E138" t="s">
        <v>177</v>
      </c>
      <c r="F138">
        <v>3</v>
      </c>
      <c r="G138" t="s">
        <v>126</v>
      </c>
      <c r="H138" t="s">
        <v>21</v>
      </c>
      <c r="I138">
        <v>2</v>
      </c>
      <c r="J138">
        <v>2</v>
      </c>
      <c r="K138">
        <v>0</v>
      </c>
      <c r="L138">
        <v>46</v>
      </c>
      <c r="M138">
        <v>124</v>
      </c>
      <c r="N138">
        <v>0</v>
      </c>
      <c r="O138">
        <v>680</v>
      </c>
    </row>
    <row r="139" spans="1:15" x14ac:dyDescent="0.2">
      <c r="A139" t="s">
        <v>88</v>
      </c>
      <c r="B139" t="s">
        <v>37</v>
      </c>
      <c r="C139" t="s">
        <v>17</v>
      </c>
      <c r="D139" t="s">
        <v>75</v>
      </c>
      <c r="E139" t="s">
        <v>177</v>
      </c>
      <c r="F139">
        <v>3</v>
      </c>
      <c r="G139" t="s">
        <v>126</v>
      </c>
      <c r="H139" t="s">
        <v>22</v>
      </c>
      <c r="I139">
        <v>1</v>
      </c>
      <c r="J139">
        <v>1</v>
      </c>
      <c r="K139">
        <v>0</v>
      </c>
      <c r="L139">
        <v>46</v>
      </c>
      <c r="M139">
        <v>124</v>
      </c>
      <c r="N139">
        <v>0</v>
      </c>
      <c r="O139">
        <v>680</v>
      </c>
    </row>
    <row r="140" spans="1:15" x14ac:dyDescent="0.2">
      <c r="A140" t="s">
        <v>88</v>
      </c>
      <c r="B140" t="s">
        <v>37</v>
      </c>
      <c r="C140" t="s">
        <v>17</v>
      </c>
      <c r="D140" t="s">
        <v>75</v>
      </c>
      <c r="E140" t="s">
        <v>177</v>
      </c>
      <c r="F140">
        <v>3</v>
      </c>
      <c r="G140" t="s">
        <v>126</v>
      </c>
      <c r="H140" t="s">
        <v>23</v>
      </c>
      <c r="I140">
        <v>2</v>
      </c>
      <c r="J140">
        <v>94</v>
      </c>
      <c r="K140">
        <v>0</v>
      </c>
      <c r="L140">
        <v>46</v>
      </c>
      <c r="M140">
        <v>124</v>
      </c>
      <c r="N140">
        <v>0</v>
      </c>
      <c r="O140">
        <v>680</v>
      </c>
    </row>
    <row r="141" spans="1:15" x14ac:dyDescent="0.2">
      <c r="A141" t="s">
        <v>88</v>
      </c>
      <c r="B141" t="s">
        <v>37</v>
      </c>
      <c r="C141" t="s">
        <v>17</v>
      </c>
      <c r="D141" t="s">
        <v>75</v>
      </c>
      <c r="E141" t="s">
        <v>177</v>
      </c>
      <c r="F141">
        <v>3</v>
      </c>
      <c r="G141" t="s">
        <v>126</v>
      </c>
      <c r="H141" t="s">
        <v>24</v>
      </c>
      <c r="I141">
        <v>0</v>
      </c>
      <c r="J141">
        <v>1</v>
      </c>
      <c r="K141">
        <v>0</v>
      </c>
      <c r="L141">
        <v>46</v>
      </c>
      <c r="M141">
        <v>124</v>
      </c>
      <c r="N141">
        <v>0</v>
      </c>
      <c r="O141">
        <v>680</v>
      </c>
    </row>
    <row r="142" spans="1:15" x14ac:dyDescent="0.2">
      <c r="A142" t="s">
        <v>124</v>
      </c>
      <c r="B142" t="s">
        <v>37</v>
      </c>
      <c r="C142" t="s">
        <v>17</v>
      </c>
      <c r="D142" t="s">
        <v>75</v>
      </c>
      <c r="E142" t="s">
        <v>118</v>
      </c>
      <c r="F142">
        <v>3</v>
      </c>
      <c r="G142" t="s">
        <v>19</v>
      </c>
      <c r="H142" t="s">
        <v>20</v>
      </c>
      <c r="I142">
        <v>85</v>
      </c>
      <c r="J142">
        <v>9</v>
      </c>
      <c r="K142">
        <v>0</v>
      </c>
      <c r="L142">
        <v>109</v>
      </c>
      <c r="M142">
        <v>34</v>
      </c>
      <c r="N142">
        <v>0</v>
      </c>
      <c r="O142">
        <v>196</v>
      </c>
    </row>
    <row r="143" spans="1:15" x14ac:dyDescent="0.2">
      <c r="A143" t="s">
        <v>124</v>
      </c>
      <c r="B143" t="s">
        <v>37</v>
      </c>
      <c r="C143" t="s">
        <v>17</v>
      </c>
      <c r="D143" t="s">
        <v>75</v>
      </c>
      <c r="E143" t="s">
        <v>118</v>
      </c>
      <c r="F143">
        <v>3</v>
      </c>
      <c r="G143" t="s">
        <v>19</v>
      </c>
      <c r="H143" t="s">
        <v>21</v>
      </c>
      <c r="I143">
        <v>17</v>
      </c>
      <c r="J143">
        <v>8</v>
      </c>
      <c r="K143">
        <v>0</v>
      </c>
      <c r="L143">
        <v>109</v>
      </c>
      <c r="M143">
        <v>34</v>
      </c>
      <c r="N143">
        <v>0</v>
      </c>
      <c r="O143">
        <v>196</v>
      </c>
    </row>
    <row r="144" spans="1:15" x14ac:dyDescent="0.2">
      <c r="A144" t="s">
        <v>124</v>
      </c>
      <c r="B144" t="s">
        <v>37</v>
      </c>
      <c r="C144" t="s">
        <v>17</v>
      </c>
      <c r="D144" t="s">
        <v>75</v>
      </c>
      <c r="E144" t="s">
        <v>118</v>
      </c>
      <c r="F144">
        <v>3</v>
      </c>
      <c r="G144" t="s">
        <v>19</v>
      </c>
      <c r="H144" t="s">
        <v>22</v>
      </c>
      <c r="I144">
        <v>4</v>
      </c>
      <c r="J144">
        <v>3</v>
      </c>
      <c r="K144">
        <v>0</v>
      </c>
      <c r="L144">
        <v>109</v>
      </c>
      <c r="M144">
        <v>34</v>
      </c>
      <c r="N144">
        <v>0</v>
      </c>
      <c r="O144">
        <v>196</v>
      </c>
    </row>
    <row r="145" spans="1:15" x14ac:dyDescent="0.2">
      <c r="A145" t="s">
        <v>124</v>
      </c>
      <c r="B145" t="s">
        <v>37</v>
      </c>
      <c r="C145" t="s">
        <v>17</v>
      </c>
      <c r="D145" t="s">
        <v>75</v>
      </c>
      <c r="E145" t="s">
        <v>118</v>
      </c>
      <c r="F145">
        <v>3</v>
      </c>
      <c r="G145" t="s">
        <v>19</v>
      </c>
      <c r="H145" t="s">
        <v>23</v>
      </c>
      <c r="I145">
        <v>3</v>
      </c>
      <c r="J145">
        <v>14</v>
      </c>
      <c r="K145">
        <v>0</v>
      </c>
      <c r="L145">
        <v>109</v>
      </c>
      <c r="M145">
        <v>34</v>
      </c>
      <c r="N145">
        <v>0</v>
      </c>
      <c r="O145">
        <v>196</v>
      </c>
    </row>
    <row r="146" spans="1:15" x14ac:dyDescent="0.2">
      <c r="A146" t="s">
        <v>124</v>
      </c>
      <c r="B146" t="s">
        <v>37</v>
      </c>
      <c r="C146" t="s">
        <v>17</v>
      </c>
      <c r="D146" t="s">
        <v>75</v>
      </c>
      <c r="E146" t="s">
        <v>118</v>
      </c>
      <c r="F146">
        <v>3</v>
      </c>
      <c r="G146" t="s">
        <v>19</v>
      </c>
      <c r="H146" t="s">
        <v>24</v>
      </c>
      <c r="I146">
        <v>0</v>
      </c>
      <c r="J146">
        <v>0</v>
      </c>
      <c r="K146">
        <v>0</v>
      </c>
      <c r="L146">
        <v>109</v>
      </c>
      <c r="M146">
        <v>34</v>
      </c>
      <c r="N146">
        <v>0</v>
      </c>
      <c r="O146">
        <v>196</v>
      </c>
    </row>
    <row r="147" spans="1:15" x14ac:dyDescent="0.2">
      <c r="A147" t="s">
        <v>124</v>
      </c>
      <c r="B147" t="s">
        <v>37</v>
      </c>
      <c r="C147" t="s">
        <v>17</v>
      </c>
      <c r="D147" t="s">
        <v>75</v>
      </c>
      <c r="E147" t="s">
        <v>176</v>
      </c>
      <c r="F147">
        <v>3</v>
      </c>
      <c r="G147" t="s">
        <v>130</v>
      </c>
      <c r="H147" t="s">
        <v>20</v>
      </c>
      <c r="I147">
        <v>61</v>
      </c>
      <c r="J147">
        <v>10</v>
      </c>
      <c r="K147">
        <v>0</v>
      </c>
      <c r="L147">
        <v>76</v>
      </c>
      <c r="M147">
        <v>20</v>
      </c>
      <c r="N147">
        <v>0</v>
      </c>
      <c r="O147">
        <v>194</v>
      </c>
    </row>
    <row r="148" spans="1:15" x14ac:dyDescent="0.2">
      <c r="A148" t="s">
        <v>124</v>
      </c>
      <c r="B148" t="s">
        <v>37</v>
      </c>
      <c r="C148" t="s">
        <v>17</v>
      </c>
      <c r="D148" t="s">
        <v>75</v>
      </c>
      <c r="E148" t="s">
        <v>176</v>
      </c>
      <c r="F148">
        <v>3</v>
      </c>
      <c r="G148" t="s">
        <v>130</v>
      </c>
      <c r="H148" t="s">
        <v>21</v>
      </c>
      <c r="I148">
        <v>6</v>
      </c>
      <c r="J148">
        <v>1</v>
      </c>
      <c r="K148">
        <v>0</v>
      </c>
      <c r="L148">
        <v>76</v>
      </c>
      <c r="M148">
        <v>20</v>
      </c>
      <c r="N148">
        <v>0</v>
      </c>
      <c r="O148">
        <v>194</v>
      </c>
    </row>
    <row r="149" spans="1:15" x14ac:dyDescent="0.2">
      <c r="A149" t="s">
        <v>124</v>
      </c>
      <c r="B149" t="s">
        <v>37</v>
      </c>
      <c r="C149" t="s">
        <v>17</v>
      </c>
      <c r="D149" t="s">
        <v>75</v>
      </c>
      <c r="E149" t="s">
        <v>176</v>
      </c>
      <c r="F149">
        <v>3</v>
      </c>
      <c r="G149" t="s">
        <v>130</v>
      </c>
      <c r="H149" t="s">
        <v>22</v>
      </c>
      <c r="I149">
        <v>4</v>
      </c>
      <c r="J149">
        <v>1</v>
      </c>
      <c r="K149">
        <v>0</v>
      </c>
      <c r="L149">
        <v>76</v>
      </c>
      <c r="M149">
        <v>20</v>
      </c>
      <c r="N149">
        <v>0</v>
      </c>
      <c r="O149">
        <v>194</v>
      </c>
    </row>
    <row r="150" spans="1:15" x14ac:dyDescent="0.2">
      <c r="A150" t="s">
        <v>124</v>
      </c>
      <c r="B150" t="s">
        <v>37</v>
      </c>
      <c r="C150" t="s">
        <v>17</v>
      </c>
      <c r="D150" t="s">
        <v>75</v>
      </c>
      <c r="E150" t="s">
        <v>176</v>
      </c>
      <c r="F150">
        <v>3</v>
      </c>
      <c r="G150" t="s">
        <v>130</v>
      </c>
      <c r="H150" t="s">
        <v>23</v>
      </c>
      <c r="I150">
        <v>5</v>
      </c>
      <c r="J150">
        <v>8</v>
      </c>
      <c r="K150">
        <v>0</v>
      </c>
      <c r="L150">
        <v>76</v>
      </c>
      <c r="M150">
        <v>20</v>
      </c>
      <c r="N150">
        <v>0</v>
      </c>
      <c r="O150">
        <v>194</v>
      </c>
    </row>
    <row r="151" spans="1:15" x14ac:dyDescent="0.2">
      <c r="A151" t="s">
        <v>124</v>
      </c>
      <c r="B151" t="s">
        <v>37</v>
      </c>
      <c r="C151" t="s">
        <v>17</v>
      </c>
      <c r="D151" t="s">
        <v>75</v>
      </c>
      <c r="E151" t="s">
        <v>176</v>
      </c>
      <c r="F151">
        <v>3</v>
      </c>
      <c r="G151" t="s">
        <v>130</v>
      </c>
      <c r="H151" t="s">
        <v>24</v>
      </c>
      <c r="I151">
        <v>0</v>
      </c>
      <c r="J151">
        <v>0</v>
      </c>
      <c r="K151">
        <v>0</v>
      </c>
      <c r="L151">
        <v>76</v>
      </c>
      <c r="M151">
        <v>20</v>
      </c>
      <c r="N151">
        <v>0</v>
      </c>
      <c r="O151">
        <v>194</v>
      </c>
    </row>
    <row r="152" spans="1:15" x14ac:dyDescent="0.2">
      <c r="A152" t="s">
        <v>124</v>
      </c>
      <c r="B152" t="s">
        <v>37</v>
      </c>
      <c r="C152" t="s">
        <v>17</v>
      </c>
      <c r="D152" t="s">
        <v>75</v>
      </c>
      <c r="E152" t="s">
        <v>175</v>
      </c>
      <c r="F152">
        <v>3</v>
      </c>
      <c r="G152" t="s">
        <v>128</v>
      </c>
      <c r="H152" t="s">
        <v>20</v>
      </c>
      <c r="I152">
        <v>60</v>
      </c>
      <c r="J152">
        <v>8</v>
      </c>
      <c r="K152">
        <v>0</v>
      </c>
      <c r="L152">
        <v>82</v>
      </c>
      <c r="M152">
        <v>14</v>
      </c>
      <c r="N152">
        <v>0</v>
      </c>
      <c r="O152">
        <v>195</v>
      </c>
    </row>
    <row r="153" spans="1:15" x14ac:dyDescent="0.2">
      <c r="A153" t="s">
        <v>124</v>
      </c>
      <c r="B153" t="s">
        <v>37</v>
      </c>
      <c r="C153" t="s">
        <v>17</v>
      </c>
      <c r="D153" t="s">
        <v>75</v>
      </c>
      <c r="E153" t="s">
        <v>175</v>
      </c>
      <c r="F153">
        <v>3</v>
      </c>
      <c r="G153" t="s">
        <v>128</v>
      </c>
      <c r="H153" t="s">
        <v>21</v>
      </c>
      <c r="I153">
        <v>11</v>
      </c>
      <c r="J153">
        <v>3</v>
      </c>
      <c r="K153">
        <v>0</v>
      </c>
      <c r="L153">
        <v>82</v>
      </c>
      <c r="M153">
        <v>14</v>
      </c>
      <c r="N153">
        <v>0</v>
      </c>
      <c r="O153">
        <v>195</v>
      </c>
    </row>
    <row r="154" spans="1:15" x14ac:dyDescent="0.2">
      <c r="A154" t="s">
        <v>124</v>
      </c>
      <c r="B154" t="s">
        <v>37</v>
      </c>
      <c r="C154" t="s">
        <v>17</v>
      </c>
      <c r="D154" t="s">
        <v>75</v>
      </c>
      <c r="E154" t="s">
        <v>175</v>
      </c>
      <c r="F154">
        <v>3</v>
      </c>
      <c r="G154" t="s">
        <v>128</v>
      </c>
      <c r="H154" t="s">
        <v>22</v>
      </c>
      <c r="I154">
        <v>4</v>
      </c>
      <c r="J154">
        <v>1</v>
      </c>
      <c r="K154">
        <v>0</v>
      </c>
      <c r="L154">
        <v>82</v>
      </c>
      <c r="M154">
        <v>14</v>
      </c>
      <c r="N154">
        <v>0</v>
      </c>
      <c r="O154">
        <v>195</v>
      </c>
    </row>
    <row r="155" spans="1:15" x14ac:dyDescent="0.2">
      <c r="A155" t="s">
        <v>124</v>
      </c>
      <c r="B155" t="s">
        <v>37</v>
      </c>
      <c r="C155" t="s">
        <v>17</v>
      </c>
      <c r="D155" t="s">
        <v>75</v>
      </c>
      <c r="E155" t="s">
        <v>175</v>
      </c>
      <c r="F155">
        <v>3</v>
      </c>
      <c r="G155" t="s">
        <v>128</v>
      </c>
      <c r="H155" t="s">
        <v>23</v>
      </c>
      <c r="I155">
        <v>7</v>
      </c>
      <c r="J155">
        <v>2</v>
      </c>
      <c r="K155">
        <v>0</v>
      </c>
      <c r="L155">
        <v>82</v>
      </c>
      <c r="M155">
        <v>14</v>
      </c>
      <c r="N155">
        <v>0</v>
      </c>
      <c r="O155">
        <v>195</v>
      </c>
    </row>
    <row r="156" spans="1:15" x14ac:dyDescent="0.2">
      <c r="A156" t="s">
        <v>124</v>
      </c>
      <c r="B156" t="s">
        <v>37</v>
      </c>
      <c r="C156" t="s">
        <v>17</v>
      </c>
      <c r="D156" t="s">
        <v>75</v>
      </c>
      <c r="E156" t="s">
        <v>175</v>
      </c>
      <c r="F156">
        <v>3</v>
      </c>
      <c r="G156" t="s">
        <v>128</v>
      </c>
      <c r="H156" t="s">
        <v>24</v>
      </c>
      <c r="I156">
        <v>0</v>
      </c>
      <c r="J156">
        <v>0</v>
      </c>
      <c r="K156">
        <v>0</v>
      </c>
      <c r="L156">
        <v>82</v>
      </c>
      <c r="M156">
        <v>14</v>
      </c>
      <c r="N156">
        <v>0</v>
      </c>
      <c r="O156">
        <v>195</v>
      </c>
    </row>
    <row r="157" spans="1:15" x14ac:dyDescent="0.2">
      <c r="A157" t="s">
        <v>124</v>
      </c>
      <c r="B157" t="s">
        <v>37</v>
      </c>
      <c r="C157" t="s">
        <v>17</v>
      </c>
      <c r="D157" t="s">
        <v>75</v>
      </c>
      <c r="E157" t="s">
        <v>174</v>
      </c>
      <c r="F157">
        <v>3</v>
      </c>
      <c r="G157" t="s">
        <v>126</v>
      </c>
      <c r="H157" t="s">
        <v>20</v>
      </c>
      <c r="I157">
        <v>59</v>
      </c>
      <c r="J157">
        <v>10</v>
      </c>
      <c r="K157">
        <v>0</v>
      </c>
      <c r="L157">
        <v>82</v>
      </c>
      <c r="M157">
        <v>22</v>
      </c>
      <c r="N157">
        <v>0</v>
      </c>
      <c r="O157">
        <v>196</v>
      </c>
    </row>
    <row r="158" spans="1:15" x14ac:dyDescent="0.2">
      <c r="A158" t="s">
        <v>124</v>
      </c>
      <c r="B158" t="s">
        <v>37</v>
      </c>
      <c r="C158" t="s">
        <v>17</v>
      </c>
      <c r="D158" t="s">
        <v>75</v>
      </c>
      <c r="E158" t="s">
        <v>174</v>
      </c>
      <c r="F158">
        <v>3</v>
      </c>
      <c r="G158" t="s">
        <v>126</v>
      </c>
      <c r="H158" t="s">
        <v>21</v>
      </c>
      <c r="I158">
        <v>13</v>
      </c>
      <c r="J158">
        <v>4</v>
      </c>
      <c r="K158">
        <v>0</v>
      </c>
      <c r="L158">
        <v>82</v>
      </c>
      <c r="M158">
        <v>22</v>
      </c>
      <c r="N158">
        <v>0</v>
      </c>
      <c r="O158">
        <v>196</v>
      </c>
    </row>
    <row r="159" spans="1:15" x14ac:dyDescent="0.2">
      <c r="A159" t="s">
        <v>124</v>
      </c>
      <c r="B159" t="s">
        <v>37</v>
      </c>
      <c r="C159" t="s">
        <v>17</v>
      </c>
      <c r="D159" t="s">
        <v>75</v>
      </c>
      <c r="E159" t="s">
        <v>174</v>
      </c>
      <c r="F159">
        <v>3</v>
      </c>
      <c r="G159" t="s">
        <v>126</v>
      </c>
      <c r="H159" t="s">
        <v>22</v>
      </c>
      <c r="I159">
        <v>7</v>
      </c>
      <c r="J159">
        <v>2</v>
      </c>
      <c r="K159">
        <v>0</v>
      </c>
      <c r="L159">
        <v>82</v>
      </c>
      <c r="M159">
        <v>22</v>
      </c>
      <c r="N159">
        <v>0</v>
      </c>
      <c r="O159">
        <v>196</v>
      </c>
    </row>
    <row r="160" spans="1:15" x14ac:dyDescent="0.2">
      <c r="A160" t="s">
        <v>124</v>
      </c>
      <c r="B160" t="s">
        <v>37</v>
      </c>
      <c r="C160" t="s">
        <v>17</v>
      </c>
      <c r="D160" t="s">
        <v>75</v>
      </c>
      <c r="E160" t="s">
        <v>174</v>
      </c>
      <c r="F160">
        <v>3</v>
      </c>
      <c r="G160" t="s">
        <v>126</v>
      </c>
      <c r="H160" t="s">
        <v>23</v>
      </c>
      <c r="I160">
        <v>3</v>
      </c>
      <c r="J160">
        <v>6</v>
      </c>
      <c r="K160">
        <v>0</v>
      </c>
      <c r="L160">
        <v>82</v>
      </c>
      <c r="M160">
        <v>22</v>
      </c>
      <c r="N160">
        <v>0</v>
      </c>
      <c r="O160">
        <v>196</v>
      </c>
    </row>
    <row r="161" spans="1:15" x14ac:dyDescent="0.2">
      <c r="A161" t="s">
        <v>124</v>
      </c>
      <c r="B161" t="s">
        <v>37</v>
      </c>
      <c r="C161" t="s">
        <v>17</v>
      </c>
      <c r="D161" t="s">
        <v>75</v>
      </c>
      <c r="E161" t="s">
        <v>174</v>
      </c>
      <c r="F161">
        <v>3</v>
      </c>
      <c r="G161" t="s">
        <v>126</v>
      </c>
      <c r="H161" t="s">
        <v>24</v>
      </c>
      <c r="I161">
        <v>0</v>
      </c>
      <c r="J161">
        <v>0</v>
      </c>
      <c r="K161">
        <v>0</v>
      </c>
      <c r="L161">
        <v>82</v>
      </c>
      <c r="M161">
        <v>22</v>
      </c>
      <c r="N161">
        <v>0</v>
      </c>
      <c r="O161">
        <v>196</v>
      </c>
    </row>
    <row r="162" spans="1:15" x14ac:dyDescent="0.2">
      <c r="A162" t="s">
        <v>113</v>
      </c>
      <c r="B162" t="s">
        <v>45</v>
      </c>
      <c r="C162" t="s">
        <v>17</v>
      </c>
      <c r="D162" t="s">
        <v>75</v>
      </c>
      <c r="E162" t="s">
        <v>106</v>
      </c>
      <c r="F162">
        <v>3</v>
      </c>
      <c r="G162" t="s">
        <v>19</v>
      </c>
      <c r="H162" t="s">
        <v>20</v>
      </c>
      <c r="I162">
        <v>54</v>
      </c>
      <c r="J162">
        <v>82</v>
      </c>
      <c r="K162">
        <v>0</v>
      </c>
      <c r="L162">
        <v>162</v>
      </c>
      <c r="M162">
        <v>209</v>
      </c>
      <c r="N162">
        <v>0</v>
      </c>
      <c r="O162">
        <v>869</v>
      </c>
    </row>
    <row r="163" spans="1:15" x14ac:dyDescent="0.2">
      <c r="A163" t="s">
        <v>113</v>
      </c>
      <c r="B163" t="s">
        <v>45</v>
      </c>
      <c r="C163" t="s">
        <v>17</v>
      </c>
      <c r="D163" t="s">
        <v>75</v>
      </c>
      <c r="E163" t="s">
        <v>106</v>
      </c>
      <c r="F163">
        <v>3</v>
      </c>
      <c r="G163" t="s">
        <v>19</v>
      </c>
      <c r="H163" t="s">
        <v>21</v>
      </c>
      <c r="I163">
        <v>54</v>
      </c>
      <c r="J163">
        <v>72</v>
      </c>
      <c r="K163">
        <v>0</v>
      </c>
      <c r="L163">
        <v>162</v>
      </c>
      <c r="M163">
        <v>209</v>
      </c>
      <c r="N163">
        <v>0</v>
      </c>
      <c r="O163">
        <v>869</v>
      </c>
    </row>
    <row r="164" spans="1:15" x14ac:dyDescent="0.2">
      <c r="A164" t="s">
        <v>113</v>
      </c>
      <c r="B164" t="s">
        <v>45</v>
      </c>
      <c r="C164" t="s">
        <v>17</v>
      </c>
      <c r="D164" t="s">
        <v>75</v>
      </c>
      <c r="E164" t="s">
        <v>106</v>
      </c>
      <c r="F164">
        <v>3</v>
      </c>
      <c r="G164" t="s">
        <v>19</v>
      </c>
      <c r="H164" t="s">
        <v>22</v>
      </c>
      <c r="I164">
        <v>24</v>
      </c>
      <c r="J164">
        <v>40</v>
      </c>
      <c r="K164">
        <v>0</v>
      </c>
      <c r="L164">
        <v>162</v>
      </c>
      <c r="M164">
        <v>209</v>
      </c>
      <c r="N164">
        <v>0</v>
      </c>
      <c r="O164">
        <v>869</v>
      </c>
    </row>
    <row r="165" spans="1:15" x14ac:dyDescent="0.2">
      <c r="A165" t="s">
        <v>113</v>
      </c>
      <c r="B165" t="s">
        <v>45</v>
      </c>
      <c r="C165" t="s">
        <v>17</v>
      </c>
      <c r="D165" t="s">
        <v>75</v>
      </c>
      <c r="E165" t="s">
        <v>106</v>
      </c>
      <c r="F165">
        <v>3</v>
      </c>
      <c r="G165" t="s">
        <v>19</v>
      </c>
      <c r="H165" t="s">
        <v>23</v>
      </c>
      <c r="I165">
        <v>30</v>
      </c>
      <c r="J165">
        <v>15</v>
      </c>
      <c r="K165">
        <v>0</v>
      </c>
      <c r="L165">
        <v>162</v>
      </c>
      <c r="M165">
        <v>209</v>
      </c>
      <c r="N165">
        <v>0</v>
      </c>
      <c r="O165">
        <v>869</v>
      </c>
    </row>
    <row r="166" spans="1:15" x14ac:dyDescent="0.2">
      <c r="A166" t="s">
        <v>113</v>
      </c>
      <c r="B166" t="s">
        <v>45</v>
      </c>
      <c r="C166" t="s">
        <v>17</v>
      </c>
      <c r="D166" t="s">
        <v>75</v>
      </c>
      <c r="E166" t="s">
        <v>106</v>
      </c>
      <c r="F166">
        <v>3</v>
      </c>
      <c r="G166" t="s">
        <v>19</v>
      </c>
      <c r="H166" t="s">
        <v>24</v>
      </c>
      <c r="I166">
        <v>0</v>
      </c>
      <c r="J166">
        <v>0</v>
      </c>
      <c r="K166">
        <v>0</v>
      </c>
      <c r="L166">
        <v>162</v>
      </c>
      <c r="M166">
        <v>209</v>
      </c>
      <c r="N166">
        <v>0</v>
      </c>
      <c r="O166">
        <v>869</v>
      </c>
    </row>
    <row r="167" spans="1:15" x14ac:dyDescent="0.2">
      <c r="A167" t="s">
        <v>113</v>
      </c>
      <c r="B167" t="s">
        <v>45</v>
      </c>
      <c r="C167" t="s">
        <v>17</v>
      </c>
      <c r="D167" t="s">
        <v>75</v>
      </c>
      <c r="E167" t="s">
        <v>185</v>
      </c>
      <c r="F167">
        <v>3</v>
      </c>
      <c r="G167" t="s">
        <v>130</v>
      </c>
      <c r="H167" t="s">
        <v>20</v>
      </c>
      <c r="I167">
        <v>27</v>
      </c>
      <c r="J167">
        <v>52</v>
      </c>
      <c r="K167">
        <v>0</v>
      </c>
      <c r="L167">
        <v>97</v>
      </c>
      <c r="M167">
        <v>147</v>
      </c>
      <c r="N167">
        <v>0</v>
      </c>
      <c r="O167">
        <v>853</v>
      </c>
    </row>
    <row r="168" spans="1:15" x14ac:dyDescent="0.2">
      <c r="A168" t="s">
        <v>113</v>
      </c>
      <c r="B168" t="s">
        <v>45</v>
      </c>
      <c r="C168" t="s">
        <v>17</v>
      </c>
      <c r="D168" t="s">
        <v>75</v>
      </c>
      <c r="E168" t="s">
        <v>185</v>
      </c>
      <c r="F168">
        <v>3</v>
      </c>
      <c r="G168" t="s">
        <v>130</v>
      </c>
      <c r="H168" t="s">
        <v>21</v>
      </c>
      <c r="I168">
        <v>34</v>
      </c>
      <c r="J168">
        <v>41</v>
      </c>
      <c r="K168">
        <v>0</v>
      </c>
      <c r="L168">
        <v>97</v>
      </c>
      <c r="M168">
        <v>147</v>
      </c>
      <c r="N168">
        <v>0</v>
      </c>
      <c r="O168">
        <v>853</v>
      </c>
    </row>
    <row r="169" spans="1:15" x14ac:dyDescent="0.2">
      <c r="A169" t="s">
        <v>113</v>
      </c>
      <c r="B169" t="s">
        <v>45</v>
      </c>
      <c r="C169" t="s">
        <v>17</v>
      </c>
      <c r="D169" t="s">
        <v>75</v>
      </c>
      <c r="E169" t="s">
        <v>185</v>
      </c>
      <c r="F169">
        <v>3</v>
      </c>
      <c r="G169" t="s">
        <v>130</v>
      </c>
      <c r="H169" t="s">
        <v>22</v>
      </c>
      <c r="I169">
        <v>22</v>
      </c>
      <c r="J169">
        <v>44</v>
      </c>
      <c r="K169">
        <v>0</v>
      </c>
      <c r="L169">
        <v>97</v>
      </c>
      <c r="M169">
        <v>147</v>
      </c>
      <c r="N169">
        <v>0</v>
      </c>
      <c r="O169">
        <v>853</v>
      </c>
    </row>
    <row r="170" spans="1:15" x14ac:dyDescent="0.2">
      <c r="A170" t="s">
        <v>113</v>
      </c>
      <c r="B170" t="s">
        <v>45</v>
      </c>
      <c r="C170" t="s">
        <v>17</v>
      </c>
      <c r="D170" t="s">
        <v>75</v>
      </c>
      <c r="E170" t="s">
        <v>185</v>
      </c>
      <c r="F170">
        <v>3</v>
      </c>
      <c r="G170" t="s">
        <v>130</v>
      </c>
      <c r="H170" t="s">
        <v>23</v>
      </c>
      <c r="I170">
        <v>14</v>
      </c>
      <c r="J170">
        <v>10</v>
      </c>
      <c r="K170">
        <v>0</v>
      </c>
      <c r="L170">
        <v>97</v>
      </c>
      <c r="M170">
        <v>147</v>
      </c>
      <c r="N170">
        <v>0</v>
      </c>
      <c r="O170">
        <v>853</v>
      </c>
    </row>
    <row r="171" spans="1:15" x14ac:dyDescent="0.2">
      <c r="A171" t="s">
        <v>113</v>
      </c>
      <c r="B171" t="s">
        <v>45</v>
      </c>
      <c r="C171" t="s">
        <v>17</v>
      </c>
      <c r="D171" t="s">
        <v>75</v>
      </c>
      <c r="E171" t="s">
        <v>185</v>
      </c>
      <c r="F171">
        <v>3</v>
      </c>
      <c r="G171" t="s">
        <v>130</v>
      </c>
      <c r="H171" t="s">
        <v>24</v>
      </c>
      <c r="I171">
        <v>0</v>
      </c>
      <c r="J171">
        <v>0</v>
      </c>
      <c r="K171">
        <v>0</v>
      </c>
      <c r="L171">
        <v>97</v>
      </c>
      <c r="M171">
        <v>147</v>
      </c>
      <c r="N171">
        <v>0</v>
      </c>
      <c r="O171">
        <v>853</v>
      </c>
    </row>
    <row r="172" spans="1:15" x14ac:dyDescent="0.2">
      <c r="A172" t="s">
        <v>113</v>
      </c>
      <c r="B172" t="s">
        <v>45</v>
      </c>
      <c r="C172" t="s">
        <v>17</v>
      </c>
      <c r="D172" t="s">
        <v>75</v>
      </c>
      <c r="E172" t="s">
        <v>184</v>
      </c>
      <c r="F172">
        <v>3</v>
      </c>
      <c r="G172" t="s">
        <v>128</v>
      </c>
      <c r="H172" t="s">
        <v>20</v>
      </c>
      <c r="I172">
        <v>22</v>
      </c>
      <c r="J172">
        <v>56</v>
      </c>
      <c r="K172">
        <v>0</v>
      </c>
      <c r="L172">
        <v>99</v>
      </c>
      <c r="M172">
        <v>136</v>
      </c>
      <c r="N172">
        <v>0</v>
      </c>
      <c r="O172">
        <v>851</v>
      </c>
    </row>
    <row r="173" spans="1:15" x14ac:dyDescent="0.2">
      <c r="A173" t="s">
        <v>113</v>
      </c>
      <c r="B173" t="s">
        <v>45</v>
      </c>
      <c r="C173" t="s">
        <v>17</v>
      </c>
      <c r="D173" t="s">
        <v>75</v>
      </c>
      <c r="E173" t="s">
        <v>184</v>
      </c>
      <c r="F173">
        <v>3</v>
      </c>
      <c r="G173" t="s">
        <v>128</v>
      </c>
      <c r="H173" t="s">
        <v>21</v>
      </c>
      <c r="I173">
        <v>35</v>
      </c>
      <c r="J173">
        <v>31</v>
      </c>
      <c r="K173">
        <v>0</v>
      </c>
      <c r="L173">
        <v>99</v>
      </c>
      <c r="M173">
        <v>136</v>
      </c>
      <c r="N173">
        <v>0</v>
      </c>
      <c r="O173">
        <v>851</v>
      </c>
    </row>
    <row r="174" spans="1:15" x14ac:dyDescent="0.2">
      <c r="A174" t="s">
        <v>113</v>
      </c>
      <c r="B174" t="s">
        <v>45</v>
      </c>
      <c r="C174" t="s">
        <v>17</v>
      </c>
      <c r="D174" t="s">
        <v>75</v>
      </c>
      <c r="E174" t="s">
        <v>184</v>
      </c>
      <c r="F174">
        <v>3</v>
      </c>
      <c r="G174" t="s">
        <v>128</v>
      </c>
      <c r="H174" t="s">
        <v>22</v>
      </c>
      <c r="I174">
        <v>21</v>
      </c>
      <c r="J174">
        <v>35</v>
      </c>
      <c r="K174">
        <v>0</v>
      </c>
      <c r="L174">
        <v>99</v>
      </c>
      <c r="M174">
        <v>136</v>
      </c>
      <c r="N174">
        <v>0</v>
      </c>
      <c r="O174">
        <v>851</v>
      </c>
    </row>
    <row r="175" spans="1:15" x14ac:dyDescent="0.2">
      <c r="A175" t="s">
        <v>113</v>
      </c>
      <c r="B175" t="s">
        <v>45</v>
      </c>
      <c r="C175" t="s">
        <v>17</v>
      </c>
      <c r="D175" t="s">
        <v>75</v>
      </c>
      <c r="E175" t="s">
        <v>184</v>
      </c>
      <c r="F175">
        <v>3</v>
      </c>
      <c r="G175" t="s">
        <v>128</v>
      </c>
      <c r="H175" t="s">
        <v>23</v>
      </c>
      <c r="I175">
        <v>21</v>
      </c>
      <c r="J175">
        <v>14</v>
      </c>
      <c r="K175">
        <v>0</v>
      </c>
      <c r="L175">
        <v>99</v>
      </c>
      <c r="M175">
        <v>136</v>
      </c>
      <c r="N175">
        <v>0</v>
      </c>
      <c r="O175">
        <v>851</v>
      </c>
    </row>
    <row r="176" spans="1:15" x14ac:dyDescent="0.2">
      <c r="A176" t="s">
        <v>113</v>
      </c>
      <c r="B176" t="s">
        <v>45</v>
      </c>
      <c r="C176" t="s">
        <v>17</v>
      </c>
      <c r="D176" t="s">
        <v>75</v>
      </c>
      <c r="E176" t="s">
        <v>184</v>
      </c>
      <c r="F176">
        <v>3</v>
      </c>
      <c r="G176" t="s">
        <v>128</v>
      </c>
      <c r="H176" t="s">
        <v>24</v>
      </c>
      <c r="I176">
        <v>0</v>
      </c>
      <c r="J176">
        <v>0</v>
      </c>
      <c r="K176">
        <v>0</v>
      </c>
      <c r="L176">
        <v>99</v>
      </c>
      <c r="M176">
        <v>136</v>
      </c>
      <c r="N176">
        <v>0</v>
      </c>
      <c r="O176">
        <v>851</v>
      </c>
    </row>
    <row r="177" spans="1:15" x14ac:dyDescent="0.2">
      <c r="A177" t="s">
        <v>113</v>
      </c>
      <c r="B177" t="s">
        <v>45</v>
      </c>
      <c r="C177" t="s">
        <v>17</v>
      </c>
      <c r="D177" t="s">
        <v>75</v>
      </c>
      <c r="E177" t="s">
        <v>183</v>
      </c>
      <c r="F177">
        <v>3</v>
      </c>
      <c r="G177" t="s">
        <v>126</v>
      </c>
      <c r="H177" t="s">
        <v>20</v>
      </c>
      <c r="I177">
        <v>20</v>
      </c>
      <c r="J177">
        <v>58</v>
      </c>
      <c r="K177">
        <v>0</v>
      </c>
      <c r="L177">
        <v>100</v>
      </c>
      <c r="M177">
        <v>118</v>
      </c>
      <c r="N177">
        <v>0</v>
      </c>
      <c r="O177">
        <v>838</v>
      </c>
    </row>
    <row r="178" spans="1:15" x14ac:dyDescent="0.2">
      <c r="A178" t="s">
        <v>113</v>
      </c>
      <c r="B178" t="s">
        <v>45</v>
      </c>
      <c r="C178" t="s">
        <v>17</v>
      </c>
      <c r="D178" t="s">
        <v>75</v>
      </c>
      <c r="E178" t="s">
        <v>183</v>
      </c>
      <c r="F178">
        <v>3</v>
      </c>
      <c r="G178" t="s">
        <v>126</v>
      </c>
      <c r="H178" t="s">
        <v>21</v>
      </c>
      <c r="I178">
        <v>34</v>
      </c>
      <c r="J178">
        <v>25</v>
      </c>
      <c r="K178">
        <v>0</v>
      </c>
      <c r="L178">
        <v>100</v>
      </c>
      <c r="M178">
        <v>118</v>
      </c>
      <c r="N178">
        <v>0</v>
      </c>
      <c r="O178">
        <v>838</v>
      </c>
    </row>
    <row r="179" spans="1:15" x14ac:dyDescent="0.2">
      <c r="A179" t="s">
        <v>113</v>
      </c>
      <c r="B179" t="s">
        <v>45</v>
      </c>
      <c r="C179" t="s">
        <v>17</v>
      </c>
      <c r="D179" t="s">
        <v>75</v>
      </c>
      <c r="E179" t="s">
        <v>183</v>
      </c>
      <c r="F179">
        <v>3</v>
      </c>
      <c r="G179" t="s">
        <v>126</v>
      </c>
      <c r="H179" t="s">
        <v>22</v>
      </c>
      <c r="I179">
        <v>24</v>
      </c>
      <c r="J179">
        <v>21</v>
      </c>
      <c r="K179">
        <v>0</v>
      </c>
      <c r="L179">
        <v>100</v>
      </c>
      <c r="M179">
        <v>118</v>
      </c>
      <c r="N179">
        <v>0</v>
      </c>
      <c r="O179">
        <v>838</v>
      </c>
    </row>
    <row r="180" spans="1:15" x14ac:dyDescent="0.2">
      <c r="A180" t="s">
        <v>113</v>
      </c>
      <c r="B180" t="s">
        <v>45</v>
      </c>
      <c r="C180" t="s">
        <v>17</v>
      </c>
      <c r="D180" t="s">
        <v>75</v>
      </c>
      <c r="E180" t="s">
        <v>183</v>
      </c>
      <c r="F180">
        <v>3</v>
      </c>
      <c r="G180" t="s">
        <v>126</v>
      </c>
      <c r="H180" t="s">
        <v>23</v>
      </c>
      <c r="I180">
        <v>22</v>
      </c>
      <c r="J180">
        <v>14</v>
      </c>
      <c r="K180">
        <v>0</v>
      </c>
      <c r="L180">
        <v>100</v>
      </c>
      <c r="M180">
        <v>118</v>
      </c>
      <c r="N180">
        <v>0</v>
      </c>
      <c r="O180">
        <v>838</v>
      </c>
    </row>
    <row r="181" spans="1:15" x14ac:dyDescent="0.2">
      <c r="A181" t="s">
        <v>113</v>
      </c>
      <c r="B181" t="s">
        <v>45</v>
      </c>
      <c r="C181" t="s">
        <v>17</v>
      </c>
      <c r="D181" t="s">
        <v>75</v>
      </c>
      <c r="E181" t="s">
        <v>183</v>
      </c>
      <c r="F181">
        <v>3</v>
      </c>
      <c r="G181" t="s">
        <v>126</v>
      </c>
      <c r="H181" t="s">
        <v>24</v>
      </c>
      <c r="I181">
        <v>0</v>
      </c>
      <c r="J181">
        <v>0</v>
      </c>
      <c r="K181">
        <v>0</v>
      </c>
      <c r="L181">
        <v>100</v>
      </c>
      <c r="M181">
        <v>118</v>
      </c>
      <c r="N181">
        <v>0</v>
      </c>
      <c r="O181">
        <v>838</v>
      </c>
    </row>
    <row r="182" spans="1:15" x14ac:dyDescent="0.2">
      <c r="A182" t="s">
        <v>101</v>
      </c>
      <c r="B182" t="s">
        <v>45</v>
      </c>
      <c r="C182" t="s">
        <v>17</v>
      </c>
      <c r="D182" t="s">
        <v>75</v>
      </c>
      <c r="E182" t="s">
        <v>94</v>
      </c>
      <c r="F182">
        <v>3</v>
      </c>
      <c r="G182" t="s">
        <v>19</v>
      </c>
      <c r="H182" t="s">
        <v>20</v>
      </c>
      <c r="I182">
        <v>6</v>
      </c>
      <c r="J182">
        <v>4</v>
      </c>
      <c r="K182">
        <v>0</v>
      </c>
      <c r="L182">
        <v>16</v>
      </c>
      <c r="M182">
        <v>27</v>
      </c>
      <c r="N182">
        <v>0</v>
      </c>
      <c r="O182">
        <v>730</v>
      </c>
    </row>
    <row r="183" spans="1:15" x14ac:dyDescent="0.2">
      <c r="A183" t="s">
        <v>101</v>
      </c>
      <c r="B183" t="s">
        <v>45</v>
      </c>
      <c r="C183" t="s">
        <v>17</v>
      </c>
      <c r="D183" t="s">
        <v>75</v>
      </c>
      <c r="E183" t="s">
        <v>94</v>
      </c>
      <c r="F183">
        <v>3</v>
      </c>
      <c r="G183" t="s">
        <v>19</v>
      </c>
      <c r="H183" t="s">
        <v>21</v>
      </c>
      <c r="I183">
        <v>0</v>
      </c>
      <c r="J183">
        <v>16</v>
      </c>
      <c r="K183">
        <v>0</v>
      </c>
      <c r="L183">
        <v>16</v>
      </c>
      <c r="M183">
        <v>27</v>
      </c>
      <c r="N183">
        <v>0</v>
      </c>
      <c r="O183">
        <v>730</v>
      </c>
    </row>
    <row r="184" spans="1:15" x14ac:dyDescent="0.2">
      <c r="A184" t="s">
        <v>101</v>
      </c>
      <c r="B184" t="s">
        <v>45</v>
      </c>
      <c r="C184" t="s">
        <v>17</v>
      </c>
      <c r="D184" t="s">
        <v>75</v>
      </c>
      <c r="E184" t="s">
        <v>94</v>
      </c>
      <c r="F184">
        <v>3</v>
      </c>
      <c r="G184" t="s">
        <v>19</v>
      </c>
      <c r="H184" t="s">
        <v>22</v>
      </c>
      <c r="I184">
        <v>7</v>
      </c>
      <c r="J184">
        <v>6</v>
      </c>
      <c r="K184">
        <v>0</v>
      </c>
      <c r="L184">
        <v>16</v>
      </c>
      <c r="M184">
        <v>27</v>
      </c>
      <c r="N184">
        <v>0</v>
      </c>
      <c r="O184">
        <v>730</v>
      </c>
    </row>
    <row r="185" spans="1:15" x14ac:dyDescent="0.2">
      <c r="A185" t="s">
        <v>101</v>
      </c>
      <c r="B185" t="s">
        <v>45</v>
      </c>
      <c r="C185" t="s">
        <v>17</v>
      </c>
      <c r="D185" t="s">
        <v>75</v>
      </c>
      <c r="E185" t="s">
        <v>94</v>
      </c>
      <c r="F185">
        <v>3</v>
      </c>
      <c r="G185" t="s">
        <v>19</v>
      </c>
      <c r="H185" t="s">
        <v>23</v>
      </c>
      <c r="I185">
        <v>3</v>
      </c>
      <c r="J185">
        <v>1</v>
      </c>
      <c r="K185">
        <v>0</v>
      </c>
      <c r="L185">
        <v>16</v>
      </c>
      <c r="M185">
        <v>27</v>
      </c>
      <c r="N185">
        <v>0</v>
      </c>
      <c r="O185">
        <v>730</v>
      </c>
    </row>
    <row r="186" spans="1:15" x14ac:dyDescent="0.2">
      <c r="A186" t="s">
        <v>101</v>
      </c>
      <c r="B186" t="s">
        <v>45</v>
      </c>
      <c r="C186" t="s">
        <v>17</v>
      </c>
      <c r="D186" t="s">
        <v>75</v>
      </c>
      <c r="E186" t="s">
        <v>94</v>
      </c>
      <c r="F186">
        <v>3</v>
      </c>
      <c r="G186" t="s">
        <v>19</v>
      </c>
      <c r="H186" t="s">
        <v>24</v>
      </c>
      <c r="I186">
        <v>0</v>
      </c>
      <c r="J186">
        <v>0</v>
      </c>
      <c r="K186">
        <v>0</v>
      </c>
      <c r="L186">
        <v>16</v>
      </c>
      <c r="M186">
        <v>27</v>
      </c>
      <c r="N186">
        <v>0</v>
      </c>
      <c r="O186">
        <v>730</v>
      </c>
    </row>
    <row r="187" spans="1:15" x14ac:dyDescent="0.2">
      <c r="A187" t="s">
        <v>101</v>
      </c>
      <c r="B187" t="s">
        <v>45</v>
      </c>
      <c r="C187" t="s">
        <v>17</v>
      </c>
      <c r="D187" t="s">
        <v>75</v>
      </c>
      <c r="E187" t="s">
        <v>182</v>
      </c>
      <c r="F187">
        <v>3</v>
      </c>
      <c r="G187" t="s">
        <v>130</v>
      </c>
      <c r="H187" t="s">
        <v>20</v>
      </c>
      <c r="I187">
        <v>5</v>
      </c>
      <c r="J187">
        <v>4</v>
      </c>
      <c r="K187">
        <v>0</v>
      </c>
      <c r="L187">
        <v>8</v>
      </c>
      <c r="M187">
        <v>18</v>
      </c>
      <c r="N187">
        <v>0</v>
      </c>
      <c r="O187">
        <v>724</v>
      </c>
    </row>
    <row r="188" spans="1:15" x14ac:dyDescent="0.2">
      <c r="A188" t="s">
        <v>101</v>
      </c>
      <c r="B188" t="s">
        <v>45</v>
      </c>
      <c r="C188" t="s">
        <v>17</v>
      </c>
      <c r="D188" t="s">
        <v>75</v>
      </c>
      <c r="E188" t="s">
        <v>182</v>
      </c>
      <c r="F188">
        <v>3</v>
      </c>
      <c r="G188" t="s">
        <v>130</v>
      </c>
      <c r="H188" t="s">
        <v>21</v>
      </c>
      <c r="I188">
        <v>0</v>
      </c>
      <c r="J188">
        <v>10</v>
      </c>
      <c r="K188">
        <v>0</v>
      </c>
      <c r="L188">
        <v>8</v>
      </c>
      <c r="M188">
        <v>18</v>
      </c>
      <c r="N188">
        <v>0</v>
      </c>
      <c r="O188">
        <v>724</v>
      </c>
    </row>
    <row r="189" spans="1:15" x14ac:dyDescent="0.2">
      <c r="A189" t="s">
        <v>101</v>
      </c>
      <c r="B189" t="s">
        <v>45</v>
      </c>
      <c r="C189" t="s">
        <v>17</v>
      </c>
      <c r="D189" t="s">
        <v>75</v>
      </c>
      <c r="E189" t="s">
        <v>182</v>
      </c>
      <c r="F189">
        <v>3</v>
      </c>
      <c r="G189" t="s">
        <v>130</v>
      </c>
      <c r="H189" t="s">
        <v>22</v>
      </c>
      <c r="I189">
        <v>2</v>
      </c>
      <c r="J189">
        <v>2</v>
      </c>
      <c r="K189">
        <v>0</v>
      </c>
      <c r="L189">
        <v>8</v>
      </c>
      <c r="M189">
        <v>18</v>
      </c>
      <c r="N189">
        <v>0</v>
      </c>
      <c r="O189">
        <v>724</v>
      </c>
    </row>
    <row r="190" spans="1:15" x14ac:dyDescent="0.2">
      <c r="A190" t="s">
        <v>101</v>
      </c>
      <c r="B190" t="s">
        <v>45</v>
      </c>
      <c r="C190" t="s">
        <v>17</v>
      </c>
      <c r="D190" t="s">
        <v>75</v>
      </c>
      <c r="E190" t="s">
        <v>182</v>
      </c>
      <c r="F190">
        <v>3</v>
      </c>
      <c r="G190" t="s">
        <v>130</v>
      </c>
      <c r="H190" t="s">
        <v>23</v>
      </c>
      <c r="I190">
        <v>1</v>
      </c>
      <c r="J190">
        <v>2</v>
      </c>
      <c r="K190">
        <v>0</v>
      </c>
      <c r="L190">
        <v>8</v>
      </c>
      <c r="M190">
        <v>18</v>
      </c>
      <c r="N190">
        <v>0</v>
      </c>
      <c r="O190">
        <v>724</v>
      </c>
    </row>
    <row r="191" spans="1:15" x14ac:dyDescent="0.2">
      <c r="A191" t="s">
        <v>101</v>
      </c>
      <c r="B191" t="s">
        <v>45</v>
      </c>
      <c r="C191" t="s">
        <v>17</v>
      </c>
      <c r="D191" t="s">
        <v>75</v>
      </c>
      <c r="E191" t="s">
        <v>182</v>
      </c>
      <c r="F191">
        <v>3</v>
      </c>
      <c r="G191" t="s">
        <v>130</v>
      </c>
      <c r="H191" t="s">
        <v>24</v>
      </c>
      <c r="I191">
        <v>0</v>
      </c>
      <c r="J191">
        <v>0</v>
      </c>
      <c r="K191">
        <v>0</v>
      </c>
      <c r="L191">
        <v>8</v>
      </c>
      <c r="M191">
        <v>18</v>
      </c>
      <c r="N191">
        <v>0</v>
      </c>
      <c r="O191">
        <v>724</v>
      </c>
    </row>
    <row r="192" spans="1:15" x14ac:dyDescent="0.2">
      <c r="A192" t="s">
        <v>101</v>
      </c>
      <c r="B192" t="s">
        <v>45</v>
      </c>
      <c r="C192" t="s">
        <v>17</v>
      </c>
      <c r="D192" t="s">
        <v>75</v>
      </c>
      <c r="E192" t="s">
        <v>181</v>
      </c>
      <c r="F192">
        <v>3</v>
      </c>
      <c r="G192" t="s">
        <v>128</v>
      </c>
      <c r="H192" t="s">
        <v>20</v>
      </c>
      <c r="I192">
        <v>9</v>
      </c>
      <c r="J192">
        <v>2</v>
      </c>
      <c r="K192">
        <v>0</v>
      </c>
      <c r="L192">
        <v>14</v>
      </c>
      <c r="M192">
        <v>14</v>
      </c>
      <c r="N192">
        <v>0</v>
      </c>
      <c r="O192">
        <v>739</v>
      </c>
    </row>
    <row r="193" spans="1:15" x14ac:dyDescent="0.2">
      <c r="A193" t="s">
        <v>101</v>
      </c>
      <c r="B193" t="s">
        <v>45</v>
      </c>
      <c r="C193" t="s">
        <v>17</v>
      </c>
      <c r="D193" t="s">
        <v>75</v>
      </c>
      <c r="E193" t="s">
        <v>181</v>
      </c>
      <c r="F193">
        <v>3</v>
      </c>
      <c r="G193" t="s">
        <v>128</v>
      </c>
      <c r="H193" t="s">
        <v>21</v>
      </c>
      <c r="I193">
        <v>1</v>
      </c>
      <c r="J193">
        <v>9</v>
      </c>
      <c r="K193">
        <v>0</v>
      </c>
      <c r="L193">
        <v>14</v>
      </c>
      <c r="M193">
        <v>14</v>
      </c>
      <c r="N193">
        <v>0</v>
      </c>
      <c r="O193">
        <v>739</v>
      </c>
    </row>
    <row r="194" spans="1:15" x14ac:dyDescent="0.2">
      <c r="A194" t="s">
        <v>101</v>
      </c>
      <c r="B194" t="s">
        <v>45</v>
      </c>
      <c r="C194" t="s">
        <v>17</v>
      </c>
      <c r="D194" t="s">
        <v>75</v>
      </c>
      <c r="E194" t="s">
        <v>181</v>
      </c>
      <c r="F194">
        <v>3</v>
      </c>
      <c r="G194" t="s">
        <v>128</v>
      </c>
      <c r="H194" t="s">
        <v>22</v>
      </c>
      <c r="I194">
        <v>4</v>
      </c>
      <c r="J194">
        <v>1</v>
      </c>
      <c r="K194">
        <v>0</v>
      </c>
      <c r="L194">
        <v>14</v>
      </c>
      <c r="M194">
        <v>14</v>
      </c>
      <c r="N194">
        <v>0</v>
      </c>
      <c r="O194">
        <v>739</v>
      </c>
    </row>
    <row r="195" spans="1:15" x14ac:dyDescent="0.2">
      <c r="A195" t="s">
        <v>101</v>
      </c>
      <c r="B195" t="s">
        <v>45</v>
      </c>
      <c r="C195" t="s">
        <v>17</v>
      </c>
      <c r="D195" t="s">
        <v>75</v>
      </c>
      <c r="E195" t="s">
        <v>181</v>
      </c>
      <c r="F195">
        <v>3</v>
      </c>
      <c r="G195" t="s">
        <v>128</v>
      </c>
      <c r="H195" t="s">
        <v>23</v>
      </c>
      <c r="I195">
        <v>0</v>
      </c>
      <c r="J195">
        <v>2</v>
      </c>
      <c r="K195">
        <v>0</v>
      </c>
      <c r="L195">
        <v>14</v>
      </c>
      <c r="M195">
        <v>14</v>
      </c>
      <c r="N195">
        <v>0</v>
      </c>
      <c r="O195">
        <v>739</v>
      </c>
    </row>
    <row r="196" spans="1:15" x14ac:dyDescent="0.2">
      <c r="A196" t="s">
        <v>101</v>
      </c>
      <c r="B196" t="s">
        <v>45</v>
      </c>
      <c r="C196" t="s">
        <v>17</v>
      </c>
      <c r="D196" t="s">
        <v>75</v>
      </c>
      <c r="E196" t="s">
        <v>181</v>
      </c>
      <c r="F196">
        <v>3</v>
      </c>
      <c r="G196" t="s">
        <v>128</v>
      </c>
      <c r="H196" t="s">
        <v>24</v>
      </c>
      <c r="I196">
        <v>0</v>
      </c>
      <c r="J196">
        <v>0</v>
      </c>
      <c r="K196">
        <v>0</v>
      </c>
      <c r="L196">
        <v>14</v>
      </c>
      <c r="M196">
        <v>14</v>
      </c>
      <c r="N196">
        <v>0</v>
      </c>
      <c r="O196">
        <v>739</v>
      </c>
    </row>
    <row r="197" spans="1:15" x14ac:dyDescent="0.2">
      <c r="A197" t="s">
        <v>101</v>
      </c>
      <c r="B197" t="s">
        <v>45</v>
      </c>
      <c r="C197" t="s">
        <v>17</v>
      </c>
      <c r="D197" t="s">
        <v>75</v>
      </c>
      <c r="E197" t="s">
        <v>180</v>
      </c>
      <c r="F197">
        <v>3</v>
      </c>
      <c r="G197" t="s">
        <v>126</v>
      </c>
      <c r="H197" t="s">
        <v>20</v>
      </c>
      <c r="I197">
        <v>10</v>
      </c>
      <c r="J197">
        <v>5</v>
      </c>
      <c r="K197">
        <v>0</v>
      </c>
      <c r="L197">
        <v>17</v>
      </c>
      <c r="M197">
        <v>23</v>
      </c>
      <c r="N197">
        <v>0</v>
      </c>
      <c r="O197">
        <v>712</v>
      </c>
    </row>
    <row r="198" spans="1:15" x14ac:dyDescent="0.2">
      <c r="A198" t="s">
        <v>101</v>
      </c>
      <c r="B198" t="s">
        <v>45</v>
      </c>
      <c r="C198" t="s">
        <v>17</v>
      </c>
      <c r="D198" t="s">
        <v>75</v>
      </c>
      <c r="E198" t="s">
        <v>180</v>
      </c>
      <c r="F198">
        <v>3</v>
      </c>
      <c r="G198" t="s">
        <v>126</v>
      </c>
      <c r="H198" t="s">
        <v>21</v>
      </c>
      <c r="I198">
        <v>4</v>
      </c>
      <c r="J198">
        <v>5</v>
      </c>
      <c r="K198">
        <v>0</v>
      </c>
      <c r="L198">
        <v>17</v>
      </c>
      <c r="M198">
        <v>23</v>
      </c>
      <c r="N198">
        <v>0</v>
      </c>
      <c r="O198">
        <v>712</v>
      </c>
    </row>
    <row r="199" spans="1:15" x14ac:dyDescent="0.2">
      <c r="A199" t="s">
        <v>101</v>
      </c>
      <c r="B199" t="s">
        <v>45</v>
      </c>
      <c r="C199" t="s">
        <v>17</v>
      </c>
      <c r="D199" t="s">
        <v>75</v>
      </c>
      <c r="E199" t="s">
        <v>180</v>
      </c>
      <c r="F199">
        <v>3</v>
      </c>
      <c r="G199" t="s">
        <v>126</v>
      </c>
      <c r="H199" t="s">
        <v>22</v>
      </c>
      <c r="I199">
        <v>2</v>
      </c>
      <c r="J199">
        <v>9</v>
      </c>
      <c r="K199">
        <v>0</v>
      </c>
      <c r="L199">
        <v>17</v>
      </c>
      <c r="M199">
        <v>23</v>
      </c>
      <c r="N199">
        <v>0</v>
      </c>
      <c r="O199">
        <v>712</v>
      </c>
    </row>
    <row r="200" spans="1:15" x14ac:dyDescent="0.2">
      <c r="A200" t="s">
        <v>101</v>
      </c>
      <c r="B200" t="s">
        <v>45</v>
      </c>
      <c r="C200" t="s">
        <v>17</v>
      </c>
      <c r="D200" t="s">
        <v>75</v>
      </c>
      <c r="E200" t="s">
        <v>180</v>
      </c>
      <c r="F200">
        <v>3</v>
      </c>
      <c r="G200" t="s">
        <v>126</v>
      </c>
      <c r="H200" t="s">
        <v>23</v>
      </c>
      <c r="I200">
        <v>1</v>
      </c>
      <c r="J200">
        <v>4</v>
      </c>
      <c r="K200">
        <v>0</v>
      </c>
      <c r="L200">
        <v>17</v>
      </c>
      <c r="M200">
        <v>23</v>
      </c>
      <c r="N200">
        <v>0</v>
      </c>
      <c r="O200">
        <v>712</v>
      </c>
    </row>
    <row r="201" spans="1:15" x14ac:dyDescent="0.2">
      <c r="A201" t="s">
        <v>101</v>
      </c>
      <c r="B201" t="s">
        <v>45</v>
      </c>
      <c r="C201" t="s">
        <v>17</v>
      </c>
      <c r="D201" t="s">
        <v>75</v>
      </c>
      <c r="E201" t="s">
        <v>180</v>
      </c>
      <c r="F201">
        <v>3</v>
      </c>
      <c r="G201" t="s">
        <v>126</v>
      </c>
      <c r="H201" t="s">
        <v>24</v>
      </c>
      <c r="I201">
        <v>0</v>
      </c>
      <c r="J201">
        <v>0</v>
      </c>
      <c r="K201">
        <v>0</v>
      </c>
      <c r="L201">
        <v>17</v>
      </c>
      <c r="M201">
        <v>23</v>
      </c>
      <c r="N201">
        <v>0</v>
      </c>
      <c r="O201">
        <v>712</v>
      </c>
    </row>
    <row r="202" spans="1:15" x14ac:dyDescent="0.2">
      <c r="A202" t="s">
        <v>89</v>
      </c>
      <c r="B202" t="s">
        <v>45</v>
      </c>
      <c r="C202" t="s">
        <v>17</v>
      </c>
      <c r="D202" t="s">
        <v>75</v>
      </c>
      <c r="E202" t="s">
        <v>81</v>
      </c>
      <c r="F202">
        <v>3</v>
      </c>
      <c r="G202" t="s">
        <v>19</v>
      </c>
      <c r="H202" t="s">
        <v>20</v>
      </c>
      <c r="I202">
        <v>34</v>
      </c>
      <c r="J202">
        <v>45</v>
      </c>
      <c r="K202">
        <v>0</v>
      </c>
      <c r="L202">
        <v>85</v>
      </c>
      <c r="M202">
        <v>125</v>
      </c>
      <c r="N202">
        <v>0</v>
      </c>
      <c r="O202">
        <v>498</v>
      </c>
    </row>
    <row r="203" spans="1:15" x14ac:dyDescent="0.2">
      <c r="A203" t="s">
        <v>89</v>
      </c>
      <c r="B203" t="s">
        <v>45</v>
      </c>
      <c r="C203" t="s">
        <v>17</v>
      </c>
      <c r="D203" t="s">
        <v>75</v>
      </c>
      <c r="E203" t="s">
        <v>81</v>
      </c>
      <c r="F203">
        <v>3</v>
      </c>
      <c r="G203" t="s">
        <v>19</v>
      </c>
      <c r="H203" t="s">
        <v>21</v>
      </c>
      <c r="I203">
        <v>22</v>
      </c>
      <c r="J203">
        <v>30</v>
      </c>
      <c r="K203">
        <v>0</v>
      </c>
      <c r="L203">
        <v>85</v>
      </c>
      <c r="M203">
        <v>125</v>
      </c>
      <c r="N203">
        <v>0</v>
      </c>
      <c r="O203">
        <v>498</v>
      </c>
    </row>
    <row r="204" spans="1:15" x14ac:dyDescent="0.2">
      <c r="A204" t="s">
        <v>89</v>
      </c>
      <c r="B204" t="s">
        <v>45</v>
      </c>
      <c r="C204" t="s">
        <v>17</v>
      </c>
      <c r="D204" t="s">
        <v>75</v>
      </c>
      <c r="E204" t="s">
        <v>81</v>
      </c>
      <c r="F204">
        <v>3</v>
      </c>
      <c r="G204" t="s">
        <v>19</v>
      </c>
      <c r="H204" t="s">
        <v>22</v>
      </c>
      <c r="I204">
        <v>12</v>
      </c>
      <c r="J204">
        <v>20</v>
      </c>
      <c r="K204">
        <v>0</v>
      </c>
      <c r="L204">
        <v>85</v>
      </c>
      <c r="M204">
        <v>125</v>
      </c>
      <c r="N204">
        <v>0</v>
      </c>
      <c r="O204">
        <v>498</v>
      </c>
    </row>
    <row r="205" spans="1:15" x14ac:dyDescent="0.2">
      <c r="A205" t="s">
        <v>89</v>
      </c>
      <c r="B205" t="s">
        <v>45</v>
      </c>
      <c r="C205" t="s">
        <v>17</v>
      </c>
      <c r="D205" t="s">
        <v>75</v>
      </c>
      <c r="E205" t="s">
        <v>81</v>
      </c>
      <c r="F205">
        <v>3</v>
      </c>
      <c r="G205" t="s">
        <v>19</v>
      </c>
      <c r="H205" t="s">
        <v>23</v>
      </c>
      <c r="I205">
        <v>17</v>
      </c>
      <c r="J205">
        <v>30</v>
      </c>
      <c r="K205">
        <v>0</v>
      </c>
      <c r="L205">
        <v>85</v>
      </c>
      <c r="M205">
        <v>125</v>
      </c>
      <c r="N205">
        <v>0</v>
      </c>
      <c r="O205">
        <v>498</v>
      </c>
    </row>
    <row r="206" spans="1:15" x14ac:dyDescent="0.2">
      <c r="A206" t="s">
        <v>89</v>
      </c>
      <c r="B206" t="s">
        <v>45</v>
      </c>
      <c r="C206" t="s">
        <v>17</v>
      </c>
      <c r="D206" t="s">
        <v>75</v>
      </c>
      <c r="E206" t="s">
        <v>81</v>
      </c>
      <c r="F206">
        <v>3</v>
      </c>
      <c r="G206" t="s">
        <v>19</v>
      </c>
      <c r="H206" t="s">
        <v>24</v>
      </c>
      <c r="I206">
        <v>0</v>
      </c>
      <c r="J206">
        <v>0</v>
      </c>
      <c r="K206">
        <v>0</v>
      </c>
      <c r="L206">
        <v>85</v>
      </c>
      <c r="M206">
        <v>125</v>
      </c>
      <c r="N206">
        <v>0</v>
      </c>
      <c r="O206">
        <v>498</v>
      </c>
    </row>
    <row r="207" spans="1:15" x14ac:dyDescent="0.2">
      <c r="A207" t="s">
        <v>89</v>
      </c>
      <c r="B207" t="s">
        <v>45</v>
      </c>
      <c r="C207" t="s">
        <v>17</v>
      </c>
      <c r="D207" t="s">
        <v>75</v>
      </c>
      <c r="E207" t="s">
        <v>179</v>
      </c>
      <c r="F207">
        <v>3</v>
      </c>
      <c r="G207" t="s">
        <v>130</v>
      </c>
      <c r="H207" t="s">
        <v>20</v>
      </c>
      <c r="I207">
        <v>22</v>
      </c>
      <c r="J207">
        <v>25</v>
      </c>
      <c r="K207">
        <v>0</v>
      </c>
      <c r="L207">
        <v>51</v>
      </c>
      <c r="M207">
        <v>77</v>
      </c>
      <c r="N207">
        <v>0</v>
      </c>
      <c r="O207">
        <v>472</v>
      </c>
    </row>
    <row r="208" spans="1:15" x14ac:dyDescent="0.2">
      <c r="A208" t="s">
        <v>89</v>
      </c>
      <c r="B208" t="s">
        <v>45</v>
      </c>
      <c r="C208" t="s">
        <v>17</v>
      </c>
      <c r="D208" t="s">
        <v>75</v>
      </c>
      <c r="E208" t="s">
        <v>179</v>
      </c>
      <c r="F208">
        <v>3</v>
      </c>
      <c r="G208" t="s">
        <v>130</v>
      </c>
      <c r="H208" t="s">
        <v>21</v>
      </c>
      <c r="I208">
        <v>13</v>
      </c>
      <c r="J208">
        <v>20</v>
      </c>
      <c r="K208">
        <v>0</v>
      </c>
      <c r="L208">
        <v>51</v>
      </c>
      <c r="M208">
        <v>77</v>
      </c>
      <c r="N208">
        <v>0</v>
      </c>
      <c r="O208">
        <v>472</v>
      </c>
    </row>
    <row r="209" spans="1:15" x14ac:dyDescent="0.2">
      <c r="A209" t="s">
        <v>89</v>
      </c>
      <c r="B209" t="s">
        <v>45</v>
      </c>
      <c r="C209" t="s">
        <v>17</v>
      </c>
      <c r="D209" t="s">
        <v>75</v>
      </c>
      <c r="E209" t="s">
        <v>179</v>
      </c>
      <c r="F209">
        <v>3</v>
      </c>
      <c r="G209" t="s">
        <v>130</v>
      </c>
      <c r="H209" t="s">
        <v>22</v>
      </c>
      <c r="I209">
        <v>7</v>
      </c>
      <c r="J209">
        <v>12</v>
      </c>
      <c r="K209">
        <v>0</v>
      </c>
      <c r="L209">
        <v>51</v>
      </c>
      <c r="M209">
        <v>77</v>
      </c>
      <c r="N209">
        <v>0</v>
      </c>
      <c r="O209">
        <v>472</v>
      </c>
    </row>
    <row r="210" spans="1:15" x14ac:dyDescent="0.2">
      <c r="A210" t="s">
        <v>89</v>
      </c>
      <c r="B210" t="s">
        <v>45</v>
      </c>
      <c r="C210" t="s">
        <v>17</v>
      </c>
      <c r="D210" t="s">
        <v>75</v>
      </c>
      <c r="E210" t="s">
        <v>179</v>
      </c>
      <c r="F210">
        <v>3</v>
      </c>
      <c r="G210" t="s">
        <v>130</v>
      </c>
      <c r="H210" t="s">
        <v>23</v>
      </c>
      <c r="I210">
        <v>9</v>
      </c>
      <c r="J210">
        <v>20</v>
      </c>
      <c r="K210">
        <v>0</v>
      </c>
      <c r="L210">
        <v>51</v>
      </c>
      <c r="M210">
        <v>77</v>
      </c>
      <c r="N210">
        <v>0</v>
      </c>
      <c r="O210">
        <v>472</v>
      </c>
    </row>
    <row r="211" spans="1:15" x14ac:dyDescent="0.2">
      <c r="A211" t="s">
        <v>89</v>
      </c>
      <c r="B211" t="s">
        <v>45</v>
      </c>
      <c r="C211" t="s">
        <v>17</v>
      </c>
      <c r="D211" t="s">
        <v>75</v>
      </c>
      <c r="E211" t="s">
        <v>179</v>
      </c>
      <c r="F211">
        <v>3</v>
      </c>
      <c r="G211" t="s">
        <v>130</v>
      </c>
      <c r="H211" t="s">
        <v>24</v>
      </c>
      <c r="I211">
        <v>0</v>
      </c>
      <c r="J211">
        <v>0</v>
      </c>
      <c r="K211">
        <v>0</v>
      </c>
      <c r="L211">
        <v>51</v>
      </c>
      <c r="M211">
        <v>77</v>
      </c>
      <c r="N211">
        <v>0</v>
      </c>
      <c r="O211">
        <v>472</v>
      </c>
    </row>
    <row r="212" spans="1:15" x14ac:dyDescent="0.2">
      <c r="A212" t="s">
        <v>89</v>
      </c>
      <c r="B212" t="s">
        <v>45</v>
      </c>
      <c r="C212" t="s">
        <v>17</v>
      </c>
      <c r="D212" t="s">
        <v>75</v>
      </c>
      <c r="E212" t="s">
        <v>178</v>
      </c>
      <c r="F212">
        <v>3</v>
      </c>
      <c r="G212" t="s">
        <v>128</v>
      </c>
      <c r="H212" t="s">
        <v>20</v>
      </c>
      <c r="I212">
        <v>34</v>
      </c>
      <c r="J212">
        <v>34</v>
      </c>
      <c r="K212">
        <v>0</v>
      </c>
      <c r="L212">
        <v>75</v>
      </c>
      <c r="M212">
        <v>82</v>
      </c>
      <c r="N212">
        <v>0</v>
      </c>
      <c r="O212">
        <v>480</v>
      </c>
    </row>
    <row r="213" spans="1:15" x14ac:dyDescent="0.2">
      <c r="A213" t="s">
        <v>89</v>
      </c>
      <c r="B213" t="s">
        <v>45</v>
      </c>
      <c r="C213" t="s">
        <v>17</v>
      </c>
      <c r="D213" t="s">
        <v>75</v>
      </c>
      <c r="E213" t="s">
        <v>178</v>
      </c>
      <c r="F213">
        <v>3</v>
      </c>
      <c r="G213" t="s">
        <v>128</v>
      </c>
      <c r="H213" t="s">
        <v>21</v>
      </c>
      <c r="I213">
        <v>14</v>
      </c>
      <c r="J213">
        <v>18</v>
      </c>
      <c r="K213">
        <v>0</v>
      </c>
      <c r="L213">
        <v>75</v>
      </c>
      <c r="M213">
        <v>82</v>
      </c>
      <c r="N213">
        <v>0</v>
      </c>
      <c r="O213">
        <v>480</v>
      </c>
    </row>
    <row r="214" spans="1:15" x14ac:dyDescent="0.2">
      <c r="A214" t="s">
        <v>89</v>
      </c>
      <c r="B214" t="s">
        <v>45</v>
      </c>
      <c r="C214" t="s">
        <v>17</v>
      </c>
      <c r="D214" t="s">
        <v>75</v>
      </c>
      <c r="E214" t="s">
        <v>178</v>
      </c>
      <c r="F214">
        <v>3</v>
      </c>
      <c r="G214" t="s">
        <v>128</v>
      </c>
      <c r="H214" t="s">
        <v>22</v>
      </c>
      <c r="I214">
        <v>8</v>
      </c>
      <c r="J214">
        <v>15</v>
      </c>
      <c r="K214">
        <v>0</v>
      </c>
      <c r="L214">
        <v>75</v>
      </c>
      <c r="M214">
        <v>82</v>
      </c>
      <c r="N214">
        <v>0</v>
      </c>
      <c r="O214">
        <v>480</v>
      </c>
    </row>
    <row r="215" spans="1:15" x14ac:dyDescent="0.2">
      <c r="A215" t="s">
        <v>89</v>
      </c>
      <c r="B215" t="s">
        <v>45</v>
      </c>
      <c r="C215" t="s">
        <v>17</v>
      </c>
      <c r="D215" t="s">
        <v>75</v>
      </c>
      <c r="E215" t="s">
        <v>178</v>
      </c>
      <c r="F215">
        <v>3</v>
      </c>
      <c r="G215" t="s">
        <v>128</v>
      </c>
      <c r="H215" t="s">
        <v>23</v>
      </c>
      <c r="I215">
        <v>19</v>
      </c>
      <c r="J215">
        <v>15</v>
      </c>
      <c r="K215">
        <v>0</v>
      </c>
      <c r="L215">
        <v>75</v>
      </c>
      <c r="M215">
        <v>82</v>
      </c>
      <c r="N215">
        <v>0</v>
      </c>
      <c r="O215">
        <v>480</v>
      </c>
    </row>
    <row r="216" spans="1:15" x14ac:dyDescent="0.2">
      <c r="A216" t="s">
        <v>89</v>
      </c>
      <c r="B216" t="s">
        <v>45</v>
      </c>
      <c r="C216" t="s">
        <v>17</v>
      </c>
      <c r="D216" t="s">
        <v>75</v>
      </c>
      <c r="E216" t="s">
        <v>178</v>
      </c>
      <c r="F216">
        <v>3</v>
      </c>
      <c r="G216" t="s">
        <v>128</v>
      </c>
      <c r="H216" t="s">
        <v>24</v>
      </c>
      <c r="I216">
        <v>0</v>
      </c>
      <c r="J216">
        <v>0</v>
      </c>
      <c r="K216">
        <v>0</v>
      </c>
      <c r="L216">
        <v>75</v>
      </c>
      <c r="M216">
        <v>82</v>
      </c>
      <c r="N216">
        <v>0</v>
      </c>
      <c r="O216">
        <v>480</v>
      </c>
    </row>
    <row r="217" spans="1:15" x14ac:dyDescent="0.2">
      <c r="A217" t="s">
        <v>89</v>
      </c>
      <c r="B217" t="s">
        <v>45</v>
      </c>
      <c r="C217" t="s">
        <v>17</v>
      </c>
      <c r="D217" t="s">
        <v>75</v>
      </c>
      <c r="E217" t="s">
        <v>177</v>
      </c>
      <c r="F217">
        <v>3</v>
      </c>
      <c r="G217" t="s">
        <v>126</v>
      </c>
      <c r="H217" t="s">
        <v>20</v>
      </c>
      <c r="I217">
        <v>21</v>
      </c>
      <c r="J217">
        <v>21</v>
      </c>
      <c r="K217">
        <v>0</v>
      </c>
      <c r="L217">
        <v>60</v>
      </c>
      <c r="M217">
        <v>61</v>
      </c>
      <c r="N217">
        <v>0</v>
      </c>
      <c r="O217">
        <v>477</v>
      </c>
    </row>
    <row r="218" spans="1:15" x14ac:dyDescent="0.2">
      <c r="A218" t="s">
        <v>89</v>
      </c>
      <c r="B218" t="s">
        <v>45</v>
      </c>
      <c r="C218" t="s">
        <v>17</v>
      </c>
      <c r="D218" t="s">
        <v>75</v>
      </c>
      <c r="E218" t="s">
        <v>177</v>
      </c>
      <c r="F218">
        <v>3</v>
      </c>
      <c r="G218" t="s">
        <v>126</v>
      </c>
      <c r="H218" t="s">
        <v>21</v>
      </c>
      <c r="I218">
        <v>16</v>
      </c>
      <c r="J218">
        <v>10</v>
      </c>
      <c r="K218">
        <v>0</v>
      </c>
      <c r="L218">
        <v>60</v>
      </c>
      <c r="M218">
        <v>61</v>
      </c>
      <c r="N218">
        <v>0</v>
      </c>
      <c r="O218">
        <v>477</v>
      </c>
    </row>
    <row r="219" spans="1:15" x14ac:dyDescent="0.2">
      <c r="A219" t="s">
        <v>89</v>
      </c>
      <c r="B219" t="s">
        <v>45</v>
      </c>
      <c r="C219" t="s">
        <v>17</v>
      </c>
      <c r="D219" t="s">
        <v>75</v>
      </c>
      <c r="E219" t="s">
        <v>177</v>
      </c>
      <c r="F219">
        <v>3</v>
      </c>
      <c r="G219" t="s">
        <v>126</v>
      </c>
      <c r="H219" t="s">
        <v>22</v>
      </c>
      <c r="I219">
        <v>6</v>
      </c>
      <c r="J219">
        <v>15</v>
      </c>
      <c r="K219">
        <v>0</v>
      </c>
      <c r="L219">
        <v>60</v>
      </c>
      <c r="M219">
        <v>61</v>
      </c>
      <c r="N219">
        <v>0</v>
      </c>
      <c r="O219">
        <v>477</v>
      </c>
    </row>
    <row r="220" spans="1:15" x14ac:dyDescent="0.2">
      <c r="A220" t="s">
        <v>89</v>
      </c>
      <c r="B220" t="s">
        <v>45</v>
      </c>
      <c r="C220" t="s">
        <v>17</v>
      </c>
      <c r="D220" t="s">
        <v>75</v>
      </c>
      <c r="E220" t="s">
        <v>177</v>
      </c>
      <c r="F220">
        <v>3</v>
      </c>
      <c r="G220" t="s">
        <v>126</v>
      </c>
      <c r="H220" t="s">
        <v>23</v>
      </c>
      <c r="I220">
        <v>17</v>
      </c>
      <c r="J220">
        <v>15</v>
      </c>
      <c r="K220">
        <v>0</v>
      </c>
      <c r="L220">
        <v>60</v>
      </c>
      <c r="M220">
        <v>61</v>
      </c>
      <c r="N220">
        <v>0</v>
      </c>
      <c r="O220">
        <v>477</v>
      </c>
    </row>
    <row r="221" spans="1:15" x14ac:dyDescent="0.2">
      <c r="A221" t="s">
        <v>89</v>
      </c>
      <c r="B221" t="s">
        <v>45</v>
      </c>
      <c r="C221" t="s">
        <v>17</v>
      </c>
      <c r="D221" t="s">
        <v>75</v>
      </c>
      <c r="E221" t="s">
        <v>177</v>
      </c>
      <c r="F221">
        <v>3</v>
      </c>
      <c r="G221" t="s">
        <v>126</v>
      </c>
      <c r="H221" t="s">
        <v>24</v>
      </c>
      <c r="I221">
        <v>0</v>
      </c>
      <c r="J221">
        <v>0</v>
      </c>
      <c r="K221">
        <v>0</v>
      </c>
      <c r="L221">
        <v>60</v>
      </c>
      <c r="M221">
        <v>61</v>
      </c>
      <c r="N221">
        <v>0</v>
      </c>
      <c r="O221">
        <v>477</v>
      </c>
    </row>
    <row r="222" spans="1:15" x14ac:dyDescent="0.2">
      <c r="A222" t="s">
        <v>125</v>
      </c>
      <c r="B222" t="s">
        <v>45</v>
      </c>
      <c r="C222" t="s">
        <v>17</v>
      </c>
      <c r="D222" t="s">
        <v>75</v>
      </c>
      <c r="E222" t="s">
        <v>118</v>
      </c>
      <c r="F222">
        <v>3</v>
      </c>
      <c r="G222" t="s">
        <v>19</v>
      </c>
      <c r="H222" t="s">
        <v>20</v>
      </c>
      <c r="I222">
        <v>18</v>
      </c>
      <c r="J222">
        <v>19</v>
      </c>
      <c r="K222">
        <v>0</v>
      </c>
      <c r="L222">
        <v>38</v>
      </c>
      <c r="M222">
        <v>40</v>
      </c>
      <c r="N222">
        <v>0</v>
      </c>
      <c r="O222">
        <v>145</v>
      </c>
    </row>
    <row r="223" spans="1:15" x14ac:dyDescent="0.2">
      <c r="A223" t="s">
        <v>125</v>
      </c>
      <c r="B223" t="s">
        <v>45</v>
      </c>
      <c r="C223" t="s">
        <v>17</v>
      </c>
      <c r="D223" t="s">
        <v>75</v>
      </c>
      <c r="E223" t="s">
        <v>118</v>
      </c>
      <c r="F223">
        <v>3</v>
      </c>
      <c r="G223" t="s">
        <v>19</v>
      </c>
      <c r="H223" t="s">
        <v>21</v>
      </c>
      <c r="I223">
        <v>10</v>
      </c>
      <c r="J223">
        <v>8</v>
      </c>
      <c r="K223">
        <v>0</v>
      </c>
      <c r="L223">
        <v>38</v>
      </c>
      <c r="M223">
        <v>40</v>
      </c>
      <c r="N223">
        <v>0</v>
      </c>
      <c r="O223">
        <v>145</v>
      </c>
    </row>
    <row r="224" spans="1:15" x14ac:dyDescent="0.2">
      <c r="A224" t="s">
        <v>125</v>
      </c>
      <c r="B224" t="s">
        <v>45</v>
      </c>
      <c r="C224" t="s">
        <v>17</v>
      </c>
      <c r="D224" t="s">
        <v>75</v>
      </c>
      <c r="E224" t="s">
        <v>118</v>
      </c>
      <c r="F224">
        <v>3</v>
      </c>
      <c r="G224" t="s">
        <v>19</v>
      </c>
      <c r="H224" t="s">
        <v>22</v>
      </c>
      <c r="I224">
        <v>3</v>
      </c>
      <c r="J224">
        <v>3</v>
      </c>
      <c r="K224">
        <v>0</v>
      </c>
      <c r="L224">
        <v>38</v>
      </c>
      <c r="M224">
        <v>40</v>
      </c>
      <c r="N224">
        <v>0</v>
      </c>
      <c r="O224">
        <v>145</v>
      </c>
    </row>
    <row r="225" spans="1:15" x14ac:dyDescent="0.2">
      <c r="A225" t="s">
        <v>125</v>
      </c>
      <c r="B225" t="s">
        <v>45</v>
      </c>
      <c r="C225" t="s">
        <v>17</v>
      </c>
      <c r="D225" t="s">
        <v>75</v>
      </c>
      <c r="E225" t="s">
        <v>118</v>
      </c>
      <c r="F225">
        <v>3</v>
      </c>
      <c r="G225" t="s">
        <v>19</v>
      </c>
      <c r="H225" t="s">
        <v>23</v>
      </c>
      <c r="I225">
        <v>7</v>
      </c>
      <c r="J225">
        <v>10</v>
      </c>
      <c r="K225">
        <v>0</v>
      </c>
      <c r="L225">
        <v>38</v>
      </c>
      <c r="M225">
        <v>40</v>
      </c>
      <c r="N225">
        <v>0</v>
      </c>
      <c r="O225">
        <v>145</v>
      </c>
    </row>
    <row r="226" spans="1:15" x14ac:dyDescent="0.2">
      <c r="A226" t="s">
        <v>125</v>
      </c>
      <c r="B226" t="s">
        <v>45</v>
      </c>
      <c r="C226" t="s">
        <v>17</v>
      </c>
      <c r="D226" t="s">
        <v>75</v>
      </c>
      <c r="E226" t="s">
        <v>118</v>
      </c>
      <c r="F226">
        <v>3</v>
      </c>
      <c r="G226" t="s">
        <v>19</v>
      </c>
      <c r="H226" t="s">
        <v>24</v>
      </c>
      <c r="I226">
        <v>0</v>
      </c>
      <c r="J226">
        <v>0</v>
      </c>
      <c r="K226">
        <v>0</v>
      </c>
      <c r="L226">
        <v>38</v>
      </c>
      <c r="M226">
        <v>40</v>
      </c>
      <c r="N226">
        <v>0</v>
      </c>
      <c r="O226">
        <v>145</v>
      </c>
    </row>
    <row r="227" spans="1:15" x14ac:dyDescent="0.2">
      <c r="A227" t="s">
        <v>125</v>
      </c>
      <c r="B227" t="s">
        <v>45</v>
      </c>
      <c r="C227" t="s">
        <v>17</v>
      </c>
      <c r="D227" t="s">
        <v>75</v>
      </c>
      <c r="E227" t="s">
        <v>176</v>
      </c>
      <c r="F227">
        <v>3</v>
      </c>
      <c r="G227" t="s">
        <v>130</v>
      </c>
      <c r="H227" t="s">
        <v>20</v>
      </c>
      <c r="I227">
        <v>13</v>
      </c>
      <c r="J227">
        <v>14</v>
      </c>
      <c r="K227">
        <v>0</v>
      </c>
      <c r="L227">
        <v>27</v>
      </c>
      <c r="M227">
        <v>31</v>
      </c>
      <c r="N227">
        <v>0</v>
      </c>
      <c r="O227">
        <v>140</v>
      </c>
    </row>
    <row r="228" spans="1:15" x14ac:dyDescent="0.2">
      <c r="A228" t="s">
        <v>125</v>
      </c>
      <c r="B228" t="s">
        <v>45</v>
      </c>
      <c r="C228" t="s">
        <v>17</v>
      </c>
      <c r="D228" t="s">
        <v>75</v>
      </c>
      <c r="E228" t="s">
        <v>176</v>
      </c>
      <c r="F228">
        <v>3</v>
      </c>
      <c r="G228" t="s">
        <v>130</v>
      </c>
      <c r="H228" t="s">
        <v>21</v>
      </c>
      <c r="I228">
        <v>8</v>
      </c>
      <c r="J228">
        <v>11</v>
      </c>
      <c r="K228">
        <v>0</v>
      </c>
      <c r="L228">
        <v>27</v>
      </c>
      <c r="M228">
        <v>31</v>
      </c>
      <c r="N228">
        <v>0</v>
      </c>
      <c r="O228">
        <v>140</v>
      </c>
    </row>
    <row r="229" spans="1:15" x14ac:dyDescent="0.2">
      <c r="A229" t="s">
        <v>125</v>
      </c>
      <c r="B229" t="s">
        <v>45</v>
      </c>
      <c r="C229" t="s">
        <v>17</v>
      </c>
      <c r="D229" t="s">
        <v>75</v>
      </c>
      <c r="E229" t="s">
        <v>176</v>
      </c>
      <c r="F229">
        <v>3</v>
      </c>
      <c r="G229" t="s">
        <v>130</v>
      </c>
      <c r="H229" t="s">
        <v>22</v>
      </c>
      <c r="I229">
        <v>5</v>
      </c>
      <c r="J229">
        <v>6</v>
      </c>
      <c r="K229">
        <v>0</v>
      </c>
      <c r="L229">
        <v>27</v>
      </c>
      <c r="M229">
        <v>31</v>
      </c>
      <c r="N229">
        <v>0</v>
      </c>
      <c r="O229">
        <v>140</v>
      </c>
    </row>
    <row r="230" spans="1:15" x14ac:dyDescent="0.2">
      <c r="A230" t="s">
        <v>125</v>
      </c>
      <c r="B230" t="s">
        <v>45</v>
      </c>
      <c r="C230" t="s">
        <v>17</v>
      </c>
      <c r="D230" t="s">
        <v>75</v>
      </c>
      <c r="E230" t="s">
        <v>176</v>
      </c>
      <c r="F230">
        <v>3</v>
      </c>
      <c r="G230" t="s">
        <v>130</v>
      </c>
      <c r="H230" t="s">
        <v>23</v>
      </c>
      <c r="I230">
        <v>1</v>
      </c>
      <c r="J230">
        <v>0</v>
      </c>
      <c r="K230">
        <v>0</v>
      </c>
      <c r="L230">
        <v>27</v>
      </c>
      <c r="M230">
        <v>31</v>
      </c>
      <c r="N230">
        <v>0</v>
      </c>
      <c r="O230">
        <v>140</v>
      </c>
    </row>
    <row r="231" spans="1:15" x14ac:dyDescent="0.2">
      <c r="A231" t="s">
        <v>125</v>
      </c>
      <c r="B231" t="s">
        <v>45</v>
      </c>
      <c r="C231" t="s">
        <v>17</v>
      </c>
      <c r="D231" t="s">
        <v>75</v>
      </c>
      <c r="E231" t="s">
        <v>176</v>
      </c>
      <c r="F231">
        <v>3</v>
      </c>
      <c r="G231" t="s">
        <v>130</v>
      </c>
      <c r="H231" t="s">
        <v>24</v>
      </c>
      <c r="I231">
        <v>0</v>
      </c>
      <c r="J231">
        <v>0</v>
      </c>
      <c r="K231">
        <v>0</v>
      </c>
      <c r="L231">
        <v>27</v>
      </c>
      <c r="M231">
        <v>31</v>
      </c>
      <c r="N231">
        <v>0</v>
      </c>
      <c r="O231">
        <v>140</v>
      </c>
    </row>
    <row r="232" spans="1:15" x14ac:dyDescent="0.2">
      <c r="A232" t="s">
        <v>125</v>
      </c>
      <c r="B232" t="s">
        <v>45</v>
      </c>
      <c r="C232" t="s">
        <v>17</v>
      </c>
      <c r="D232" t="s">
        <v>75</v>
      </c>
      <c r="E232" t="s">
        <v>175</v>
      </c>
      <c r="F232">
        <v>3</v>
      </c>
      <c r="G232" t="s">
        <v>128</v>
      </c>
      <c r="H232" t="s">
        <v>20</v>
      </c>
      <c r="I232">
        <v>10</v>
      </c>
      <c r="J232">
        <v>10</v>
      </c>
      <c r="K232">
        <v>0</v>
      </c>
      <c r="L232">
        <v>30</v>
      </c>
      <c r="M232">
        <v>25</v>
      </c>
      <c r="N232">
        <v>0</v>
      </c>
      <c r="O232">
        <v>130</v>
      </c>
    </row>
    <row r="233" spans="1:15" x14ac:dyDescent="0.2">
      <c r="A233" t="s">
        <v>125</v>
      </c>
      <c r="B233" t="s">
        <v>45</v>
      </c>
      <c r="C233" t="s">
        <v>17</v>
      </c>
      <c r="D233" t="s">
        <v>75</v>
      </c>
      <c r="E233" t="s">
        <v>175</v>
      </c>
      <c r="F233">
        <v>3</v>
      </c>
      <c r="G233" t="s">
        <v>128</v>
      </c>
      <c r="H233" t="s">
        <v>21</v>
      </c>
      <c r="I233">
        <v>9</v>
      </c>
      <c r="J233">
        <v>9</v>
      </c>
      <c r="K233">
        <v>0</v>
      </c>
      <c r="L233">
        <v>30</v>
      </c>
      <c r="M233">
        <v>25</v>
      </c>
      <c r="N233">
        <v>0</v>
      </c>
      <c r="O233">
        <v>130</v>
      </c>
    </row>
    <row r="234" spans="1:15" x14ac:dyDescent="0.2">
      <c r="A234" t="s">
        <v>125</v>
      </c>
      <c r="B234" t="s">
        <v>45</v>
      </c>
      <c r="C234" t="s">
        <v>17</v>
      </c>
      <c r="D234" t="s">
        <v>75</v>
      </c>
      <c r="E234" t="s">
        <v>175</v>
      </c>
      <c r="F234">
        <v>3</v>
      </c>
      <c r="G234" t="s">
        <v>128</v>
      </c>
      <c r="H234" t="s">
        <v>22</v>
      </c>
      <c r="I234">
        <v>6</v>
      </c>
      <c r="J234">
        <v>4</v>
      </c>
      <c r="K234">
        <v>0</v>
      </c>
      <c r="L234">
        <v>30</v>
      </c>
      <c r="M234">
        <v>25</v>
      </c>
      <c r="N234">
        <v>0</v>
      </c>
      <c r="O234">
        <v>130</v>
      </c>
    </row>
    <row r="235" spans="1:15" x14ac:dyDescent="0.2">
      <c r="A235" t="s">
        <v>125</v>
      </c>
      <c r="B235" t="s">
        <v>45</v>
      </c>
      <c r="C235" t="s">
        <v>17</v>
      </c>
      <c r="D235" t="s">
        <v>75</v>
      </c>
      <c r="E235" t="s">
        <v>175</v>
      </c>
      <c r="F235">
        <v>3</v>
      </c>
      <c r="G235" t="s">
        <v>128</v>
      </c>
      <c r="H235" t="s">
        <v>23</v>
      </c>
      <c r="I235">
        <v>5</v>
      </c>
      <c r="J235">
        <v>2</v>
      </c>
      <c r="K235">
        <v>0</v>
      </c>
      <c r="L235">
        <v>30</v>
      </c>
      <c r="M235">
        <v>25</v>
      </c>
      <c r="N235">
        <v>0</v>
      </c>
      <c r="O235">
        <v>130</v>
      </c>
    </row>
    <row r="236" spans="1:15" x14ac:dyDescent="0.2">
      <c r="A236" t="s">
        <v>125</v>
      </c>
      <c r="B236" t="s">
        <v>45</v>
      </c>
      <c r="C236" t="s">
        <v>17</v>
      </c>
      <c r="D236" t="s">
        <v>75</v>
      </c>
      <c r="E236" t="s">
        <v>175</v>
      </c>
      <c r="F236">
        <v>3</v>
      </c>
      <c r="G236" t="s">
        <v>128</v>
      </c>
      <c r="H236" t="s">
        <v>24</v>
      </c>
      <c r="I236">
        <v>0</v>
      </c>
      <c r="J236">
        <v>0</v>
      </c>
      <c r="K236">
        <v>0</v>
      </c>
      <c r="L236">
        <v>30</v>
      </c>
      <c r="M236">
        <v>25</v>
      </c>
      <c r="N236">
        <v>0</v>
      </c>
      <c r="O236">
        <v>130</v>
      </c>
    </row>
    <row r="237" spans="1:15" x14ac:dyDescent="0.2">
      <c r="A237" t="s">
        <v>125</v>
      </c>
      <c r="B237" t="s">
        <v>45</v>
      </c>
      <c r="C237" t="s">
        <v>17</v>
      </c>
      <c r="D237" t="s">
        <v>75</v>
      </c>
      <c r="E237" t="s">
        <v>174</v>
      </c>
      <c r="F237">
        <v>3</v>
      </c>
      <c r="G237" t="s">
        <v>126</v>
      </c>
      <c r="H237" t="s">
        <v>20</v>
      </c>
      <c r="I237">
        <v>7</v>
      </c>
      <c r="J237">
        <v>10</v>
      </c>
      <c r="K237">
        <v>0</v>
      </c>
      <c r="L237">
        <v>26</v>
      </c>
      <c r="M237">
        <v>30</v>
      </c>
      <c r="N237">
        <v>0</v>
      </c>
      <c r="O237">
        <v>122</v>
      </c>
    </row>
    <row r="238" spans="1:15" x14ac:dyDescent="0.2">
      <c r="A238" t="s">
        <v>125</v>
      </c>
      <c r="B238" t="s">
        <v>45</v>
      </c>
      <c r="C238" t="s">
        <v>17</v>
      </c>
      <c r="D238" t="s">
        <v>75</v>
      </c>
      <c r="E238" t="s">
        <v>174</v>
      </c>
      <c r="F238">
        <v>3</v>
      </c>
      <c r="G238" t="s">
        <v>126</v>
      </c>
      <c r="H238" t="s">
        <v>21</v>
      </c>
      <c r="I238">
        <v>10</v>
      </c>
      <c r="J238">
        <v>4</v>
      </c>
      <c r="K238">
        <v>0</v>
      </c>
      <c r="L238">
        <v>26</v>
      </c>
      <c r="M238">
        <v>30</v>
      </c>
      <c r="N238">
        <v>0</v>
      </c>
      <c r="O238">
        <v>122</v>
      </c>
    </row>
    <row r="239" spans="1:15" x14ac:dyDescent="0.2">
      <c r="A239" t="s">
        <v>125</v>
      </c>
      <c r="B239" t="s">
        <v>45</v>
      </c>
      <c r="C239" t="s">
        <v>17</v>
      </c>
      <c r="D239" t="s">
        <v>75</v>
      </c>
      <c r="E239" t="s">
        <v>174</v>
      </c>
      <c r="F239">
        <v>3</v>
      </c>
      <c r="G239" t="s">
        <v>126</v>
      </c>
      <c r="H239" t="s">
        <v>22</v>
      </c>
      <c r="I239">
        <v>7</v>
      </c>
      <c r="J239">
        <v>7</v>
      </c>
      <c r="K239">
        <v>0</v>
      </c>
      <c r="L239">
        <v>26</v>
      </c>
      <c r="M239">
        <v>30</v>
      </c>
      <c r="N239">
        <v>0</v>
      </c>
      <c r="O239">
        <v>122</v>
      </c>
    </row>
    <row r="240" spans="1:15" x14ac:dyDescent="0.2">
      <c r="A240" t="s">
        <v>125</v>
      </c>
      <c r="B240" t="s">
        <v>45</v>
      </c>
      <c r="C240" t="s">
        <v>17</v>
      </c>
      <c r="D240" t="s">
        <v>75</v>
      </c>
      <c r="E240" t="s">
        <v>174</v>
      </c>
      <c r="F240">
        <v>3</v>
      </c>
      <c r="G240" t="s">
        <v>126</v>
      </c>
      <c r="H240" t="s">
        <v>23</v>
      </c>
      <c r="I240">
        <v>2</v>
      </c>
      <c r="J240">
        <v>9</v>
      </c>
      <c r="K240">
        <v>0</v>
      </c>
      <c r="L240">
        <v>26</v>
      </c>
      <c r="M240">
        <v>30</v>
      </c>
      <c r="N240">
        <v>0</v>
      </c>
      <c r="O240">
        <v>122</v>
      </c>
    </row>
    <row r="241" spans="1:15" x14ac:dyDescent="0.2">
      <c r="A241" t="s">
        <v>125</v>
      </c>
      <c r="B241" t="s">
        <v>45</v>
      </c>
      <c r="C241" t="s">
        <v>17</v>
      </c>
      <c r="D241" t="s">
        <v>75</v>
      </c>
      <c r="E241" t="s">
        <v>174</v>
      </c>
      <c r="F241">
        <v>3</v>
      </c>
      <c r="G241" t="s">
        <v>126</v>
      </c>
      <c r="H241" t="s">
        <v>24</v>
      </c>
      <c r="I241">
        <v>0</v>
      </c>
      <c r="J241">
        <v>0</v>
      </c>
      <c r="K241">
        <v>0</v>
      </c>
      <c r="L241">
        <v>26</v>
      </c>
      <c r="M241">
        <v>30</v>
      </c>
      <c r="N241">
        <v>0</v>
      </c>
      <c r="O241">
        <v>122</v>
      </c>
    </row>
    <row r="242" spans="1:15" x14ac:dyDescent="0.2">
      <c r="A242" t="s">
        <v>103</v>
      </c>
      <c r="B242" t="s">
        <v>16</v>
      </c>
      <c r="C242" t="s">
        <v>17</v>
      </c>
      <c r="D242" t="s">
        <v>75</v>
      </c>
      <c r="E242" t="s">
        <v>106</v>
      </c>
      <c r="F242">
        <v>3</v>
      </c>
      <c r="G242" t="s">
        <v>19</v>
      </c>
      <c r="H242" t="s">
        <v>20</v>
      </c>
      <c r="I242">
        <v>212</v>
      </c>
      <c r="J242">
        <v>85</v>
      </c>
      <c r="K242">
        <v>0</v>
      </c>
      <c r="L242">
        <v>261</v>
      </c>
      <c r="M242">
        <v>98</v>
      </c>
      <c r="N242">
        <v>0</v>
      </c>
      <c r="O242">
        <v>997</v>
      </c>
    </row>
    <row r="243" spans="1:15" x14ac:dyDescent="0.2">
      <c r="A243" t="s">
        <v>103</v>
      </c>
      <c r="B243" t="s">
        <v>16</v>
      </c>
      <c r="C243" t="s">
        <v>17</v>
      </c>
      <c r="D243" t="s">
        <v>75</v>
      </c>
      <c r="E243" t="s">
        <v>106</v>
      </c>
      <c r="F243">
        <v>3</v>
      </c>
      <c r="G243" t="s">
        <v>19</v>
      </c>
      <c r="H243" t="s">
        <v>21</v>
      </c>
      <c r="I243">
        <v>17</v>
      </c>
      <c r="J243">
        <v>9</v>
      </c>
      <c r="K243">
        <v>0</v>
      </c>
      <c r="L243">
        <v>261</v>
      </c>
      <c r="M243">
        <v>98</v>
      </c>
      <c r="N243">
        <v>0</v>
      </c>
      <c r="O243">
        <v>997</v>
      </c>
    </row>
    <row r="244" spans="1:15" x14ac:dyDescent="0.2">
      <c r="A244" t="s">
        <v>103</v>
      </c>
      <c r="B244" t="s">
        <v>16</v>
      </c>
      <c r="C244" t="s">
        <v>17</v>
      </c>
      <c r="D244" t="s">
        <v>75</v>
      </c>
      <c r="E244" t="s">
        <v>106</v>
      </c>
      <c r="F244">
        <v>3</v>
      </c>
      <c r="G244" t="s">
        <v>19</v>
      </c>
      <c r="H244" t="s">
        <v>22</v>
      </c>
      <c r="I244">
        <v>2</v>
      </c>
      <c r="J244">
        <v>0</v>
      </c>
      <c r="K244">
        <v>0</v>
      </c>
      <c r="L244">
        <v>261</v>
      </c>
      <c r="M244">
        <v>98</v>
      </c>
      <c r="N244">
        <v>0</v>
      </c>
      <c r="O244">
        <v>997</v>
      </c>
    </row>
    <row r="245" spans="1:15" x14ac:dyDescent="0.2">
      <c r="A245" t="s">
        <v>103</v>
      </c>
      <c r="B245" t="s">
        <v>16</v>
      </c>
      <c r="C245" t="s">
        <v>17</v>
      </c>
      <c r="D245" t="s">
        <v>75</v>
      </c>
      <c r="E245" t="s">
        <v>106</v>
      </c>
      <c r="F245">
        <v>3</v>
      </c>
      <c r="G245" t="s">
        <v>19</v>
      </c>
      <c r="H245" t="s">
        <v>23</v>
      </c>
      <c r="I245">
        <v>30</v>
      </c>
      <c r="J245">
        <v>4</v>
      </c>
      <c r="K245">
        <v>0</v>
      </c>
      <c r="L245">
        <v>261</v>
      </c>
      <c r="M245">
        <v>98</v>
      </c>
      <c r="N245">
        <v>0</v>
      </c>
      <c r="O245">
        <v>997</v>
      </c>
    </row>
    <row r="246" spans="1:15" x14ac:dyDescent="0.2">
      <c r="A246" t="s">
        <v>103</v>
      </c>
      <c r="B246" t="s">
        <v>16</v>
      </c>
      <c r="C246" t="s">
        <v>17</v>
      </c>
      <c r="D246" t="s">
        <v>75</v>
      </c>
      <c r="E246" t="s">
        <v>106</v>
      </c>
      <c r="F246">
        <v>3</v>
      </c>
      <c r="G246" t="s">
        <v>19</v>
      </c>
      <c r="H246" t="s">
        <v>24</v>
      </c>
      <c r="I246">
        <v>0</v>
      </c>
      <c r="J246">
        <v>0</v>
      </c>
      <c r="K246">
        <v>0</v>
      </c>
      <c r="L246">
        <v>261</v>
      </c>
      <c r="M246">
        <v>98</v>
      </c>
      <c r="N246">
        <v>0</v>
      </c>
      <c r="O246">
        <v>997</v>
      </c>
    </row>
    <row r="247" spans="1:15" x14ac:dyDescent="0.2">
      <c r="A247" t="s">
        <v>103</v>
      </c>
      <c r="B247" t="s">
        <v>16</v>
      </c>
      <c r="C247" t="s">
        <v>17</v>
      </c>
      <c r="D247" t="s">
        <v>75</v>
      </c>
      <c r="E247" t="s">
        <v>105</v>
      </c>
      <c r="F247">
        <v>3</v>
      </c>
      <c r="G247" t="s">
        <v>79</v>
      </c>
      <c r="H247" t="s">
        <v>20</v>
      </c>
      <c r="I247">
        <v>70</v>
      </c>
      <c r="J247">
        <v>36</v>
      </c>
      <c r="K247">
        <v>0</v>
      </c>
      <c r="L247">
        <v>86</v>
      </c>
      <c r="M247">
        <v>46</v>
      </c>
      <c r="N247">
        <v>0</v>
      </c>
      <c r="O247">
        <v>999</v>
      </c>
    </row>
    <row r="248" spans="1:15" x14ac:dyDescent="0.2">
      <c r="A248" t="s">
        <v>103</v>
      </c>
      <c r="B248" t="s">
        <v>16</v>
      </c>
      <c r="C248" t="s">
        <v>17</v>
      </c>
      <c r="D248" t="s">
        <v>75</v>
      </c>
      <c r="E248" t="s">
        <v>105</v>
      </c>
      <c r="F248">
        <v>3</v>
      </c>
      <c r="G248" t="s">
        <v>79</v>
      </c>
      <c r="H248" t="s">
        <v>21</v>
      </c>
      <c r="I248">
        <v>7</v>
      </c>
      <c r="J248">
        <v>3</v>
      </c>
      <c r="K248">
        <v>0</v>
      </c>
      <c r="L248">
        <v>86</v>
      </c>
      <c r="M248">
        <v>46</v>
      </c>
      <c r="N248">
        <v>0</v>
      </c>
      <c r="O248">
        <v>999</v>
      </c>
    </row>
    <row r="249" spans="1:15" x14ac:dyDescent="0.2">
      <c r="A249" t="s">
        <v>103</v>
      </c>
      <c r="B249" t="s">
        <v>16</v>
      </c>
      <c r="C249" t="s">
        <v>17</v>
      </c>
      <c r="D249" t="s">
        <v>75</v>
      </c>
      <c r="E249" t="s">
        <v>105</v>
      </c>
      <c r="F249">
        <v>3</v>
      </c>
      <c r="G249" t="s">
        <v>79</v>
      </c>
      <c r="H249" t="s">
        <v>22</v>
      </c>
      <c r="I249">
        <v>2</v>
      </c>
      <c r="J249">
        <v>2</v>
      </c>
      <c r="K249">
        <v>0</v>
      </c>
      <c r="L249">
        <v>86</v>
      </c>
      <c r="M249">
        <v>46</v>
      </c>
      <c r="N249">
        <v>0</v>
      </c>
      <c r="O249">
        <v>999</v>
      </c>
    </row>
    <row r="250" spans="1:15" x14ac:dyDescent="0.2">
      <c r="A250" t="s">
        <v>103</v>
      </c>
      <c r="B250" t="s">
        <v>16</v>
      </c>
      <c r="C250" t="s">
        <v>17</v>
      </c>
      <c r="D250" t="s">
        <v>75</v>
      </c>
      <c r="E250" t="s">
        <v>105</v>
      </c>
      <c r="F250">
        <v>3</v>
      </c>
      <c r="G250" t="s">
        <v>79</v>
      </c>
      <c r="H250" t="s">
        <v>23</v>
      </c>
      <c r="I250">
        <v>7</v>
      </c>
      <c r="J250">
        <v>5</v>
      </c>
      <c r="K250">
        <v>0</v>
      </c>
      <c r="L250">
        <v>86</v>
      </c>
      <c r="M250">
        <v>46</v>
      </c>
      <c r="N250">
        <v>0</v>
      </c>
      <c r="O250">
        <v>999</v>
      </c>
    </row>
    <row r="251" spans="1:15" x14ac:dyDescent="0.2">
      <c r="A251" t="s">
        <v>103</v>
      </c>
      <c r="B251" t="s">
        <v>16</v>
      </c>
      <c r="C251" t="s">
        <v>17</v>
      </c>
      <c r="D251" t="s">
        <v>75</v>
      </c>
      <c r="E251" t="s">
        <v>105</v>
      </c>
      <c r="F251">
        <v>3</v>
      </c>
      <c r="G251" t="s">
        <v>79</v>
      </c>
      <c r="H251" t="s">
        <v>24</v>
      </c>
      <c r="I251">
        <v>0</v>
      </c>
      <c r="J251">
        <v>0</v>
      </c>
      <c r="K251">
        <v>0</v>
      </c>
      <c r="L251">
        <v>86</v>
      </c>
      <c r="M251">
        <v>46</v>
      </c>
      <c r="N251">
        <v>0</v>
      </c>
      <c r="O251">
        <v>999</v>
      </c>
    </row>
    <row r="252" spans="1:15" x14ac:dyDescent="0.2">
      <c r="A252" t="s">
        <v>103</v>
      </c>
      <c r="B252" t="s">
        <v>16</v>
      </c>
      <c r="C252" t="s">
        <v>17</v>
      </c>
      <c r="D252" t="s">
        <v>75</v>
      </c>
      <c r="E252" t="s">
        <v>104</v>
      </c>
      <c r="F252">
        <v>3</v>
      </c>
      <c r="G252" t="s">
        <v>77</v>
      </c>
      <c r="H252" t="s">
        <v>20</v>
      </c>
      <c r="I252">
        <v>68</v>
      </c>
      <c r="J252">
        <v>34</v>
      </c>
      <c r="K252">
        <v>0</v>
      </c>
      <c r="L252">
        <v>86</v>
      </c>
      <c r="M252">
        <v>43</v>
      </c>
      <c r="N252">
        <v>0</v>
      </c>
      <c r="O252">
        <v>998</v>
      </c>
    </row>
    <row r="253" spans="1:15" x14ac:dyDescent="0.2">
      <c r="A253" t="s">
        <v>103</v>
      </c>
      <c r="B253" t="s">
        <v>16</v>
      </c>
      <c r="C253" t="s">
        <v>17</v>
      </c>
      <c r="D253" t="s">
        <v>75</v>
      </c>
      <c r="E253" t="s">
        <v>104</v>
      </c>
      <c r="F253">
        <v>3</v>
      </c>
      <c r="G253" t="s">
        <v>77</v>
      </c>
      <c r="H253" t="s">
        <v>21</v>
      </c>
      <c r="I253">
        <v>6</v>
      </c>
      <c r="J253">
        <v>5</v>
      </c>
      <c r="K253">
        <v>0</v>
      </c>
      <c r="L253">
        <v>86</v>
      </c>
      <c r="M253">
        <v>43</v>
      </c>
      <c r="N253">
        <v>0</v>
      </c>
      <c r="O253">
        <v>998</v>
      </c>
    </row>
    <row r="254" spans="1:15" x14ac:dyDescent="0.2">
      <c r="A254" t="s">
        <v>103</v>
      </c>
      <c r="B254" t="s">
        <v>16</v>
      </c>
      <c r="C254" t="s">
        <v>17</v>
      </c>
      <c r="D254" t="s">
        <v>75</v>
      </c>
      <c r="E254" t="s">
        <v>104</v>
      </c>
      <c r="F254">
        <v>3</v>
      </c>
      <c r="G254" t="s">
        <v>77</v>
      </c>
      <c r="H254" t="s">
        <v>22</v>
      </c>
      <c r="I254">
        <v>1</v>
      </c>
      <c r="J254">
        <v>1</v>
      </c>
      <c r="K254">
        <v>0</v>
      </c>
      <c r="L254">
        <v>86</v>
      </c>
      <c r="M254">
        <v>43</v>
      </c>
      <c r="N254">
        <v>0</v>
      </c>
      <c r="O254">
        <v>998</v>
      </c>
    </row>
    <row r="255" spans="1:15" x14ac:dyDescent="0.2">
      <c r="A255" t="s">
        <v>103</v>
      </c>
      <c r="B255" t="s">
        <v>16</v>
      </c>
      <c r="C255" t="s">
        <v>17</v>
      </c>
      <c r="D255" t="s">
        <v>75</v>
      </c>
      <c r="E255" t="s">
        <v>104</v>
      </c>
      <c r="F255">
        <v>3</v>
      </c>
      <c r="G255" t="s">
        <v>77</v>
      </c>
      <c r="H255" t="s">
        <v>23</v>
      </c>
      <c r="I255">
        <v>11</v>
      </c>
      <c r="J255">
        <v>3</v>
      </c>
      <c r="K255">
        <v>0</v>
      </c>
      <c r="L255">
        <v>86</v>
      </c>
      <c r="M255">
        <v>43</v>
      </c>
      <c r="N255">
        <v>0</v>
      </c>
      <c r="O255">
        <v>998</v>
      </c>
    </row>
    <row r="256" spans="1:15" x14ac:dyDescent="0.2">
      <c r="A256" t="s">
        <v>103</v>
      </c>
      <c r="B256" t="s">
        <v>16</v>
      </c>
      <c r="C256" t="s">
        <v>17</v>
      </c>
      <c r="D256" t="s">
        <v>75</v>
      </c>
      <c r="E256" t="s">
        <v>104</v>
      </c>
      <c r="F256">
        <v>3</v>
      </c>
      <c r="G256" t="s">
        <v>77</v>
      </c>
      <c r="H256" t="s">
        <v>24</v>
      </c>
      <c r="I256">
        <v>0</v>
      </c>
      <c r="J256">
        <v>0</v>
      </c>
      <c r="K256">
        <v>0</v>
      </c>
      <c r="L256">
        <v>86</v>
      </c>
      <c r="M256">
        <v>43</v>
      </c>
      <c r="N256">
        <v>0</v>
      </c>
      <c r="O256">
        <v>998</v>
      </c>
    </row>
    <row r="257" spans="1:15" x14ac:dyDescent="0.2">
      <c r="A257" t="s">
        <v>103</v>
      </c>
      <c r="B257" t="s">
        <v>16</v>
      </c>
      <c r="C257" t="s">
        <v>17</v>
      </c>
      <c r="D257" t="s">
        <v>75</v>
      </c>
      <c r="E257" t="s">
        <v>102</v>
      </c>
      <c r="F257">
        <v>3</v>
      </c>
      <c r="G257" t="s">
        <v>73</v>
      </c>
      <c r="H257" t="s">
        <v>20</v>
      </c>
      <c r="I257">
        <v>67</v>
      </c>
      <c r="J257">
        <v>30</v>
      </c>
      <c r="K257">
        <v>0</v>
      </c>
      <c r="L257">
        <v>87</v>
      </c>
      <c r="M257">
        <v>35</v>
      </c>
      <c r="N257">
        <v>0</v>
      </c>
      <c r="O257">
        <v>1000</v>
      </c>
    </row>
    <row r="258" spans="1:15" x14ac:dyDescent="0.2">
      <c r="A258" t="s">
        <v>103</v>
      </c>
      <c r="B258" t="s">
        <v>16</v>
      </c>
      <c r="C258" t="s">
        <v>17</v>
      </c>
      <c r="D258" t="s">
        <v>75</v>
      </c>
      <c r="E258" t="s">
        <v>102</v>
      </c>
      <c r="F258">
        <v>3</v>
      </c>
      <c r="G258" t="s">
        <v>73</v>
      </c>
      <c r="H258" t="s">
        <v>21</v>
      </c>
      <c r="I258">
        <v>7</v>
      </c>
      <c r="J258">
        <v>4</v>
      </c>
      <c r="K258">
        <v>0</v>
      </c>
      <c r="L258">
        <v>87</v>
      </c>
      <c r="M258">
        <v>35</v>
      </c>
      <c r="N258">
        <v>0</v>
      </c>
      <c r="O258">
        <v>1000</v>
      </c>
    </row>
    <row r="259" spans="1:15" x14ac:dyDescent="0.2">
      <c r="A259" t="s">
        <v>103</v>
      </c>
      <c r="B259" t="s">
        <v>16</v>
      </c>
      <c r="C259" t="s">
        <v>17</v>
      </c>
      <c r="D259" t="s">
        <v>75</v>
      </c>
      <c r="E259" t="s">
        <v>102</v>
      </c>
      <c r="F259">
        <v>3</v>
      </c>
      <c r="G259" t="s">
        <v>73</v>
      </c>
      <c r="H259" t="s">
        <v>22</v>
      </c>
      <c r="I259">
        <v>0</v>
      </c>
      <c r="J259">
        <v>0</v>
      </c>
      <c r="K259">
        <v>0</v>
      </c>
      <c r="L259">
        <v>87</v>
      </c>
      <c r="M259">
        <v>35</v>
      </c>
      <c r="N259">
        <v>0</v>
      </c>
      <c r="O259">
        <v>1000</v>
      </c>
    </row>
    <row r="260" spans="1:15" x14ac:dyDescent="0.2">
      <c r="A260" t="s">
        <v>103</v>
      </c>
      <c r="B260" t="s">
        <v>16</v>
      </c>
      <c r="C260" t="s">
        <v>17</v>
      </c>
      <c r="D260" t="s">
        <v>75</v>
      </c>
      <c r="E260" t="s">
        <v>102</v>
      </c>
      <c r="F260">
        <v>3</v>
      </c>
      <c r="G260" t="s">
        <v>73</v>
      </c>
      <c r="H260" t="s">
        <v>23</v>
      </c>
      <c r="I260">
        <v>13</v>
      </c>
      <c r="J260">
        <v>1</v>
      </c>
      <c r="K260">
        <v>0</v>
      </c>
      <c r="L260">
        <v>87</v>
      </c>
      <c r="M260">
        <v>35</v>
      </c>
      <c r="N260">
        <v>0</v>
      </c>
      <c r="O260">
        <v>1000</v>
      </c>
    </row>
    <row r="261" spans="1:15" x14ac:dyDescent="0.2">
      <c r="A261" t="s">
        <v>103</v>
      </c>
      <c r="B261" t="s">
        <v>16</v>
      </c>
      <c r="C261" t="s">
        <v>17</v>
      </c>
      <c r="D261" t="s">
        <v>75</v>
      </c>
      <c r="E261" t="s">
        <v>102</v>
      </c>
      <c r="F261">
        <v>3</v>
      </c>
      <c r="G261" t="s">
        <v>73</v>
      </c>
      <c r="H261" t="s">
        <v>24</v>
      </c>
      <c r="I261">
        <v>0</v>
      </c>
      <c r="J261">
        <v>0</v>
      </c>
      <c r="K261">
        <v>0</v>
      </c>
      <c r="L261">
        <v>87</v>
      </c>
      <c r="M261">
        <v>35</v>
      </c>
      <c r="N261">
        <v>0</v>
      </c>
      <c r="O261">
        <v>1000</v>
      </c>
    </row>
    <row r="262" spans="1:15" x14ac:dyDescent="0.2">
      <c r="A262" t="s">
        <v>91</v>
      </c>
      <c r="B262" t="s">
        <v>16</v>
      </c>
      <c r="C262" t="s">
        <v>17</v>
      </c>
      <c r="D262" t="s">
        <v>75</v>
      </c>
      <c r="E262" t="s">
        <v>94</v>
      </c>
      <c r="F262">
        <v>3</v>
      </c>
      <c r="G262" t="s">
        <v>19</v>
      </c>
      <c r="H262" t="s">
        <v>20</v>
      </c>
      <c r="I262">
        <v>38</v>
      </c>
      <c r="J262">
        <v>15</v>
      </c>
      <c r="K262">
        <v>0</v>
      </c>
      <c r="L262">
        <v>46</v>
      </c>
      <c r="M262">
        <v>18</v>
      </c>
      <c r="N262">
        <v>0</v>
      </c>
      <c r="O262">
        <v>996</v>
      </c>
    </row>
    <row r="263" spans="1:15" x14ac:dyDescent="0.2">
      <c r="A263" t="s">
        <v>91</v>
      </c>
      <c r="B263" t="s">
        <v>16</v>
      </c>
      <c r="C263" t="s">
        <v>17</v>
      </c>
      <c r="D263" t="s">
        <v>75</v>
      </c>
      <c r="E263" t="s">
        <v>94</v>
      </c>
      <c r="F263">
        <v>3</v>
      </c>
      <c r="G263" t="s">
        <v>19</v>
      </c>
      <c r="H263" t="s">
        <v>21</v>
      </c>
      <c r="I263">
        <v>4</v>
      </c>
      <c r="J263">
        <v>0</v>
      </c>
      <c r="K263">
        <v>0</v>
      </c>
      <c r="L263">
        <v>46</v>
      </c>
      <c r="M263">
        <v>18</v>
      </c>
      <c r="N263">
        <v>0</v>
      </c>
      <c r="O263">
        <v>996</v>
      </c>
    </row>
    <row r="264" spans="1:15" x14ac:dyDescent="0.2">
      <c r="A264" t="s">
        <v>91</v>
      </c>
      <c r="B264" t="s">
        <v>16</v>
      </c>
      <c r="C264" t="s">
        <v>17</v>
      </c>
      <c r="D264" t="s">
        <v>75</v>
      </c>
      <c r="E264" t="s">
        <v>94</v>
      </c>
      <c r="F264">
        <v>3</v>
      </c>
      <c r="G264" t="s">
        <v>19</v>
      </c>
      <c r="H264" t="s">
        <v>22</v>
      </c>
      <c r="I264">
        <v>2</v>
      </c>
      <c r="J264">
        <v>0</v>
      </c>
      <c r="K264">
        <v>0</v>
      </c>
      <c r="L264">
        <v>46</v>
      </c>
      <c r="M264">
        <v>18</v>
      </c>
      <c r="N264">
        <v>0</v>
      </c>
      <c r="O264">
        <v>996</v>
      </c>
    </row>
    <row r="265" spans="1:15" x14ac:dyDescent="0.2">
      <c r="A265" t="s">
        <v>91</v>
      </c>
      <c r="B265" t="s">
        <v>16</v>
      </c>
      <c r="C265" t="s">
        <v>17</v>
      </c>
      <c r="D265" t="s">
        <v>75</v>
      </c>
      <c r="E265" t="s">
        <v>94</v>
      </c>
      <c r="F265">
        <v>3</v>
      </c>
      <c r="G265" t="s">
        <v>19</v>
      </c>
      <c r="H265" t="s">
        <v>23</v>
      </c>
      <c r="I265">
        <v>2</v>
      </c>
      <c r="J265">
        <v>3</v>
      </c>
      <c r="K265">
        <v>0</v>
      </c>
      <c r="L265">
        <v>46</v>
      </c>
      <c r="M265">
        <v>18</v>
      </c>
      <c r="N265">
        <v>0</v>
      </c>
      <c r="O265">
        <v>996</v>
      </c>
    </row>
    <row r="266" spans="1:15" x14ac:dyDescent="0.2">
      <c r="A266" t="s">
        <v>91</v>
      </c>
      <c r="B266" t="s">
        <v>16</v>
      </c>
      <c r="C266" t="s">
        <v>17</v>
      </c>
      <c r="D266" t="s">
        <v>75</v>
      </c>
      <c r="E266" t="s">
        <v>94</v>
      </c>
      <c r="F266">
        <v>3</v>
      </c>
      <c r="G266" t="s">
        <v>19</v>
      </c>
      <c r="H266" t="s">
        <v>24</v>
      </c>
      <c r="I266">
        <v>0</v>
      </c>
      <c r="J266">
        <v>0</v>
      </c>
      <c r="K266">
        <v>0</v>
      </c>
      <c r="L266">
        <v>46</v>
      </c>
      <c r="M266">
        <v>18</v>
      </c>
      <c r="N266">
        <v>0</v>
      </c>
      <c r="O266">
        <v>996</v>
      </c>
    </row>
    <row r="267" spans="1:15" x14ac:dyDescent="0.2">
      <c r="A267" t="s">
        <v>91</v>
      </c>
      <c r="B267" t="s">
        <v>16</v>
      </c>
      <c r="C267" t="s">
        <v>17</v>
      </c>
      <c r="D267" t="s">
        <v>75</v>
      </c>
      <c r="E267" t="s">
        <v>93</v>
      </c>
      <c r="F267">
        <v>3</v>
      </c>
      <c r="G267" t="s">
        <v>79</v>
      </c>
      <c r="H267" t="s">
        <v>20</v>
      </c>
      <c r="I267">
        <v>13</v>
      </c>
      <c r="J267">
        <v>7</v>
      </c>
      <c r="K267">
        <v>0</v>
      </c>
      <c r="L267">
        <v>17</v>
      </c>
      <c r="M267">
        <v>8</v>
      </c>
      <c r="N267">
        <v>0</v>
      </c>
      <c r="O267">
        <v>995</v>
      </c>
    </row>
    <row r="268" spans="1:15" x14ac:dyDescent="0.2">
      <c r="A268" t="s">
        <v>91</v>
      </c>
      <c r="B268" t="s">
        <v>16</v>
      </c>
      <c r="C268" t="s">
        <v>17</v>
      </c>
      <c r="D268" t="s">
        <v>75</v>
      </c>
      <c r="E268" t="s">
        <v>93</v>
      </c>
      <c r="F268">
        <v>3</v>
      </c>
      <c r="G268" t="s">
        <v>79</v>
      </c>
      <c r="H268" t="s">
        <v>21</v>
      </c>
      <c r="I268">
        <v>2</v>
      </c>
      <c r="J268">
        <v>0</v>
      </c>
      <c r="K268">
        <v>0</v>
      </c>
      <c r="L268">
        <v>17</v>
      </c>
      <c r="M268">
        <v>8</v>
      </c>
      <c r="N268">
        <v>0</v>
      </c>
      <c r="O268">
        <v>995</v>
      </c>
    </row>
    <row r="269" spans="1:15" x14ac:dyDescent="0.2">
      <c r="A269" t="s">
        <v>91</v>
      </c>
      <c r="B269" t="s">
        <v>16</v>
      </c>
      <c r="C269" t="s">
        <v>17</v>
      </c>
      <c r="D269" t="s">
        <v>75</v>
      </c>
      <c r="E269" t="s">
        <v>93</v>
      </c>
      <c r="F269">
        <v>3</v>
      </c>
      <c r="G269" t="s">
        <v>79</v>
      </c>
      <c r="H269" t="s">
        <v>22</v>
      </c>
      <c r="I269">
        <v>0</v>
      </c>
      <c r="J269">
        <v>0</v>
      </c>
      <c r="K269">
        <v>0</v>
      </c>
      <c r="L269">
        <v>17</v>
      </c>
      <c r="M269">
        <v>8</v>
      </c>
      <c r="N269">
        <v>0</v>
      </c>
      <c r="O269">
        <v>995</v>
      </c>
    </row>
    <row r="270" spans="1:15" x14ac:dyDescent="0.2">
      <c r="A270" t="s">
        <v>91</v>
      </c>
      <c r="B270" t="s">
        <v>16</v>
      </c>
      <c r="C270" t="s">
        <v>17</v>
      </c>
      <c r="D270" t="s">
        <v>75</v>
      </c>
      <c r="E270" t="s">
        <v>93</v>
      </c>
      <c r="F270">
        <v>3</v>
      </c>
      <c r="G270" t="s">
        <v>79</v>
      </c>
      <c r="H270" t="s">
        <v>23</v>
      </c>
      <c r="I270">
        <v>2</v>
      </c>
      <c r="J270">
        <v>1</v>
      </c>
      <c r="K270">
        <v>0</v>
      </c>
      <c r="L270">
        <v>17</v>
      </c>
      <c r="M270">
        <v>8</v>
      </c>
      <c r="N270">
        <v>0</v>
      </c>
      <c r="O270">
        <v>995</v>
      </c>
    </row>
    <row r="271" spans="1:15" x14ac:dyDescent="0.2">
      <c r="A271" t="s">
        <v>91</v>
      </c>
      <c r="B271" t="s">
        <v>16</v>
      </c>
      <c r="C271" t="s">
        <v>17</v>
      </c>
      <c r="D271" t="s">
        <v>75</v>
      </c>
      <c r="E271" t="s">
        <v>93</v>
      </c>
      <c r="F271">
        <v>3</v>
      </c>
      <c r="G271" t="s">
        <v>79</v>
      </c>
      <c r="H271" t="s">
        <v>24</v>
      </c>
      <c r="I271">
        <v>0</v>
      </c>
      <c r="J271">
        <v>0</v>
      </c>
      <c r="K271">
        <v>0</v>
      </c>
      <c r="L271">
        <v>17</v>
      </c>
      <c r="M271">
        <v>8</v>
      </c>
      <c r="N271">
        <v>0</v>
      </c>
      <c r="O271">
        <v>995</v>
      </c>
    </row>
    <row r="272" spans="1:15" x14ac:dyDescent="0.2">
      <c r="A272" t="s">
        <v>91</v>
      </c>
      <c r="B272" t="s">
        <v>16</v>
      </c>
      <c r="C272" t="s">
        <v>17</v>
      </c>
      <c r="D272" t="s">
        <v>75</v>
      </c>
      <c r="E272" t="s">
        <v>92</v>
      </c>
      <c r="F272">
        <v>3</v>
      </c>
      <c r="G272" t="s">
        <v>77</v>
      </c>
      <c r="H272" t="s">
        <v>20</v>
      </c>
      <c r="I272">
        <v>13</v>
      </c>
      <c r="J272">
        <v>6</v>
      </c>
      <c r="K272">
        <v>0</v>
      </c>
      <c r="L272">
        <v>16</v>
      </c>
      <c r="M272">
        <v>9</v>
      </c>
      <c r="N272">
        <v>0</v>
      </c>
      <c r="O272">
        <v>993</v>
      </c>
    </row>
    <row r="273" spans="1:15" x14ac:dyDescent="0.2">
      <c r="A273" t="s">
        <v>91</v>
      </c>
      <c r="B273" t="s">
        <v>16</v>
      </c>
      <c r="C273" t="s">
        <v>17</v>
      </c>
      <c r="D273" t="s">
        <v>75</v>
      </c>
      <c r="E273" t="s">
        <v>92</v>
      </c>
      <c r="F273">
        <v>3</v>
      </c>
      <c r="G273" t="s">
        <v>77</v>
      </c>
      <c r="H273" t="s">
        <v>21</v>
      </c>
      <c r="I273">
        <v>0</v>
      </c>
      <c r="J273">
        <v>2</v>
      </c>
      <c r="K273">
        <v>0</v>
      </c>
      <c r="L273">
        <v>16</v>
      </c>
      <c r="M273">
        <v>9</v>
      </c>
      <c r="N273">
        <v>0</v>
      </c>
      <c r="O273">
        <v>993</v>
      </c>
    </row>
    <row r="274" spans="1:15" x14ac:dyDescent="0.2">
      <c r="A274" t="s">
        <v>91</v>
      </c>
      <c r="B274" t="s">
        <v>16</v>
      </c>
      <c r="C274" t="s">
        <v>17</v>
      </c>
      <c r="D274" t="s">
        <v>75</v>
      </c>
      <c r="E274" t="s">
        <v>92</v>
      </c>
      <c r="F274">
        <v>3</v>
      </c>
      <c r="G274" t="s">
        <v>77</v>
      </c>
      <c r="H274" t="s">
        <v>22</v>
      </c>
      <c r="I274">
        <v>0</v>
      </c>
      <c r="J274">
        <v>0</v>
      </c>
      <c r="K274">
        <v>0</v>
      </c>
      <c r="L274">
        <v>16</v>
      </c>
      <c r="M274">
        <v>9</v>
      </c>
      <c r="N274">
        <v>0</v>
      </c>
      <c r="O274">
        <v>993</v>
      </c>
    </row>
    <row r="275" spans="1:15" x14ac:dyDescent="0.2">
      <c r="A275" t="s">
        <v>91</v>
      </c>
      <c r="B275" t="s">
        <v>16</v>
      </c>
      <c r="C275" t="s">
        <v>17</v>
      </c>
      <c r="D275" t="s">
        <v>75</v>
      </c>
      <c r="E275" t="s">
        <v>92</v>
      </c>
      <c r="F275">
        <v>3</v>
      </c>
      <c r="G275" t="s">
        <v>77</v>
      </c>
      <c r="H275" t="s">
        <v>23</v>
      </c>
      <c r="I275">
        <v>3</v>
      </c>
      <c r="J275">
        <v>1</v>
      </c>
      <c r="K275">
        <v>0</v>
      </c>
      <c r="L275">
        <v>16</v>
      </c>
      <c r="M275">
        <v>9</v>
      </c>
      <c r="N275">
        <v>0</v>
      </c>
      <c r="O275">
        <v>993</v>
      </c>
    </row>
    <row r="276" spans="1:15" x14ac:dyDescent="0.2">
      <c r="A276" t="s">
        <v>91</v>
      </c>
      <c r="B276" t="s">
        <v>16</v>
      </c>
      <c r="C276" t="s">
        <v>17</v>
      </c>
      <c r="D276" t="s">
        <v>75</v>
      </c>
      <c r="E276" t="s">
        <v>92</v>
      </c>
      <c r="F276">
        <v>3</v>
      </c>
      <c r="G276" t="s">
        <v>77</v>
      </c>
      <c r="H276" t="s">
        <v>24</v>
      </c>
      <c r="I276">
        <v>0</v>
      </c>
      <c r="J276">
        <v>0</v>
      </c>
      <c r="K276">
        <v>0</v>
      </c>
      <c r="L276">
        <v>16</v>
      </c>
      <c r="M276">
        <v>9</v>
      </c>
      <c r="N276">
        <v>0</v>
      </c>
      <c r="O276">
        <v>993</v>
      </c>
    </row>
    <row r="277" spans="1:15" x14ac:dyDescent="0.2">
      <c r="A277" t="s">
        <v>91</v>
      </c>
      <c r="B277" t="s">
        <v>16</v>
      </c>
      <c r="C277" t="s">
        <v>17</v>
      </c>
      <c r="D277" t="s">
        <v>75</v>
      </c>
      <c r="E277" t="s">
        <v>90</v>
      </c>
      <c r="F277">
        <v>3</v>
      </c>
      <c r="G277" t="s">
        <v>73</v>
      </c>
      <c r="H277" t="s">
        <v>20</v>
      </c>
      <c r="I277">
        <v>9</v>
      </c>
      <c r="J277">
        <v>5</v>
      </c>
      <c r="K277">
        <v>0</v>
      </c>
      <c r="L277">
        <v>12</v>
      </c>
      <c r="M277">
        <v>5</v>
      </c>
      <c r="N277">
        <v>0</v>
      </c>
      <c r="O277">
        <v>997</v>
      </c>
    </row>
    <row r="278" spans="1:15" x14ac:dyDescent="0.2">
      <c r="A278" t="s">
        <v>91</v>
      </c>
      <c r="B278" t="s">
        <v>16</v>
      </c>
      <c r="C278" t="s">
        <v>17</v>
      </c>
      <c r="D278" t="s">
        <v>75</v>
      </c>
      <c r="E278" t="s">
        <v>90</v>
      </c>
      <c r="F278">
        <v>3</v>
      </c>
      <c r="G278" t="s">
        <v>73</v>
      </c>
      <c r="H278" t="s">
        <v>21</v>
      </c>
      <c r="I278">
        <v>1</v>
      </c>
      <c r="J278">
        <v>0</v>
      </c>
      <c r="K278">
        <v>0</v>
      </c>
      <c r="L278">
        <v>12</v>
      </c>
      <c r="M278">
        <v>5</v>
      </c>
      <c r="N278">
        <v>0</v>
      </c>
      <c r="O278">
        <v>997</v>
      </c>
    </row>
    <row r="279" spans="1:15" x14ac:dyDescent="0.2">
      <c r="A279" t="s">
        <v>91</v>
      </c>
      <c r="B279" t="s">
        <v>16</v>
      </c>
      <c r="C279" t="s">
        <v>17</v>
      </c>
      <c r="D279" t="s">
        <v>75</v>
      </c>
      <c r="E279" t="s">
        <v>90</v>
      </c>
      <c r="F279">
        <v>3</v>
      </c>
      <c r="G279" t="s">
        <v>73</v>
      </c>
      <c r="H279" t="s">
        <v>22</v>
      </c>
      <c r="I279">
        <v>1</v>
      </c>
      <c r="J279">
        <v>0</v>
      </c>
      <c r="K279">
        <v>0</v>
      </c>
      <c r="L279">
        <v>12</v>
      </c>
      <c r="M279">
        <v>5</v>
      </c>
      <c r="N279">
        <v>0</v>
      </c>
      <c r="O279">
        <v>997</v>
      </c>
    </row>
    <row r="280" spans="1:15" x14ac:dyDescent="0.2">
      <c r="A280" t="s">
        <v>91</v>
      </c>
      <c r="B280" t="s">
        <v>16</v>
      </c>
      <c r="C280" t="s">
        <v>17</v>
      </c>
      <c r="D280" t="s">
        <v>75</v>
      </c>
      <c r="E280" t="s">
        <v>90</v>
      </c>
      <c r="F280">
        <v>3</v>
      </c>
      <c r="G280" t="s">
        <v>73</v>
      </c>
      <c r="H280" t="s">
        <v>23</v>
      </c>
      <c r="I280">
        <v>1</v>
      </c>
      <c r="J280">
        <v>0</v>
      </c>
      <c r="K280">
        <v>0</v>
      </c>
      <c r="L280">
        <v>12</v>
      </c>
      <c r="M280">
        <v>5</v>
      </c>
      <c r="N280">
        <v>0</v>
      </c>
      <c r="O280">
        <v>997</v>
      </c>
    </row>
    <row r="281" spans="1:15" x14ac:dyDescent="0.2">
      <c r="A281" t="s">
        <v>91</v>
      </c>
      <c r="B281" t="s">
        <v>16</v>
      </c>
      <c r="C281" t="s">
        <v>17</v>
      </c>
      <c r="D281" t="s">
        <v>75</v>
      </c>
      <c r="E281" t="s">
        <v>90</v>
      </c>
      <c r="F281">
        <v>3</v>
      </c>
      <c r="G281" t="s">
        <v>73</v>
      </c>
      <c r="H281" t="s">
        <v>24</v>
      </c>
      <c r="I281">
        <v>0</v>
      </c>
      <c r="J281">
        <v>0</v>
      </c>
      <c r="K281">
        <v>0</v>
      </c>
      <c r="L281">
        <v>12</v>
      </c>
      <c r="M281">
        <v>5</v>
      </c>
      <c r="N281">
        <v>0</v>
      </c>
      <c r="O281">
        <v>997</v>
      </c>
    </row>
    <row r="282" spans="1:15" x14ac:dyDescent="0.2">
      <c r="A282" t="s">
        <v>76</v>
      </c>
      <c r="B282" t="s">
        <v>16</v>
      </c>
      <c r="C282" t="s">
        <v>17</v>
      </c>
      <c r="D282" t="s">
        <v>75</v>
      </c>
      <c r="E282" t="s">
        <v>81</v>
      </c>
      <c r="F282">
        <v>3</v>
      </c>
      <c r="G282" t="s">
        <v>19</v>
      </c>
      <c r="H282" t="s">
        <v>20</v>
      </c>
      <c r="I282">
        <v>199</v>
      </c>
      <c r="J282">
        <v>258</v>
      </c>
      <c r="K282">
        <v>0</v>
      </c>
      <c r="L282">
        <v>253</v>
      </c>
      <c r="M282">
        <v>273</v>
      </c>
      <c r="N282">
        <v>0</v>
      </c>
      <c r="O282">
        <v>685</v>
      </c>
    </row>
    <row r="283" spans="1:15" x14ac:dyDescent="0.2">
      <c r="A283" t="s">
        <v>76</v>
      </c>
      <c r="B283" t="s">
        <v>16</v>
      </c>
      <c r="C283" t="s">
        <v>17</v>
      </c>
      <c r="D283" t="s">
        <v>75</v>
      </c>
      <c r="E283" t="s">
        <v>81</v>
      </c>
      <c r="F283">
        <v>3</v>
      </c>
      <c r="G283" t="s">
        <v>19</v>
      </c>
      <c r="H283" t="s">
        <v>21</v>
      </c>
      <c r="I283">
        <v>12</v>
      </c>
      <c r="J283">
        <v>6</v>
      </c>
      <c r="K283">
        <v>0</v>
      </c>
      <c r="L283">
        <v>253</v>
      </c>
      <c r="M283">
        <v>273</v>
      </c>
      <c r="N283">
        <v>0</v>
      </c>
      <c r="O283">
        <v>685</v>
      </c>
    </row>
    <row r="284" spans="1:15" x14ac:dyDescent="0.2">
      <c r="A284" t="s">
        <v>76</v>
      </c>
      <c r="B284" t="s">
        <v>16</v>
      </c>
      <c r="C284" t="s">
        <v>17</v>
      </c>
      <c r="D284" t="s">
        <v>75</v>
      </c>
      <c r="E284" t="s">
        <v>81</v>
      </c>
      <c r="F284">
        <v>3</v>
      </c>
      <c r="G284" t="s">
        <v>19</v>
      </c>
      <c r="H284" t="s">
        <v>22</v>
      </c>
      <c r="I284">
        <v>2</v>
      </c>
      <c r="J284">
        <v>3</v>
      </c>
      <c r="K284">
        <v>0</v>
      </c>
      <c r="L284">
        <v>253</v>
      </c>
      <c r="M284">
        <v>273</v>
      </c>
      <c r="N284">
        <v>0</v>
      </c>
      <c r="O284">
        <v>685</v>
      </c>
    </row>
    <row r="285" spans="1:15" x14ac:dyDescent="0.2">
      <c r="A285" t="s">
        <v>76</v>
      </c>
      <c r="B285" t="s">
        <v>16</v>
      </c>
      <c r="C285" t="s">
        <v>17</v>
      </c>
      <c r="D285" t="s">
        <v>75</v>
      </c>
      <c r="E285" t="s">
        <v>81</v>
      </c>
      <c r="F285">
        <v>3</v>
      </c>
      <c r="G285" t="s">
        <v>19</v>
      </c>
      <c r="H285" t="s">
        <v>23</v>
      </c>
      <c r="I285">
        <v>40</v>
      </c>
      <c r="J285">
        <v>6</v>
      </c>
      <c r="K285">
        <v>0</v>
      </c>
      <c r="L285">
        <v>253</v>
      </c>
      <c r="M285">
        <v>273</v>
      </c>
      <c r="N285">
        <v>0</v>
      </c>
      <c r="O285">
        <v>685</v>
      </c>
    </row>
    <row r="286" spans="1:15" x14ac:dyDescent="0.2">
      <c r="A286" t="s">
        <v>76</v>
      </c>
      <c r="B286" t="s">
        <v>16</v>
      </c>
      <c r="C286" t="s">
        <v>17</v>
      </c>
      <c r="D286" t="s">
        <v>75</v>
      </c>
      <c r="E286" t="s">
        <v>81</v>
      </c>
      <c r="F286">
        <v>3</v>
      </c>
      <c r="G286" t="s">
        <v>19</v>
      </c>
      <c r="H286" t="s">
        <v>24</v>
      </c>
      <c r="I286">
        <v>0</v>
      </c>
      <c r="J286">
        <v>0</v>
      </c>
      <c r="K286">
        <v>0</v>
      </c>
      <c r="L286">
        <v>253</v>
      </c>
      <c r="M286">
        <v>273</v>
      </c>
      <c r="N286">
        <v>0</v>
      </c>
      <c r="O286">
        <v>685</v>
      </c>
    </row>
    <row r="287" spans="1:15" x14ac:dyDescent="0.2">
      <c r="A287" t="s">
        <v>76</v>
      </c>
      <c r="B287" t="s">
        <v>16</v>
      </c>
      <c r="C287" t="s">
        <v>17</v>
      </c>
      <c r="D287" t="s">
        <v>75</v>
      </c>
      <c r="E287" t="s">
        <v>80</v>
      </c>
      <c r="F287">
        <v>3</v>
      </c>
      <c r="G287" t="s">
        <v>79</v>
      </c>
      <c r="H287" t="s">
        <v>20</v>
      </c>
      <c r="I287">
        <v>55</v>
      </c>
      <c r="J287">
        <v>94</v>
      </c>
      <c r="K287">
        <v>0</v>
      </c>
      <c r="L287">
        <v>66</v>
      </c>
      <c r="M287">
        <v>101</v>
      </c>
      <c r="N287">
        <v>0</v>
      </c>
      <c r="O287">
        <v>686</v>
      </c>
    </row>
    <row r="288" spans="1:15" x14ac:dyDescent="0.2">
      <c r="A288" t="s">
        <v>76</v>
      </c>
      <c r="B288" t="s">
        <v>16</v>
      </c>
      <c r="C288" t="s">
        <v>17</v>
      </c>
      <c r="D288" t="s">
        <v>75</v>
      </c>
      <c r="E288" t="s">
        <v>80</v>
      </c>
      <c r="F288">
        <v>3</v>
      </c>
      <c r="G288" t="s">
        <v>79</v>
      </c>
      <c r="H288" t="s">
        <v>21</v>
      </c>
      <c r="I288">
        <v>1</v>
      </c>
      <c r="J288">
        <v>1</v>
      </c>
      <c r="K288">
        <v>0</v>
      </c>
      <c r="L288">
        <v>66</v>
      </c>
      <c r="M288">
        <v>101</v>
      </c>
      <c r="N288">
        <v>0</v>
      </c>
      <c r="O288">
        <v>686</v>
      </c>
    </row>
    <row r="289" spans="1:15" x14ac:dyDescent="0.2">
      <c r="A289" t="s">
        <v>76</v>
      </c>
      <c r="B289" t="s">
        <v>16</v>
      </c>
      <c r="C289" t="s">
        <v>17</v>
      </c>
      <c r="D289" t="s">
        <v>75</v>
      </c>
      <c r="E289" t="s">
        <v>80</v>
      </c>
      <c r="F289">
        <v>3</v>
      </c>
      <c r="G289" t="s">
        <v>79</v>
      </c>
      <c r="H289" t="s">
        <v>22</v>
      </c>
      <c r="I289">
        <v>0</v>
      </c>
      <c r="J289">
        <v>1</v>
      </c>
      <c r="K289">
        <v>0</v>
      </c>
      <c r="L289">
        <v>66</v>
      </c>
      <c r="M289">
        <v>101</v>
      </c>
      <c r="N289">
        <v>0</v>
      </c>
      <c r="O289">
        <v>686</v>
      </c>
    </row>
    <row r="290" spans="1:15" x14ac:dyDescent="0.2">
      <c r="A290" t="s">
        <v>76</v>
      </c>
      <c r="B290" t="s">
        <v>16</v>
      </c>
      <c r="C290" t="s">
        <v>17</v>
      </c>
      <c r="D290" t="s">
        <v>75</v>
      </c>
      <c r="E290" t="s">
        <v>80</v>
      </c>
      <c r="F290">
        <v>3</v>
      </c>
      <c r="G290" t="s">
        <v>79</v>
      </c>
      <c r="H290" t="s">
        <v>23</v>
      </c>
      <c r="I290">
        <v>10</v>
      </c>
      <c r="J290">
        <v>5</v>
      </c>
      <c r="K290">
        <v>0</v>
      </c>
      <c r="L290">
        <v>66</v>
      </c>
      <c r="M290">
        <v>101</v>
      </c>
      <c r="N290">
        <v>0</v>
      </c>
      <c r="O290">
        <v>686</v>
      </c>
    </row>
    <row r="291" spans="1:15" x14ac:dyDescent="0.2">
      <c r="A291" t="s">
        <v>76</v>
      </c>
      <c r="B291" t="s">
        <v>16</v>
      </c>
      <c r="C291" t="s">
        <v>17</v>
      </c>
      <c r="D291" t="s">
        <v>75</v>
      </c>
      <c r="E291" t="s">
        <v>80</v>
      </c>
      <c r="F291">
        <v>3</v>
      </c>
      <c r="G291" t="s">
        <v>79</v>
      </c>
      <c r="H291" t="s">
        <v>24</v>
      </c>
      <c r="I291">
        <v>0</v>
      </c>
      <c r="J291">
        <v>0</v>
      </c>
      <c r="K291">
        <v>0</v>
      </c>
      <c r="L291">
        <v>66</v>
      </c>
      <c r="M291">
        <v>101</v>
      </c>
      <c r="N291">
        <v>0</v>
      </c>
      <c r="O291">
        <v>686</v>
      </c>
    </row>
    <row r="292" spans="1:15" x14ac:dyDescent="0.2">
      <c r="A292" t="s">
        <v>76</v>
      </c>
      <c r="B292" t="s">
        <v>16</v>
      </c>
      <c r="C292" t="s">
        <v>17</v>
      </c>
      <c r="D292" t="s">
        <v>75</v>
      </c>
      <c r="E292" t="s">
        <v>78</v>
      </c>
      <c r="F292">
        <v>3</v>
      </c>
      <c r="G292" t="s">
        <v>77</v>
      </c>
      <c r="H292" t="s">
        <v>20</v>
      </c>
      <c r="I292">
        <v>56</v>
      </c>
      <c r="J292">
        <v>87</v>
      </c>
      <c r="K292">
        <v>0</v>
      </c>
      <c r="L292">
        <v>71</v>
      </c>
      <c r="M292">
        <v>92</v>
      </c>
      <c r="N292">
        <v>0</v>
      </c>
      <c r="O292">
        <v>682</v>
      </c>
    </row>
    <row r="293" spans="1:15" x14ac:dyDescent="0.2">
      <c r="A293" t="s">
        <v>76</v>
      </c>
      <c r="B293" t="s">
        <v>16</v>
      </c>
      <c r="C293" t="s">
        <v>17</v>
      </c>
      <c r="D293" t="s">
        <v>75</v>
      </c>
      <c r="E293" t="s">
        <v>78</v>
      </c>
      <c r="F293">
        <v>3</v>
      </c>
      <c r="G293" t="s">
        <v>77</v>
      </c>
      <c r="H293" t="s">
        <v>21</v>
      </c>
      <c r="I293">
        <v>1</v>
      </c>
      <c r="J293">
        <v>2</v>
      </c>
      <c r="K293">
        <v>0</v>
      </c>
      <c r="L293">
        <v>71</v>
      </c>
      <c r="M293">
        <v>92</v>
      </c>
      <c r="N293">
        <v>0</v>
      </c>
      <c r="O293">
        <v>682</v>
      </c>
    </row>
    <row r="294" spans="1:15" x14ac:dyDescent="0.2">
      <c r="A294" t="s">
        <v>76</v>
      </c>
      <c r="B294" t="s">
        <v>16</v>
      </c>
      <c r="C294" t="s">
        <v>17</v>
      </c>
      <c r="D294" t="s">
        <v>75</v>
      </c>
      <c r="E294" t="s">
        <v>78</v>
      </c>
      <c r="F294">
        <v>3</v>
      </c>
      <c r="G294" t="s">
        <v>77</v>
      </c>
      <c r="H294" t="s">
        <v>22</v>
      </c>
      <c r="I294">
        <v>1</v>
      </c>
      <c r="J294">
        <v>0</v>
      </c>
      <c r="K294">
        <v>0</v>
      </c>
      <c r="L294">
        <v>71</v>
      </c>
      <c r="M294">
        <v>92</v>
      </c>
      <c r="N294">
        <v>0</v>
      </c>
      <c r="O294">
        <v>682</v>
      </c>
    </row>
    <row r="295" spans="1:15" x14ac:dyDescent="0.2">
      <c r="A295" t="s">
        <v>76</v>
      </c>
      <c r="B295" t="s">
        <v>16</v>
      </c>
      <c r="C295" t="s">
        <v>17</v>
      </c>
      <c r="D295" t="s">
        <v>75</v>
      </c>
      <c r="E295" t="s">
        <v>78</v>
      </c>
      <c r="F295">
        <v>3</v>
      </c>
      <c r="G295" t="s">
        <v>77</v>
      </c>
      <c r="H295" t="s">
        <v>23</v>
      </c>
      <c r="I295">
        <v>13</v>
      </c>
      <c r="J295">
        <v>3</v>
      </c>
      <c r="K295">
        <v>0</v>
      </c>
      <c r="L295">
        <v>71</v>
      </c>
      <c r="M295">
        <v>92</v>
      </c>
      <c r="N295">
        <v>0</v>
      </c>
      <c r="O295">
        <v>682</v>
      </c>
    </row>
    <row r="296" spans="1:15" x14ac:dyDescent="0.2">
      <c r="A296" t="s">
        <v>76</v>
      </c>
      <c r="B296" t="s">
        <v>16</v>
      </c>
      <c r="C296" t="s">
        <v>17</v>
      </c>
      <c r="D296" t="s">
        <v>75</v>
      </c>
      <c r="E296" t="s">
        <v>78</v>
      </c>
      <c r="F296">
        <v>3</v>
      </c>
      <c r="G296" t="s">
        <v>77</v>
      </c>
      <c r="H296" t="s">
        <v>24</v>
      </c>
      <c r="I296">
        <v>0</v>
      </c>
      <c r="J296">
        <v>0</v>
      </c>
      <c r="K296">
        <v>0</v>
      </c>
      <c r="L296">
        <v>71</v>
      </c>
      <c r="M296">
        <v>92</v>
      </c>
      <c r="N296">
        <v>0</v>
      </c>
      <c r="O296">
        <v>682</v>
      </c>
    </row>
    <row r="297" spans="1:15" x14ac:dyDescent="0.2">
      <c r="A297" t="s">
        <v>76</v>
      </c>
      <c r="B297" t="s">
        <v>16</v>
      </c>
      <c r="C297" t="s">
        <v>17</v>
      </c>
      <c r="D297" t="s">
        <v>75</v>
      </c>
      <c r="E297" t="s">
        <v>74</v>
      </c>
      <c r="F297">
        <v>3</v>
      </c>
      <c r="G297" t="s">
        <v>73</v>
      </c>
      <c r="H297" t="s">
        <v>20</v>
      </c>
      <c r="I297">
        <v>60</v>
      </c>
      <c r="J297">
        <v>82</v>
      </c>
      <c r="K297">
        <v>0</v>
      </c>
      <c r="L297">
        <v>83</v>
      </c>
      <c r="M297">
        <v>88</v>
      </c>
      <c r="N297">
        <v>0</v>
      </c>
      <c r="O297">
        <v>682</v>
      </c>
    </row>
    <row r="298" spans="1:15" x14ac:dyDescent="0.2">
      <c r="A298" t="s">
        <v>76</v>
      </c>
      <c r="B298" t="s">
        <v>16</v>
      </c>
      <c r="C298" t="s">
        <v>17</v>
      </c>
      <c r="D298" t="s">
        <v>75</v>
      </c>
      <c r="E298" t="s">
        <v>74</v>
      </c>
      <c r="F298">
        <v>3</v>
      </c>
      <c r="G298" t="s">
        <v>73</v>
      </c>
      <c r="H298" t="s">
        <v>21</v>
      </c>
      <c r="I298">
        <v>6</v>
      </c>
      <c r="J298">
        <v>4</v>
      </c>
      <c r="K298">
        <v>0</v>
      </c>
      <c r="L298">
        <v>83</v>
      </c>
      <c r="M298">
        <v>88</v>
      </c>
      <c r="N298">
        <v>0</v>
      </c>
      <c r="O298">
        <v>682</v>
      </c>
    </row>
    <row r="299" spans="1:15" x14ac:dyDescent="0.2">
      <c r="A299" t="s">
        <v>76</v>
      </c>
      <c r="B299" t="s">
        <v>16</v>
      </c>
      <c r="C299" t="s">
        <v>17</v>
      </c>
      <c r="D299" t="s">
        <v>75</v>
      </c>
      <c r="E299" t="s">
        <v>74</v>
      </c>
      <c r="F299">
        <v>3</v>
      </c>
      <c r="G299" t="s">
        <v>73</v>
      </c>
      <c r="H299" t="s">
        <v>22</v>
      </c>
      <c r="I299">
        <v>1</v>
      </c>
      <c r="J299">
        <v>0</v>
      </c>
      <c r="K299">
        <v>0</v>
      </c>
      <c r="L299">
        <v>83</v>
      </c>
      <c r="M299">
        <v>88</v>
      </c>
      <c r="N299">
        <v>0</v>
      </c>
      <c r="O299">
        <v>682</v>
      </c>
    </row>
    <row r="300" spans="1:15" x14ac:dyDescent="0.2">
      <c r="A300" t="s">
        <v>76</v>
      </c>
      <c r="B300" t="s">
        <v>16</v>
      </c>
      <c r="C300" t="s">
        <v>17</v>
      </c>
      <c r="D300" t="s">
        <v>75</v>
      </c>
      <c r="E300" t="s">
        <v>74</v>
      </c>
      <c r="F300">
        <v>3</v>
      </c>
      <c r="G300" t="s">
        <v>73</v>
      </c>
      <c r="H300" t="s">
        <v>23</v>
      </c>
      <c r="I300">
        <v>16</v>
      </c>
      <c r="J300">
        <v>2</v>
      </c>
      <c r="K300">
        <v>0</v>
      </c>
      <c r="L300">
        <v>83</v>
      </c>
      <c r="M300">
        <v>88</v>
      </c>
      <c r="N300">
        <v>0</v>
      </c>
      <c r="O300">
        <v>682</v>
      </c>
    </row>
    <row r="301" spans="1:15" x14ac:dyDescent="0.2">
      <c r="A301" t="s">
        <v>76</v>
      </c>
      <c r="B301" t="s">
        <v>16</v>
      </c>
      <c r="C301" t="s">
        <v>17</v>
      </c>
      <c r="D301" t="s">
        <v>75</v>
      </c>
      <c r="E301" t="s">
        <v>74</v>
      </c>
      <c r="F301">
        <v>3</v>
      </c>
      <c r="G301" t="s">
        <v>73</v>
      </c>
      <c r="H301" t="s">
        <v>24</v>
      </c>
      <c r="I301">
        <v>0</v>
      </c>
      <c r="J301">
        <v>0</v>
      </c>
      <c r="K301">
        <v>0</v>
      </c>
      <c r="L301">
        <v>83</v>
      </c>
      <c r="M301">
        <v>88</v>
      </c>
      <c r="N301">
        <v>0</v>
      </c>
      <c r="O301">
        <v>682</v>
      </c>
    </row>
    <row r="302" spans="1:15" x14ac:dyDescent="0.2">
      <c r="A302" t="s">
        <v>115</v>
      </c>
      <c r="B302" t="s">
        <v>16</v>
      </c>
      <c r="C302" t="s">
        <v>17</v>
      </c>
      <c r="D302" t="s">
        <v>75</v>
      </c>
      <c r="E302" t="s">
        <v>118</v>
      </c>
      <c r="F302">
        <v>3</v>
      </c>
      <c r="G302" t="s">
        <v>19</v>
      </c>
      <c r="H302" t="s">
        <v>20</v>
      </c>
      <c r="I302">
        <v>80</v>
      </c>
      <c r="J302">
        <v>48</v>
      </c>
      <c r="K302">
        <v>0</v>
      </c>
      <c r="L302">
        <v>81</v>
      </c>
      <c r="M302">
        <v>49</v>
      </c>
      <c r="N302">
        <v>0</v>
      </c>
      <c r="O302">
        <v>196</v>
      </c>
    </row>
    <row r="303" spans="1:15" x14ac:dyDescent="0.2">
      <c r="A303" t="s">
        <v>115</v>
      </c>
      <c r="B303" t="s">
        <v>16</v>
      </c>
      <c r="C303" t="s">
        <v>17</v>
      </c>
      <c r="D303" t="s">
        <v>75</v>
      </c>
      <c r="E303" t="s">
        <v>118</v>
      </c>
      <c r="F303">
        <v>3</v>
      </c>
      <c r="G303" t="s">
        <v>19</v>
      </c>
      <c r="H303" t="s">
        <v>21</v>
      </c>
      <c r="I303">
        <v>1</v>
      </c>
      <c r="J303">
        <v>0</v>
      </c>
      <c r="K303">
        <v>0</v>
      </c>
      <c r="L303">
        <v>81</v>
      </c>
      <c r="M303">
        <v>49</v>
      </c>
      <c r="N303">
        <v>0</v>
      </c>
      <c r="O303">
        <v>196</v>
      </c>
    </row>
    <row r="304" spans="1:15" x14ac:dyDescent="0.2">
      <c r="A304" t="s">
        <v>115</v>
      </c>
      <c r="B304" t="s">
        <v>16</v>
      </c>
      <c r="C304" t="s">
        <v>17</v>
      </c>
      <c r="D304" t="s">
        <v>75</v>
      </c>
      <c r="E304" t="s">
        <v>118</v>
      </c>
      <c r="F304">
        <v>3</v>
      </c>
      <c r="G304" t="s">
        <v>19</v>
      </c>
      <c r="H304" t="s">
        <v>22</v>
      </c>
      <c r="I304">
        <v>0</v>
      </c>
      <c r="J304">
        <v>0</v>
      </c>
      <c r="K304">
        <v>0</v>
      </c>
      <c r="L304">
        <v>81</v>
      </c>
      <c r="M304">
        <v>49</v>
      </c>
      <c r="N304">
        <v>0</v>
      </c>
      <c r="O304">
        <v>196</v>
      </c>
    </row>
    <row r="305" spans="1:15" x14ac:dyDescent="0.2">
      <c r="A305" t="s">
        <v>115</v>
      </c>
      <c r="B305" t="s">
        <v>16</v>
      </c>
      <c r="C305" t="s">
        <v>17</v>
      </c>
      <c r="D305" t="s">
        <v>75</v>
      </c>
      <c r="E305" t="s">
        <v>118</v>
      </c>
      <c r="F305">
        <v>3</v>
      </c>
      <c r="G305" t="s">
        <v>19</v>
      </c>
      <c r="H305" t="s">
        <v>23</v>
      </c>
      <c r="I305">
        <v>0</v>
      </c>
      <c r="J305">
        <v>1</v>
      </c>
      <c r="K305">
        <v>0</v>
      </c>
      <c r="L305">
        <v>81</v>
      </c>
      <c r="M305">
        <v>49</v>
      </c>
      <c r="N305">
        <v>0</v>
      </c>
      <c r="O305">
        <v>196</v>
      </c>
    </row>
    <row r="306" spans="1:15" x14ac:dyDescent="0.2">
      <c r="A306" t="s">
        <v>115</v>
      </c>
      <c r="B306" t="s">
        <v>16</v>
      </c>
      <c r="C306" t="s">
        <v>17</v>
      </c>
      <c r="D306" t="s">
        <v>75</v>
      </c>
      <c r="E306" t="s">
        <v>118</v>
      </c>
      <c r="F306">
        <v>3</v>
      </c>
      <c r="G306" t="s">
        <v>19</v>
      </c>
      <c r="H306" t="s">
        <v>24</v>
      </c>
      <c r="I306">
        <v>0</v>
      </c>
      <c r="J306">
        <v>0</v>
      </c>
      <c r="K306">
        <v>0</v>
      </c>
      <c r="L306">
        <v>81</v>
      </c>
      <c r="M306">
        <v>49</v>
      </c>
      <c r="N306">
        <v>0</v>
      </c>
      <c r="O306">
        <v>196</v>
      </c>
    </row>
    <row r="307" spans="1:15" x14ac:dyDescent="0.2">
      <c r="A307" t="s">
        <v>115</v>
      </c>
      <c r="B307" t="s">
        <v>16</v>
      </c>
      <c r="C307" t="s">
        <v>17</v>
      </c>
      <c r="D307" t="s">
        <v>75</v>
      </c>
      <c r="E307" t="s">
        <v>117</v>
      </c>
      <c r="F307">
        <v>3</v>
      </c>
      <c r="G307" t="s">
        <v>79</v>
      </c>
      <c r="H307" t="s">
        <v>20</v>
      </c>
      <c r="I307">
        <v>30</v>
      </c>
      <c r="J307">
        <v>14</v>
      </c>
      <c r="K307">
        <v>0</v>
      </c>
      <c r="L307">
        <v>30</v>
      </c>
      <c r="M307">
        <v>19</v>
      </c>
      <c r="N307">
        <v>0</v>
      </c>
      <c r="O307">
        <v>197</v>
      </c>
    </row>
    <row r="308" spans="1:15" x14ac:dyDescent="0.2">
      <c r="A308" t="s">
        <v>115</v>
      </c>
      <c r="B308" t="s">
        <v>16</v>
      </c>
      <c r="C308" t="s">
        <v>17</v>
      </c>
      <c r="D308" t="s">
        <v>75</v>
      </c>
      <c r="E308" t="s">
        <v>117</v>
      </c>
      <c r="F308">
        <v>3</v>
      </c>
      <c r="G308" t="s">
        <v>79</v>
      </c>
      <c r="H308" t="s">
        <v>21</v>
      </c>
      <c r="I308">
        <v>0</v>
      </c>
      <c r="J308">
        <v>0</v>
      </c>
      <c r="K308">
        <v>0</v>
      </c>
      <c r="L308">
        <v>30</v>
      </c>
      <c r="M308">
        <v>19</v>
      </c>
      <c r="N308">
        <v>0</v>
      </c>
      <c r="O308">
        <v>197</v>
      </c>
    </row>
    <row r="309" spans="1:15" x14ac:dyDescent="0.2">
      <c r="A309" t="s">
        <v>115</v>
      </c>
      <c r="B309" t="s">
        <v>16</v>
      </c>
      <c r="C309" t="s">
        <v>17</v>
      </c>
      <c r="D309" t="s">
        <v>75</v>
      </c>
      <c r="E309" t="s">
        <v>117</v>
      </c>
      <c r="F309">
        <v>3</v>
      </c>
      <c r="G309" t="s">
        <v>79</v>
      </c>
      <c r="H309" t="s">
        <v>22</v>
      </c>
      <c r="I309">
        <v>0</v>
      </c>
      <c r="J309">
        <v>0</v>
      </c>
      <c r="K309">
        <v>0</v>
      </c>
      <c r="L309">
        <v>30</v>
      </c>
      <c r="M309">
        <v>19</v>
      </c>
      <c r="N309">
        <v>0</v>
      </c>
      <c r="O309">
        <v>197</v>
      </c>
    </row>
    <row r="310" spans="1:15" x14ac:dyDescent="0.2">
      <c r="A310" t="s">
        <v>115</v>
      </c>
      <c r="B310" t="s">
        <v>16</v>
      </c>
      <c r="C310" t="s">
        <v>17</v>
      </c>
      <c r="D310" t="s">
        <v>75</v>
      </c>
      <c r="E310" t="s">
        <v>117</v>
      </c>
      <c r="F310">
        <v>3</v>
      </c>
      <c r="G310" t="s">
        <v>79</v>
      </c>
      <c r="H310" t="s">
        <v>23</v>
      </c>
      <c r="I310">
        <v>0</v>
      </c>
      <c r="J310">
        <v>5</v>
      </c>
      <c r="K310">
        <v>0</v>
      </c>
      <c r="L310">
        <v>30</v>
      </c>
      <c r="M310">
        <v>19</v>
      </c>
      <c r="N310">
        <v>0</v>
      </c>
      <c r="O310">
        <v>197</v>
      </c>
    </row>
    <row r="311" spans="1:15" x14ac:dyDescent="0.2">
      <c r="A311" t="s">
        <v>115</v>
      </c>
      <c r="B311" t="s">
        <v>16</v>
      </c>
      <c r="C311" t="s">
        <v>17</v>
      </c>
      <c r="D311" t="s">
        <v>75</v>
      </c>
      <c r="E311" t="s">
        <v>117</v>
      </c>
      <c r="F311">
        <v>3</v>
      </c>
      <c r="G311" t="s">
        <v>79</v>
      </c>
      <c r="H311" t="s">
        <v>24</v>
      </c>
      <c r="I311">
        <v>0</v>
      </c>
      <c r="J311">
        <v>0</v>
      </c>
      <c r="K311">
        <v>0</v>
      </c>
      <c r="L311">
        <v>30</v>
      </c>
      <c r="M311">
        <v>19</v>
      </c>
      <c r="N311">
        <v>0</v>
      </c>
      <c r="O311">
        <v>197</v>
      </c>
    </row>
    <row r="312" spans="1:15" x14ac:dyDescent="0.2">
      <c r="A312" t="s">
        <v>115</v>
      </c>
      <c r="B312" t="s">
        <v>16</v>
      </c>
      <c r="C312" t="s">
        <v>17</v>
      </c>
      <c r="D312" t="s">
        <v>75</v>
      </c>
      <c r="E312" t="s">
        <v>116</v>
      </c>
      <c r="F312">
        <v>3</v>
      </c>
      <c r="G312" t="s">
        <v>77</v>
      </c>
      <c r="H312" t="s">
        <v>20</v>
      </c>
      <c r="I312">
        <v>30</v>
      </c>
      <c r="J312">
        <v>16</v>
      </c>
      <c r="K312">
        <v>0</v>
      </c>
      <c r="L312">
        <v>32</v>
      </c>
      <c r="M312">
        <v>19</v>
      </c>
      <c r="N312">
        <v>0</v>
      </c>
      <c r="O312">
        <v>197</v>
      </c>
    </row>
    <row r="313" spans="1:15" x14ac:dyDescent="0.2">
      <c r="A313" t="s">
        <v>115</v>
      </c>
      <c r="B313" t="s">
        <v>16</v>
      </c>
      <c r="C313" t="s">
        <v>17</v>
      </c>
      <c r="D313" t="s">
        <v>75</v>
      </c>
      <c r="E313" t="s">
        <v>116</v>
      </c>
      <c r="F313">
        <v>3</v>
      </c>
      <c r="G313" t="s">
        <v>77</v>
      </c>
      <c r="H313" t="s">
        <v>21</v>
      </c>
      <c r="I313">
        <v>1</v>
      </c>
      <c r="J313">
        <v>0</v>
      </c>
      <c r="K313">
        <v>0</v>
      </c>
      <c r="L313">
        <v>32</v>
      </c>
      <c r="M313">
        <v>19</v>
      </c>
      <c r="N313">
        <v>0</v>
      </c>
      <c r="O313">
        <v>197</v>
      </c>
    </row>
    <row r="314" spans="1:15" x14ac:dyDescent="0.2">
      <c r="A314" t="s">
        <v>115</v>
      </c>
      <c r="B314" t="s">
        <v>16</v>
      </c>
      <c r="C314" t="s">
        <v>17</v>
      </c>
      <c r="D314" t="s">
        <v>75</v>
      </c>
      <c r="E314" t="s">
        <v>116</v>
      </c>
      <c r="F314">
        <v>3</v>
      </c>
      <c r="G314" t="s">
        <v>77</v>
      </c>
      <c r="H314" t="s">
        <v>22</v>
      </c>
      <c r="I314">
        <v>1</v>
      </c>
      <c r="J314">
        <v>0</v>
      </c>
      <c r="K314">
        <v>0</v>
      </c>
      <c r="L314">
        <v>32</v>
      </c>
      <c r="M314">
        <v>19</v>
      </c>
      <c r="N314">
        <v>0</v>
      </c>
      <c r="O314">
        <v>197</v>
      </c>
    </row>
    <row r="315" spans="1:15" x14ac:dyDescent="0.2">
      <c r="A315" t="s">
        <v>115</v>
      </c>
      <c r="B315" t="s">
        <v>16</v>
      </c>
      <c r="C315" t="s">
        <v>17</v>
      </c>
      <c r="D315" t="s">
        <v>75</v>
      </c>
      <c r="E315" t="s">
        <v>116</v>
      </c>
      <c r="F315">
        <v>3</v>
      </c>
      <c r="G315" t="s">
        <v>77</v>
      </c>
      <c r="H315" t="s">
        <v>23</v>
      </c>
      <c r="I315">
        <v>0</v>
      </c>
      <c r="J315">
        <v>3</v>
      </c>
      <c r="K315">
        <v>0</v>
      </c>
      <c r="L315">
        <v>32</v>
      </c>
      <c r="M315">
        <v>19</v>
      </c>
      <c r="N315">
        <v>0</v>
      </c>
      <c r="O315">
        <v>197</v>
      </c>
    </row>
    <row r="316" spans="1:15" x14ac:dyDescent="0.2">
      <c r="A316" t="s">
        <v>115</v>
      </c>
      <c r="B316" t="s">
        <v>16</v>
      </c>
      <c r="C316" t="s">
        <v>17</v>
      </c>
      <c r="D316" t="s">
        <v>75</v>
      </c>
      <c r="E316" t="s">
        <v>116</v>
      </c>
      <c r="F316">
        <v>3</v>
      </c>
      <c r="G316" t="s">
        <v>77</v>
      </c>
      <c r="H316" t="s">
        <v>24</v>
      </c>
      <c r="I316">
        <v>0</v>
      </c>
      <c r="J316">
        <v>0</v>
      </c>
      <c r="K316">
        <v>0</v>
      </c>
      <c r="L316">
        <v>32</v>
      </c>
      <c r="M316">
        <v>19</v>
      </c>
      <c r="N316">
        <v>0</v>
      </c>
      <c r="O316">
        <v>197</v>
      </c>
    </row>
    <row r="317" spans="1:15" x14ac:dyDescent="0.2">
      <c r="A317" t="s">
        <v>115</v>
      </c>
      <c r="B317" t="s">
        <v>16</v>
      </c>
      <c r="C317" t="s">
        <v>17</v>
      </c>
      <c r="D317" t="s">
        <v>75</v>
      </c>
      <c r="E317" t="s">
        <v>114</v>
      </c>
      <c r="F317">
        <v>3</v>
      </c>
      <c r="G317" t="s">
        <v>73</v>
      </c>
      <c r="H317" t="s">
        <v>20</v>
      </c>
      <c r="I317">
        <v>32</v>
      </c>
      <c r="J317">
        <v>16</v>
      </c>
      <c r="K317">
        <v>0</v>
      </c>
      <c r="L317">
        <v>34</v>
      </c>
      <c r="M317">
        <v>18</v>
      </c>
      <c r="N317">
        <v>0</v>
      </c>
      <c r="O317">
        <v>197</v>
      </c>
    </row>
    <row r="318" spans="1:15" x14ac:dyDescent="0.2">
      <c r="A318" t="s">
        <v>115</v>
      </c>
      <c r="B318" t="s">
        <v>16</v>
      </c>
      <c r="C318" t="s">
        <v>17</v>
      </c>
      <c r="D318" t="s">
        <v>75</v>
      </c>
      <c r="E318" t="s">
        <v>114</v>
      </c>
      <c r="F318">
        <v>3</v>
      </c>
      <c r="G318" t="s">
        <v>73</v>
      </c>
      <c r="H318" t="s">
        <v>21</v>
      </c>
      <c r="I318">
        <v>1</v>
      </c>
      <c r="J318">
        <v>0</v>
      </c>
      <c r="K318">
        <v>0</v>
      </c>
      <c r="L318">
        <v>34</v>
      </c>
      <c r="M318">
        <v>18</v>
      </c>
      <c r="N318">
        <v>0</v>
      </c>
      <c r="O318">
        <v>197</v>
      </c>
    </row>
    <row r="319" spans="1:15" x14ac:dyDescent="0.2">
      <c r="A319" t="s">
        <v>115</v>
      </c>
      <c r="B319" t="s">
        <v>16</v>
      </c>
      <c r="C319" t="s">
        <v>17</v>
      </c>
      <c r="D319" t="s">
        <v>75</v>
      </c>
      <c r="E319" t="s">
        <v>114</v>
      </c>
      <c r="F319">
        <v>3</v>
      </c>
      <c r="G319" t="s">
        <v>73</v>
      </c>
      <c r="H319" t="s">
        <v>22</v>
      </c>
      <c r="I319">
        <v>1</v>
      </c>
      <c r="J319">
        <v>0</v>
      </c>
      <c r="K319">
        <v>0</v>
      </c>
      <c r="L319">
        <v>34</v>
      </c>
      <c r="M319">
        <v>18</v>
      </c>
      <c r="N319">
        <v>0</v>
      </c>
      <c r="O319">
        <v>197</v>
      </c>
    </row>
    <row r="320" spans="1:15" x14ac:dyDescent="0.2">
      <c r="A320" t="s">
        <v>115</v>
      </c>
      <c r="B320" t="s">
        <v>16</v>
      </c>
      <c r="C320" t="s">
        <v>17</v>
      </c>
      <c r="D320" t="s">
        <v>75</v>
      </c>
      <c r="E320" t="s">
        <v>114</v>
      </c>
      <c r="F320">
        <v>3</v>
      </c>
      <c r="G320" t="s">
        <v>73</v>
      </c>
      <c r="H320" t="s">
        <v>23</v>
      </c>
      <c r="I320">
        <v>0</v>
      </c>
      <c r="J320">
        <v>2</v>
      </c>
      <c r="K320">
        <v>0</v>
      </c>
      <c r="L320">
        <v>34</v>
      </c>
      <c r="M320">
        <v>18</v>
      </c>
      <c r="N320">
        <v>0</v>
      </c>
      <c r="O320">
        <v>197</v>
      </c>
    </row>
    <row r="321" spans="1:15" x14ac:dyDescent="0.2">
      <c r="A321" t="s">
        <v>115</v>
      </c>
      <c r="B321" t="s">
        <v>16</v>
      </c>
      <c r="C321" t="s">
        <v>17</v>
      </c>
      <c r="D321" t="s">
        <v>75</v>
      </c>
      <c r="E321" t="s">
        <v>114</v>
      </c>
      <c r="F321">
        <v>3</v>
      </c>
      <c r="G321" t="s">
        <v>73</v>
      </c>
      <c r="H321" t="s">
        <v>24</v>
      </c>
      <c r="I321">
        <v>0</v>
      </c>
      <c r="J321">
        <v>0</v>
      </c>
      <c r="K321">
        <v>0</v>
      </c>
      <c r="L321">
        <v>34</v>
      </c>
      <c r="M321">
        <v>18</v>
      </c>
      <c r="N321">
        <v>0</v>
      </c>
      <c r="O321">
        <v>197</v>
      </c>
    </row>
    <row r="322" spans="1:15" x14ac:dyDescent="0.2">
      <c r="A322" t="s">
        <v>112</v>
      </c>
      <c r="B322" t="s">
        <v>37</v>
      </c>
      <c r="C322" t="s">
        <v>17</v>
      </c>
      <c r="D322" t="s">
        <v>75</v>
      </c>
      <c r="E322" t="s">
        <v>106</v>
      </c>
      <c r="F322">
        <v>3</v>
      </c>
      <c r="G322" t="s">
        <v>19</v>
      </c>
      <c r="H322" t="s">
        <v>20</v>
      </c>
      <c r="I322">
        <v>668</v>
      </c>
      <c r="J322">
        <v>43</v>
      </c>
      <c r="K322">
        <v>0</v>
      </c>
      <c r="L322">
        <v>879</v>
      </c>
      <c r="M322">
        <v>79</v>
      </c>
      <c r="N322">
        <v>0</v>
      </c>
      <c r="O322">
        <v>995</v>
      </c>
    </row>
    <row r="323" spans="1:15" x14ac:dyDescent="0.2">
      <c r="A323" t="s">
        <v>112</v>
      </c>
      <c r="B323" t="s">
        <v>37</v>
      </c>
      <c r="C323" t="s">
        <v>17</v>
      </c>
      <c r="D323" t="s">
        <v>75</v>
      </c>
      <c r="E323" t="s">
        <v>106</v>
      </c>
      <c r="F323">
        <v>3</v>
      </c>
      <c r="G323" t="s">
        <v>19</v>
      </c>
      <c r="H323" t="s">
        <v>21</v>
      </c>
      <c r="I323">
        <v>104</v>
      </c>
      <c r="J323">
        <v>12</v>
      </c>
      <c r="K323">
        <v>0</v>
      </c>
      <c r="L323">
        <v>879</v>
      </c>
      <c r="M323">
        <v>79</v>
      </c>
      <c r="N323">
        <v>0</v>
      </c>
      <c r="O323">
        <v>995</v>
      </c>
    </row>
    <row r="324" spans="1:15" x14ac:dyDescent="0.2">
      <c r="A324" t="s">
        <v>112</v>
      </c>
      <c r="B324" t="s">
        <v>37</v>
      </c>
      <c r="C324" t="s">
        <v>17</v>
      </c>
      <c r="D324" t="s">
        <v>75</v>
      </c>
      <c r="E324" t="s">
        <v>106</v>
      </c>
      <c r="F324">
        <v>3</v>
      </c>
      <c r="G324" t="s">
        <v>19</v>
      </c>
      <c r="H324" t="s">
        <v>22</v>
      </c>
      <c r="I324">
        <v>33</v>
      </c>
      <c r="J324">
        <v>7</v>
      </c>
      <c r="K324">
        <v>0</v>
      </c>
      <c r="L324">
        <v>879</v>
      </c>
      <c r="M324">
        <v>79</v>
      </c>
      <c r="N324">
        <v>0</v>
      </c>
      <c r="O324">
        <v>995</v>
      </c>
    </row>
    <row r="325" spans="1:15" x14ac:dyDescent="0.2">
      <c r="A325" t="s">
        <v>112</v>
      </c>
      <c r="B325" t="s">
        <v>37</v>
      </c>
      <c r="C325" t="s">
        <v>17</v>
      </c>
      <c r="D325" t="s">
        <v>75</v>
      </c>
      <c r="E325" t="s">
        <v>106</v>
      </c>
      <c r="F325">
        <v>3</v>
      </c>
      <c r="G325" t="s">
        <v>19</v>
      </c>
      <c r="H325" t="s">
        <v>23</v>
      </c>
      <c r="I325">
        <v>74</v>
      </c>
      <c r="J325">
        <v>17</v>
      </c>
      <c r="K325">
        <v>0</v>
      </c>
      <c r="L325">
        <v>879</v>
      </c>
      <c r="M325">
        <v>79</v>
      </c>
      <c r="N325">
        <v>0</v>
      </c>
      <c r="O325">
        <v>995</v>
      </c>
    </row>
    <row r="326" spans="1:15" x14ac:dyDescent="0.2">
      <c r="A326" t="s">
        <v>112</v>
      </c>
      <c r="B326" t="s">
        <v>37</v>
      </c>
      <c r="C326" t="s">
        <v>17</v>
      </c>
      <c r="D326" t="s">
        <v>75</v>
      </c>
      <c r="E326" t="s">
        <v>106</v>
      </c>
      <c r="F326">
        <v>3</v>
      </c>
      <c r="G326" t="s">
        <v>19</v>
      </c>
      <c r="H326" t="s">
        <v>24</v>
      </c>
      <c r="I326">
        <v>0</v>
      </c>
      <c r="J326">
        <v>0</v>
      </c>
      <c r="K326">
        <v>0</v>
      </c>
      <c r="L326">
        <v>879</v>
      </c>
      <c r="M326">
        <v>79</v>
      </c>
      <c r="N326">
        <v>0</v>
      </c>
      <c r="O326">
        <v>995</v>
      </c>
    </row>
    <row r="327" spans="1:15" x14ac:dyDescent="0.2">
      <c r="A327" t="s">
        <v>112</v>
      </c>
      <c r="B327" t="s">
        <v>37</v>
      </c>
      <c r="C327" t="s">
        <v>17</v>
      </c>
      <c r="D327" t="s">
        <v>75</v>
      </c>
      <c r="E327" t="s">
        <v>105</v>
      </c>
      <c r="F327">
        <v>3</v>
      </c>
      <c r="G327" t="s">
        <v>79</v>
      </c>
      <c r="H327" t="s">
        <v>20</v>
      </c>
      <c r="I327">
        <v>223</v>
      </c>
      <c r="J327">
        <v>19</v>
      </c>
      <c r="K327">
        <v>0</v>
      </c>
      <c r="L327">
        <v>285</v>
      </c>
      <c r="M327">
        <v>30</v>
      </c>
      <c r="N327">
        <v>0</v>
      </c>
      <c r="O327">
        <v>995</v>
      </c>
    </row>
    <row r="328" spans="1:15" x14ac:dyDescent="0.2">
      <c r="A328" t="s">
        <v>112</v>
      </c>
      <c r="B328" t="s">
        <v>37</v>
      </c>
      <c r="C328" t="s">
        <v>17</v>
      </c>
      <c r="D328" t="s">
        <v>75</v>
      </c>
      <c r="E328" t="s">
        <v>105</v>
      </c>
      <c r="F328">
        <v>3</v>
      </c>
      <c r="G328" t="s">
        <v>79</v>
      </c>
      <c r="H328" t="s">
        <v>21</v>
      </c>
      <c r="I328">
        <v>27</v>
      </c>
      <c r="J328">
        <v>4</v>
      </c>
      <c r="K328">
        <v>0</v>
      </c>
      <c r="L328">
        <v>285</v>
      </c>
      <c r="M328">
        <v>30</v>
      </c>
      <c r="N328">
        <v>0</v>
      </c>
      <c r="O328">
        <v>995</v>
      </c>
    </row>
    <row r="329" spans="1:15" x14ac:dyDescent="0.2">
      <c r="A329" t="s">
        <v>112</v>
      </c>
      <c r="B329" t="s">
        <v>37</v>
      </c>
      <c r="C329" t="s">
        <v>17</v>
      </c>
      <c r="D329" t="s">
        <v>75</v>
      </c>
      <c r="E329" t="s">
        <v>105</v>
      </c>
      <c r="F329">
        <v>3</v>
      </c>
      <c r="G329" t="s">
        <v>79</v>
      </c>
      <c r="H329" t="s">
        <v>22</v>
      </c>
      <c r="I329">
        <v>10</v>
      </c>
      <c r="J329">
        <v>0</v>
      </c>
      <c r="K329">
        <v>0</v>
      </c>
      <c r="L329">
        <v>285</v>
      </c>
      <c r="M329">
        <v>30</v>
      </c>
      <c r="N329">
        <v>0</v>
      </c>
      <c r="O329">
        <v>995</v>
      </c>
    </row>
    <row r="330" spans="1:15" x14ac:dyDescent="0.2">
      <c r="A330" t="s">
        <v>112</v>
      </c>
      <c r="B330" t="s">
        <v>37</v>
      </c>
      <c r="C330" t="s">
        <v>17</v>
      </c>
      <c r="D330" t="s">
        <v>75</v>
      </c>
      <c r="E330" t="s">
        <v>105</v>
      </c>
      <c r="F330">
        <v>3</v>
      </c>
      <c r="G330" t="s">
        <v>79</v>
      </c>
      <c r="H330" t="s">
        <v>23</v>
      </c>
      <c r="I330">
        <v>25</v>
      </c>
      <c r="J330">
        <v>7</v>
      </c>
      <c r="K330">
        <v>0</v>
      </c>
      <c r="L330">
        <v>285</v>
      </c>
      <c r="M330">
        <v>30</v>
      </c>
      <c r="N330">
        <v>0</v>
      </c>
      <c r="O330">
        <v>995</v>
      </c>
    </row>
    <row r="331" spans="1:15" x14ac:dyDescent="0.2">
      <c r="A331" t="s">
        <v>112</v>
      </c>
      <c r="B331" t="s">
        <v>37</v>
      </c>
      <c r="C331" t="s">
        <v>17</v>
      </c>
      <c r="D331" t="s">
        <v>75</v>
      </c>
      <c r="E331" t="s">
        <v>105</v>
      </c>
      <c r="F331">
        <v>3</v>
      </c>
      <c r="G331" t="s">
        <v>79</v>
      </c>
      <c r="H331" t="s">
        <v>24</v>
      </c>
      <c r="I331">
        <v>0</v>
      </c>
      <c r="J331">
        <v>0</v>
      </c>
      <c r="K331">
        <v>0</v>
      </c>
      <c r="L331">
        <v>285</v>
      </c>
      <c r="M331">
        <v>30</v>
      </c>
      <c r="N331">
        <v>0</v>
      </c>
      <c r="O331">
        <v>995</v>
      </c>
    </row>
    <row r="332" spans="1:15" x14ac:dyDescent="0.2">
      <c r="A332" t="s">
        <v>112</v>
      </c>
      <c r="B332" t="s">
        <v>37</v>
      </c>
      <c r="C332" t="s">
        <v>17</v>
      </c>
      <c r="D332" t="s">
        <v>75</v>
      </c>
      <c r="E332" t="s">
        <v>104</v>
      </c>
      <c r="F332">
        <v>3</v>
      </c>
      <c r="G332" t="s">
        <v>77</v>
      </c>
      <c r="H332" t="s">
        <v>20</v>
      </c>
      <c r="I332">
        <v>221</v>
      </c>
      <c r="J332">
        <v>13</v>
      </c>
      <c r="K332">
        <v>0</v>
      </c>
      <c r="L332">
        <v>287</v>
      </c>
      <c r="M332">
        <v>25</v>
      </c>
      <c r="N332">
        <v>0</v>
      </c>
      <c r="O332">
        <v>998</v>
      </c>
    </row>
    <row r="333" spans="1:15" x14ac:dyDescent="0.2">
      <c r="A333" t="s">
        <v>112</v>
      </c>
      <c r="B333" t="s">
        <v>37</v>
      </c>
      <c r="C333" t="s">
        <v>17</v>
      </c>
      <c r="D333" t="s">
        <v>75</v>
      </c>
      <c r="E333" t="s">
        <v>104</v>
      </c>
      <c r="F333">
        <v>3</v>
      </c>
      <c r="G333" t="s">
        <v>77</v>
      </c>
      <c r="H333" t="s">
        <v>21</v>
      </c>
      <c r="I333">
        <v>27</v>
      </c>
      <c r="J333">
        <v>3</v>
      </c>
      <c r="K333">
        <v>0</v>
      </c>
      <c r="L333">
        <v>287</v>
      </c>
      <c r="M333">
        <v>25</v>
      </c>
      <c r="N333">
        <v>0</v>
      </c>
      <c r="O333">
        <v>998</v>
      </c>
    </row>
    <row r="334" spans="1:15" x14ac:dyDescent="0.2">
      <c r="A334" t="s">
        <v>112</v>
      </c>
      <c r="B334" t="s">
        <v>37</v>
      </c>
      <c r="C334" t="s">
        <v>17</v>
      </c>
      <c r="D334" t="s">
        <v>75</v>
      </c>
      <c r="E334" t="s">
        <v>104</v>
      </c>
      <c r="F334">
        <v>3</v>
      </c>
      <c r="G334" t="s">
        <v>77</v>
      </c>
      <c r="H334" t="s">
        <v>22</v>
      </c>
      <c r="I334">
        <v>12</v>
      </c>
      <c r="J334">
        <v>2</v>
      </c>
      <c r="K334">
        <v>0</v>
      </c>
      <c r="L334">
        <v>287</v>
      </c>
      <c r="M334">
        <v>25</v>
      </c>
      <c r="N334">
        <v>0</v>
      </c>
      <c r="O334">
        <v>998</v>
      </c>
    </row>
    <row r="335" spans="1:15" x14ac:dyDescent="0.2">
      <c r="A335" t="s">
        <v>112</v>
      </c>
      <c r="B335" t="s">
        <v>37</v>
      </c>
      <c r="C335" t="s">
        <v>17</v>
      </c>
      <c r="D335" t="s">
        <v>75</v>
      </c>
      <c r="E335" t="s">
        <v>104</v>
      </c>
      <c r="F335">
        <v>3</v>
      </c>
      <c r="G335" t="s">
        <v>77</v>
      </c>
      <c r="H335" t="s">
        <v>23</v>
      </c>
      <c r="I335">
        <v>27</v>
      </c>
      <c r="J335">
        <v>7</v>
      </c>
      <c r="K335">
        <v>0</v>
      </c>
      <c r="L335">
        <v>287</v>
      </c>
      <c r="M335">
        <v>25</v>
      </c>
      <c r="N335">
        <v>0</v>
      </c>
      <c r="O335">
        <v>998</v>
      </c>
    </row>
    <row r="336" spans="1:15" x14ac:dyDescent="0.2">
      <c r="A336" t="s">
        <v>112</v>
      </c>
      <c r="B336" t="s">
        <v>37</v>
      </c>
      <c r="C336" t="s">
        <v>17</v>
      </c>
      <c r="D336" t="s">
        <v>75</v>
      </c>
      <c r="E336" t="s">
        <v>104</v>
      </c>
      <c r="F336">
        <v>3</v>
      </c>
      <c r="G336" t="s">
        <v>77</v>
      </c>
      <c r="H336" t="s">
        <v>24</v>
      </c>
      <c r="I336">
        <v>0</v>
      </c>
      <c r="J336">
        <v>0</v>
      </c>
      <c r="K336">
        <v>0</v>
      </c>
      <c r="L336">
        <v>287</v>
      </c>
      <c r="M336">
        <v>25</v>
      </c>
      <c r="N336">
        <v>0</v>
      </c>
      <c r="O336">
        <v>998</v>
      </c>
    </row>
    <row r="337" spans="1:15" x14ac:dyDescent="0.2">
      <c r="A337" t="s">
        <v>112</v>
      </c>
      <c r="B337" t="s">
        <v>37</v>
      </c>
      <c r="C337" t="s">
        <v>17</v>
      </c>
      <c r="D337" t="s">
        <v>75</v>
      </c>
      <c r="E337" t="s">
        <v>102</v>
      </c>
      <c r="F337">
        <v>3</v>
      </c>
      <c r="G337" t="s">
        <v>73</v>
      </c>
      <c r="H337" t="s">
        <v>20</v>
      </c>
      <c r="I337">
        <v>201</v>
      </c>
      <c r="J337">
        <v>14</v>
      </c>
      <c r="K337">
        <v>0</v>
      </c>
      <c r="L337">
        <v>277</v>
      </c>
      <c r="M337">
        <v>29</v>
      </c>
      <c r="N337">
        <v>0</v>
      </c>
      <c r="O337">
        <v>996</v>
      </c>
    </row>
    <row r="338" spans="1:15" x14ac:dyDescent="0.2">
      <c r="A338" t="s">
        <v>112</v>
      </c>
      <c r="B338" t="s">
        <v>37</v>
      </c>
      <c r="C338" t="s">
        <v>17</v>
      </c>
      <c r="D338" t="s">
        <v>75</v>
      </c>
      <c r="E338" t="s">
        <v>102</v>
      </c>
      <c r="F338">
        <v>3</v>
      </c>
      <c r="G338" t="s">
        <v>73</v>
      </c>
      <c r="H338" t="s">
        <v>21</v>
      </c>
      <c r="I338">
        <v>36</v>
      </c>
      <c r="J338">
        <v>4</v>
      </c>
      <c r="K338">
        <v>0</v>
      </c>
      <c r="L338">
        <v>277</v>
      </c>
      <c r="M338">
        <v>29</v>
      </c>
      <c r="N338">
        <v>0</v>
      </c>
      <c r="O338">
        <v>996</v>
      </c>
    </row>
    <row r="339" spans="1:15" x14ac:dyDescent="0.2">
      <c r="A339" t="s">
        <v>112</v>
      </c>
      <c r="B339" t="s">
        <v>37</v>
      </c>
      <c r="C339" t="s">
        <v>17</v>
      </c>
      <c r="D339" t="s">
        <v>75</v>
      </c>
      <c r="E339" t="s">
        <v>102</v>
      </c>
      <c r="F339">
        <v>3</v>
      </c>
      <c r="G339" t="s">
        <v>73</v>
      </c>
      <c r="H339" t="s">
        <v>22</v>
      </c>
      <c r="I339">
        <v>9</v>
      </c>
      <c r="J339">
        <v>2</v>
      </c>
      <c r="K339">
        <v>0</v>
      </c>
      <c r="L339">
        <v>277</v>
      </c>
      <c r="M339">
        <v>29</v>
      </c>
      <c r="N339">
        <v>0</v>
      </c>
      <c r="O339">
        <v>996</v>
      </c>
    </row>
    <row r="340" spans="1:15" x14ac:dyDescent="0.2">
      <c r="A340" t="s">
        <v>112</v>
      </c>
      <c r="B340" t="s">
        <v>37</v>
      </c>
      <c r="C340" t="s">
        <v>17</v>
      </c>
      <c r="D340" t="s">
        <v>75</v>
      </c>
      <c r="E340" t="s">
        <v>102</v>
      </c>
      <c r="F340">
        <v>3</v>
      </c>
      <c r="G340" t="s">
        <v>73</v>
      </c>
      <c r="H340" t="s">
        <v>23</v>
      </c>
      <c r="I340">
        <v>31</v>
      </c>
      <c r="J340">
        <v>9</v>
      </c>
      <c r="K340">
        <v>0</v>
      </c>
      <c r="L340">
        <v>277</v>
      </c>
      <c r="M340">
        <v>29</v>
      </c>
      <c r="N340">
        <v>0</v>
      </c>
      <c r="O340">
        <v>996</v>
      </c>
    </row>
    <row r="341" spans="1:15" x14ac:dyDescent="0.2">
      <c r="A341" t="s">
        <v>112</v>
      </c>
      <c r="B341" t="s">
        <v>37</v>
      </c>
      <c r="C341" t="s">
        <v>17</v>
      </c>
      <c r="D341" t="s">
        <v>75</v>
      </c>
      <c r="E341" t="s">
        <v>102</v>
      </c>
      <c r="F341">
        <v>3</v>
      </c>
      <c r="G341" t="s">
        <v>73</v>
      </c>
      <c r="H341" t="s">
        <v>24</v>
      </c>
      <c r="I341">
        <v>0</v>
      </c>
      <c r="J341">
        <v>0</v>
      </c>
      <c r="K341">
        <v>0</v>
      </c>
      <c r="L341">
        <v>277</v>
      </c>
      <c r="M341">
        <v>29</v>
      </c>
      <c r="N341">
        <v>0</v>
      </c>
      <c r="O341">
        <v>996</v>
      </c>
    </row>
    <row r="342" spans="1:15" x14ac:dyDescent="0.2">
      <c r="A342" t="s">
        <v>100</v>
      </c>
      <c r="B342" t="s">
        <v>37</v>
      </c>
      <c r="C342" t="s">
        <v>17</v>
      </c>
      <c r="D342" t="s">
        <v>75</v>
      </c>
      <c r="E342" t="s">
        <v>94</v>
      </c>
      <c r="F342">
        <v>3</v>
      </c>
      <c r="G342" t="s">
        <v>19</v>
      </c>
      <c r="H342" t="s">
        <v>20</v>
      </c>
      <c r="I342">
        <v>40</v>
      </c>
      <c r="J342">
        <v>16</v>
      </c>
      <c r="K342">
        <v>0</v>
      </c>
      <c r="L342">
        <v>60</v>
      </c>
      <c r="M342">
        <v>19</v>
      </c>
      <c r="N342">
        <v>0</v>
      </c>
      <c r="O342">
        <v>994</v>
      </c>
    </row>
    <row r="343" spans="1:15" x14ac:dyDescent="0.2">
      <c r="A343" t="s">
        <v>100</v>
      </c>
      <c r="B343" t="s">
        <v>37</v>
      </c>
      <c r="C343" t="s">
        <v>17</v>
      </c>
      <c r="D343" t="s">
        <v>75</v>
      </c>
      <c r="E343" t="s">
        <v>94</v>
      </c>
      <c r="F343">
        <v>3</v>
      </c>
      <c r="G343" t="s">
        <v>19</v>
      </c>
      <c r="H343" t="s">
        <v>21</v>
      </c>
      <c r="I343">
        <v>8</v>
      </c>
      <c r="J343">
        <v>1</v>
      </c>
      <c r="K343">
        <v>0</v>
      </c>
      <c r="L343">
        <v>60</v>
      </c>
      <c r="M343">
        <v>19</v>
      </c>
      <c r="N343">
        <v>0</v>
      </c>
      <c r="O343">
        <v>994</v>
      </c>
    </row>
    <row r="344" spans="1:15" x14ac:dyDescent="0.2">
      <c r="A344" t="s">
        <v>100</v>
      </c>
      <c r="B344" t="s">
        <v>37</v>
      </c>
      <c r="C344" t="s">
        <v>17</v>
      </c>
      <c r="D344" t="s">
        <v>75</v>
      </c>
      <c r="E344" t="s">
        <v>94</v>
      </c>
      <c r="F344">
        <v>3</v>
      </c>
      <c r="G344" t="s">
        <v>19</v>
      </c>
      <c r="H344" t="s">
        <v>22</v>
      </c>
      <c r="I344">
        <v>5</v>
      </c>
      <c r="J344">
        <v>1</v>
      </c>
      <c r="K344">
        <v>0</v>
      </c>
      <c r="L344">
        <v>60</v>
      </c>
      <c r="M344">
        <v>19</v>
      </c>
      <c r="N344">
        <v>0</v>
      </c>
      <c r="O344">
        <v>994</v>
      </c>
    </row>
    <row r="345" spans="1:15" x14ac:dyDescent="0.2">
      <c r="A345" t="s">
        <v>100</v>
      </c>
      <c r="B345" t="s">
        <v>37</v>
      </c>
      <c r="C345" t="s">
        <v>17</v>
      </c>
      <c r="D345" t="s">
        <v>75</v>
      </c>
      <c r="E345" t="s">
        <v>94</v>
      </c>
      <c r="F345">
        <v>3</v>
      </c>
      <c r="G345" t="s">
        <v>19</v>
      </c>
      <c r="H345" t="s">
        <v>23</v>
      </c>
      <c r="I345">
        <v>7</v>
      </c>
      <c r="J345">
        <v>1</v>
      </c>
      <c r="K345">
        <v>0</v>
      </c>
      <c r="L345">
        <v>60</v>
      </c>
      <c r="M345">
        <v>19</v>
      </c>
      <c r="N345">
        <v>0</v>
      </c>
      <c r="O345">
        <v>994</v>
      </c>
    </row>
    <row r="346" spans="1:15" x14ac:dyDescent="0.2">
      <c r="A346" t="s">
        <v>100</v>
      </c>
      <c r="B346" t="s">
        <v>37</v>
      </c>
      <c r="C346" t="s">
        <v>17</v>
      </c>
      <c r="D346" t="s">
        <v>75</v>
      </c>
      <c r="E346" t="s">
        <v>94</v>
      </c>
      <c r="F346">
        <v>3</v>
      </c>
      <c r="G346" t="s">
        <v>19</v>
      </c>
      <c r="H346" t="s">
        <v>24</v>
      </c>
      <c r="I346">
        <v>0</v>
      </c>
      <c r="J346">
        <v>0</v>
      </c>
      <c r="K346">
        <v>0</v>
      </c>
      <c r="L346">
        <v>60</v>
      </c>
      <c r="M346">
        <v>19</v>
      </c>
      <c r="N346">
        <v>0</v>
      </c>
      <c r="O346">
        <v>994</v>
      </c>
    </row>
    <row r="347" spans="1:15" x14ac:dyDescent="0.2">
      <c r="A347" t="s">
        <v>100</v>
      </c>
      <c r="B347" t="s">
        <v>37</v>
      </c>
      <c r="C347" t="s">
        <v>17</v>
      </c>
      <c r="D347" t="s">
        <v>75</v>
      </c>
      <c r="E347" t="s">
        <v>93</v>
      </c>
      <c r="F347">
        <v>3</v>
      </c>
      <c r="G347" t="s">
        <v>79</v>
      </c>
      <c r="H347" t="s">
        <v>20</v>
      </c>
      <c r="I347">
        <v>13</v>
      </c>
      <c r="J347">
        <v>5</v>
      </c>
      <c r="K347">
        <v>0</v>
      </c>
      <c r="L347">
        <v>17</v>
      </c>
      <c r="M347">
        <v>6</v>
      </c>
      <c r="N347">
        <v>0</v>
      </c>
      <c r="O347">
        <v>997</v>
      </c>
    </row>
    <row r="348" spans="1:15" x14ac:dyDescent="0.2">
      <c r="A348" t="s">
        <v>100</v>
      </c>
      <c r="B348" t="s">
        <v>37</v>
      </c>
      <c r="C348" t="s">
        <v>17</v>
      </c>
      <c r="D348" t="s">
        <v>75</v>
      </c>
      <c r="E348" t="s">
        <v>93</v>
      </c>
      <c r="F348">
        <v>3</v>
      </c>
      <c r="G348" t="s">
        <v>79</v>
      </c>
      <c r="H348" t="s">
        <v>21</v>
      </c>
      <c r="I348">
        <v>3</v>
      </c>
      <c r="J348">
        <v>0</v>
      </c>
      <c r="K348">
        <v>0</v>
      </c>
      <c r="L348">
        <v>17</v>
      </c>
      <c r="M348">
        <v>6</v>
      </c>
      <c r="N348">
        <v>0</v>
      </c>
      <c r="O348">
        <v>997</v>
      </c>
    </row>
    <row r="349" spans="1:15" x14ac:dyDescent="0.2">
      <c r="A349" t="s">
        <v>100</v>
      </c>
      <c r="B349" t="s">
        <v>37</v>
      </c>
      <c r="C349" t="s">
        <v>17</v>
      </c>
      <c r="D349" t="s">
        <v>75</v>
      </c>
      <c r="E349" t="s">
        <v>93</v>
      </c>
      <c r="F349">
        <v>3</v>
      </c>
      <c r="G349" t="s">
        <v>79</v>
      </c>
      <c r="H349" t="s">
        <v>22</v>
      </c>
      <c r="I349">
        <v>0</v>
      </c>
      <c r="J349">
        <v>0</v>
      </c>
      <c r="K349">
        <v>0</v>
      </c>
      <c r="L349">
        <v>17</v>
      </c>
      <c r="M349">
        <v>6</v>
      </c>
      <c r="N349">
        <v>0</v>
      </c>
      <c r="O349">
        <v>997</v>
      </c>
    </row>
    <row r="350" spans="1:15" x14ac:dyDescent="0.2">
      <c r="A350" t="s">
        <v>100</v>
      </c>
      <c r="B350" t="s">
        <v>37</v>
      </c>
      <c r="C350" t="s">
        <v>17</v>
      </c>
      <c r="D350" t="s">
        <v>75</v>
      </c>
      <c r="E350" t="s">
        <v>93</v>
      </c>
      <c r="F350">
        <v>3</v>
      </c>
      <c r="G350" t="s">
        <v>79</v>
      </c>
      <c r="H350" t="s">
        <v>23</v>
      </c>
      <c r="I350">
        <v>1</v>
      </c>
      <c r="J350">
        <v>1</v>
      </c>
      <c r="K350">
        <v>0</v>
      </c>
      <c r="L350">
        <v>17</v>
      </c>
      <c r="M350">
        <v>6</v>
      </c>
      <c r="N350">
        <v>0</v>
      </c>
      <c r="O350">
        <v>997</v>
      </c>
    </row>
    <row r="351" spans="1:15" x14ac:dyDescent="0.2">
      <c r="A351" t="s">
        <v>100</v>
      </c>
      <c r="B351" t="s">
        <v>37</v>
      </c>
      <c r="C351" t="s">
        <v>17</v>
      </c>
      <c r="D351" t="s">
        <v>75</v>
      </c>
      <c r="E351" t="s">
        <v>93</v>
      </c>
      <c r="F351">
        <v>3</v>
      </c>
      <c r="G351" t="s">
        <v>79</v>
      </c>
      <c r="H351" t="s">
        <v>24</v>
      </c>
      <c r="I351">
        <v>0</v>
      </c>
      <c r="J351">
        <v>0</v>
      </c>
      <c r="K351">
        <v>0</v>
      </c>
      <c r="L351">
        <v>17</v>
      </c>
      <c r="M351">
        <v>6</v>
      </c>
      <c r="N351">
        <v>0</v>
      </c>
      <c r="O351">
        <v>997</v>
      </c>
    </row>
    <row r="352" spans="1:15" x14ac:dyDescent="0.2">
      <c r="A352" t="s">
        <v>100</v>
      </c>
      <c r="B352" t="s">
        <v>37</v>
      </c>
      <c r="C352" t="s">
        <v>17</v>
      </c>
      <c r="D352" t="s">
        <v>75</v>
      </c>
      <c r="E352" t="s">
        <v>92</v>
      </c>
      <c r="F352">
        <v>3</v>
      </c>
      <c r="G352" t="s">
        <v>77</v>
      </c>
      <c r="H352" t="s">
        <v>20</v>
      </c>
      <c r="I352">
        <v>13</v>
      </c>
      <c r="J352">
        <v>6</v>
      </c>
      <c r="K352">
        <v>0</v>
      </c>
      <c r="L352">
        <v>15</v>
      </c>
      <c r="M352">
        <v>7</v>
      </c>
      <c r="N352">
        <v>0</v>
      </c>
      <c r="O352">
        <v>995</v>
      </c>
    </row>
    <row r="353" spans="1:15" x14ac:dyDescent="0.2">
      <c r="A353" t="s">
        <v>100</v>
      </c>
      <c r="B353" t="s">
        <v>37</v>
      </c>
      <c r="C353" t="s">
        <v>17</v>
      </c>
      <c r="D353" t="s">
        <v>75</v>
      </c>
      <c r="E353" t="s">
        <v>92</v>
      </c>
      <c r="F353">
        <v>3</v>
      </c>
      <c r="G353" t="s">
        <v>77</v>
      </c>
      <c r="H353" t="s">
        <v>21</v>
      </c>
      <c r="I353">
        <v>2</v>
      </c>
      <c r="J353">
        <v>0</v>
      </c>
      <c r="K353">
        <v>0</v>
      </c>
      <c r="L353">
        <v>15</v>
      </c>
      <c r="M353">
        <v>7</v>
      </c>
      <c r="N353">
        <v>0</v>
      </c>
      <c r="O353">
        <v>995</v>
      </c>
    </row>
    <row r="354" spans="1:15" x14ac:dyDescent="0.2">
      <c r="A354" t="s">
        <v>100</v>
      </c>
      <c r="B354" t="s">
        <v>37</v>
      </c>
      <c r="C354" t="s">
        <v>17</v>
      </c>
      <c r="D354" t="s">
        <v>75</v>
      </c>
      <c r="E354" t="s">
        <v>92</v>
      </c>
      <c r="F354">
        <v>3</v>
      </c>
      <c r="G354" t="s">
        <v>77</v>
      </c>
      <c r="H354" t="s">
        <v>22</v>
      </c>
      <c r="I354">
        <v>0</v>
      </c>
      <c r="J354">
        <v>0</v>
      </c>
      <c r="K354">
        <v>0</v>
      </c>
      <c r="L354">
        <v>15</v>
      </c>
      <c r="M354">
        <v>7</v>
      </c>
      <c r="N354">
        <v>0</v>
      </c>
      <c r="O354">
        <v>995</v>
      </c>
    </row>
    <row r="355" spans="1:15" x14ac:dyDescent="0.2">
      <c r="A355" t="s">
        <v>100</v>
      </c>
      <c r="B355" t="s">
        <v>37</v>
      </c>
      <c r="C355" t="s">
        <v>17</v>
      </c>
      <c r="D355" t="s">
        <v>75</v>
      </c>
      <c r="E355" t="s">
        <v>92</v>
      </c>
      <c r="F355">
        <v>3</v>
      </c>
      <c r="G355" t="s">
        <v>77</v>
      </c>
      <c r="H355" t="s">
        <v>23</v>
      </c>
      <c r="I355">
        <v>0</v>
      </c>
      <c r="J355">
        <v>1</v>
      </c>
      <c r="K355">
        <v>0</v>
      </c>
      <c r="L355">
        <v>15</v>
      </c>
      <c r="M355">
        <v>7</v>
      </c>
      <c r="N355">
        <v>0</v>
      </c>
      <c r="O355">
        <v>995</v>
      </c>
    </row>
    <row r="356" spans="1:15" x14ac:dyDescent="0.2">
      <c r="A356" t="s">
        <v>100</v>
      </c>
      <c r="B356" t="s">
        <v>37</v>
      </c>
      <c r="C356" t="s">
        <v>17</v>
      </c>
      <c r="D356" t="s">
        <v>75</v>
      </c>
      <c r="E356" t="s">
        <v>92</v>
      </c>
      <c r="F356">
        <v>3</v>
      </c>
      <c r="G356" t="s">
        <v>77</v>
      </c>
      <c r="H356" t="s">
        <v>24</v>
      </c>
      <c r="I356">
        <v>0</v>
      </c>
      <c r="J356">
        <v>0</v>
      </c>
      <c r="K356">
        <v>0</v>
      </c>
      <c r="L356">
        <v>15</v>
      </c>
      <c r="M356">
        <v>7</v>
      </c>
      <c r="N356">
        <v>0</v>
      </c>
      <c r="O356">
        <v>995</v>
      </c>
    </row>
    <row r="357" spans="1:15" x14ac:dyDescent="0.2">
      <c r="A357" t="s">
        <v>100</v>
      </c>
      <c r="B357" t="s">
        <v>37</v>
      </c>
      <c r="C357" t="s">
        <v>17</v>
      </c>
      <c r="D357" t="s">
        <v>75</v>
      </c>
      <c r="E357" t="s">
        <v>90</v>
      </c>
      <c r="F357">
        <v>3</v>
      </c>
      <c r="G357" t="s">
        <v>73</v>
      </c>
      <c r="H357" t="s">
        <v>20</v>
      </c>
      <c r="I357">
        <v>10</v>
      </c>
      <c r="J357">
        <v>5</v>
      </c>
      <c r="K357">
        <v>0</v>
      </c>
      <c r="L357">
        <v>20</v>
      </c>
      <c r="M357">
        <v>6</v>
      </c>
      <c r="N357">
        <v>0</v>
      </c>
      <c r="O357">
        <v>996</v>
      </c>
    </row>
    <row r="358" spans="1:15" x14ac:dyDescent="0.2">
      <c r="A358" t="s">
        <v>100</v>
      </c>
      <c r="B358" t="s">
        <v>37</v>
      </c>
      <c r="C358" t="s">
        <v>17</v>
      </c>
      <c r="D358" t="s">
        <v>75</v>
      </c>
      <c r="E358" t="s">
        <v>90</v>
      </c>
      <c r="F358">
        <v>3</v>
      </c>
      <c r="G358" t="s">
        <v>73</v>
      </c>
      <c r="H358" t="s">
        <v>21</v>
      </c>
      <c r="I358">
        <v>7</v>
      </c>
      <c r="J358">
        <v>0</v>
      </c>
      <c r="K358">
        <v>0</v>
      </c>
      <c r="L358">
        <v>20</v>
      </c>
      <c r="M358">
        <v>6</v>
      </c>
      <c r="N358">
        <v>0</v>
      </c>
      <c r="O358">
        <v>996</v>
      </c>
    </row>
    <row r="359" spans="1:15" x14ac:dyDescent="0.2">
      <c r="A359" t="s">
        <v>100</v>
      </c>
      <c r="B359" t="s">
        <v>37</v>
      </c>
      <c r="C359" t="s">
        <v>17</v>
      </c>
      <c r="D359" t="s">
        <v>75</v>
      </c>
      <c r="E359" t="s">
        <v>90</v>
      </c>
      <c r="F359">
        <v>3</v>
      </c>
      <c r="G359" t="s">
        <v>73</v>
      </c>
      <c r="H359" t="s">
        <v>22</v>
      </c>
      <c r="I359">
        <v>1</v>
      </c>
      <c r="J359">
        <v>0</v>
      </c>
      <c r="K359">
        <v>0</v>
      </c>
      <c r="L359">
        <v>20</v>
      </c>
      <c r="M359">
        <v>6</v>
      </c>
      <c r="N359">
        <v>0</v>
      </c>
      <c r="O359">
        <v>996</v>
      </c>
    </row>
    <row r="360" spans="1:15" x14ac:dyDescent="0.2">
      <c r="A360" t="s">
        <v>100</v>
      </c>
      <c r="B360" t="s">
        <v>37</v>
      </c>
      <c r="C360" t="s">
        <v>17</v>
      </c>
      <c r="D360" t="s">
        <v>75</v>
      </c>
      <c r="E360" t="s">
        <v>90</v>
      </c>
      <c r="F360">
        <v>3</v>
      </c>
      <c r="G360" t="s">
        <v>73</v>
      </c>
      <c r="H360" t="s">
        <v>23</v>
      </c>
      <c r="I360">
        <v>2</v>
      </c>
      <c r="J360">
        <v>1</v>
      </c>
      <c r="K360">
        <v>0</v>
      </c>
      <c r="L360">
        <v>20</v>
      </c>
      <c r="M360">
        <v>6</v>
      </c>
      <c r="N360">
        <v>0</v>
      </c>
      <c r="O360">
        <v>996</v>
      </c>
    </row>
    <row r="361" spans="1:15" x14ac:dyDescent="0.2">
      <c r="A361" t="s">
        <v>100</v>
      </c>
      <c r="B361" t="s">
        <v>37</v>
      </c>
      <c r="C361" t="s">
        <v>17</v>
      </c>
      <c r="D361" t="s">
        <v>75</v>
      </c>
      <c r="E361" t="s">
        <v>90</v>
      </c>
      <c r="F361">
        <v>3</v>
      </c>
      <c r="G361" t="s">
        <v>73</v>
      </c>
      <c r="H361" t="s">
        <v>24</v>
      </c>
      <c r="I361">
        <v>0</v>
      </c>
      <c r="J361">
        <v>0</v>
      </c>
      <c r="K361">
        <v>0</v>
      </c>
      <c r="L361">
        <v>20</v>
      </c>
      <c r="M361">
        <v>6</v>
      </c>
      <c r="N361">
        <v>0</v>
      </c>
      <c r="O361">
        <v>996</v>
      </c>
    </row>
    <row r="362" spans="1:15" x14ac:dyDescent="0.2">
      <c r="A362" t="s">
        <v>88</v>
      </c>
      <c r="B362" t="s">
        <v>37</v>
      </c>
      <c r="C362" t="s">
        <v>17</v>
      </c>
      <c r="D362" t="s">
        <v>75</v>
      </c>
      <c r="E362" t="s">
        <v>81</v>
      </c>
      <c r="F362">
        <v>3</v>
      </c>
      <c r="G362" t="s">
        <v>19</v>
      </c>
      <c r="H362" t="s">
        <v>20</v>
      </c>
      <c r="I362">
        <v>74</v>
      </c>
      <c r="J362">
        <v>53</v>
      </c>
      <c r="K362">
        <v>0</v>
      </c>
      <c r="L362">
        <v>89</v>
      </c>
      <c r="M362">
        <v>177</v>
      </c>
      <c r="N362">
        <v>0</v>
      </c>
      <c r="O362">
        <v>681</v>
      </c>
    </row>
    <row r="363" spans="1:15" x14ac:dyDescent="0.2">
      <c r="A363" t="s">
        <v>88</v>
      </c>
      <c r="B363" t="s">
        <v>37</v>
      </c>
      <c r="C363" t="s">
        <v>17</v>
      </c>
      <c r="D363" t="s">
        <v>75</v>
      </c>
      <c r="E363" t="s">
        <v>81</v>
      </c>
      <c r="F363">
        <v>3</v>
      </c>
      <c r="G363" t="s">
        <v>19</v>
      </c>
      <c r="H363" t="s">
        <v>21</v>
      </c>
      <c r="I363">
        <v>6</v>
      </c>
      <c r="J363">
        <v>15</v>
      </c>
      <c r="K363">
        <v>0</v>
      </c>
      <c r="L363">
        <v>89</v>
      </c>
      <c r="M363">
        <v>177</v>
      </c>
      <c r="N363">
        <v>0</v>
      </c>
      <c r="O363">
        <v>681</v>
      </c>
    </row>
    <row r="364" spans="1:15" x14ac:dyDescent="0.2">
      <c r="A364" t="s">
        <v>88</v>
      </c>
      <c r="B364" t="s">
        <v>37</v>
      </c>
      <c r="C364" t="s">
        <v>17</v>
      </c>
      <c r="D364" t="s">
        <v>75</v>
      </c>
      <c r="E364" t="s">
        <v>81</v>
      </c>
      <c r="F364">
        <v>3</v>
      </c>
      <c r="G364" t="s">
        <v>19</v>
      </c>
      <c r="H364" t="s">
        <v>22</v>
      </c>
      <c r="I364">
        <v>0</v>
      </c>
      <c r="J364">
        <v>8</v>
      </c>
      <c r="K364">
        <v>0</v>
      </c>
      <c r="L364">
        <v>89</v>
      </c>
      <c r="M364">
        <v>177</v>
      </c>
      <c r="N364">
        <v>0</v>
      </c>
      <c r="O364">
        <v>681</v>
      </c>
    </row>
    <row r="365" spans="1:15" x14ac:dyDescent="0.2">
      <c r="A365" t="s">
        <v>88</v>
      </c>
      <c r="B365" t="s">
        <v>37</v>
      </c>
      <c r="C365" t="s">
        <v>17</v>
      </c>
      <c r="D365" t="s">
        <v>75</v>
      </c>
      <c r="E365" t="s">
        <v>81</v>
      </c>
      <c r="F365">
        <v>3</v>
      </c>
      <c r="G365" t="s">
        <v>19</v>
      </c>
      <c r="H365" t="s">
        <v>23</v>
      </c>
      <c r="I365">
        <v>9</v>
      </c>
      <c r="J365">
        <v>100</v>
      </c>
      <c r="K365">
        <v>0</v>
      </c>
      <c r="L365">
        <v>89</v>
      </c>
      <c r="M365">
        <v>177</v>
      </c>
      <c r="N365">
        <v>0</v>
      </c>
      <c r="O365">
        <v>681</v>
      </c>
    </row>
    <row r="366" spans="1:15" x14ac:dyDescent="0.2">
      <c r="A366" t="s">
        <v>88</v>
      </c>
      <c r="B366" t="s">
        <v>37</v>
      </c>
      <c r="C366" t="s">
        <v>17</v>
      </c>
      <c r="D366" t="s">
        <v>75</v>
      </c>
      <c r="E366" t="s">
        <v>81</v>
      </c>
      <c r="F366">
        <v>3</v>
      </c>
      <c r="G366" t="s">
        <v>19</v>
      </c>
      <c r="H366" t="s">
        <v>24</v>
      </c>
      <c r="I366">
        <v>0</v>
      </c>
      <c r="J366">
        <v>1</v>
      </c>
      <c r="K366">
        <v>0</v>
      </c>
      <c r="L366">
        <v>89</v>
      </c>
      <c r="M366">
        <v>177</v>
      </c>
      <c r="N366">
        <v>0</v>
      </c>
      <c r="O366">
        <v>681</v>
      </c>
    </row>
    <row r="367" spans="1:15" x14ac:dyDescent="0.2">
      <c r="A367" t="s">
        <v>88</v>
      </c>
      <c r="B367" t="s">
        <v>37</v>
      </c>
      <c r="C367" t="s">
        <v>17</v>
      </c>
      <c r="D367" t="s">
        <v>75</v>
      </c>
      <c r="E367" t="s">
        <v>80</v>
      </c>
      <c r="F367">
        <v>3</v>
      </c>
      <c r="G367" t="s">
        <v>79</v>
      </c>
      <c r="H367" t="s">
        <v>20</v>
      </c>
      <c r="I367">
        <v>18</v>
      </c>
      <c r="J367">
        <v>12</v>
      </c>
      <c r="K367">
        <v>0</v>
      </c>
      <c r="L367">
        <v>29</v>
      </c>
      <c r="M367">
        <v>57</v>
      </c>
      <c r="N367">
        <v>0</v>
      </c>
      <c r="O367">
        <v>680</v>
      </c>
    </row>
    <row r="368" spans="1:15" x14ac:dyDescent="0.2">
      <c r="A368" t="s">
        <v>88</v>
      </c>
      <c r="B368" t="s">
        <v>37</v>
      </c>
      <c r="C368" t="s">
        <v>17</v>
      </c>
      <c r="D368" t="s">
        <v>75</v>
      </c>
      <c r="E368" t="s">
        <v>80</v>
      </c>
      <c r="F368">
        <v>3</v>
      </c>
      <c r="G368" t="s">
        <v>79</v>
      </c>
      <c r="H368" t="s">
        <v>21</v>
      </c>
      <c r="I368">
        <v>5</v>
      </c>
      <c r="J368">
        <v>3</v>
      </c>
      <c r="K368">
        <v>0</v>
      </c>
      <c r="L368">
        <v>29</v>
      </c>
      <c r="M368">
        <v>57</v>
      </c>
      <c r="N368">
        <v>0</v>
      </c>
      <c r="O368">
        <v>680</v>
      </c>
    </row>
    <row r="369" spans="1:15" x14ac:dyDescent="0.2">
      <c r="A369" t="s">
        <v>88</v>
      </c>
      <c r="B369" t="s">
        <v>37</v>
      </c>
      <c r="C369" t="s">
        <v>17</v>
      </c>
      <c r="D369" t="s">
        <v>75</v>
      </c>
      <c r="E369" t="s">
        <v>80</v>
      </c>
      <c r="F369">
        <v>3</v>
      </c>
      <c r="G369" t="s">
        <v>79</v>
      </c>
      <c r="H369" t="s">
        <v>22</v>
      </c>
      <c r="I369">
        <v>0</v>
      </c>
      <c r="J369">
        <v>1</v>
      </c>
      <c r="K369">
        <v>0</v>
      </c>
      <c r="L369">
        <v>29</v>
      </c>
      <c r="M369">
        <v>57</v>
      </c>
      <c r="N369">
        <v>0</v>
      </c>
      <c r="O369">
        <v>680</v>
      </c>
    </row>
    <row r="370" spans="1:15" x14ac:dyDescent="0.2">
      <c r="A370" t="s">
        <v>88</v>
      </c>
      <c r="B370" t="s">
        <v>37</v>
      </c>
      <c r="C370" t="s">
        <v>17</v>
      </c>
      <c r="D370" t="s">
        <v>75</v>
      </c>
      <c r="E370" t="s">
        <v>80</v>
      </c>
      <c r="F370">
        <v>3</v>
      </c>
      <c r="G370" t="s">
        <v>79</v>
      </c>
      <c r="H370" t="s">
        <v>23</v>
      </c>
      <c r="I370">
        <v>6</v>
      </c>
      <c r="J370">
        <v>41</v>
      </c>
      <c r="K370">
        <v>0</v>
      </c>
      <c r="L370">
        <v>29</v>
      </c>
      <c r="M370">
        <v>57</v>
      </c>
      <c r="N370">
        <v>0</v>
      </c>
      <c r="O370">
        <v>680</v>
      </c>
    </row>
    <row r="371" spans="1:15" x14ac:dyDescent="0.2">
      <c r="A371" t="s">
        <v>88</v>
      </c>
      <c r="B371" t="s">
        <v>37</v>
      </c>
      <c r="C371" t="s">
        <v>17</v>
      </c>
      <c r="D371" t="s">
        <v>75</v>
      </c>
      <c r="E371" t="s">
        <v>80</v>
      </c>
      <c r="F371">
        <v>3</v>
      </c>
      <c r="G371" t="s">
        <v>79</v>
      </c>
      <c r="H371" t="s">
        <v>24</v>
      </c>
      <c r="I371">
        <v>0</v>
      </c>
      <c r="J371">
        <v>0</v>
      </c>
      <c r="K371">
        <v>0</v>
      </c>
      <c r="L371">
        <v>29</v>
      </c>
      <c r="M371">
        <v>57</v>
      </c>
      <c r="N371">
        <v>0</v>
      </c>
      <c r="O371">
        <v>680</v>
      </c>
    </row>
    <row r="372" spans="1:15" x14ac:dyDescent="0.2">
      <c r="A372" t="s">
        <v>88</v>
      </c>
      <c r="B372" t="s">
        <v>37</v>
      </c>
      <c r="C372" t="s">
        <v>17</v>
      </c>
      <c r="D372" t="s">
        <v>75</v>
      </c>
      <c r="E372" t="s">
        <v>78</v>
      </c>
      <c r="F372">
        <v>3</v>
      </c>
      <c r="G372" t="s">
        <v>77</v>
      </c>
      <c r="H372" t="s">
        <v>20</v>
      </c>
      <c r="I372">
        <v>22</v>
      </c>
      <c r="J372">
        <v>15</v>
      </c>
      <c r="K372">
        <v>0</v>
      </c>
      <c r="L372">
        <v>28</v>
      </c>
      <c r="M372">
        <v>64</v>
      </c>
      <c r="N372">
        <v>0</v>
      </c>
      <c r="O372">
        <v>682</v>
      </c>
    </row>
    <row r="373" spans="1:15" x14ac:dyDescent="0.2">
      <c r="A373" t="s">
        <v>88</v>
      </c>
      <c r="B373" t="s">
        <v>37</v>
      </c>
      <c r="C373" t="s">
        <v>17</v>
      </c>
      <c r="D373" t="s">
        <v>75</v>
      </c>
      <c r="E373" t="s">
        <v>78</v>
      </c>
      <c r="F373">
        <v>3</v>
      </c>
      <c r="G373" t="s">
        <v>77</v>
      </c>
      <c r="H373" t="s">
        <v>21</v>
      </c>
      <c r="I373">
        <v>2</v>
      </c>
      <c r="J373">
        <v>2</v>
      </c>
      <c r="K373">
        <v>0</v>
      </c>
      <c r="L373">
        <v>28</v>
      </c>
      <c r="M373">
        <v>64</v>
      </c>
      <c r="N373">
        <v>0</v>
      </c>
      <c r="O373">
        <v>682</v>
      </c>
    </row>
    <row r="374" spans="1:15" x14ac:dyDescent="0.2">
      <c r="A374" t="s">
        <v>88</v>
      </c>
      <c r="B374" t="s">
        <v>37</v>
      </c>
      <c r="C374" t="s">
        <v>17</v>
      </c>
      <c r="D374" t="s">
        <v>75</v>
      </c>
      <c r="E374" t="s">
        <v>78</v>
      </c>
      <c r="F374">
        <v>3</v>
      </c>
      <c r="G374" t="s">
        <v>77</v>
      </c>
      <c r="H374" t="s">
        <v>22</v>
      </c>
      <c r="I374">
        <v>0</v>
      </c>
      <c r="J374">
        <v>0</v>
      </c>
      <c r="K374">
        <v>0</v>
      </c>
      <c r="L374">
        <v>28</v>
      </c>
      <c r="M374">
        <v>64</v>
      </c>
      <c r="N374">
        <v>0</v>
      </c>
      <c r="O374">
        <v>682</v>
      </c>
    </row>
    <row r="375" spans="1:15" x14ac:dyDescent="0.2">
      <c r="A375" t="s">
        <v>88</v>
      </c>
      <c r="B375" t="s">
        <v>37</v>
      </c>
      <c r="C375" t="s">
        <v>17</v>
      </c>
      <c r="D375" t="s">
        <v>75</v>
      </c>
      <c r="E375" t="s">
        <v>78</v>
      </c>
      <c r="F375">
        <v>3</v>
      </c>
      <c r="G375" t="s">
        <v>77</v>
      </c>
      <c r="H375" t="s">
        <v>23</v>
      </c>
      <c r="I375">
        <v>4</v>
      </c>
      <c r="J375">
        <v>47</v>
      </c>
      <c r="K375">
        <v>0</v>
      </c>
      <c r="L375">
        <v>28</v>
      </c>
      <c r="M375">
        <v>64</v>
      </c>
      <c r="N375">
        <v>0</v>
      </c>
      <c r="O375">
        <v>682</v>
      </c>
    </row>
    <row r="376" spans="1:15" x14ac:dyDescent="0.2">
      <c r="A376" t="s">
        <v>88</v>
      </c>
      <c r="B376" t="s">
        <v>37</v>
      </c>
      <c r="C376" t="s">
        <v>17</v>
      </c>
      <c r="D376" t="s">
        <v>75</v>
      </c>
      <c r="E376" t="s">
        <v>78</v>
      </c>
      <c r="F376">
        <v>3</v>
      </c>
      <c r="G376" t="s">
        <v>77</v>
      </c>
      <c r="H376" t="s">
        <v>24</v>
      </c>
      <c r="I376">
        <v>0</v>
      </c>
      <c r="J376">
        <v>0</v>
      </c>
      <c r="K376">
        <v>0</v>
      </c>
      <c r="L376">
        <v>28</v>
      </c>
      <c r="M376">
        <v>64</v>
      </c>
      <c r="N376">
        <v>0</v>
      </c>
      <c r="O376">
        <v>682</v>
      </c>
    </row>
    <row r="377" spans="1:15" x14ac:dyDescent="0.2">
      <c r="A377" t="s">
        <v>88</v>
      </c>
      <c r="B377" t="s">
        <v>37</v>
      </c>
      <c r="C377" t="s">
        <v>17</v>
      </c>
      <c r="D377" t="s">
        <v>75</v>
      </c>
      <c r="E377" t="s">
        <v>74</v>
      </c>
      <c r="F377">
        <v>3</v>
      </c>
      <c r="G377" t="s">
        <v>73</v>
      </c>
      <c r="H377" t="s">
        <v>20</v>
      </c>
      <c r="I377">
        <v>18</v>
      </c>
      <c r="J377">
        <v>13</v>
      </c>
      <c r="K377">
        <v>0</v>
      </c>
      <c r="L377">
        <v>25</v>
      </c>
      <c r="M377">
        <v>60</v>
      </c>
      <c r="N377">
        <v>0</v>
      </c>
      <c r="O377">
        <v>680</v>
      </c>
    </row>
    <row r="378" spans="1:15" x14ac:dyDescent="0.2">
      <c r="A378" t="s">
        <v>88</v>
      </c>
      <c r="B378" t="s">
        <v>37</v>
      </c>
      <c r="C378" t="s">
        <v>17</v>
      </c>
      <c r="D378" t="s">
        <v>75</v>
      </c>
      <c r="E378" t="s">
        <v>74</v>
      </c>
      <c r="F378">
        <v>3</v>
      </c>
      <c r="G378" t="s">
        <v>73</v>
      </c>
      <c r="H378" t="s">
        <v>21</v>
      </c>
      <c r="I378">
        <v>4</v>
      </c>
      <c r="J378">
        <v>3</v>
      </c>
      <c r="K378">
        <v>0</v>
      </c>
      <c r="L378">
        <v>25</v>
      </c>
      <c r="M378">
        <v>60</v>
      </c>
      <c r="N378">
        <v>0</v>
      </c>
      <c r="O378">
        <v>680</v>
      </c>
    </row>
    <row r="379" spans="1:15" x14ac:dyDescent="0.2">
      <c r="A379" t="s">
        <v>88</v>
      </c>
      <c r="B379" t="s">
        <v>37</v>
      </c>
      <c r="C379" t="s">
        <v>17</v>
      </c>
      <c r="D379" t="s">
        <v>75</v>
      </c>
      <c r="E379" t="s">
        <v>74</v>
      </c>
      <c r="F379">
        <v>3</v>
      </c>
      <c r="G379" t="s">
        <v>73</v>
      </c>
      <c r="H379" t="s">
        <v>22</v>
      </c>
      <c r="I379">
        <v>2</v>
      </c>
      <c r="J379">
        <v>0</v>
      </c>
      <c r="K379">
        <v>0</v>
      </c>
      <c r="L379">
        <v>25</v>
      </c>
      <c r="M379">
        <v>60</v>
      </c>
      <c r="N379">
        <v>0</v>
      </c>
      <c r="O379">
        <v>680</v>
      </c>
    </row>
    <row r="380" spans="1:15" x14ac:dyDescent="0.2">
      <c r="A380" t="s">
        <v>88</v>
      </c>
      <c r="B380" t="s">
        <v>37</v>
      </c>
      <c r="C380" t="s">
        <v>17</v>
      </c>
      <c r="D380" t="s">
        <v>75</v>
      </c>
      <c r="E380" t="s">
        <v>74</v>
      </c>
      <c r="F380">
        <v>3</v>
      </c>
      <c r="G380" t="s">
        <v>73</v>
      </c>
      <c r="H380" t="s">
        <v>23</v>
      </c>
      <c r="I380">
        <v>1</v>
      </c>
      <c r="J380">
        <v>44</v>
      </c>
      <c r="K380">
        <v>0</v>
      </c>
      <c r="L380">
        <v>25</v>
      </c>
      <c r="M380">
        <v>60</v>
      </c>
      <c r="N380">
        <v>0</v>
      </c>
      <c r="O380">
        <v>680</v>
      </c>
    </row>
    <row r="381" spans="1:15" x14ac:dyDescent="0.2">
      <c r="A381" t="s">
        <v>88</v>
      </c>
      <c r="B381" t="s">
        <v>37</v>
      </c>
      <c r="C381" t="s">
        <v>17</v>
      </c>
      <c r="D381" t="s">
        <v>75</v>
      </c>
      <c r="E381" t="s">
        <v>74</v>
      </c>
      <c r="F381">
        <v>3</v>
      </c>
      <c r="G381" t="s">
        <v>73</v>
      </c>
      <c r="H381" t="s">
        <v>24</v>
      </c>
      <c r="I381">
        <v>0</v>
      </c>
      <c r="J381">
        <v>0</v>
      </c>
      <c r="K381">
        <v>0</v>
      </c>
      <c r="L381">
        <v>25</v>
      </c>
      <c r="M381">
        <v>60</v>
      </c>
      <c r="N381">
        <v>0</v>
      </c>
      <c r="O381">
        <v>680</v>
      </c>
    </row>
    <row r="382" spans="1:15" x14ac:dyDescent="0.2">
      <c r="A382" t="s">
        <v>124</v>
      </c>
      <c r="B382" t="s">
        <v>37</v>
      </c>
      <c r="C382" t="s">
        <v>17</v>
      </c>
      <c r="D382" t="s">
        <v>75</v>
      </c>
      <c r="E382" t="s">
        <v>118</v>
      </c>
      <c r="F382">
        <v>3</v>
      </c>
      <c r="G382" t="s">
        <v>19</v>
      </c>
      <c r="H382" t="s">
        <v>20</v>
      </c>
      <c r="I382">
        <v>85</v>
      </c>
      <c r="J382">
        <v>9</v>
      </c>
      <c r="K382">
        <v>0</v>
      </c>
      <c r="L382">
        <v>109</v>
      </c>
      <c r="M382">
        <v>34</v>
      </c>
      <c r="N382">
        <v>0</v>
      </c>
      <c r="O382">
        <v>196</v>
      </c>
    </row>
    <row r="383" spans="1:15" x14ac:dyDescent="0.2">
      <c r="A383" t="s">
        <v>124</v>
      </c>
      <c r="B383" t="s">
        <v>37</v>
      </c>
      <c r="C383" t="s">
        <v>17</v>
      </c>
      <c r="D383" t="s">
        <v>75</v>
      </c>
      <c r="E383" t="s">
        <v>118</v>
      </c>
      <c r="F383">
        <v>3</v>
      </c>
      <c r="G383" t="s">
        <v>19</v>
      </c>
      <c r="H383" t="s">
        <v>21</v>
      </c>
      <c r="I383">
        <v>17</v>
      </c>
      <c r="J383">
        <v>8</v>
      </c>
      <c r="K383">
        <v>0</v>
      </c>
      <c r="L383">
        <v>109</v>
      </c>
      <c r="M383">
        <v>34</v>
      </c>
      <c r="N383">
        <v>0</v>
      </c>
      <c r="O383">
        <v>196</v>
      </c>
    </row>
    <row r="384" spans="1:15" x14ac:dyDescent="0.2">
      <c r="A384" t="s">
        <v>124</v>
      </c>
      <c r="B384" t="s">
        <v>37</v>
      </c>
      <c r="C384" t="s">
        <v>17</v>
      </c>
      <c r="D384" t="s">
        <v>75</v>
      </c>
      <c r="E384" t="s">
        <v>118</v>
      </c>
      <c r="F384">
        <v>3</v>
      </c>
      <c r="G384" t="s">
        <v>19</v>
      </c>
      <c r="H384" t="s">
        <v>22</v>
      </c>
      <c r="I384">
        <v>4</v>
      </c>
      <c r="J384">
        <v>3</v>
      </c>
      <c r="K384">
        <v>0</v>
      </c>
      <c r="L384">
        <v>109</v>
      </c>
      <c r="M384">
        <v>34</v>
      </c>
      <c r="N384">
        <v>0</v>
      </c>
      <c r="O384">
        <v>196</v>
      </c>
    </row>
    <row r="385" spans="1:15" x14ac:dyDescent="0.2">
      <c r="A385" t="s">
        <v>124</v>
      </c>
      <c r="B385" t="s">
        <v>37</v>
      </c>
      <c r="C385" t="s">
        <v>17</v>
      </c>
      <c r="D385" t="s">
        <v>75</v>
      </c>
      <c r="E385" t="s">
        <v>118</v>
      </c>
      <c r="F385">
        <v>3</v>
      </c>
      <c r="G385" t="s">
        <v>19</v>
      </c>
      <c r="H385" t="s">
        <v>23</v>
      </c>
      <c r="I385">
        <v>3</v>
      </c>
      <c r="J385">
        <v>14</v>
      </c>
      <c r="K385">
        <v>0</v>
      </c>
      <c r="L385">
        <v>109</v>
      </c>
      <c r="M385">
        <v>34</v>
      </c>
      <c r="N385">
        <v>0</v>
      </c>
      <c r="O385">
        <v>196</v>
      </c>
    </row>
    <row r="386" spans="1:15" x14ac:dyDescent="0.2">
      <c r="A386" t="s">
        <v>124</v>
      </c>
      <c r="B386" t="s">
        <v>37</v>
      </c>
      <c r="C386" t="s">
        <v>17</v>
      </c>
      <c r="D386" t="s">
        <v>75</v>
      </c>
      <c r="E386" t="s">
        <v>118</v>
      </c>
      <c r="F386">
        <v>3</v>
      </c>
      <c r="G386" t="s">
        <v>19</v>
      </c>
      <c r="H386" t="s">
        <v>24</v>
      </c>
      <c r="I386">
        <v>0</v>
      </c>
      <c r="J386">
        <v>0</v>
      </c>
      <c r="K386">
        <v>0</v>
      </c>
      <c r="L386">
        <v>109</v>
      </c>
      <c r="M386">
        <v>34</v>
      </c>
      <c r="N386">
        <v>0</v>
      </c>
      <c r="O386">
        <v>196</v>
      </c>
    </row>
    <row r="387" spans="1:15" x14ac:dyDescent="0.2">
      <c r="A387" t="s">
        <v>124</v>
      </c>
      <c r="B387" t="s">
        <v>37</v>
      </c>
      <c r="C387" t="s">
        <v>17</v>
      </c>
      <c r="D387" t="s">
        <v>75</v>
      </c>
      <c r="E387" t="s">
        <v>117</v>
      </c>
      <c r="F387">
        <v>3</v>
      </c>
      <c r="G387" t="s">
        <v>79</v>
      </c>
      <c r="H387" t="s">
        <v>20</v>
      </c>
      <c r="I387">
        <v>35</v>
      </c>
      <c r="J387">
        <v>6</v>
      </c>
      <c r="K387">
        <v>0</v>
      </c>
      <c r="L387">
        <v>46</v>
      </c>
      <c r="M387">
        <v>11</v>
      </c>
      <c r="N387">
        <v>0</v>
      </c>
      <c r="O387">
        <v>197</v>
      </c>
    </row>
    <row r="388" spans="1:15" x14ac:dyDescent="0.2">
      <c r="A388" t="s">
        <v>124</v>
      </c>
      <c r="B388" t="s">
        <v>37</v>
      </c>
      <c r="C388" t="s">
        <v>17</v>
      </c>
      <c r="D388" t="s">
        <v>75</v>
      </c>
      <c r="E388" t="s">
        <v>117</v>
      </c>
      <c r="F388">
        <v>3</v>
      </c>
      <c r="G388" t="s">
        <v>79</v>
      </c>
      <c r="H388" t="s">
        <v>21</v>
      </c>
      <c r="I388">
        <v>4</v>
      </c>
      <c r="J388">
        <v>0</v>
      </c>
      <c r="K388">
        <v>0</v>
      </c>
      <c r="L388">
        <v>46</v>
      </c>
      <c r="M388">
        <v>11</v>
      </c>
      <c r="N388">
        <v>0</v>
      </c>
      <c r="O388">
        <v>197</v>
      </c>
    </row>
    <row r="389" spans="1:15" x14ac:dyDescent="0.2">
      <c r="A389" t="s">
        <v>124</v>
      </c>
      <c r="B389" t="s">
        <v>37</v>
      </c>
      <c r="C389" t="s">
        <v>17</v>
      </c>
      <c r="D389" t="s">
        <v>75</v>
      </c>
      <c r="E389" t="s">
        <v>117</v>
      </c>
      <c r="F389">
        <v>3</v>
      </c>
      <c r="G389" t="s">
        <v>79</v>
      </c>
      <c r="H389" t="s">
        <v>22</v>
      </c>
      <c r="I389">
        <v>4</v>
      </c>
      <c r="J389">
        <v>0</v>
      </c>
      <c r="K389">
        <v>0</v>
      </c>
      <c r="L389">
        <v>46</v>
      </c>
      <c r="M389">
        <v>11</v>
      </c>
      <c r="N389">
        <v>0</v>
      </c>
      <c r="O389">
        <v>197</v>
      </c>
    </row>
    <row r="390" spans="1:15" x14ac:dyDescent="0.2">
      <c r="A390" t="s">
        <v>124</v>
      </c>
      <c r="B390" t="s">
        <v>37</v>
      </c>
      <c r="C390" t="s">
        <v>17</v>
      </c>
      <c r="D390" t="s">
        <v>75</v>
      </c>
      <c r="E390" t="s">
        <v>117</v>
      </c>
      <c r="F390">
        <v>3</v>
      </c>
      <c r="G390" t="s">
        <v>79</v>
      </c>
      <c r="H390" t="s">
        <v>23</v>
      </c>
      <c r="I390">
        <v>3</v>
      </c>
      <c r="J390">
        <v>5</v>
      </c>
      <c r="K390">
        <v>0</v>
      </c>
      <c r="L390">
        <v>46</v>
      </c>
      <c r="M390">
        <v>11</v>
      </c>
      <c r="N390">
        <v>0</v>
      </c>
      <c r="O390">
        <v>197</v>
      </c>
    </row>
    <row r="391" spans="1:15" x14ac:dyDescent="0.2">
      <c r="A391" t="s">
        <v>124</v>
      </c>
      <c r="B391" t="s">
        <v>37</v>
      </c>
      <c r="C391" t="s">
        <v>17</v>
      </c>
      <c r="D391" t="s">
        <v>75</v>
      </c>
      <c r="E391" t="s">
        <v>117</v>
      </c>
      <c r="F391">
        <v>3</v>
      </c>
      <c r="G391" t="s">
        <v>79</v>
      </c>
      <c r="H391" t="s">
        <v>24</v>
      </c>
      <c r="I391">
        <v>0</v>
      </c>
      <c r="J391">
        <v>0</v>
      </c>
      <c r="K391">
        <v>0</v>
      </c>
      <c r="L391">
        <v>46</v>
      </c>
      <c r="M391">
        <v>11</v>
      </c>
      <c r="N391">
        <v>0</v>
      </c>
      <c r="O391">
        <v>197</v>
      </c>
    </row>
    <row r="392" spans="1:15" x14ac:dyDescent="0.2">
      <c r="A392" t="s">
        <v>124</v>
      </c>
      <c r="B392" t="s">
        <v>37</v>
      </c>
      <c r="C392" t="s">
        <v>17</v>
      </c>
      <c r="D392" t="s">
        <v>75</v>
      </c>
      <c r="E392" t="s">
        <v>116</v>
      </c>
      <c r="F392">
        <v>3</v>
      </c>
      <c r="G392" t="s">
        <v>77</v>
      </c>
      <c r="H392" t="s">
        <v>20</v>
      </c>
      <c r="I392">
        <v>28</v>
      </c>
      <c r="J392">
        <v>4</v>
      </c>
      <c r="K392">
        <v>0</v>
      </c>
      <c r="L392">
        <v>31</v>
      </c>
      <c r="M392">
        <v>5</v>
      </c>
      <c r="N392">
        <v>0</v>
      </c>
      <c r="O392">
        <v>196</v>
      </c>
    </row>
    <row r="393" spans="1:15" x14ac:dyDescent="0.2">
      <c r="A393" t="s">
        <v>124</v>
      </c>
      <c r="B393" t="s">
        <v>37</v>
      </c>
      <c r="C393" t="s">
        <v>17</v>
      </c>
      <c r="D393" t="s">
        <v>75</v>
      </c>
      <c r="E393" t="s">
        <v>116</v>
      </c>
      <c r="F393">
        <v>3</v>
      </c>
      <c r="G393" t="s">
        <v>77</v>
      </c>
      <c r="H393" t="s">
        <v>21</v>
      </c>
      <c r="I393">
        <v>2</v>
      </c>
      <c r="J393">
        <v>0</v>
      </c>
      <c r="K393">
        <v>0</v>
      </c>
      <c r="L393">
        <v>31</v>
      </c>
      <c r="M393">
        <v>5</v>
      </c>
      <c r="N393">
        <v>0</v>
      </c>
      <c r="O393">
        <v>196</v>
      </c>
    </row>
    <row r="394" spans="1:15" x14ac:dyDescent="0.2">
      <c r="A394" t="s">
        <v>124</v>
      </c>
      <c r="B394" t="s">
        <v>37</v>
      </c>
      <c r="C394" t="s">
        <v>17</v>
      </c>
      <c r="D394" t="s">
        <v>75</v>
      </c>
      <c r="E394" t="s">
        <v>116</v>
      </c>
      <c r="F394">
        <v>3</v>
      </c>
      <c r="G394" t="s">
        <v>77</v>
      </c>
      <c r="H394" t="s">
        <v>22</v>
      </c>
      <c r="I394">
        <v>1</v>
      </c>
      <c r="J394">
        <v>0</v>
      </c>
      <c r="K394">
        <v>0</v>
      </c>
      <c r="L394">
        <v>31</v>
      </c>
      <c r="M394">
        <v>5</v>
      </c>
      <c r="N394">
        <v>0</v>
      </c>
      <c r="O394">
        <v>196</v>
      </c>
    </row>
    <row r="395" spans="1:15" x14ac:dyDescent="0.2">
      <c r="A395" t="s">
        <v>124</v>
      </c>
      <c r="B395" t="s">
        <v>37</v>
      </c>
      <c r="C395" t="s">
        <v>17</v>
      </c>
      <c r="D395" t="s">
        <v>75</v>
      </c>
      <c r="E395" t="s">
        <v>116</v>
      </c>
      <c r="F395">
        <v>3</v>
      </c>
      <c r="G395" t="s">
        <v>77</v>
      </c>
      <c r="H395" t="s">
        <v>23</v>
      </c>
      <c r="I395">
        <v>0</v>
      </c>
      <c r="J395">
        <v>1</v>
      </c>
      <c r="K395">
        <v>0</v>
      </c>
      <c r="L395">
        <v>31</v>
      </c>
      <c r="M395">
        <v>5</v>
      </c>
      <c r="N395">
        <v>0</v>
      </c>
      <c r="O395">
        <v>196</v>
      </c>
    </row>
    <row r="396" spans="1:15" x14ac:dyDescent="0.2">
      <c r="A396" t="s">
        <v>124</v>
      </c>
      <c r="B396" t="s">
        <v>37</v>
      </c>
      <c r="C396" t="s">
        <v>17</v>
      </c>
      <c r="D396" t="s">
        <v>75</v>
      </c>
      <c r="E396" t="s">
        <v>116</v>
      </c>
      <c r="F396">
        <v>3</v>
      </c>
      <c r="G396" t="s">
        <v>77</v>
      </c>
      <c r="H396" t="s">
        <v>24</v>
      </c>
      <c r="I396">
        <v>0</v>
      </c>
      <c r="J396">
        <v>0</v>
      </c>
      <c r="K396">
        <v>0</v>
      </c>
      <c r="L396">
        <v>31</v>
      </c>
      <c r="M396">
        <v>5</v>
      </c>
      <c r="N396">
        <v>0</v>
      </c>
      <c r="O396">
        <v>196</v>
      </c>
    </row>
    <row r="397" spans="1:15" x14ac:dyDescent="0.2">
      <c r="A397" t="s">
        <v>124</v>
      </c>
      <c r="B397" t="s">
        <v>37</v>
      </c>
      <c r="C397" t="s">
        <v>17</v>
      </c>
      <c r="D397" t="s">
        <v>75</v>
      </c>
      <c r="E397" t="s">
        <v>114</v>
      </c>
      <c r="F397">
        <v>3</v>
      </c>
      <c r="G397" t="s">
        <v>73</v>
      </c>
      <c r="H397" t="s">
        <v>20</v>
      </c>
      <c r="I397">
        <v>26</v>
      </c>
      <c r="J397">
        <v>3</v>
      </c>
      <c r="K397">
        <v>0</v>
      </c>
      <c r="L397">
        <v>37</v>
      </c>
      <c r="M397">
        <v>7</v>
      </c>
      <c r="N397">
        <v>0</v>
      </c>
      <c r="O397">
        <v>197</v>
      </c>
    </row>
    <row r="398" spans="1:15" x14ac:dyDescent="0.2">
      <c r="A398" t="s">
        <v>124</v>
      </c>
      <c r="B398" t="s">
        <v>37</v>
      </c>
      <c r="C398" t="s">
        <v>17</v>
      </c>
      <c r="D398" t="s">
        <v>75</v>
      </c>
      <c r="E398" t="s">
        <v>114</v>
      </c>
      <c r="F398">
        <v>3</v>
      </c>
      <c r="G398" t="s">
        <v>73</v>
      </c>
      <c r="H398" t="s">
        <v>21</v>
      </c>
      <c r="I398">
        <v>7</v>
      </c>
      <c r="J398">
        <v>2</v>
      </c>
      <c r="K398">
        <v>0</v>
      </c>
      <c r="L398">
        <v>37</v>
      </c>
      <c r="M398">
        <v>7</v>
      </c>
      <c r="N398">
        <v>0</v>
      </c>
      <c r="O398">
        <v>197</v>
      </c>
    </row>
    <row r="399" spans="1:15" x14ac:dyDescent="0.2">
      <c r="A399" t="s">
        <v>124</v>
      </c>
      <c r="B399" t="s">
        <v>37</v>
      </c>
      <c r="C399" t="s">
        <v>17</v>
      </c>
      <c r="D399" t="s">
        <v>75</v>
      </c>
      <c r="E399" t="s">
        <v>114</v>
      </c>
      <c r="F399">
        <v>3</v>
      </c>
      <c r="G399" t="s">
        <v>73</v>
      </c>
      <c r="H399" t="s">
        <v>22</v>
      </c>
      <c r="I399">
        <v>2</v>
      </c>
      <c r="J399">
        <v>0</v>
      </c>
      <c r="K399">
        <v>0</v>
      </c>
      <c r="L399">
        <v>37</v>
      </c>
      <c r="M399">
        <v>7</v>
      </c>
      <c r="N399">
        <v>0</v>
      </c>
      <c r="O399">
        <v>197</v>
      </c>
    </row>
    <row r="400" spans="1:15" x14ac:dyDescent="0.2">
      <c r="A400" t="s">
        <v>124</v>
      </c>
      <c r="B400" t="s">
        <v>37</v>
      </c>
      <c r="C400" t="s">
        <v>17</v>
      </c>
      <c r="D400" t="s">
        <v>75</v>
      </c>
      <c r="E400" t="s">
        <v>114</v>
      </c>
      <c r="F400">
        <v>3</v>
      </c>
      <c r="G400" t="s">
        <v>73</v>
      </c>
      <c r="H400" t="s">
        <v>23</v>
      </c>
      <c r="I400">
        <v>2</v>
      </c>
      <c r="J400">
        <v>2</v>
      </c>
      <c r="K400">
        <v>0</v>
      </c>
      <c r="L400">
        <v>37</v>
      </c>
      <c r="M400">
        <v>7</v>
      </c>
      <c r="N400">
        <v>0</v>
      </c>
      <c r="O400">
        <v>197</v>
      </c>
    </row>
    <row r="401" spans="1:15" x14ac:dyDescent="0.2">
      <c r="A401" t="s">
        <v>124</v>
      </c>
      <c r="B401" t="s">
        <v>37</v>
      </c>
      <c r="C401" t="s">
        <v>17</v>
      </c>
      <c r="D401" t="s">
        <v>75</v>
      </c>
      <c r="E401" t="s">
        <v>114</v>
      </c>
      <c r="F401">
        <v>3</v>
      </c>
      <c r="G401" t="s">
        <v>73</v>
      </c>
      <c r="H401" t="s">
        <v>24</v>
      </c>
      <c r="I401">
        <v>0</v>
      </c>
      <c r="J401">
        <v>0</v>
      </c>
      <c r="K401">
        <v>0</v>
      </c>
      <c r="L401">
        <v>37</v>
      </c>
      <c r="M401">
        <v>7</v>
      </c>
      <c r="N401">
        <v>0</v>
      </c>
      <c r="O401">
        <v>197</v>
      </c>
    </row>
    <row r="402" spans="1:15" x14ac:dyDescent="0.2">
      <c r="A402" t="s">
        <v>113</v>
      </c>
      <c r="B402" t="s">
        <v>45</v>
      </c>
      <c r="C402" t="s">
        <v>17</v>
      </c>
      <c r="D402" t="s">
        <v>75</v>
      </c>
      <c r="E402" t="s">
        <v>106</v>
      </c>
      <c r="F402">
        <v>3</v>
      </c>
      <c r="G402" t="s">
        <v>19</v>
      </c>
      <c r="H402" t="s">
        <v>20</v>
      </c>
      <c r="I402">
        <v>54</v>
      </c>
      <c r="J402">
        <v>82</v>
      </c>
      <c r="K402">
        <v>0</v>
      </c>
      <c r="L402">
        <v>162</v>
      </c>
      <c r="M402">
        <v>209</v>
      </c>
      <c r="N402">
        <v>0</v>
      </c>
      <c r="O402">
        <v>869</v>
      </c>
    </row>
    <row r="403" spans="1:15" x14ac:dyDescent="0.2">
      <c r="A403" t="s">
        <v>113</v>
      </c>
      <c r="B403" t="s">
        <v>45</v>
      </c>
      <c r="C403" t="s">
        <v>17</v>
      </c>
      <c r="D403" t="s">
        <v>75</v>
      </c>
      <c r="E403" t="s">
        <v>106</v>
      </c>
      <c r="F403">
        <v>3</v>
      </c>
      <c r="G403" t="s">
        <v>19</v>
      </c>
      <c r="H403" t="s">
        <v>21</v>
      </c>
      <c r="I403">
        <v>54</v>
      </c>
      <c r="J403">
        <v>72</v>
      </c>
      <c r="K403">
        <v>0</v>
      </c>
      <c r="L403">
        <v>162</v>
      </c>
      <c r="M403">
        <v>209</v>
      </c>
      <c r="N403">
        <v>0</v>
      </c>
      <c r="O403">
        <v>869</v>
      </c>
    </row>
    <row r="404" spans="1:15" x14ac:dyDescent="0.2">
      <c r="A404" t="s">
        <v>113</v>
      </c>
      <c r="B404" t="s">
        <v>45</v>
      </c>
      <c r="C404" t="s">
        <v>17</v>
      </c>
      <c r="D404" t="s">
        <v>75</v>
      </c>
      <c r="E404" t="s">
        <v>106</v>
      </c>
      <c r="F404">
        <v>3</v>
      </c>
      <c r="G404" t="s">
        <v>19</v>
      </c>
      <c r="H404" t="s">
        <v>22</v>
      </c>
      <c r="I404">
        <v>24</v>
      </c>
      <c r="J404">
        <v>40</v>
      </c>
      <c r="K404">
        <v>0</v>
      </c>
      <c r="L404">
        <v>162</v>
      </c>
      <c r="M404">
        <v>209</v>
      </c>
      <c r="N404">
        <v>0</v>
      </c>
      <c r="O404">
        <v>869</v>
      </c>
    </row>
    <row r="405" spans="1:15" x14ac:dyDescent="0.2">
      <c r="A405" t="s">
        <v>113</v>
      </c>
      <c r="B405" t="s">
        <v>45</v>
      </c>
      <c r="C405" t="s">
        <v>17</v>
      </c>
      <c r="D405" t="s">
        <v>75</v>
      </c>
      <c r="E405" t="s">
        <v>106</v>
      </c>
      <c r="F405">
        <v>3</v>
      </c>
      <c r="G405" t="s">
        <v>19</v>
      </c>
      <c r="H405" t="s">
        <v>23</v>
      </c>
      <c r="I405">
        <v>30</v>
      </c>
      <c r="J405">
        <v>15</v>
      </c>
      <c r="K405">
        <v>0</v>
      </c>
      <c r="L405">
        <v>162</v>
      </c>
      <c r="M405">
        <v>209</v>
      </c>
      <c r="N405">
        <v>0</v>
      </c>
      <c r="O405">
        <v>869</v>
      </c>
    </row>
    <row r="406" spans="1:15" x14ac:dyDescent="0.2">
      <c r="A406" t="s">
        <v>113</v>
      </c>
      <c r="B406" t="s">
        <v>45</v>
      </c>
      <c r="C406" t="s">
        <v>17</v>
      </c>
      <c r="D406" t="s">
        <v>75</v>
      </c>
      <c r="E406" t="s">
        <v>106</v>
      </c>
      <c r="F406">
        <v>3</v>
      </c>
      <c r="G406" t="s">
        <v>19</v>
      </c>
      <c r="H406" t="s">
        <v>24</v>
      </c>
      <c r="I406">
        <v>0</v>
      </c>
      <c r="J406">
        <v>0</v>
      </c>
      <c r="K406">
        <v>0</v>
      </c>
      <c r="L406">
        <v>162</v>
      </c>
      <c r="M406">
        <v>209</v>
      </c>
      <c r="N406">
        <v>0</v>
      </c>
      <c r="O406">
        <v>869</v>
      </c>
    </row>
    <row r="407" spans="1:15" x14ac:dyDescent="0.2">
      <c r="A407" t="s">
        <v>113</v>
      </c>
      <c r="B407" t="s">
        <v>45</v>
      </c>
      <c r="C407" t="s">
        <v>17</v>
      </c>
      <c r="D407" t="s">
        <v>75</v>
      </c>
      <c r="E407" t="s">
        <v>105</v>
      </c>
      <c r="F407">
        <v>3</v>
      </c>
      <c r="G407" t="s">
        <v>79</v>
      </c>
      <c r="H407" t="s">
        <v>20</v>
      </c>
      <c r="I407">
        <v>12</v>
      </c>
      <c r="J407">
        <v>25</v>
      </c>
      <c r="K407">
        <v>0</v>
      </c>
      <c r="L407">
        <v>54</v>
      </c>
      <c r="M407">
        <v>54</v>
      </c>
      <c r="N407">
        <v>0</v>
      </c>
      <c r="O407">
        <v>855</v>
      </c>
    </row>
    <row r="408" spans="1:15" x14ac:dyDescent="0.2">
      <c r="A408" t="s">
        <v>113</v>
      </c>
      <c r="B408" t="s">
        <v>45</v>
      </c>
      <c r="C408" t="s">
        <v>17</v>
      </c>
      <c r="D408" t="s">
        <v>75</v>
      </c>
      <c r="E408" t="s">
        <v>105</v>
      </c>
      <c r="F408">
        <v>3</v>
      </c>
      <c r="G408" t="s">
        <v>79</v>
      </c>
      <c r="H408" t="s">
        <v>21</v>
      </c>
      <c r="I408">
        <v>14</v>
      </c>
      <c r="J408">
        <v>13</v>
      </c>
      <c r="K408">
        <v>0</v>
      </c>
      <c r="L408">
        <v>54</v>
      </c>
      <c r="M408">
        <v>54</v>
      </c>
      <c r="N408">
        <v>0</v>
      </c>
      <c r="O408">
        <v>855</v>
      </c>
    </row>
    <row r="409" spans="1:15" x14ac:dyDescent="0.2">
      <c r="A409" t="s">
        <v>113</v>
      </c>
      <c r="B409" t="s">
        <v>45</v>
      </c>
      <c r="C409" t="s">
        <v>17</v>
      </c>
      <c r="D409" t="s">
        <v>75</v>
      </c>
      <c r="E409" t="s">
        <v>105</v>
      </c>
      <c r="F409">
        <v>3</v>
      </c>
      <c r="G409" t="s">
        <v>79</v>
      </c>
      <c r="H409" t="s">
        <v>22</v>
      </c>
      <c r="I409">
        <v>17</v>
      </c>
      <c r="J409">
        <v>12</v>
      </c>
      <c r="K409">
        <v>0</v>
      </c>
      <c r="L409">
        <v>54</v>
      </c>
      <c r="M409">
        <v>54</v>
      </c>
      <c r="N409">
        <v>0</v>
      </c>
      <c r="O409">
        <v>855</v>
      </c>
    </row>
    <row r="410" spans="1:15" x14ac:dyDescent="0.2">
      <c r="A410" t="s">
        <v>113</v>
      </c>
      <c r="B410" t="s">
        <v>45</v>
      </c>
      <c r="C410" t="s">
        <v>17</v>
      </c>
      <c r="D410" t="s">
        <v>75</v>
      </c>
      <c r="E410" t="s">
        <v>105</v>
      </c>
      <c r="F410">
        <v>3</v>
      </c>
      <c r="G410" t="s">
        <v>79</v>
      </c>
      <c r="H410" t="s">
        <v>23</v>
      </c>
      <c r="I410">
        <v>11</v>
      </c>
      <c r="J410">
        <v>4</v>
      </c>
      <c r="K410">
        <v>0</v>
      </c>
      <c r="L410">
        <v>54</v>
      </c>
      <c r="M410">
        <v>54</v>
      </c>
      <c r="N410">
        <v>0</v>
      </c>
      <c r="O410">
        <v>855</v>
      </c>
    </row>
    <row r="411" spans="1:15" x14ac:dyDescent="0.2">
      <c r="A411" t="s">
        <v>113</v>
      </c>
      <c r="B411" t="s">
        <v>45</v>
      </c>
      <c r="C411" t="s">
        <v>17</v>
      </c>
      <c r="D411" t="s">
        <v>75</v>
      </c>
      <c r="E411" t="s">
        <v>105</v>
      </c>
      <c r="F411">
        <v>3</v>
      </c>
      <c r="G411" t="s">
        <v>79</v>
      </c>
      <c r="H411" t="s">
        <v>24</v>
      </c>
      <c r="I411">
        <v>0</v>
      </c>
      <c r="J411">
        <v>0</v>
      </c>
      <c r="K411">
        <v>0</v>
      </c>
      <c r="L411">
        <v>54</v>
      </c>
      <c r="M411">
        <v>54</v>
      </c>
      <c r="N411">
        <v>0</v>
      </c>
      <c r="O411">
        <v>855</v>
      </c>
    </row>
    <row r="412" spans="1:15" x14ac:dyDescent="0.2">
      <c r="A412" t="s">
        <v>113</v>
      </c>
      <c r="B412" t="s">
        <v>45</v>
      </c>
      <c r="C412" t="s">
        <v>17</v>
      </c>
      <c r="D412" t="s">
        <v>75</v>
      </c>
      <c r="E412" t="s">
        <v>104</v>
      </c>
      <c r="F412">
        <v>3</v>
      </c>
      <c r="G412" t="s">
        <v>77</v>
      </c>
      <c r="H412" t="s">
        <v>20</v>
      </c>
      <c r="I412">
        <v>15</v>
      </c>
      <c r="J412">
        <v>26</v>
      </c>
      <c r="K412">
        <v>0</v>
      </c>
      <c r="L412">
        <v>40</v>
      </c>
      <c r="M412">
        <v>55</v>
      </c>
      <c r="N412">
        <v>0</v>
      </c>
      <c r="O412">
        <v>843</v>
      </c>
    </row>
    <row r="413" spans="1:15" x14ac:dyDescent="0.2">
      <c r="A413" t="s">
        <v>113</v>
      </c>
      <c r="B413" t="s">
        <v>45</v>
      </c>
      <c r="C413" t="s">
        <v>17</v>
      </c>
      <c r="D413" t="s">
        <v>75</v>
      </c>
      <c r="E413" t="s">
        <v>104</v>
      </c>
      <c r="F413">
        <v>3</v>
      </c>
      <c r="G413" t="s">
        <v>77</v>
      </c>
      <c r="H413" t="s">
        <v>21</v>
      </c>
      <c r="I413">
        <v>8</v>
      </c>
      <c r="J413">
        <v>9</v>
      </c>
      <c r="K413">
        <v>0</v>
      </c>
      <c r="L413">
        <v>40</v>
      </c>
      <c r="M413">
        <v>55</v>
      </c>
      <c r="N413">
        <v>0</v>
      </c>
      <c r="O413">
        <v>843</v>
      </c>
    </row>
    <row r="414" spans="1:15" x14ac:dyDescent="0.2">
      <c r="A414" t="s">
        <v>113</v>
      </c>
      <c r="B414" t="s">
        <v>45</v>
      </c>
      <c r="C414" t="s">
        <v>17</v>
      </c>
      <c r="D414" t="s">
        <v>75</v>
      </c>
      <c r="E414" t="s">
        <v>104</v>
      </c>
      <c r="F414">
        <v>3</v>
      </c>
      <c r="G414" t="s">
        <v>77</v>
      </c>
      <c r="H414" t="s">
        <v>22</v>
      </c>
      <c r="I414">
        <v>8</v>
      </c>
      <c r="J414">
        <v>16</v>
      </c>
      <c r="K414">
        <v>0</v>
      </c>
      <c r="L414">
        <v>40</v>
      </c>
      <c r="M414">
        <v>55</v>
      </c>
      <c r="N414">
        <v>0</v>
      </c>
      <c r="O414">
        <v>843</v>
      </c>
    </row>
    <row r="415" spans="1:15" x14ac:dyDescent="0.2">
      <c r="A415" t="s">
        <v>113</v>
      </c>
      <c r="B415" t="s">
        <v>45</v>
      </c>
      <c r="C415" t="s">
        <v>17</v>
      </c>
      <c r="D415" t="s">
        <v>75</v>
      </c>
      <c r="E415" t="s">
        <v>104</v>
      </c>
      <c r="F415">
        <v>3</v>
      </c>
      <c r="G415" t="s">
        <v>77</v>
      </c>
      <c r="H415" t="s">
        <v>23</v>
      </c>
      <c r="I415">
        <v>9</v>
      </c>
      <c r="J415">
        <v>4</v>
      </c>
      <c r="K415">
        <v>0</v>
      </c>
      <c r="L415">
        <v>40</v>
      </c>
      <c r="M415">
        <v>55</v>
      </c>
      <c r="N415">
        <v>0</v>
      </c>
      <c r="O415">
        <v>843</v>
      </c>
    </row>
    <row r="416" spans="1:15" x14ac:dyDescent="0.2">
      <c r="A416" t="s">
        <v>113</v>
      </c>
      <c r="B416" t="s">
        <v>45</v>
      </c>
      <c r="C416" t="s">
        <v>17</v>
      </c>
      <c r="D416" t="s">
        <v>75</v>
      </c>
      <c r="E416" t="s">
        <v>104</v>
      </c>
      <c r="F416">
        <v>3</v>
      </c>
      <c r="G416" t="s">
        <v>77</v>
      </c>
      <c r="H416" t="s">
        <v>24</v>
      </c>
      <c r="I416">
        <v>0</v>
      </c>
      <c r="J416">
        <v>0</v>
      </c>
      <c r="K416">
        <v>0</v>
      </c>
      <c r="L416">
        <v>40</v>
      </c>
      <c r="M416">
        <v>55</v>
      </c>
      <c r="N416">
        <v>0</v>
      </c>
      <c r="O416">
        <v>843</v>
      </c>
    </row>
    <row r="417" spans="1:15" x14ac:dyDescent="0.2">
      <c r="A417" t="s">
        <v>113</v>
      </c>
      <c r="B417" t="s">
        <v>45</v>
      </c>
      <c r="C417" t="s">
        <v>17</v>
      </c>
      <c r="D417" t="s">
        <v>75</v>
      </c>
      <c r="E417" t="s">
        <v>102</v>
      </c>
      <c r="F417">
        <v>3</v>
      </c>
      <c r="G417" t="s">
        <v>73</v>
      </c>
      <c r="H417" t="s">
        <v>20</v>
      </c>
      <c r="I417">
        <v>4</v>
      </c>
      <c r="J417">
        <v>24</v>
      </c>
      <c r="K417">
        <v>0</v>
      </c>
      <c r="L417">
        <v>51</v>
      </c>
      <c r="M417">
        <v>59</v>
      </c>
      <c r="N417">
        <v>0</v>
      </c>
      <c r="O417">
        <v>829</v>
      </c>
    </row>
    <row r="418" spans="1:15" x14ac:dyDescent="0.2">
      <c r="A418" t="s">
        <v>113</v>
      </c>
      <c r="B418" t="s">
        <v>45</v>
      </c>
      <c r="C418" t="s">
        <v>17</v>
      </c>
      <c r="D418" t="s">
        <v>75</v>
      </c>
      <c r="E418" t="s">
        <v>102</v>
      </c>
      <c r="F418">
        <v>3</v>
      </c>
      <c r="G418" t="s">
        <v>73</v>
      </c>
      <c r="H418" t="s">
        <v>21</v>
      </c>
      <c r="I418">
        <v>9</v>
      </c>
      <c r="J418">
        <v>15</v>
      </c>
      <c r="K418">
        <v>0</v>
      </c>
      <c r="L418">
        <v>51</v>
      </c>
      <c r="M418">
        <v>59</v>
      </c>
      <c r="N418">
        <v>0</v>
      </c>
      <c r="O418">
        <v>829</v>
      </c>
    </row>
    <row r="419" spans="1:15" x14ac:dyDescent="0.2">
      <c r="A419" t="s">
        <v>113</v>
      </c>
      <c r="B419" t="s">
        <v>45</v>
      </c>
      <c r="C419" t="s">
        <v>17</v>
      </c>
      <c r="D419" t="s">
        <v>75</v>
      </c>
      <c r="E419" t="s">
        <v>102</v>
      </c>
      <c r="F419">
        <v>3</v>
      </c>
      <c r="G419" t="s">
        <v>73</v>
      </c>
      <c r="H419" t="s">
        <v>22</v>
      </c>
      <c r="I419">
        <v>14</v>
      </c>
      <c r="J419">
        <v>9</v>
      </c>
      <c r="K419">
        <v>0</v>
      </c>
      <c r="L419">
        <v>51</v>
      </c>
      <c r="M419">
        <v>59</v>
      </c>
      <c r="N419">
        <v>0</v>
      </c>
      <c r="O419">
        <v>829</v>
      </c>
    </row>
    <row r="420" spans="1:15" x14ac:dyDescent="0.2">
      <c r="A420" t="s">
        <v>113</v>
      </c>
      <c r="B420" t="s">
        <v>45</v>
      </c>
      <c r="C420" t="s">
        <v>17</v>
      </c>
      <c r="D420" t="s">
        <v>75</v>
      </c>
      <c r="E420" t="s">
        <v>102</v>
      </c>
      <c r="F420">
        <v>3</v>
      </c>
      <c r="G420" t="s">
        <v>73</v>
      </c>
      <c r="H420" t="s">
        <v>23</v>
      </c>
      <c r="I420">
        <v>24</v>
      </c>
      <c r="J420">
        <v>11</v>
      </c>
      <c r="K420">
        <v>0</v>
      </c>
      <c r="L420">
        <v>51</v>
      </c>
      <c r="M420">
        <v>59</v>
      </c>
      <c r="N420">
        <v>0</v>
      </c>
      <c r="O420">
        <v>829</v>
      </c>
    </row>
    <row r="421" spans="1:15" x14ac:dyDescent="0.2">
      <c r="A421" t="s">
        <v>113</v>
      </c>
      <c r="B421" t="s">
        <v>45</v>
      </c>
      <c r="C421" t="s">
        <v>17</v>
      </c>
      <c r="D421" t="s">
        <v>75</v>
      </c>
      <c r="E421" t="s">
        <v>102</v>
      </c>
      <c r="F421">
        <v>3</v>
      </c>
      <c r="G421" t="s">
        <v>73</v>
      </c>
      <c r="H421" t="s">
        <v>24</v>
      </c>
      <c r="I421">
        <v>0</v>
      </c>
      <c r="J421">
        <v>0</v>
      </c>
      <c r="K421">
        <v>0</v>
      </c>
      <c r="L421">
        <v>51</v>
      </c>
      <c r="M421">
        <v>59</v>
      </c>
      <c r="N421">
        <v>0</v>
      </c>
      <c r="O421">
        <v>829</v>
      </c>
    </row>
    <row r="422" spans="1:15" x14ac:dyDescent="0.2">
      <c r="A422" t="s">
        <v>101</v>
      </c>
      <c r="B422" t="s">
        <v>45</v>
      </c>
      <c r="C422" t="s">
        <v>17</v>
      </c>
      <c r="D422" t="s">
        <v>75</v>
      </c>
      <c r="E422" t="s">
        <v>94</v>
      </c>
      <c r="F422">
        <v>3</v>
      </c>
      <c r="G422" t="s">
        <v>19</v>
      </c>
      <c r="H422" t="s">
        <v>20</v>
      </c>
      <c r="I422">
        <v>6</v>
      </c>
      <c r="J422">
        <v>4</v>
      </c>
      <c r="K422">
        <v>0</v>
      </c>
      <c r="L422">
        <v>16</v>
      </c>
      <c r="M422">
        <v>27</v>
      </c>
      <c r="N422">
        <v>0</v>
      </c>
      <c r="O422">
        <v>730</v>
      </c>
    </row>
    <row r="423" spans="1:15" x14ac:dyDescent="0.2">
      <c r="A423" t="s">
        <v>101</v>
      </c>
      <c r="B423" t="s">
        <v>45</v>
      </c>
      <c r="C423" t="s">
        <v>17</v>
      </c>
      <c r="D423" t="s">
        <v>75</v>
      </c>
      <c r="E423" t="s">
        <v>94</v>
      </c>
      <c r="F423">
        <v>3</v>
      </c>
      <c r="G423" t="s">
        <v>19</v>
      </c>
      <c r="H423" t="s">
        <v>21</v>
      </c>
      <c r="I423">
        <v>0</v>
      </c>
      <c r="J423">
        <v>16</v>
      </c>
      <c r="K423">
        <v>0</v>
      </c>
      <c r="L423">
        <v>16</v>
      </c>
      <c r="M423">
        <v>27</v>
      </c>
      <c r="N423">
        <v>0</v>
      </c>
      <c r="O423">
        <v>730</v>
      </c>
    </row>
    <row r="424" spans="1:15" x14ac:dyDescent="0.2">
      <c r="A424" t="s">
        <v>101</v>
      </c>
      <c r="B424" t="s">
        <v>45</v>
      </c>
      <c r="C424" t="s">
        <v>17</v>
      </c>
      <c r="D424" t="s">
        <v>75</v>
      </c>
      <c r="E424" t="s">
        <v>94</v>
      </c>
      <c r="F424">
        <v>3</v>
      </c>
      <c r="G424" t="s">
        <v>19</v>
      </c>
      <c r="H424" t="s">
        <v>22</v>
      </c>
      <c r="I424">
        <v>7</v>
      </c>
      <c r="J424">
        <v>6</v>
      </c>
      <c r="K424">
        <v>0</v>
      </c>
      <c r="L424">
        <v>16</v>
      </c>
      <c r="M424">
        <v>27</v>
      </c>
      <c r="N424">
        <v>0</v>
      </c>
      <c r="O424">
        <v>730</v>
      </c>
    </row>
    <row r="425" spans="1:15" x14ac:dyDescent="0.2">
      <c r="A425" t="s">
        <v>101</v>
      </c>
      <c r="B425" t="s">
        <v>45</v>
      </c>
      <c r="C425" t="s">
        <v>17</v>
      </c>
      <c r="D425" t="s">
        <v>75</v>
      </c>
      <c r="E425" t="s">
        <v>94</v>
      </c>
      <c r="F425">
        <v>3</v>
      </c>
      <c r="G425" t="s">
        <v>19</v>
      </c>
      <c r="H425" t="s">
        <v>23</v>
      </c>
      <c r="I425">
        <v>3</v>
      </c>
      <c r="J425">
        <v>1</v>
      </c>
      <c r="K425">
        <v>0</v>
      </c>
      <c r="L425">
        <v>16</v>
      </c>
      <c r="M425">
        <v>27</v>
      </c>
      <c r="N425">
        <v>0</v>
      </c>
      <c r="O425">
        <v>730</v>
      </c>
    </row>
    <row r="426" spans="1:15" x14ac:dyDescent="0.2">
      <c r="A426" t="s">
        <v>101</v>
      </c>
      <c r="B426" t="s">
        <v>45</v>
      </c>
      <c r="C426" t="s">
        <v>17</v>
      </c>
      <c r="D426" t="s">
        <v>75</v>
      </c>
      <c r="E426" t="s">
        <v>94</v>
      </c>
      <c r="F426">
        <v>3</v>
      </c>
      <c r="G426" t="s">
        <v>19</v>
      </c>
      <c r="H426" t="s">
        <v>24</v>
      </c>
      <c r="I426">
        <v>0</v>
      </c>
      <c r="J426">
        <v>0</v>
      </c>
      <c r="K426">
        <v>0</v>
      </c>
      <c r="L426">
        <v>16</v>
      </c>
      <c r="M426">
        <v>27</v>
      </c>
      <c r="N426">
        <v>0</v>
      </c>
      <c r="O426">
        <v>730</v>
      </c>
    </row>
    <row r="427" spans="1:15" x14ac:dyDescent="0.2">
      <c r="A427" t="s">
        <v>101</v>
      </c>
      <c r="B427" t="s">
        <v>45</v>
      </c>
      <c r="C427" t="s">
        <v>17</v>
      </c>
      <c r="D427" t="s">
        <v>75</v>
      </c>
      <c r="E427" t="s">
        <v>93</v>
      </c>
      <c r="F427">
        <v>3</v>
      </c>
      <c r="G427" t="s">
        <v>79</v>
      </c>
      <c r="H427" t="s">
        <v>20</v>
      </c>
      <c r="I427">
        <v>0</v>
      </c>
      <c r="J427">
        <v>2</v>
      </c>
      <c r="K427">
        <v>0</v>
      </c>
      <c r="L427">
        <v>2</v>
      </c>
      <c r="M427">
        <v>6</v>
      </c>
      <c r="N427">
        <v>0</v>
      </c>
      <c r="O427">
        <v>712</v>
      </c>
    </row>
    <row r="428" spans="1:15" x14ac:dyDescent="0.2">
      <c r="A428" t="s">
        <v>101</v>
      </c>
      <c r="B428" t="s">
        <v>45</v>
      </c>
      <c r="C428" t="s">
        <v>17</v>
      </c>
      <c r="D428" t="s">
        <v>75</v>
      </c>
      <c r="E428" t="s">
        <v>93</v>
      </c>
      <c r="F428">
        <v>3</v>
      </c>
      <c r="G428" t="s">
        <v>79</v>
      </c>
      <c r="H428" t="s">
        <v>21</v>
      </c>
      <c r="I428">
        <v>1</v>
      </c>
      <c r="J428">
        <v>3</v>
      </c>
      <c r="K428">
        <v>0</v>
      </c>
      <c r="L428">
        <v>2</v>
      </c>
      <c r="M428">
        <v>6</v>
      </c>
      <c r="N428">
        <v>0</v>
      </c>
      <c r="O428">
        <v>712</v>
      </c>
    </row>
    <row r="429" spans="1:15" x14ac:dyDescent="0.2">
      <c r="A429" t="s">
        <v>101</v>
      </c>
      <c r="B429" t="s">
        <v>45</v>
      </c>
      <c r="C429" t="s">
        <v>17</v>
      </c>
      <c r="D429" t="s">
        <v>75</v>
      </c>
      <c r="E429" t="s">
        <v>93</v>
      </c>
      <c r="F429">
        <v>3</v>
      </c>
      <c r="G429" t="s">
        <v>79</v>
      </c>
      <c r="H429" t="s">
        <v>22</v>
      </c>
      <c r="I429">
        <v>0</v>
      </c>
      <c r="J429">
        <v>1</v>
      </c>
      <c r="K429">
        <v>0</v>
      </c>
      <c r="L429">
        <v>2</v>
      </c>
      <c r="M429">
        <v>6</v>
      </c>
      <c r="N429">
        <v>0</v>
      </c>
      <c r="O429">
        <v>712</v>
      </c>
    </row>
    <row r="430" spans="1:15" x14ac:dyDescent="0.2">
      <c r="A430" t="s">
        <v>101</v>
      </c>
      <c r="B430" t="s">
        <v>45</v>
      </c>
      <c r="C430" t="s">
        <v>17</v>
      </c>
      <c r="D430" t="s">
        <v>75</v>
      </c>
      <c r="E430" t="s">
        <v>93</v>
      </c>
      <c r="F430">
        <v>3</v>
      </c>
      <c r="G430" t="s">
        <v>79</v>
      </c>
      <c r="H430" t="s">
        <v>23</v>
      </c>
      <c r="I430">
        <v>1</v>
      </c>
      <c r="J430">
        <v>0</v>
      </c>
      <c r="K430">
        <v>0</v>
      </c>
      <c r="L430">
        <v>2</v>
      </c>
      <c r="M430">
        <v>6</v>
      </c>
      <c r="N430">
        <v>0</v>
      </c>
      <c r="O430">
        <v>712</v>
      </c>
    </row>
    <row r="431" spans="1:15" x14ac:dyDescent="0.2">
      <c r="A431" t="s">
        <v>101</v>
      </c>
      <c r="B431" t="s">
        <v>45</v>
      </c>
      <c r="C431" t="s">
        <v>17</v>
      </c>
      <c r="D431" t="s">
        <v>75</v>
      </c>
      <c r="E431" t="s">
        <v>93</v>
      </c>
      <c r="F431">
        <v>3</v>
      </c>
      <c r="G431" t="s">
        <v>79</v>
      </c>
      <c r="H431" t="s">
        <v>24</v>
      </c>
      <c r="I431">
        <v>0</v>
      </c>
      <c r="J431">
        <v>0</v>
      </c>
      <c r="K431">
        <v>0</v>
      </c>
      <c r="L431">
        <v>2</v>
      </c>
      <c r="M431">
        <v>6</v>
      </c>
      <c r="N431">
        <v>0</v>
      </c>
      <c r="O431">
        <v>712</v>
      </c>
    </row>
    <row r="432" spans="1:15" x14ac:dyDescent="0.2">
      <c r="A432" t="s">
        <v>101</v>
      </c>
      <c r="B432" t="s">
        <v>45</v>
      </c>
      <c r="C432" t="s">
        <v>17</v>
      </c>
      <c r="D432" t="s">
        <v>75</v>
      </c>
      <c r="E432" t="s">
        <v>92</v>
      </c>
      <c r="F432">
        <v>3</v>
      </c>
      <c r="G432" t="s">
        <v>77</v>
      </c>
      <c r="H432" t="s">
        <v>20</v>
      </c>
      <c r="I432">
        <v>4</v>
      </c>
      <c r="J432">
        <v>1</v>
      </c>
      <c r="K432">
        <v>0</v>
      </c>
      <c r="L432">
        <v>6</v>
      </c>
      <c r="M432">
        <v>5</v>
      </c>
      <c r="N432">
        <v>0</v>
      </c>
      <c r="O432">
        <v>684</v>
      </c>
    </row>
    <row r="433" spans="1:15" x14ac:dyDescent="0.2">
      <c r="A433" t="s">
        <v>101</v>
      </c>
      <c r="B433" t="s">
        <v>45</v>
      </c>
      <c r="C433" t="s">
        <v>17</v>
      </c>
      <c r="D433" t="s">
        <v>75</v>
      </c>
      <c r="E433" t="s">
        <v>92</v>
      </c>
      <c r="F433">
        <v>3</v>
      </c>
      <c r="G433" t="s">
        <v>77</v>
      </c>
      <c r="H433" t="s">
        <v>21</v>
      </c>
      <c r="I433">
        <v>0</v>
      </c>
      <c r="J433">
        <v>3</v>
      </c>
      <c r="K433">
        <v>0</v>
      </c>
      <c r="L433">
        <v>6</v>
      </c>
      <c r="M433">
        <v>5</v>
      </c>
      <c r="N433">
        <v>0</v>
      </c>
      <c r="O433">
        <v>684</v>
      </c>
    </row>
    <row r="434" spans="1:15" x14ac:dyDescent="0.2">
      <c r="A434" t="s">
        <v>101</v>
      </c>
      <c r="B434" t="s">
        <v>45</v>
      </c>
      <c r="C434" t="s">
        <v>17</v>
      </c>
      <c r="D434" t="s">
        <v>75</v>
      </c>
      <c r="E434" t="s">
        <v>92</v>
      </c>
      <c r="F434">
        <v>3</v>
      </c>
      <c r="G434" t="s">
        <v>77</v>
      </c>
      <c r="H434" t="s">
        <v>22</v>
      </c>
      <c r="I434">
        <v>2</v>
      </c>
      <c r="J434">
        <v>0</v>
      </c>
      <c r="K434">
        <v>0</v>
      </c>
      <c r="L434">
        <v>6</v>
      </c>
      <c r="M434">
        <v>5</v>
      </c>
      <c r="N434">
        <v>0</v>
      </c>
      <c r="O434">
        <v>684</v>
      </c>
    </row>
    <row r="435" spans="1:15" x14ac:dyDescent="0.2">
      <c r="A435" t="s">
        <v>101</v>
      </c>
      <c r="B435" t="s">
        <v>45</v>
      </c>
      <c r="C435" t="s">
        <v>17</v>
      </c>
      <c r="D435" t="s">
        <v>75</v>
      </c>
      <c r="E435" t="s">
        <v>92</v>
      </c>
      <c r="F435">
        <v>3</v>
      </c>
      <c r="G435" t="s">
        <v>77</v>
      </c>
      <c r="H435" t="s">
        <v>23</v>
      </c>
      <c r="I435">
        <v>0</v>
      </c>
      <c r="J435">
        <v>1</v>
      </c>
      <c r="K435">
        <v>0</v>
      </c>
      <c r="L435">
        <v>6</v>
      </c>
      <c r="M435">
        <v>5</v>
      </c>
      <c r="N435">
        <v>0</v>
      </c>
      <c r="O435">
        <v>684</v>
      </c>
    </row>
    <row r="436" spans="1:15" x14ac:dyDescent="0.2">
      <c r="A436" t="s">
        <v>101</v>
      </c>
      <c r="B436" t="s">
        <v>45</v>
      </c>
      <c r="C436" t="s">
        <v>17</v>
      </c>
      <c r="D436" t="s">
        <v>75</v>
      </c>
      <c r="E436" t="s">
        <v>92</v>
      </c>
      <c r="F436">
        <v>3</v>
      </c>
      <c r="G436" t="s">
        <v>77</v>
      </c>
      <c r="H436" t="s">
        <v>24</v>
      </c>
      <c r="I436">
        <v>0</v>
      </c>
      <c r="J436">
        <v>0</v>
      </c>
      <c r="K436">
        <v>0</v>
      </c>
      <c r="L436">
        <v>6</v>
      </c>
      <c r="M436">
        <v>5</v>
      </c>
      <c r="N436">
        <v>0</v>
      </c>
      <c r="O436">
        <v>684</v>
      </c>
    </row>
    <row r="437" spans="1:15" x14ac:dyDescent="0.2">
      <c r="A437" t="s">
        <v>101</v>
      </c>
      <c r="B437" t="s">
        <v>45</v>
      </c>
      <c r="C437" t="s">
        <v>17</v>
      </c>
      <c r="D437" t="s">
        <v>75</v>
      </c>
      <c r="E437" t="s">
        <v>90</v>
      </c>
      <c r="F437">
        <v>3</v>
      </c>
      <c r="G437" t="s">
        <v>73</v>
      </c>
      <c r="H437" t="s">
        <v>20</v>
      </c>
      <c r="I437">
        <v>1</v>
      </c>
      <c r="J437">
        <v>0</v>
      </c>
      <c r="K437">
        <v>0</v>
      </c>
      <c r="L437">
        <v>5</v>
      </c>
      <c r="M437">
        <v>4</v>
      </c>
      <c r="N437">
        <v>0</v>
      </c>
      <c r="O437">
        <v>662</v>
      </c>
    </row>
    <row r="438" spans="1:15" x14ac:dyDescent="0.2">
      <c r="A438" t="s">
        <v>101</v>
      </c>
      <c r="B438" t="s">
        <v>45</v>
      </c>
      <c r="C438" t="s">
        <v>17</v>
      </c>
      <c r="D438" t="s">
        <v>75</v>
      </c>
      <c r="E438" t="s">
        <v>90</v>
      </c>
      <c r="F438">
        <v>3</v>
      </c>
      <c r="G438" t="s">
        <v>73</v>
      </c>
      <c r="H438" t="s">
        <v>21</v>
      </c>
      <c r="I438">
        <v>2</v>
      </c>
      <c r="J438">
        <v>2</v>
      </c>
      <c r="K438">
        <v>0</v>
      </c>
      <c r="L438">
        <v>5</v>
      </c>
      <c r="M438">
        <v>4</v>
      </c>
      <c r="N438">
        <v>0</v>
      </c>
      <c r="O438">
        <v>662</v>
      </c>
    </row>
    <row r="439" spans="1:15" x14ac:dyDescent="0.2">
      <c r="A439" t="s">
        <v>101</v>
      </c>
      <c r="B439" t="s">
        <v>45</v>
      </c>
      <c r="C439" t="s">
        <v>17</v>
      </c>
      <c r="D439" t="s">
        <v>75</v>
      </c>
      <c r="E439" t="s">
        <v>90</v>
      </c>
      <c r="F439">
        <v>3</v>
      </c>
      <c r="G439" t="s">
        <v>73</v>
      </c>
      <c r="H439" t="s">
        <v>22</v>
      </c>
      <c r="I439">
        <v>0</v>
      </c>
      <c r="J439">
        <v>2</v>
      </c>
      <c r="K439">
        <v>0</v>
      </c>
      <c r="L439">
        <v>5</v>
      </c>
      <c r="M439">
        <v>4</v>
      </c>
      <c r="N439">
        <v>0</v>
      </c>
      <c r="O439">
        <v>662</v>
      </c>
    </row>
    <row r="440" spans="1:15" x14ac:dyDescent="0.2">
      <c r="A440" t="s">
        <v>101</v>
      </c>
      <c r="B440" t="s">
        <v>45</v>
      </c>
      <c r="C440" t="s">
        <v>17</v>
      </c>
      <c r="D440" t="s">
        <v>75</v>
      </c>
      <c r="E440" t="s">
        <v>90</v>
      </c>
      <c r="F440">
        <v>3</v>
      </c>
      <c r="G440" t="s">
        <v>73</v>
      </c>
      <c r="H440" t="s">
        <v>23</v>
      </c>
      <c r="I440">
        <v>2</v>
      </c>
      <c r="J440">
        <v>0</v>
      </c>
      <c r="K440">
        <v>0</v>
      </c>
      <c r="L440">
        <v>5</v>
      </c>
      <c r="M440">
        <v>4</v>
      </c>
      <c r="N440">
        <v>0</v>
      </c>
      <c r="O440">
        <v>662</v>
      </c>
    </row>
    <row r="441" spans="1:15" x14ac:dyDescent="0.2">
      <c r="A441" t="s">
        <v>101</v>
      </c>
      <c r="B441" t="s">
        <v>45</v>
      </c>
      <c r="C441" t="s">
        <v>17</v>
      </c>
      <c r="D441" t="s">
        <v>75</v>
      </c>
      <c r="E441" t="s">
        <v>90</v>
      </c>
      <c r="F441">
        <v>3</v>
      </c>
      <c r="G441" t="s">
        <v>73</v>
      </c>
      <c r="H441" t="s">
        <v>24</v>
      </c>
      <c r="I441">
        <v>0</v>
      </c>
      <c r="J441">
        <v>0</v>
      </c>
      <c r="K441">
        <v>0</v>
      </c>
      <c r="L441">
        <v>5</v>
      </c>
      <c r="M441">
        <v>4</v>
      </c>
      <c r="N441">
        <v>0</v>
      </c>
      <c r="O441">
        <v>662</v>
      </c>
    </row>
    <row r="442" spans="1:15" x14ac:dyDescent="0.2">
      <c r="A442" t="s">
        <v>89</v>
      </c>
      <c r="B442" t="s">
        <v>45</v>
      </c>
      <c r="C442" t="s">
        <v>17</v>
      </c>
      <c r="D442" t="s">
        <v>75</v>
      </c>
      <c r="E442" t="s">
        <v>81</v>
      </c>
      <c r="F442">
        <v>3</v>
      </c>
      <c r="G442" t="s">
        <v>19</v>
      </c>
      <c r="H442" t="s">
        <v>20</v>
      </c>
      <c r="I442">
        <v>34</v>
      </c>
      <c r="J442">
        <v>45</v>
      </c>
      <c r="K442">
        <v>0</v>
      </c>
      <c r="L442">
        <v>85</v>
      </c>
      <c r="M442">
        <v>125</v>
      </c>
      <c r="N442">
        <v>0</v>
      </c>
      <c r="O442">
        <v>498</v>
      </c>
    </row>
    <row r="443" spans="1:15" x14ac:dyDescent="0.2">
      <c r="A443" t="s">
        <v>89</v>
      </c>
      <c r="B443" t="s">
        <v>45</v>
      </c>
      <c r="C443" t="s">
        <v>17</v>
      </c>
      <c r="D443" t="s">
        <v>75</v>
      </c>
      <c r="E443" t="s">
        <v>81</v>
      </c>
      <c r="F443">
        <v>3</v>
      </c>
      <c r="G443" t="s">
        <v>19</v>
      </c>
      <c r="H443" t="s">
        <v>21</v>
      </c>
      <c r="I443">
        <v>22</v>
      </c>
      <c r="J443">
        <v>30</v>
      </c>
      <c r="K443">
        <v>0</v>
      </c>
      <c r="L443">
        <v>85</v>
      </c>
      <c r="M443">
        <v>125</v>
      </c>
      <c r="N443">
        <v>0</v>
      </c>
      <c r="O443">
        <v>498</v>
      </c>
    </row>
    <row r="444" spans="1:15" x14ac:dyDescent="0.2">
      <c r="A444" t="s">
        <v>89</v>
      </c>
      <c r="B444" t="s">
        <v>45</v>
      </c>
      <c r="C444" t="s">
        <v>17</v>
      </c>
      <c r="D444" t="s">
        <v>75</v>
      </c>
      <c r="E444" t="s">
        <v>81</v>
      </c>
      <c r="F444">
        <v>3</v>
      </c>
      <c r="G444" t="s">
        <v>19</v>
      </c>
      <c r="H444" t="s">
        <v>22</v>
      </c>
      <c r="I444">
        <v>12</v>
      </c>
      <c r="J444">
        <v>20</v>
      </c>
      <c r="K444">
        <v>0</v>
      </c>
      <c r="L444">
        <v>85</v>
      </c>
      <c r="M444">
        <v>125</v>
      </c>
      <c r="N444">
        <v>0</v>
      </c>
      <c r="O444">
        <v>498</v>
      </c>
    </row>
    <row r="445" spans="1:15" x14ac:dyDescent="0.2">
      <c r="A445" t="s">
        <v>89</v>
      </c>
      <c r="B445" t="s">
        <v>45</v>
      </c>
      <c r="C445" t="s">
        <v>17</v>
      </c>
      <c r="D445" t="s">
        <v>75</v>
      </c>
      <c r="E445" t="s">
        <v>81</v>
      </c>
      <c r="F445">
        <v>3</v>
      </c>
      <c r="G445" t="s">
        <v>19</v>
      </c>
      <c r="H445" t="s">
        <v>23</v>
      </c>
      <c r="I445">
        <v>17</v>
      </c>
      <c r="J445">
        <v>30</v>
      </c>
      <c r="K445">
        <v>0</v>
      </c>
      <c r="L445">
        <v>85</v>
      </c>
      <c r="M445">
        <v>125</v>
      </c>
      <c r="N445">
        <v>0</v>
      </c>
      <c r="O445">
        <v>498</v>
      </c>
    </row>
    <row r="446" spans="1:15" x14ac:dyDescent="0.2">
      <c r="A446" t="s">
        <v>89</v>
      </c>
      <c r="B446" t="s">
        <v>45</v>
      </c>
      <c r="C446" t="s">
        <v>17</v>
      </c>
      <c r="D446" t="s">
        <v>75</v>
      </c>
      <c r="E446" t="s">
        <v>81</v>
      </c>
      <c r="F446">
        <v>3</v>
      </c>
      <c r="G446" t="s">
        <v>19</v>
      </c>
      <c r="H446" t="s">
        <v>24</v>
      </c>
      <c r="I446">
        <v>0</v>
      </c>
      <c r="J446">
        <v>0</v>
      </c>
      <c r="K446">
        <v>0</v>
      </c>
      <c r="L446">
        <v>85</v>
      </c>
      <c r="M446">
        <v>125</v>
      </c>
      <c r="N446">
        <v>0</v>
      </c>
      <c r="O446">
        <v>498</v>
      </c>
    </row>
    <row r="447" spans="1:15" x14ac:dyDescent="0.2">
      <c r="A447" t="s">
        <v>89</v>
      </c>
      <c r="B447" t="s">
        <v>45</v>
      </c>
      <c r="C447" t="s">
        <v>17</v>
      </c>
      <c r="D447" t="s">
        <v>75</v>
      </c>
      <c r="E447" t="s">
        <v>80</v>
      </c>
      <c r="F447">
        <v>3</v>
      </c>
      <c r="G447" t="s">
        <v>79</v>
      </c>
      <c r="H447" t="s">
        <v>20</v>
      </c>
      <c r="I447">
        <v>10</v>
      </c>
      <c r="J447">
        <v>9</v>
      </c>
      <c r="K447">
        <v>0</v>
      </c>
      <c r="L447">
        <v>23</v>
      </c>
      <c r="M447">
        <v>35</v>
      </c>
      <c r="N447">
        <v>0</v>
      </c>
      <c r="O447">
        <v>464</v>
      </c>
    </row>
    <row r="448" spans="1:15" x14ac:dyDescent="0.2">
      <c r="A448" t="s">
        <v>89</v>
      </c>
      <c r="B448" t="s">
        <v>45</v>
      </c>
      <c r="C448" t="s">
        <v>17</v>
      </c>
      <c r="D448" t="s">
        <v>75</v>
      </c>
      <c r="E448" t="s">
        <v>80</v>
      </c>
      <c r="F448">
        <v>3</v>
      </c>
      <c r="G448" t="s">
        <v>79</v>
      </c>
      <c r="H448" t="s">
        <v>21</v>
      </c>
      <c r="I448">
        <v>3</v>
      </c>
      <c r="J448">
        <v>13</v>
      </c>
      <c r="K448">
        <v>0</v>
      </c>
      <c r="L448">
        <v>23</v>
      </c>
      <c r="M448">
        <v>35</v>
      </c>
      <c r="N448">
        <v>0</v>
      </c>
      <c r="O448">
        <v>464</v>
      </c>
    </row>
    <row r="449" spans="1:15" x14ac:dyDescent="0.2">
      <c r="A449" t="s">
        <v>89</v>
      </c>
      <c r="B449" t="s">
        <v>45</v>
      </c>
      <c r="C449" t="s">
        <v>17</v>
      </c>
      <c r="D449" t="s">
        <v>75</v>
      </c>
      <c r="E449" t="s">
        <v>80</v>
      </c>
      <c r="F449">
        <v>3</v>
      </c>
      <c r="G449" t="s">
        <v>79</v>
      </c>
      <c r="H449" t="s">
        <v>22</v>
      </c>
      <c r="I449">
        <v>6</v>
      </c>
      <c r="J449">
        <v>6</v>
      </c>
      <c r="K449">
        <v>0</v>
      </c>
      <c r="L449">
        <v>23</v>
      </c>
      <c r="M449">
        <v>35</v>
      </c>
      <c r="N449">
        <v>0</v>
      </c>
      <c r="O449">
        <v>464</v>
      </c>
    </row>
    <row r="450" spans="1:15" x14ac:dyDescent="0.2">
      <c r="A450" t="s">
        <v>89</v>
      </c>
      <c r="B450" t="s">
        <v>45</v>
      </c>
      <c r="C450" t="s">
        <v>17</v>
      </c>
      <c r="D450" t="s">
        <v>75</v>
      </c>
      <c r="E450" t="s">
        <v>80</v>
      </c>
      <c r="F450">
        <v>3</v>
      </c>
      <c r="G450" t="s">
        <v>79</v>
      </c>
      <c r="H450" t="s">
        <v>23</v>
      </c>
      <c r="I450">
        <v>4</v>
      </c>
      <c r="J450">
        <v>7</v>
      </c>
      <c r="K450">
        <v>0</v>
      </c>
      <c r="L450">
        <v>23</v>
      </c>
      <c r="M450">
        <v>35</v>
      </c>
      <c r="N450">
        <v>0</v>
      </c>
      <c r="O450">
        <v>464</v>
      </c>
    </row>
    <row r="451" spans="1:15" x14ac:dyDescent="0.2">
      <c r="A451" t="s">
        <v>89</v>
      </c>
      <c r="B451" t="s">
        <v>45</v>
      </c>
      <c r="C451" t="s">
        <v>17</v>
      </c>
      <c r="D451" t="s">
        <v>75</v>
      </c>
      <c r="E451" t="s">
        <v>80</v>
      </c>
      <c r="F451">
        <v>3</v>
      </c>
      <c r="G451" t="s">
        <v>79</v>
      </c>
      <c r="H451" t="s">
        <v>24</v>
      </c>
      <c r="I451">
        <v>0</v>
      </c>
      <c r="J451">
        <v>0</v>
      </c>
      <c r="K451">
        <v>0</v>
      </c>
      <c r="L451">
        <v>23</v>
      </c>
      <c r="M451">
        <v>35</v>
      </c>
      <c r="N451">
        <v>0</v>
      </c>
      <c r="O451">
        <v>464</v>
      </c>
    </row>
    <row r="452" spans="1:15" x14ac:dyDescent="0.2">
      <c r="A452" t="s">
        <v>89</v>
      </c>
      <c r="B452" t="s">
        <v>45</v>
      </c>
      <c r="C452" t="s">
        <v>17</v>
      </c>
      <c r="D452" t="s">
        <v>75</v>
      </c>
      <c r="E452" t="s">
        <v>78</v>
      </c>
      <c r="F452">
        <v>3</v>
      </c>
      <c r="G452" t="s">
        <v>77</v>
      </c>
      <c r="H452" t="s">
        <v>20</v>
      </c>
      <c r="I452">
        <v>14</v>
      </c>
      <c r="J452">
        <v>12</v>
      </c>
      <c r="K452">
        <v>0</v>
      </c>
      <c r="L452">
        <v>32</v>
      </c>
      <c r="M452">
        <v>34</v>
      </c>
      <c r="N452">
        <v>0</v>
      </c>
      <c r="O452">
        <v>429</v>
      </c>
    </row>
    <row r="453" spans="1:15" x14ac:dyDescent="0.2">
      <c r="A453" t="s">
        <v>89</v>
      </c>
      <c r="B453" t="s">
        <v>45</v>
      </c>
      <c r="C453" t="s">
        <v>17</v>
      </c>
      <c r="D453" t="s">
        <v>75</v>
      </c>
      <c r="E453" t="s">
        <v>78</v>
      </c>
      <c r="F453">
        <v>3</v>
      </c>
      <c r="G453" t="s">
        <v>77</v>
      </c>
      <c r="H453" t="s">
        <v>21</v>
      </c>
      <c r="I453">
        <v>4</v>
      </c>
      <c r="J453">
        <v>11</v>
      </c>
      <c r="K453">
        <v>0</v>
      </c>
      <c r="L453">
        <v>32</v>
      </c>
      <c r="M453">
        <v>34</v>
      </c>
      <c r="N453">
        <v>0</v>
      </c>
      <c r="O453">
        <v>429</v>
      </c>
    </row>
    <row r="454" spans="1:15" x14ac:dyDescent="0.2">
      <c r="A454" t="s">
        <v>89</v>
      </c>
      <c r="B454" t="s">
        <v>45</v>
      </c>
      <c r="C454" t="s">
        <v>17</v>
      </c>
      <c r="D454" t="s">
        <v>75</v>
      </c>
      <c r="E454" t="s">
        <v>78</v>
      </c>
      <c r="F454">
        <v>3</v>
      </c>
      <c r="G454" t="s">
        <v>77</v>
      </c>
      <c r="H454" t="s">
        <v>22</v>
      </c>
      <c r="I454">
        <v>5</v>
      </c>
      <c r="J454">
        <v>2</v>
      </c>
      <c r="K454">
        <v>0</v>
      </c>
      <c r="L454">
        <v>32</v>
      </c>
      <c r="M454">
        <v>34</v>
      </c>
      <c r="N454">
        <v>0</v>
      </c>
      <c r="O454">
        <v>429</v>
      </c>
    </row>
    <row r="455" spans="1:15" x14ac:dyDescent="0.2">
      <c r="A455" t="s">
        <v>89</v>
      </c>
      <c r="B455" t="s">
        <v>45</v>
      </c>
      <c r="C455" t="s">
        <v>17</v>
      </c>
      <c r="D455" t="s">
        <v>75</v>
      </c>
      <c r="E455" t="s">
        <v>78</v>
      </c>
      <c r="F455">
        <v>3</v>
      </c>
      <c r="G455" t="s">
        <v>77</v>
      </c>
      <c r="H455" t="s">
        <v>23</v>
      </c>
      <c r="I455">
        <v>9</v>
      </c>
      <c r="J455">
        <v>9</v>
      </c>
      <c r="K455">
        <v>0</v>
      </c>
      <c r="L455">
        <v>32</v>
      </c>
      <c r="M455">
        <v>34</v>
      </c>
      <c r="N455">
        <v>0</v>
      </c>
      <c r="O455">
        <v>429</v>
      </c>
    </row>
    <row r="456" spans="1:15" x14ac:dyDescent="0.2">
      <c r="A456" t="s">
        <v>89</v>
      </c>
      <c r="B456" t="s">
        <v>45</v>
      </c>
      <c r="C456" t="s">
        <v>17</v>
      </c>
      <c r="D456" t="s">
        <v>75</v>
      </c>
      <c r="E456" t="s">
        <v>78</v>
      </c>
      <c r="F456">
        <v>3</v>
      </c>
      <c r="G456" t="s">
        <v>77</v>
      </c>
      <c r="H456" t="s">
        <v>24</v>
      </c>
      <c r="I456">
        <v>0</v>
      </c>
      <c r="J456">
        <v>0</v>
      </c>
      <c r="K456">
        <v>0</v>
      </c>
      <c r="L456">
        <v>32</v>
      </c>
      <c r="M456">
        <v>34</v>
      </c>
      <c r="N456">
        <v>0</v>
      </c>
      <c r="O456">
        <v>429</v>
      </c>
    </row>
    <row r="457" spans="1:15" x14ac:dyDescent="0.2">
      <c r="A457" t="s">
        <v>89</v>
      </c>
      <c r="B457" t="s">
        <v>45</v>
      </c>
      <c r="C457" t="s">
        <v>17</v>
      </c>
      <c r="D457" t="s">
        <v>75</v>
      </c>
      <c r="E457" t="s">
        <v>74</v>
      </c>
      <c r="F457">
        <v>3</v>
      </c>
      <c r="G457" t="s">
        <v>73</v>
      </c>
      <c r="H457" t="s">
        <v>20</v>
      </c>
      <c r="I457">
        <v>8</v>
      </c>
      <c r="J457">
        <v>15</v>
      </c>
      <c r="K457">
        <v>0</v>
      </c>
      <c r="L457">
        <v>32</v>
      </c>
      <c r="M457">
        <v>35</v>
      </c>
      <c r="N457">
        <v>0</v>
      </c>
      <c r="O457">
        <v>440</v>
      </c>
    </row>
    <row r="458" spans="1:15" x14ac:dyDescent="0.2">
      <c r="A458" t="s">
        <v>89</v>
      </c>
      <c r="B458" t="s">
        <v>45</v>
      </c>
      <c r="C458" t="s">
        <v>17</v>
      </c>
      <c r="D458" t="s">
        <v>75</v>
      </c>
      <c r="E458" t="s">
        <v>74</v>
      </c>
      <c r="F458">
        <v>3</v>
      </c>
      <c r="G458" t="s">
        <v>73</v>
      </c>
      <c r="H458" t="s">
        <v>21</v>
      </c>
      <c r="I458">
        <v>7</v>
      </c>
      <c r="J458">
        <v>9</v>
      </c>
      <c r="K458">
        <v>0</v>
      </c>
      <c r="L458">
        <v>32</v>
      </c>
      <c r="M458">
        <v>35</v>
      </c>
      <c r="N458">
        <v>0</v>
      </c>
      <c r="O458">
        <v>440</v>
      </c>
    </row>
    <row r="459" spans="1:15" x14ac:dyDescent="0.2">
      <c r="A459" t="s">
        <v>89</v>
      </c>
      <c r="B459" t="s">
        <v>45</v>
      </c>
      <c r="C459" t="s">
        <v>17</v>
      </c>
      <c r="D459" t="s">
        <v>75</v>
      </c>
      <c r="E459" t="s">
        <v>74</v>
      </c>
      <c r="F459">
        <v>3</v>
      </c>
      <c r="G459" t="s">
        <v>73</v>
      </c>
      <c r="H459" t="s">
        <v>22</v>
      </c>
      <c r="I459">
        <v>3</v>
      </c>
      <c r="J459">
        <v>3</v>
      </c>
      <c r="K459">
        <v>0</v>
      </c>
      <c r="L459">
        <v>32</v>
      </c>
      <c r="M459">
        <v>35</v>
      </c>
      <c r="N459">
        <v>0</v>
      </c>
      <c r="O459">
        <v>440</v>
      </c>
    </row>
    <row r="460" spans="1:15" x14ac:dyDescent="0.2">
      <c r="A460" t="s">
        <v>89</v>
      </c>
      <c r="B460" t="s">
        <v>45</v>
      </c>
      <c r="C460" t="s">
        <v>17</v>
      </c>
      <c r="D460" t="s">
        <v>75</v>
      </c>
      <c r="E460" t="s">
        <v>74</v>
      </c>
      <c r="F460">
        <v>3</v>
      </c>
      <c r="G460" t="s">
        <v>73</v>
      </c>
      <c r="H460" t="s">
        <v>23</v>
      </c>
      <c r="I460">
        <v>14</v>
      </c>
      <c r="J460">
        <v>8</v>
      </c>
      <c r="K460">
        <v>0</v>
      </c>
      <c r="L460">
        <v>32</v>
      </c>
      <c r="M460">
        <v>35</v>
      </c>
      <c r="N460">
        <v>0</v>
      </c>
      <c r="O460">
        <v>440</v>
      </c>
    </row>
    <row r="461" spans="1:15" x14ac:dyDescent="0.2">
      <c r="A461" t="s">
        <v>89</v>
      </c>
      <c r="B461" t="s">
        <v>45</v>
      </c>
      <c r="C461" t="s">
        <v>17</v>
      </c>
      <c r="D461" t="s">
        <v>75</v>
      </c>
      <c r="E461" t="s">
        <v>74</v>
      </c>
      <c r="F461">
        <v>3</v>
      </c>
      <c r="G461" t="s">
        <v>73</v>
      </c>
      <c r="H461" t="s">
        <v>24</v>
      </c>
      <c r="I461">
        <v>0</v>
      </c>
      <c r="J461">
        <v>0</v>
      </c>
      <c r="K461">
        <v>0</v>
      </c>
      <c r="L461">
        <v>32</v>
      </c>
      <c r="M461">
        <v>35</v>
      </c>
      <c r="N461">
        <v>0</v>
      </c>
      <c r="O461">
        <v>440</v>
      </c>
    </row>
    <row r="462" spans="1:15" x14ac:dyDescent="0.2">
      <c r="A462" t="s">
        <v>125</v>
      </c>
      <c r="B462" t="s">
        <v>45</v>
      </c>
      <c r="C462" t="s">
        <v>17</v>
      </c>
      <c r="D462" t="s">
        <v>75</v>
      </c>
      <c r="E462" t="s">
        <v>118</v>
      </c>
      <c r="F462">
        <v>3</v>
      </c>
      <c r="G462" t="s">
        <v>19</v>
      </c>
      <c r="H462" t="s">
        <v>20</v>
      </c>
      <c r="I462">
        <v>18</v>
      </c>
      <c r="J462">
        <v>19</v>
      </c>
      <c r="K462">
        <v>0</v>
      </c>
      <c r="L462">
        <v>38</v>
      </c>
      <c r="M462">
        <v>40</v>
      </c>
      <c r="N462">
        <v>0</v>
      </c>
      <c r="O462">
        <v>145</v>
      </c>
    </row>
    <row r="463" spans="1:15" x14ac:dyDescent="0.2">
      <c r="A463" t="s">
        <v>125</v>
      </c>
      <c r="B463" t="s">
        <v>45</v>
      </c>
      <c r="C463" t="s">
        <v>17</v>
      </c>
      <c r="D463" t="s">
        <v>75</v>
      </c>
      <c r="E463" t="s">
        <v>118</v>
      </c>
      <c r="F463">
        <v>3</v>
      </c>
      <c r="G463" t="s">
        <v>19</v>
      </c>
      <c r="H463" t="s">
        <v>21</v>
      </c>
      <c r="I463">
        <v>10</v>
      </c>
      <c r="J463">
        <v>8</v>
      </c>
      <c r="K463">
        <v>0</v>
      </c>
      <c r="L463">
        <v>38</v>
      </c>
      <c r="M463">
        <v>40</v>
      </c>
      <c r="N463">
        <v>0</v>
      </c>
      <c r="O463">
        <v>145</v>
      </c>
    </row>
    <row r="464" spans="1:15" x14ac:dyDescent="0.2">
      <c r="A464" t="s">
        <v>125</v>
      </c>
      <c r="B464" t="s">
        <v>45</v>
      </c>
      <c r="C464" t="s">
        <v>17</v>
      </c>
      <c r="D464" t="s">
        <v>75</v>
      </c>
      <c r="E464" t="s">
        <v>118</v>
      </c>
      <c r="F464">
        <v>3</v>
      </c>
      <c r="G464" t="s">
        <v>19</v>
      </c>
      <c r="H464" t="s">
        <v>22</v>
      </c>
      <c r="I464">
        <v>3</v>
      </c>
      <c r="J464">
        <v>3</v>
      </c>
      <c r="K464">
        <v>0</v>
      </c>
      <c r="L464">
        <v>38</v>
      </c>
      <c r="M464">
        <v>40</v>
      </c>
      <c r="N464">
        <v>0</v>
      </c>
      <c r="O464">
        <v>145</v>
      </c>
    </row>
    <row r="465" spans="1:32" x14ac:dyDescent="0.2">
      <c r="A465" t="s">
        <v>125</v>
      </c>
      <c r="B465" t="s">
        <v>45</v>
      </c>
      <c r="C465" t="s">
        <v>17</v>
      </c>
      <c r="D465" t="s">
        <v>75</v>
      </c>
      <c r="E465" t="s">
        <v>118</v>
      </c>
      <c r="F465">
        <v>3</v>
      </c>
      <c r="G465" t="s">
        <v>19</v>
      </c>
      <c r="H465" t="s">
        <v>23</v>
      </c>
      <c r="I465">
        <v>7</v>
      </c>
      <c r="J465">
        <v>10</v>
      </c>
      <c r="K465">
        <v>0</v>
      </c>
      <c r="L465">
        <v>38</v>
      </c>
      <c r="M465">
        <v>40</v>
      </c>
      <c r="N465">
        <v>0</v>
      </c>
      <c r="O465">
        <v>145</v>
      </c>
    </row>
    <row r="466" spans="1:32" x14ac:dyDescent="0.2">
      <c r="A466" t="s">
        <v>125</v>
      </c>
      <c r="B466" t="s">
        <v>45</v>
      </c>
      <c r="C466" t="s">
        <v>17</v>
      </c>
      <c r="D466" t="s">
        <v>75</v>
      </c>
      <c r="E466" t="s">
        <v>118</v>
      </c>
      <c r="F466">
        <v>3</v>
      </c>
      <c r="G466" t="s">
        <v>19</v>
      </c>
      <c r="H466" t="s">
        <v>24</v>
      </c>
      <c r="I466">
        <v>0</v>
      </c>
      <c r="J466">
        <v>0</v>
      </c>
      <c r="K466">
        <v>0</v>
      </c>
      <c r="L466">
        <v>38</v>
      </c>
      <c r="M466">
        <v>40</v>
      </c>
      <c r="N466">
        <v>0</v>
      </c>
      <c r="O466">
        <v>145</v>
      </c>
    </row>
    <row r="467" spans="1:32" x14ac:dyDescent="0.2">
      <c r="A467" t="s">
        <v>125</v>
      </c>
      <c r="B467" t="s">
        <v>45</v>
      </c>
      <c r="C467" t="s">
        <v>17</v>
      </c>
      <c r="D467" t="s">
        <v>75</v>
      </c>
      <c r="E467" t="s">
        <v>117</v>
      </c>
      <c r="F467">
        <v>3</v>
      </c>
      <c r="G467" t="s">
        <v>79</v>
      </c>
      <c r="H467" t="s">
        <v>20</v>
      </c>
      <c r="I467">
        <v>7</v>
      </c>
      <c r="J467">
        <v>12</v>
      </c>
      <c r="K467">
        <v>0</v>
      </c>
      <c r="L467">
        <v>17</v>
      </c>
      <c r="M467">
        <v>22</v>
      </c>
      <c r="N467">
        <v>0</v>
      </c>
      <c r="O467">
        <v>126</v>
      </c>
      <c r="V467" t="s">
        <v>150</v>
      </c>
      <c r="W467" s="3" t="s">
        <v>20</v>
      </c>
      <c r="X467" s="3" t="s">
        <v>21</v>
      </c>
      <c r="Y467" s="3" t="s">
        <v>60</v>
      </c>
      <c r="Z467" s="3" t="s">
        <v>61</v>
      </c>
      <c r="AA467" s="3" t="s">
        <v>62</v>
      </c>
      <c r="AB467" s="29" t="s">
        <v>200</v>
      </c>
      <c r="AC467" s="29" t="s">
        <v>201</v>
      </c>
    </row>
    <row r="468" spans="1:32" x14ac:dyDescent="0.2">
      <c r="A468" t="s">
        <v>125</v>
      </c>
      <c r="B468" t="s">
        <v>45</v>
      </c>
      <c r="C468" t="s">
        <v>17</v>
      </c>
      <c r="D468" t="s">
        <v>75</v>
      </c>
      <c r="E468" t="s">
        <v>117</v>
      </c>
      <c r="F468">
        <v>3</v>
      </c>
      <c r="G468" t="s">
        <v>79</v>
      </c>
      <c r="H468" t="s">
        <v>21</v>
      </c>
      <c r="I468">
        <v>4</v>
      </c>
      <c r="J468">
        <v>6</v>
      </c>
      <c r="K468">
        <v>0</v>
      </c>
      <c r="L468">
        <v>17</v>
      </c>
      <c r="M468">
        <v>22</v>
      </c>
      <c r="N468">
        <v>0</v>
      </c>
      <c r="O468">
        <v>126</v>
      </c>
      <c r="V468" s="18" t="s">
        <v>202</v>
      </c>
      <c r="W468" s="8">
        <f>Z665</f>
        <v>69.35239573915095</v>
      </c>
      <c r="X468" s="8">
        <f>AA665</f>
        <v>12.76923327549668</v>
      </c>
      <c r="Y468" s="8">
        <f>AB665</f>
        <v>7.4809093594834284</v>
      </c>
      <c r="Z468" s="8">
        <f>AC665</f>
        <v>10.397461625868948</v>
      </c>
      <c r="AA468" s="8">
        <f>AD665</f>
        <v>0</v>
      </c>
      <c r="AB468" s="8">
        <f>SUM(W468:X468)</f>
        <v>82.121629014647624</v>
      </c>
      <c r="AC468" s="8">
        <f>SUM(W468:Y468)</f>
        <v>89.602538374131058</v>
      </c>
      <c r="AE468" s="24">
        <f>(AB468-AB469)/AB469</f>
        <v>1.6825795111917841E-2</v>
      </c>
      <c r="AF468" s="24">
        <f>(AB468-AB470)/AB470</f>
        <v>2.9009295354071703E-2</v>
      </c>
    </row>
    <row r="469" spans="1:32" x14ac:dyDescent="0.2">
      <c r="A469" t="s">
        <v>125</v>
      </c>
      <c r="B469" t="s">
        <v>45</v>
      </c>
      <c r="C469" t="s">
        <v>17</v>
      </c>
      <c r="D469" t="s">
        <v>75</v>
      </c>
      <c r="E469" t="s">
        <v>117</v>
      </c>
      <c r="F469">
        <v>3</v>
      </c>
      <c r="G469" t="s">
        <v>79</v>
      </c>
      <c r="H469" t="s">
        <v>22</v>
      </c>
      <c r="I469">
        <v>5</v>
      </c>
      <c r="J469">
        <v>4</v>
      </c>
      <c r="K469">
        <v>0</v>
      </c>
      <c r="L469">
        <v>17</v>
      </c>
      <c r="M469">
        <v>22</v>
      </c>
      <c r="N469">
        <v>0</v>
      </c>
      <c r="O469">
        <v>126</v>
      </c>
      <c r="V469" s="18" t="s">
        <v>203</v>
      </c>
      <c r="W469" s="8">
        <f>Z673</f>
        <v>65.578841763356252</v>
      </c>
      <c r="X469" s="8">
        <f>AA673</f>
        <v>15.183890072738484</v>
      </c>
      <c r="Y469" s="8">
        <f>AB673</f>
        <v>7.8556626835344412</v>
      </c>
      <c r="Z469" s="8">
        <f>AC673</f>
        <v>11.381605480370816</v>
      </c>
      <c r="AA469" s="8">
        <f>AD673</f>
        <v>0</v>
      </c>
      <c r="AB469" s="8">
        <f>SUM(W469:X469)</f>
        <v>80.76273183609473</v>
      </c>
      <c r="AC469" s="8">
        <f t="shared" ref="AC469" si="0">SUM(W469:Y469)</f>
        <v>88.618394519629177</v>
      </c>
      <c r="AE469" s="24">
        <f>(AB469-AB470)/AB470</f>
        <v>1.1981895326340414E-2</v>
      </c>
    </row>
    <row r="470" spans="1:32" x14ac:dyDescent="0.2">
      <c r="A470" t="s">
        <v>125</v>
      </c>
      <c r="B470" t="s">
        <v>45</v>
      </c>
      <c r="C470" t="s">
        <v>17</v>
      </c>
      <c r="D470" t="s">
        <v>75</v>
      </c>
      <c r="E470" t="s">
        <v>117</v>
      </c>
      <c r="F470">
        <v>3</v>
      </c>
      <c r="G470" t="s">
        <v>79</v>
      </c>
      <c r="H470" t="s">
        <v>23</v>
      </c>
      <c r="I470">
        <v>1</v>
      </c>
      <c r="J470">
        <v>0</v>
      </c>
      <c r="K470">
        <v>0</v>
      </c>
      <c r="L470">
        <v>17</v>
      </c>
      <c r="M470">
        <v>22</v>
      </c>
      <c r="N470">
        <v>0</v>
      </c>
      <c r="O470">
        <v>126</v>
      </c>
      <c r="V470" s="18" t="s">
        <v>204</v>
      </c>
      <c r="W470" s="8">
        <f>Z682</f>
        <v>63.314382535889507</v>
      </c>
      <c r="X470" s="8">
        <f>AA682</f>
        <v>16.492116186155947</v>
      </c>
      <c r="Y470" s="8">
        <f>AB682</f>
        <v>8.0870763160916308</v>
      </c>
      <c r="Z470" s="8">
        <f>AC682</f>
        <v>12.106424961862912</v>
      </c>
      <c r="AA470" s="8">
        <f>AD682</f>
        <v>0</v>
      </c>
      <c r="AB470" s="8">
        <f t="shared" ref="AB470" si="1">SUM(W470:X470)</f>
        <v>79.806498722045461</v>
      </c>
      <c r="AC470" s="8">
        <f>SUM(W470:Y470)</f>
        <v>87.893575038137087</v>
      </c>
    </row>
    <row r="471" spans="1:32" x14ac:dyDescent="0.2">
      <c r="A471" t="s">
        <v>125</v>
      </c>
      <c r="B471" t="s">
        <v>45</v>
      </c>
      <c r="C471" t="s">
        <v>17</v>
      </c>
      <c r="D471" t="s">
        <v>75</v>
      </c>
      <c r="E471" t="s">
        <v>117</v>
      </c>
      <c r="F471">
        <v>3</v>
      </c>
      <c r="G471" t="s">
        <v>79</v>
      </c>
      <c r="H471" t="s">
        <v>24</v>
      </c>
      <c r="I471">
        <v>0</v>
      </c>
      <c r="J471">
        <v>0</v>
      </c>
      <c r="K471">
        <v>0</v>
      </c>
      <c r="L471">
        <v>17</v>
      </c>
      <c r="M471">
        <v>22</v>
      </c>
      <c r="N471">
        <v>0</v>
      </c>
      <c r="O471">
        <v>126</v>
      </c>
      <c r="V471" s="18" t="s">
        <v>199</v>
      </c>
      <c r="W471" s="8">
        <f>AVERAGE(W468:W470)</f>
        <v>66.081873346132241</v>
      </c>
      <c r="X471" s="8">
        <f t="shared" ref="X471:AA471" si="2">AVERAGE(X468:X470)</f>
        <v>14.815079844797035</v>
      </c>
      <c r="Y471" s="8">
        <f t="shared" si="2"/>
        <v>7.8078827863698335</v>
      </c>
      <c r="Z471" s="8">
        <f t="shared" si="2"/>
        <v>11.295164022700893</v>
      </c>
      <c r="AA471" s="8">
        <f t="shared" si="2"/>
        <v>0</v>
      </c>
      <c r="AB471" s="30"/>
      <c r="AC471" s="30"/>
    </row>
    <row r="472" spans="1:32" x14ac:dyDescent="0.2">
      <c r="A472" t="s">
        <v>125</v>
      </c>
      <c r="B472" t="s">
        <v>45</v>
      </c>
      <c r="C472" t="s">
        <v>17</v>
      </c>
      <c r="D472" t="s">
        <v>75</v>
      </c>
      <c r="E472" t="s">
        <v>116</v>
      </c>
      <c r="F472">
        <v>3</v>
      </c>
      <c r="G472" t="s">
        <v>77</v>
      </c>
      <c r="H472" t="s">
        <v>20</v>
      </c>
      <c r="I472">
        <v>8</v>
      </c>
      <c r="J472">
        <v>12</v>
      </c>
      <c r="K472">
        <v>0</v>
      </c>
      <c r="L472">
        <v>16</v>
      </c>
      <c r="M472">
        <v>15</v>
      </c>
      <c r="N472">
        <v>0</v>
      </c>
      <c r="O472">
        <v>122</v>
      </c>
      <c r="V472" t="s">
        <v>151</v>
      </c>
      <c r="W472" s="3" t="s">
        <v>20</v>
      </c>
      <c r="X472" s="3" t="s">
        <v>21</v>
      </c>
      <c r="Y472" s="3" t="s">
        <v>60</v>
      </c>
      <c r="Z472" s="3" t="s">
        <v>61</v>
      </c>
      <c r="AA472" s="3" t="s">
        <v>62</v>
      </c>
      <c r="AB472" s="30"/>
      <c r="AC472" s="30"/>
    </row>
    <row r="473" spans="1:32" x14ac:dyDescent="0.2">
      <c r="A473" t="s">
        <v>125</v>
      </c>
      <c r="B473" t="s">
        <v>45</v>
      </c>
      <c r="C473" t="s">
        <v>17</v>
      </c>
      <c r="D473" t="s">
        <v>75</v>
      </c>
      <c r="E473" t="s">
        <v>116</v>
      </c>
      <c r="F473">
        <v>3</v>
      </c>
      <c r="G473" t="s">
        <v>77</v>
      </c>
      <c r="H473" t="s">
        <v>21</v>
      </c>
      <c r="I473">
        <v>2</v>
      </c>
      <c r="J473">
        <v>0</v>
      </c>
      <c r="K473">
        <v>0</v>
      </c>
      <c r="L473">
        <v>16</v>
      </c>
      <c r="M473">
        <v>15</v>
      </c>
      <c r="N473">
        <v>0</v>
      </c>
      <c r="O473">
        <v>122</v>
      </c>
      <c r="V473" s="18" t="s">
        <v>202</v>
      </c>
      <c r="W473" s="8">
        <f>Z690</f>
        <v>57.55356150874907</v>
      </c>
      <c r="X473" s="8">
        <f>AA690</f>
        <v>17.265041084899128</v>
      </c>
      <c r="Y473" s="8">
        <f>AB690</f>
        <v>7.3658990748787598</v>
      </c>
      <c r="Z473" s="8">
        <f>AC690</f>
        <v>17.740423256397971</v>
      </c>
      <c r="AA473" s="8">
        <f>AD690</f>
        <v>7.5075075075075076E-2</v>
      </c>
      <c r="AB473" s="8">
        <f>SUM(W473:X473)</f>
        <v>74.818602593648194</v>
      </c>
      <c r="AC473" s="8">
        <f>SUM(W473:Y473)</f>
        <v>82.184501668526948</v>
      </c>
      <c r="AE473" s="24">
        <f>(AB473-AB474)/AB473</f>
        <v>-4.225343417243501E-2</v>
      </c>
    </row>
    <row r="474" spans="1:32" x14ac:dyDescent="0.2">
      <c r="A474" t="s">
        <v>125</v>
      </c>
      <c r="B474" t="s">
        <v>45</v>
      </c>
      <c r="C474" t="s">
        <v>17</v>
      </c>
      <c r="D474" t="s">
        <v>75</v>
      </c>
      <c r="E474" t="s">
        <v>116</v>
      </c>
      <c r="F474">
        <v>3</v>
      </c>
      <c r="G474" t="s">
        <v>77</v>
      </c>
      <c r="H474" t="s">
        <v>22</v>
      </c>
      <c r="I474">
        <v>5</v>
      </c>
      <c r="J474">
        <v>2</v>
      </c>
      <c r="K474">
        <v>0</v>
      </c>
      <c r="L474">
        <v>16</v>
      </c>
      <c r="M474">
        <v>15</v>
      </c>
      <c r="N474">
        <v>0</v>
      </c>
      <c r="O474">
        <v>122</v>
      </c>
      <c r="V474" s="18" t="s">
        <v>203</v>
      </c>
      <c r="W474" s="8">
        <f>Z698</f>
        <v>61.933991003564266</v>
      </c>
      <c r="X474" s="8">
        <f>AA698</f>
        <v>16.045954489648217</v>
      </c>
      <c r="Y474" s="8">
        <f>AB698</f>
        <v>6.7742029596864271</v>
      </c>
      <c r="Z474" s="8">
        <f>AC698</f>
        <v>15.24585154710109</v>
      </c>
      <c r="AA474" s="8">
        <f>AD698</f>
        <v>0</v>
      </c>
      <c r="AB474" s="8">
        <f>SUM(W474:X474)</f>
        <v>77.979945493212483</v>
      </c>
      <c r="AC474" s="8">
        <f t="shared" ref="AC474:AC475" si="3">SUM(W474:Y474)</f>
        <v>84.754148452898903</v>
      </c>
    </row>
    <row r="475" spans="1:32" x14ac:dyDescent="0.2">
      <c r="A475" t="s">
        <v>125</v>
      </c>
      <c r="B475" t="s">
        <v>45</v>
      </c>
      <c r="C475" t="s">
        <v>17</v>
      </c>
      <c r="D475" t="s">
        <v>75</v>
      </c>
      <c r="E475" t="s">
        <v>116</v>
      </c>
      <c r="F475">
        <v>3</v>
      </c>
      <c r="G475" t="s">
        <v>77</v>
      </c>
      <c r="H475" t="s">
        <v>23</v>
      </c>
      <c r="I475">
        <v>1</v>
      </c>
      <c r="J475">
        <v>1</v>
      </c>
      <c r="K475">
        <v>0</v>
      </c>
      <c r="L475">
        <v>16</v>
      </c>
      <c r="M475">
        <v>15</v>
      </c>
      <c r="N475">
        <v>0</v>
      </c>
      <c r="O475">
        <v>122</v>
      </c>
      <c r="V475" s="18" t="s">
        <v>204</v>
      </c>
      <c r="W475" s="8">
        <f>Z706</f>
        <v>60.00849814421661</v>
      </c>
      <c r="X475" s="8">
        <f>AA706</f>
        <v>10.533277384359785</v>
      </c>
      <c r="Y475" s="8">
        <f>AB706</f>
        <v>10.043823025789534</v>
      </c>
      <c r="Z475" s="8">
        <f>AC706</f>
        <v>19.347197144558795</v>
      </c>
      <c r="AA475" s="8">
        <f>AD706</f>
        <v>6.7204301075268813E-2</v>
      </c>
      <c r="AB475" s="8">
        <f t="shared" ref="AB475" si="4">SUM(W475:X475)</f>
        <v>70.541775528576395</v>
      </c>
      <c r="AC475" s="8">
        <f t="shared" si="3"/>
        <v>80.58559855436593</v>
      </c>
    </row>
    <row r="476" spans="1:32" x14ac:dyDescent="0.2">
      <c r="A476" t="s">
        <v>125</v>
      </c>
      <c r="B476" t="s">
        <v>45</v>
      </c>
      <c r="C476" t="s">
        <v>17</v>
      </c>
      <c r="D476" t="s">
        <v>75</v>
      </c>
      <c r="E476" t="s">
        <v>116</v>
      </c>
      <c r="F476">
        <v>3</v>
      </c>
      <c r="G476" t="s">
        <v>77</v>
      </c>
      <c r="H476" t="s">
        <v>24</v>
      </c>
      <c r="I476">
        <v>0</v>
      </c>
      <c r="J476">
        <v>0</v>
      </c>
      <c r="K476">
        <v>0</v>
      </c>
      <c r="L476">
        <v>16</v>
      </c>
      <c r="M476">
        <v>15</v>
      </c>
      <c r="N476">
        <v>0</v>
      </c>
      <c r="O476">
        <v>122</v>
      </c>
      <c r="V476" s="18" t="s">
        <v>199</v>
      </c>
      <c r="W476" s="8">
        <f>AVERAGE(W473:W475)</f>
        <v>59.832016885509979</v>
      </c>
      <c r="X476" s="8">
        <f t="shared" ref="X476:AA476" si="5">AVERAGE(X473:X475)</f>
        <v>14.614757652969045</v>
      </c>
      <c r="Y476" s="8">
        <f t="shared" si="5"/>
        <v>8.0613083534515741</v>
      </c>
      <c r="Z476" s="8">
        <f t="shared" si="5"/>
        <v>17.444490649352616</v>
      </c>
      <c r="AA476" s="8">
        <f t="shared" si="5"/>
        <v>4.7426458716781299E-2</v>
      </c>
    </row>
    <row r="477" spans="1:32" x14ac:dyDescent="0.2">
      <c r="A477" t="s">
        <v>125</v>
      </c>
      <c r="B477" t="s">
        <v>45</v>
      </c>
      <c r="C477" t="s">
        <v>17</v>
      </c>
      <c r="D477" t="s">
        <v>75</v>
      </c>
      <c r="E477" t="s">
        <v>114</v>
      </c>
      <c r="F477">
        <v>3</v>
      </c>
      <c r="G477" t="s">
        <v>73</v>
      </c>
      <c r="H477" t="s">
        <v>20</v>
      </c>
      <c r="I477">
        <v>2</v>
      </c>
      <c r="J477">
        <v>7</v>
      </c>
      <c r="K477">
        <v>0</v>
      </c>
      <c r="L477">
        <v>16</v>
      </c>
      <c r="M477">
        <v>14</v>
      </c>
      <c r="N477">
        <v>0</v>
      </c>
      <c r="O477">
        <v>115</v>
      </c>
    </row>
    <row r="478" spans="1:32" x14ac:dyDescent="0.2">
      <c r="A478" t="s">
        <v>125</v>
      </c>
      <c r="B478" t="s">
        <v>45</v>
      </c>
      <c r="C478" t="s">
        <v>17</v>
      </c>
      <c r="D478" t="s">
        <v>75</v>
      </c>
      <c r="E478" t="s">
        <v>114</v>
      </c>
      <c r="F478">
        <v>3</v>
      </c>
      <c r="G478" t="s">
        <v>73</v>
      </c>
      <c r="H478" t="s">
        <v>21</v>
      </c>
      <c r="I478">
        <v>6</v>
      </c>
      <c r="J478">
        <v>2</v>
      </c>
      <c r="K478">
        <v>0</v>
      </c>
      <c r="L478">
        <v>16</v>
      </c>
      <c r="M478">
        <v>14</v>
      </c>
      <c r="N478">
        <v>0</v>
      </c>
      <c r="O478">
        <v>115</v>
      </c>
    </row>
    <row r="479" spans="1:32" x14ac:dyDescent="0.2">
      <c r="A479" t="s">
        <v>125</v>
      </c>
      <c r="B479" t="s">
        <v>45</v>
      </c>
      <c r="C479" t="s">
        <v>17</v>
      </c>
      <c r="D479" t="s">
        <v>75</v>
      </c>
      <c r="E479" t="s">
        <v>114</v>
      </c>
      <c r="F479">
        <v>3</v>
      </c>
      <c r="G479" t="s">
        <v>73</v>
      </c>
      <c r="H479" t="s">
        <v>22</v>
      </c>
      <c r="I479">
        <v>2</v>
      </c>
      <c r="J479">
        <v>3</v>
      </c>
      <c r="K479">
        <v>0</v>
      </c>
      <c r="L479">
        <v>16</v>
      </c>
      <c r="M479">
        <v>14</v>
      </c>
      <c r="N479">
        <v>0</v>
      </c>
      <c r="O479">
        <v>115</v>
      </c>
    </row>
    <row r="480" spans="1:32" x14ac:dyDescent="0.2">
      <c r="A480" t="s">
        <v>125</v>
      </c>
      <c r="B480" t="s">
        <v>45</v>
      </c>
      <c r="C480" t="s">
        <v>17</v>
      </c>
      <c r="D480" t="s">
        <v>75</v>
      </c>
      <c r="E480" t="s">
        <v>114</v>
      </c>
      <c r="F480">
        <v>3</v>
      </c>
      <c r="G480" t="s">
        <v>73</v>
      </c>
      <c r="H480" t="s">
        <v>23</v>
      </c>
      <c r="I480">
        <v>6</v>
      </c>
      <c r="J480">
        <v>2</v>
      </c>
      <c r="K480">
        <v>0</v>
      </c>
      <c r="L480">
        <v>16</v>
      </c>
      <c r="M480">
        <v>14</v>
      </c>
      <c r="N480">
        <v>0</v>
      </c>
      <c r="O480">
        <v>115</v>
      </c>
    </row>
    <row r="481" spans="1:15" x14ac:dyDescent="0.2">
      <c r="A481" t="s">
        <v>125</v>
      </c>
      <c r="B481" t="s">
        <v>45</v>
      </c>
      <c r="C481" t="s">
        <v>17</v>
      </c>
      <c r="D481" t="s">
        <v>75</v>
      </c>
      <c r="E481" t="s">
        <v>114</v>
      </c>
      <c r="F481">
        <v>3</v>
      </c>
      <c r="G481" t="s">
        <v>73</v>
      </c>
      <c r="H481" t="s">
        <v>24</v>
      </c>
      <c r="I481">
        <v>0</v>
      </c>
      <c r="J481">
        <v>0</v>
      </c>
      <c r="K481">
        <v>0</v>
      </c>
      <c r="L481">
        <v>16</v>
      </c>
      <c r="M481">
        <v>14</v>
      </c>
      <c r="N481">
        <v>0</v>
      </c>
      <c r="O481">
        <v>115</v>
      </c>
    </row>
    <row r="482" spans="1:15" x14ac:dyDescent="0.2">
      <c r="A482" t="s">
        <v>108</v>
      </c>
      <c r="B482" t="s">
        <v>83</v>
      </c>
      <c r="C482" t="s">
        <v>17</v>
      </c>
      <c r="D482" t="s">
        <v>75</v>
      </c>
      <c r="E482" t="s">
        <v>106</v>
      </c>
      <c r="F482">
        <v>3</v>
      </c>
      <c r="G482" t="s">
        <v>19</v>
      </c>
      <c r="H482" t="s">
        <v>20</v>
      </c>
      <c r="I482">
        <v>24</v>
      </c>
      <c r="J482">
        <v>43</v>
      </c>
      <c r="K482">
        <v>0</v>
      </c>
      <c r="L482">
        <v>41</v>
      </c>
      <c r="M482">
        <v>133</v>
      </c>
      <c r="N482">
        <v>0</v>
      </c>
      <c r="O482">
        <v>617</v>
      </c>
    </row>
    <row r="483" spans="1:15" x14ac:dyDescent="0.2">
      <c r="A483" t="s">
        <v>108</v>
      </c>
      <c r="B483" t="s">
        <v>83</v>
      </c>
      <c r="C483" t="s">
        <v>17</v>
      </c>
      <c r="D483" t="s">
        <v>75</v>
      </c>
      <c r="E483" t="s">
        <v>106</v>
      </c>
      <c r="F483">
        <v>3</v>
      </c>
      <c r="G483" t="s">
        <v>19</v>
      </c>
      <c r="H483" t="s">
        <v>21</v>
      </c>
      <c r="I483">
        <v>11</v>
      </c>
      <c r="J483">
        <v>20</v>
      </c>
      <c r="K483">
        <v>0</v>
      </c>
      <c r="L483">
        <v>41</v>
      </c>
      <c r="M483">
        <v>133</v>
      </c>
      <c r="N483">
        <v>0</v>
      </c>
      <c r="O483">
        <v>617</v>
      </c>
    </row>
    <row r="484" spans="1:15" x14ac:dyDescent="0.2">
      <c r="A484" t="s">
        <v>108</v>
      </c>
      <c r="B484" t="s">
        <v>83</v>
      </c>
      <c r="C484" t="s">
        <v>17</v>
      </c>
      <c r="D484" t="s">
        <v>75</v>
      </c>
      <c r="E484" t="s">
        <v>106</v>
      </c>
      <c r="F484">
        <v>3</v>
      </c>
      <c r="G484" t="s">
        <v>19</v>
      </c>
      <c r="H484" t="s">
        <v>22</v>
      </c>
      <c r="I484">
        <v>2</v>
      </c>
      <c r="J484">
        <v>9</v>
      </c>
      <c r="K484">
        <v>0</v>
      </c>
      <c r="L484">
        <v>41</v>
      </c>
      <c r="M484">
        <v>133</v>
      </c>
      <c r="N484">
        <v>0</v>
      </c>
      <c r="O484">
        <v>617</v>
      </c>
    </row>
    <row r="485" spans="1:15" x14ac:dyDescent="0.2">
      <c r="A485" t="s">
        <v>108</v>
      </c>
      <c r="B485" t="s">
        <v>83</v>
      </c>
      <c r="C485" t="s">
        <v>17</v>
      </c>
      <c r="D485" t="s">
        <v>75</v>
      </c>
      <c r="E485" t="s">
        <v>106</v>
      </c>
      <c r="F485">
        <v>3</v>
      </c>
      <c r="G485" t="s">
        <v>19</v>
      </c>
      <c r="H485" t="s">
        <v>23</v>
      </c>
      <c r="I485">
        <v>4</v>
      </c>
      <c r="J485">
        <v>61</v>
      </c>
      <c r="K485">
        <v>0</v>
      </c>
      <c r="L485">
        <v>41</v>
      </c>
      <c r="M485">
        <v>133</v>
      </c>
      <c r="N485">
        <v>0</v>
      </c>
      <c r="O485">
        <v>617</v>
      </c>
    </row>
    <row r="486" spans="1:15" x14ac:dyDescent="0.2">
      <c r="A486" t="s">
        <v>108</v>
      </c>
      <c r="B486" t="s">
        <v>83</v>
      </c>
      <c r="C486" t="s">
        <v>17</v>
      </c>
      <c r="D486" t="s">
        <v>75</v>
      </c>
      <c r="E486" t="s">
        <v>106</v>
      </c>
      <c r="F486">
        <v>3</v>
      </c>
      <c r="G486" t="s">
        <v>19</v>
      </c>
      <c r="H486" t="s">
        <v>24</v>
      </c>
      <c r="I486">
        <v>0</v>
      </c>
      <c r="J486">
        <v>0</v>
      </c>
      <c r="K486">
        <v>0</v>
      </c>
      <c r="L486">
        <v>41</v>
      </c>
      <c r="M486">
        <v>133</v>
      </c>
      <c r="N486">
        <v>0</v>
      </c>
      <c r="O486">
        <v>617</v>
      </c>
    </row>
    <row r="487" spans="1:15" x14ac:dyDescent="0.2">
      <c r="A487" t="s">
        <v>108</v>
      </c>
      <c r="B487" t="s">
        <v>83</v>
      </c>
      <c r="C487" t="s">
        <v>17</v>
      </c>
      <c r="D487" t="s">
        <v>75</v>
      </c>
      <c r="E487" t="s">
        <v>185</v>
      </c>
      <c r="F487">
        <v>3</v>
      </c>
      <c r="G487" t="s">
        <v>130</v>
      </c>
      <c r="H487" t="s">
        <v>20</v>
      </c>
      <c r="I487">
        <v>35</v>
      </c>
      <c r="J487">
        <v>32</v>
      </c>
      <c r="K487">
        <v>0</v>
      </c>
      <c r="L487">
        <v>45</v>
      </c>
      <c r="M487">
        <v>86</v>
      </c>
      <c r="N487">
        <v>0</v>
      </c>
      <c r="O487">
        <v>697</v>
      </c>
    </row>
    <row r="488" spans="1:15" x14ac:dyDescent="0.2">
      <c r="A488" t="s">
        <v>108</v>
      </c>
      <c r="B488" t="s">
        <v>83</v>
      </c>
      <c r="C488" t="s">
        <v>17</v>
      </c>
      <c r="D488" t="s">
        <v>75</v>
      </c>
      <c r="E488" t="s">
        <v>185</v>
      </c>
      <c r="F488">
        <v>3</v>
      </c>
      <c r="G488" t="s">
        <v>130</v>
      </c>
      <c r="H488" t="s">
        <v>21</v>
      </c>
      <c r="I488">
        <v>6</v>
      </c>
      <c r="J488">
        <v>7</v>
      </c>
      <c r="K488">
        <v>0</v>
      </c>
      <c r="L488">
        <v>45</v>
      </c>
      <c r="M488">
        <v>86</v>
      </c>
      <c r="N488">
        <v>0</v>
      </c>
      <c r="O488">
        <v>697</v>
      </c>
    </row>
    <row r="489" spans="1:15" x14ac:dyDescent="0.2">
      <c r="A489" t="s">
        <v>108</v>
      </c>
      <c r="B489" t="s">
        <v>83</v>
      </c>
      <c r="C489" t="s">
        <v>17</v>
      </c>
      <c r="D489" t="s">
        <v>75</v>
      </c>
      <c r="E489" t="s">
        <v>185</v>
      </c>
      <c r="F489">
        <v>3</v>
      </c>
      <c r="G489" t="s">
        <v>130</v>
      </c>
      <c r="H489" t="s">
        <v>22</v>
      </c>
      <c r="I489">
        <v>1</v>
      </c>
      <c r="J489">
        <v>3</v>
      </c>
      <c r="K489">
        <v>0</v>
      </c>
      <c r="L489">
        <v>45</v>
      </c>
      <c r="M489">
        <v>86</v>
      </c>
      <c r="N489">
        <v>0</v>
      </c>
      <c r="O489">
        <v>697</v>
      </c>
    </row>
    <row r="490" spans="1:15" x14ac:dyDescent="0.2">
      <c r="A490" t="s">
        <v>108</v>
      </c>
      <c r="B490" t="s">
        <v>83</v>
      </c>
      <c r="C490" t="s">
        <v>17</v>
      </c>
      <c r="D490" t="s">
        <v>75</v>
      </c>
      <c r="E490" t="s">
        <v>185</v>
      </c>
      <c r="F490">
        <v>3</v>
      </c>
      <c r="G490" t="s">
        <v>130</v>
      </c>
      <c r="H490" t="s">
        <v>23</v>
      </c>
      <c r="I490">
        <v>3</v>
      </c>
      <c r="J490">
        <v>44</v>
      </c>
      <c r="K490">
        <v>0</v>
      </c>
      <c r="L490">
        <v>45</v>
      </c>
      <c r="M490">
        <v>86</v>
      </c>
      <c r="N490">
        <v>0</v>
      </c>
      <c r="O490">
        <v>697</v>
      </c>
    </row>
    <row r="491" spans="1:15" x14ac:dyDescent="0.2">
      <c r="A491" t="s">
        <v>108</v>
      </c>
      <c r="B491" t="s">
        <v>83</v>
      </c>
      <c r="C491" t="s">
        <v>17</v>
      </c>
      <c r="D491" t="s">
        <v>75</v>
      </c>
      <c r="E491" t="s">
        <v>185</v>
      </c>
      <c r="F491">
        <v>3</v>
      </c>
      <c r="G491" t="s">
        <v>130</v>
      </c>
      <c r="H491" t="s">
        <v>24</v>
      </c>
      <c r="I491">
        <v>0</v>
      </c>
      <c r="J491">
        <v>0</v>
      </c>
      <c r="K491">
        <v>0</v>
      </c>
      <c r="L491">
        <v>45</v>
      </c>
      <c r="M491">
        <v>86</v>
      </c>
      <c r="N491">
        <v>0</v>
      </c>
      <c r="O491">
        <v>697</v>
      </c>
    </row>
    <row r="492" spans="1:15" x14ac:dyDescent="0.2">
      <c r="A492" t="s">
        <v>108</v>
      </c>
      <c r="B492" t="s">
        <v>83</v>
      </c>
      <c r="C492" t="s">
        <v>17</v>
      </c>
      <c r="D492" t="s">
        <v>75</v>
      </c>
      <c r="E492" t="s">
        <v>184</v>
      </c>
      <c r="F492">
        <v>3</v>
      </c>
      <c r="G492" t="s">
        <v>128</v>
      </c>
      <c r="H492" t="s">
        <v>20</v>
      </c>
      <c r="I492">
        <v>17</v>
      </c>
      <c r="J492">
        <v>22</v>
      </c>
      <c r="K492">
        <v>0</v>
      </c>
      <c r="L492">
        <v>29</v>
      </c>
      <c r="M492">
        <v>65</v>
      </c>
      <c r="N492">
        <v>0</v>
      </c>
      <c r="O492">
        <v>652</v>
      </c>
    </row>
    <row r="493" spans="1:15" x14ac:dyDescent="0.2">
      <c r="A493" t="s">
        <v>108</v>
      </c>
      <c r="B493" t="s">
        <v>83</v>
      </c>
      <c r="C493" t="s">
        <v>17</v>
      </c>
      <c r="D493" t="s">
        <v>75</v>
      </c>
      <c r="E493" t="s">
        <v>184</v>
      </c>
      <c r="F493">
        <v>3</v>
      </c>
      <c r="G493" t="s">
        <v>128</v>
      </c>
      <c r="H493" t="s">
        <v>21</v>
      </c>
      <c r="I493">
        <v>9</v>
      </c>
      <c r="J493">
        <v>6</v>
      </c>
      <c r="K493">
        <v>0</v>
      </c>
      <c r="L493">
        <v>29</v>
      </c>
      <c r="M493">
        <v>65</v>
      </c>
      <c r="N493">
        <v>0</v>
      </c>
      <c r="O493">
        <v>652</v>
      </c>
    </row>
    <row r="494" spans="1:15" x14ac:dyDescent="0.2">
      <c r="A494" t="s">
        <v>108</v>
      </c>
      <c r="B494" t="s">
        <v>83</v>
      </c>
      <c r="C494" t="s">
        <v>17</v>
      </c>
      <c r="D494" t="s">
        <v>75</v>
      </c>
      <c r="E494" t="s">
        <v>184</v>
      </c>
      <c r="F494">
        <v>3</v>
      </c>
      <c r="G494" t="s">
        <v>128</v>
      </c>
      <c r="H494" t="s">
        <v>22</v>
      </c>
      <c r="I494">
        <v>2</v>
      </c>
      <c r="J494">
        <v>4</v>
      </c>
      <c r="K494">
        <v>0</v>
      </c>
      <c r="L494">
        <v>29</v>
      </c>
      <c r="M494">
        <v>65</v>
      </c>
      <c r="N494">
        <v>0</v>
      </c>
      <c r="O494">
        <v>652</v>
      </c>
    </row>
    <row r="495" spans="1:15" x14ac:dyDescent="0.2">
      <c r="A495" t="s">
        <v>108</v>
      </c>
      <c r="B495" t="s">
        <v>83</v>
      </c>
      <c r="C495" t="s">
        <v>17</v>
      </c>
      <c r="D495" t="s">
        <v>75</v>
      </c>
      <c r="E495" t="s">
        <v>184</v>
      </c>
      <c r="F495">
        <v>3</v>
      </c>
      <c r="G495" t="s">
        <v>128</v>
      </c>
      <c r="H495" t="s">
        <v>23</v>
      </c>
      <c r="I495">
        <v>1</v>
      </c>
      <c r="J495">
        <v>33</v>
      </c>
      <c r="K495">
        <v>0</v>
      </c>
      <c r="L495">
        <v>29</v>
      </c>
      <c r="M495">
        <v>65</v>
      </c>
      <c r="N495">
        <v>0</v>
      </c>
      <c r="O495">
        <v>652</v>
      </c>
    </row>
    <row r="496" spans="1:15" x14ac:dyDescent="0.2">
      <c r="A496" t="s">
        <v>108</v>
      </c>
      <c r="B496" t="s">
        <v>83</v>
      </c>
      <c r="C496" t="s">
        <v>17</v>
      </c>
      <c r="D496" t="s">
        <v>75</v>
      </c>
      <c r="E496" t="s">
        <v>184</v>
      </c>
      <c r="F496">
        <v>3</v>
      </c>
      <c r="G496" t="s">
        <v>128</v>
      </c>
      <c r="H496" t="s">
        <v>24</v>
      </c>
      <c r="I496">
        <v>0</v>
      </c>
      <c r="J496">
        <v>0</v>
      </c>
      <c r="K496">
        <v>0</v>
      </c>
      <c r="L496">
        <v>29</v>
      </c>
      <c r="M496">
        <v>65</v>
      </c>
      <c r="N496">
        <v>0</v>
      </c>
      <c r="O496">
        <v>652</v>
      </c>
    </row>
    <row r="497" spans="1:15" x14ac:dyDescent="0.2">
      <c r="A497" t="s">
        <v>108</v>
      </c>
      <c r="B497" t="s">
        <v>83</v>
      </c>
      <c r="C497" t="s">
        <v>17</v>
      </c>
      <c r="D497" t="s">
        <v>75</v>
      </c>
      <c r="E497" t="s">
        <v>183</v>
      </c>
      <c r="F497">
        <v>3</v>
      </c>
      <c r="G497" t="s">
        <v>126</v>
      </c>
      <c r="H497" t="s">
        <v>20</v>
      </c>
      <c r="I497">
        <v>22</v>
      </c>
      <c r="J497">
        <v>19</v>
      </c>
      <c r="K497">
        <v>0</v>
      </c>
      <c r="L497">
        <v>29</v>
      </c>
      <c r="M497">
        <v>68</v>
      </c>
      <c r="N497">
        <v>0</v>
      </c>
      <c r="O497">
        <v>624</v>
      </c>
    </row>
    <row r="498" spans="1:15" x14ac:dyDescent="0.2">
      <c r="A498" t="s">
        <v>108</v>
      </c>
      <c r="B498" t="s">
        <v>83</v>
      </c>
      <c r="C498" t="s">
        <v>17</v>
      </c>
      <c r="D498" t="s">
        <v>75</v>
      </c>
      <c r="E498" t="s">
        <v>183</v>
      </c>
      <c r="F498">
        <v>3</v>
      </c>
      <c r="G498" t="s">
        <v>126</v>
      </c>
      <c r="H498" t="s">
        <v>21</v>
      </c>
      <c r="I498">
        <v>6</v>
      </c>
      <c r="J498">
        <v>8</v>
      </c>
      <c r="K498">
        <v>0</v>
      </c>
      <c r="L498">
        <v>29</v>
      </c>
      <c r="M498">
        <v>68</v>
      </c>
      <c r="N498">
        <v>0</v>
      </c>
      <c r="O498">
        <v>624</v>
      </c>
    </row>
    <row r="499" spans="1:15" x14ac:dyDescent="0.2">
      <c r="A499" t="s">
        <v>108</v>
      </c>
      <c r="B499" t="s">
        <v>83</v>
      </c>
      <c r="C499" t="s">
        <v>17</v>
      </c>
      <c r="D499" t="s">
        <v>75</v>
      </c>
      <c r="E499" t="s">
        <v>183</v>
      </c>
      <c r="F499">
        <v>3</v>
      </c>
      <c r="G499" t="s">
        <v>126</v>
      </c>
      <c r="H499" t="s">
        <v>22</v>
      </c>
      <c r="I499">
        <v>0</v>
      </c>
      <c r="J499">
        <v>5</v>
      </c>
      <c r="K499">
        <v>0</v>
      </c>
      <c r="L499">
        <v>29</v>
      </c>
      <c r="M499">
        <v>68</v>
      </c>
      <c r="N499">
        <v>0</v>
      </c>
      <c r="O499">
        <v>624</v>
      </c>
    </row>
    <row r="500" spans="1:15" x14ac:dyDescent="0.2">
      <c r="A500" t="s">
        <v>108</v>
      </c>
      <c r="B500" t="s">
        <v>83</v>
      </c>
      <c r="C500" t="s">
        <v>17</v>
      </c>
      <c r="D500" t="s">
        <v>75</v>
      </c>
      <c r="E500" t="s">
        <v>183</v>
      </c>
      <c r="F500">
        <v>3</v>
      </c>
      <c r="G500" t="s">
        <v>126</v>
      </c>
      <c r="H500" t="s">
        <v>23</v>
      </c>
      <c r="I500">
        <v>1</v>
      </c>
      <c r="J500">
        <v>35</v>
      </c>
      <c r="K500">
        <v>0</v>
      </c>
      <c r="L500">
        <v>29</v>
      </c>
      <c r="M500">
        <v>68</v>
      </c>
      <c r="N500">
        <v>0</v>
      </c>
      <c r="O500">
        <v>624</v>
      </c>
    </row>
    <row r="501" spans="1:15" x14ac:dyDescent="0.2">
      <c r="A501" t="s">
        <v>108</v>
      </c>
      <c r="B501" t="s">
        <v>83</v>
      </c>
      <c r="C501" t="s">
        <v>17</v>
      </c>
      <c r="D501" t="s">
        <v>75</v>
      </c>
      <c r="E501" t="s">
        <v>183</v>
      </c>
      <c r="F501">
        <v>3</v>
      </c>
      <c r="G501" t="s">
        <v>126</v>
      </c>
      <c r="H501" t="s">
        <v>24</v>
      </c>
      <c r="I501">
        <v>0</v>
      </c>
      <c r="J501">
        <v>1</v>
      </c>
      <c r="K501">
        <v>0</v>
      </c>
      <c r="L501">
        <v>29</v>
      </c>
      <c r="M501">
        <v>68</v>
      </c>
      <c r="N501">
        <v>0</v>
      </c>
      <c r="O501">
        <v>624</v>
      </c>
    </row>
    <row r="502" spans="1:15" x14ac:dyDescent="0.2">
      <c r="A502" t="s">
        <v>96</v>
      </c>
      <c r="B502" t="s">
        <v>83</v>
      </c>
      <c r="C502" t="s">
        <v>17</v>
      </c>
      <c r="D502" t="s">
        <v>75</v>
      </c>
      <c r="E502" t="s">
        <v>94</v>
      </c>
      <c r="F502">
        <v>3</v>
      </c>
      <c r="G502" t="s">
        <v>19</v>
      </c>
      <c r="H502" t="s">
        <v>20</v>
      </c>
      <c r="I502">
        <v>6</v>
      </c>
      <c r="J502">
        <v>0</v>
      </c>
      <c r="K502">
        <v>0</v>
      </c>
      <c r="L502">
        <v>9</v>
      </c>
      <c r="M502">
        <v>5</v>
      </c>
      <c r="N502">
        <v>0</v>
      </c>
      <c r="O502">
        <v>541</v>
      </c>
    </row>
    <row r="503" spans="1:15" x14ac:dyDescent="0.2">
      <c r="A503" t="s">
        <v>96</v>
      </c>
      <c r="B503" t="s">
        <v>83</v>
      </c>
      <c r="C503" t="s">
        <v>17</v>
      </c>
      <c r="D503" t="s">
        <v>75</v>
      </c>
      <c r="E503" t="s">
        <v>94</v>
      </c>
      <c r="F503">
        <v>3</v>
      </c>
      <c r="G503" t="s">
        <v>19</v>
      </c>
      <c r="H503" t="s">
        <v>21</v>
      </c>
      <c r="I503">
        <v>0</v>
      </c>
      <c r="J503">
        <v>0</v>
      </c>
      <c r="K503">
        <v>0</v>
      </c>
      <c r="L503">
        <v>9</v>
      </c>
      <c r="M503">
        <v>5</v>
      </c>
      <c r="N503">
        <v>0</v>
      </c>
      <c r="O503">
        <v>541</v>
      </c>
    </row>
    <row r="504" spans="1:15" x14ac:dyDescent="0.2">
      <c r="A504" t="s">
        <v>96</v>
      </c>
      <c r="B504" t="s">
        <v>83</v>
      </c>
      <c r="C504" t="s">
        <v>17</v>
      </c>
      <c r="D504" t="s">
        <v>75</v>
      </c>
      <c r="E504" t="s">
        <v>94</v>
      </c>
      <c r="F504">
        <v>3</v>
      </c>
      <c r="G504" t="s">
        <v>19</v>
      </c>
      <c r="H504" t="s">
        <v>22</v>
      </c>
      <c r="I504">
        <v>0</v>
      </c>
      <c r="J504">
        <v>0</v>
      </c>
      <c r="K504">
        <v>0</v>
      </c>
      <c r="L504">
        <v>9</v>
      </c>
      <c r="M504">
        <v>5</v>
      </c>
      <c r="N504">
        <v>0</v>
      </c>
      <c r="O504">
        <v>541</v>
      </c>
    </row>
    <row r="505" spans="1:15" x14ac:dyDescent="0.2">
      <c r="A505" t="s">
        <v>96</v>
      </c>
      <c r="B505" t="s">
        <v>83</v>
      </c>
      <c r="C505" t="s">
        <v>17</v>
      </c>
      <c r="D505" t="s">
        <v>75</v>
      </c>
      <c r="E505" t="s">
        <v>94</v>
      </c>
      <c r="F505">
        <v>3</v>
      </c>
      <c r="G505" t="s">
        <v>19</v>
      </c>
      <c r="H505" t="s">
        <v>23</v>
      </c>
      <c r="I505">
        <v>3</v>
      </c>
      <c r="J505">
        <v>5</v>
      </c>
      <c r="K505">
        <v>0</v>
      </c>
      <c r="L505">
        <v>9</v>
      </c>
      <c r="M505">
        <v>5</v>
      </c>
      <c r="N505">
        <v>0</v>
      </c>
      <c r="O505">
        <v>541</v>
      </c>
    </row>
    <row r="506" spans="1:15" x14ac:dyDescent="0.2">
      <c r="A506" t="s">
        <v>96</v>
      </c>
      <c r="B506" t="s">
        <v>83</v>
      </c>
      <c r="C506" t="s">
        <v>17</v>
      </c>
      <c r="D506" t="s">
        <v>75</v>
      </c>
      <c r="E506" t="s">
        <v>94</v>
      </c>
      <c r="F506">
        <v>3</v>
      </c>
      <c r="G506" t="s">
        <v>19</v>
      </c>
      <c r="H506" t="s">
        <v>24</v>
      </c>
      <c r="I506">
        <v>0</v>
      </c>
      <c r="J506">
        <v>0</v>
      </c>
      <c r="K506">
        <v>0</v>
      </c>
      <c r="L506">
        <v>9</v>
      </c>
      <c r="M506">
        <v>5</v>
      </c>
      <c r="N506">
        <v>0</v>
      </c>
      <c r="O506">
        <v>541</v>
      </c>
    </row>
    <row r="507" spans="1:15" x14ac:dyDescent="0.2">
      <c r="A507" t="s">
        <v>96</v>
      </c>
      <c r="B507" t="s">
        <v>83</v>
      </c>
      <c r="C507" t="s">
        <v>17</v>
      </c>
      <c r="D507" t="s">
        <v>75</v>
      </c>
      <c r="E507" t="s">
        <v>182</v>
      </c>
      <c r="F507">
        <v>3</v>
      </c>
      <c r="G507" t="s">
        <v>130</v>
      </c>
      <c r="H507" t="s">
        <v>20</v>
      </c>
      <c r="I507">
        <v>3</v>
      </c>
      <c r="J507">
        <v>0</v>
      </c>
      <c r="K507">
        <v>0</v>
      </c>
      <c r="L507">
        <v>7</v>
      </c>
      <c r="M507">
        <v>12</v>
      </c>
      <c r="N507">
        <v>0</v>
      </c>
      <c r="O507">
        <v>640</v>
      </c>
    </row>
    <row r="508" spans="1:15" x14ac:dyDescent="0.2">
      <c r="A508" t="s">
        <v>96</v>
      </c>
      <c r="B508" t="s">
        <v>83</v>
      </c>
      <c r="C508" t="s">
        <v>17</v>
      </c>
      <c r="D508" t="s">
        <v>75</v>
      </c>
      <c r="E508" t="s">
        <v>182</v>
      </c>
      <c r="F508">
        <v>3</v>
      </c>
      <c r="G508" t="s">
        <v>130</v>
      </c>
      <c r="H508" t="s">
        <v>21</v>
      </c>
      <c r="I508">
        <v>0</v>
      </c>
      <c r="J508">
        <v>3</v>
      </c>
      <c r="K508">
        <v>0</v>
      </c>
      <c r="L508">
        <v>7</v>
      </c>
      <c r="M508">
        <v>12</v>
      </c>
      <c r="N508">
        <v>0</v>
      </c>
      <c r="O508">
        <v>640</v>
      </c>
    </row>
    <row r="509" spans="1:15" x14ac:dyDescent="0.2">
      <c r="A509" t="s">
        <v>96</v>
      </c>
      <c r="B509" t="s">
        <v>83</v>
      </c>
      <c r="C509" t="s">
        <v>17</v>
      </c>
      <c r="D509" t="s">
        <v>75</v>
      </c>
      <c r="E509" t="s">
        <v>182</v>
      </c>
      <c r="F509">
        <v>3</v>
      </c>
      <c r="G509" t="s">
        <v>130</v>
      </c>
      <c r="H509" t="s">
        <v>22</v>
      </c>
      <c r="I509">
        <v>0</v>
      </c>
      <c r="J509">
        <v>1</v>
      </c>
      <c r="K509">
        <v>0</v>
      </c>
      <c r="L509">
        <v>7</v>
      </c>
      <c r="M509">
        <v>12</v>
      </c>
      <c r="N509">
        <v>0</v>
      </c>
      <c r="O509">
        <v>640</v>
      </c>
    </row>
    <row r="510" spans="1:15" x14ac:dyDescent="0.2">
      <c r="A510" t="s">
        <v>96</v>
      </c>
      <c r="B510" t="s">
        <v>83</v>
      </c>
      <c r="C510" t="s">
        <v>17</v>
      </c>
      <c r="D510" t="s">
        <v>75</v>
      </c>
      <c r="E510" t="s">
        <v>182</v>
      </c>
      <c r="F510">
        <v>3</v>
      </c>
      <c r="G510" t="s">
        <v>130</v>
      </c>
      <c r="H510" t="s">
        <v>23</v>
      </c>
      <c r="I510">
        <v>4</v>
      </c>
      <c r="J510">
        <v>8</v>
      </c>
      <c r="K510">
        <v>0</v>
      </c>
      <c r="L510">
        <v>7</v>
      </c>
      <c r="M510">
        <v>12</v>
      </c>
      <c r="N510">
        <v>0</v>
      </c>
      <c r="O510">
        <v>640</v>
      </c>
    </row>
    <row r="511" spans="1:15" x14ac:dyDescent="0.2">
      <c r="A511" t="s">
        <v>96</v>
      </c>
      <c r="B511" t="s">
        <v>83</v>
      </c>
      <c r="C511" t="s">
        <v>17</v>
      </c>
      <c r="D511" t="s">
        <v>75</v>
      </c>
      <c r="E511" t="s">
        <v>182</v>
      </c>
      <c r="F511">
        <v>3</v>
      </c>
      <c r="G511" t="s">
        <v>130</v>
      </c>
      <c r="H511" t="s">
        <v>24</v>
      </c>
      <c r="I511">
        <v>0</v>
      </c>
      <c r="J511">
        <v>0</v>
      </c>
      <c r="K511">
        <v>0</v>
      </c>
      <c r="L511">
        <v>7</v>
      </c>
      <c r="M511">
        <v>12</v>
      </c>
      <c r="N511">
        <v>0</v>
      </c>
      <c r="O511">
        <v>640</v>
      </c>
    </row>
    <row r="512" spans="1:15" x14ac:dyDescent="0.2">
      <c r="A512" t="s">
        <v>96</v>
      </c>
      <c r="B512" t="s">
        <v>83</v>
      </c>
      <c r="C512" t="s">
        <v>17</v>
      </c>
      <c r="D512" t="s">
        <v>75</v>
      </c>
      <c r="E512" t="s">
        <v>181</v>
      </c>
      <c r="F512">
        <v>3</v>
      </c>
      <c r="G512" t="s">
        <v>128</v>
      </c>
      <c r="H512" t="s">
        <v>20</v>
      </c>
      <c r="I512">
        <v>2</v>
      </c>
      <c r="J512">
        <v>0</v>
      </c>
      <c r="K512">
        <v>0</v>
      </c>
      <c r="L512">
        <v>4</v>
      </c>
      <c r="M512">
        <v>7</v>
      </c>
      <c r="N512">
        <v>0</v>
      </c>
      <c r="O512">
        <v>599</v>
      </c>
    </row>
    <row r="513" spans="1:15" x14ac:dyDescent="0.2">
      <c r="A513" t="s">
        <v>96</v>
      </c>
      <c r="B513" t="s">
        <v>83</v>
      </c>
      <c r="C513" t="s">
        <v>17</v>
      </c>
      <c r="D513" t="s">
        <v>75</v>
      </c>
      <c r="E513" t="s">
        <v>181</v>
      </c>
      <c r="F513">
        <v>3</v>
      </c>
      <c r="G513" t="s">
        <v>128</v>
      </c>
      <c r="H513" t="s">
        <v>21</v>
      </c>
      <c r="I513">
        <v>1</v>
      </c>
      <c r="J513">
        <v>1</v>
      </c>
      <c r="K513">
        <v>0</v>
      </c>
      <c r="L513">
        <v>4</v>
      </c>
      <c r="M513">
        <v>7</v>
      </c>
      <c r="N513">
        <v>0</v>
      </c>
      <c r="O513">
        <v>599</v>
      </c>
    </row>
    <row r="514" spans="1:15" x14ac:dyDescent="0.2">
      <c r="A514" t="s">
        <v>96</v>
      </c>
      <c r="B514" t="s">
        <v>83</v>
      </c>
      <c r="C514" t="s">
        <v>17</v>
      </c>
      <c r="D514" t="s">
        <v>75</v>
      </c>
      <c r="E514" t="s">
        <v>181</v>
      </c>
      <c r="F514">
        <v>3</v>
      </c>
      <c r="G514" t="s">
        <v>128</v>
      </c>
      <c r="H514" t="s">
        <v>22</v>
      </c>
      <c r="I514">
        <v>0</v>
      </c>
      <c r="J514">
        <v>3</v>
      </c>
      <c r="K514">
        <v>0</v>
      </c>
      <c r="L514">
        <v>4</v>
      </c>
      <c r="M514">
        <v>7</v>
      </c>
      <c r="N514">
        <v>0</v>
      </c>
      <c r="O514">
        <v>599</v>
      </c>
    </row>
    <row r="515" spans="1:15" x14ac:dyDescent="0.2">
      <c r="A515" t="s">
        <v>96</v>
      </c>
      <c r="B515" t="s">
        <v>83</v>
      </c>
      <c r="C515" t="s">
        <v>17</v>
      </c>
      <c r="D515" t="s">
        <v>75</v>
      </c>
      <c r="E515" t="s">
        <v>181</v>
      </c>
      <c r="F515">
        <v>3</v>
      </c>
      <c r="G515" t="s">
        <v>128</v>
      </c>
      <c r="H515" t="s">
        <v>23</v>
      </c>
      <c r="I515">
        <v>1</v>
      </c>
      <c r="J515">
        <v>3</v>
      </c>
      <c r="K515">
        <v>0</v>
      </c>
      <c r="L515">
        <v>4</v>
      </c>
      <c r="M515">
        <v>7</v>
      </c>
      <c r="N515">
        <v>0</v>
      </c>
      <c r="O515">
        <v>599</v>
      </c>
    </row>
    <row r="516" spans="1:15" x14ac:dyDescent="0.2">
      <c r="A516" t="s">
        <v>96</v>
      </c>
      <c r="B516" t="s">
        <v>83</v>
      </c>
      <c r="C516" t="s">
        <v>17</v>
      </c>
      <c r="D516" t="s">
        <v>75</v>
      </c>
      <c r="E516" t="s">
        <v>181</v>
      </c>
      <c r="F516">
        <v>3</v>
      </c>
      <c r="G516" t="s">
        <v>128</v>
      </c>
      <c r="H516" t="s">
        <v>24</v>
      </c>
      <c r="I516">
        <v>0</v>
      </c>
      <c r="J516">
        <v>0</v>
      </c>
      <c r="K516">
        <v>0</v>
      </c>
      <c r="L516">
        <v>4</v>
      </c>
      <c r="M516">
        <v>7</v>
      </c>
      <c r="N516">
        <v>0</v>
      </c>
      <c r="O516">
        <v>599</v>
      </c>
    </row>
    <row r="517" spans="1:15" x14ac:dyDescent="0.2">
      <c r="A517" t="s">
        <v>96</v>
      </c>
      <c r="B517" t="s">
        <v>83</v>
      </c>
      <c r="C517" t="s">
        <v>17</v>
      </c>
      <c r="D517" t="s">
        <v>75</v>
      </c>
      <c r="E517" t="s">
        <v>180</v>
      </c>
      <c r="F517">
        <v>3</v>
      </c>
      <c r="G517" t="s">
        <v>126</v>
      </c>
      <c r="H517" t="s">
        <v>20</v>
      </c>
      <c r="I517">
        <v>4</v>
      </c>
      <c r="J517">
        <v>0</v>
      </c>
      <c r="K517">
        <v>0</v>
      </c>
      <c r="L517">
        <v>8</v>
      </c>
      <c r="M517">
        <v>3</v>
      </c>
      <c r="N517">
        <v>0</v>
      </c>
      <c r="O517">
        <v>603</v>
      </c>
    </row>
    <row r="518" spans="1:15" x14ac:dyDescent="0.2">
      <c r="A518" t="s">
        <v>96</v>
      </c>
      <c r="B518" t="s">
        <v>83</v>
      </c>
      <c r="C518" t="s">
        <v>17</v>
      </c>
      <c r="D518" t="s">
        <v>75</v>
      </c>
      <c r="E518" t="s">
        <v>180</v>
      </c>
      <c r="F518">
        <v>3</v>
      </c>
      <c r="G518" t="s">
        <v>126</v>
      </c>
      <c r="H518" t="s">
        <v>21</v>
      </c>
      <c r="I518">
        <v>0</v>
      </c>
      <c r="J518">
        <v>0</v>
      </c>
      <c r="K518">
        <v>0</v>
      </c>
      <c r="L518">
        <v>8</v>
      </c>
      <c r="M518">
        <v>3</v>
      </c>
      <c r="N518">
        <v>0</v>
      </c>
      <c r="O518">
        <v>603</v>
      </c>
    </row>
    <row r="519" spans="1:15" x14ac:dyDescent="0.2">
      <c r="A519" t="s">
        <v>96</v>
      </c>
      <c r="B519" t="s">
        <v>83</v>
      </c>
      <c r="C519" t="s">
        <v>17</v>
      </c>
      <c r="D519" t="s">
        <v>75</v>
      </c>
      <c r="E519" t="s">
        <v>180</v>
      </c>
      <c r="F519">
        <v>3</v>
      </c>
      <c r="G519" t="s">
        <v>126</v>
      </c>
      <c r="H519" t="s">
        <v>22</v>
      </c>
      <c r="I519">
        <v>0</v>
      </c>
      <c r="J519">
        <v>2</v>
      </c>
      <c r="K519">
        <v>0</v>
      </c>
      <c r="L519">
        <v>8</v>
      </c>
      <c r="M519">
        <v>3</v>
      </c>
      <c r="N519">
        <v>0</v>
      </c>
      <c r="O519">
        <v>603</v>
      </c>
    </row>
    <row r="520" spans="1:15" x14ac:dyDescent="0.2">
      <c r="A520" t="s">
        <v>96</v>
      </c>
      <c r="B520" t="s">
        <v>83</v>
      </c>
      <c r="C520" t="s">
        <v>17</v>
      </c>
      <c r="D520" t="s">
        <v>75</v>
      </c>
      <c r="E520" t="s">
        <v>180</v>
      </c>
      <c r="F520">
        <v>3</v>
      </c>
      <c r="G520" t="s">
        <v>126</v>
      </c>
      <c r="H520" t="s">
        <v>23</v>
      </c>
      <c r="I520">
        <v>4</v>
      </c>
      <c r="J520">
        <v>1</v>
      </c>
      <c r="K520">
        <v>0</v>
      </c>
      <c r="L520">
        <v>8</v>
      </c>
      <c r="M520">
        <v>3</v>
      </c>
      <c r="N520">
        <v>0</v>
      </c>
      <c r="O520">
        <v>603</v>
      </c>
    </row>
    <row r="521" spans="1:15" x14ac:dyDescent="0.2">
      <c r="A521" t="s">
        <v>96</v>
      </c>
      <c r="B521" t="s">
        <v>83</v>
      </c>
      <c r="C521" t="s">
        <v>17</v>
      </c>
      <c r="D521" t="s">
        <v>75</v>
      </c>
      <c r="E521" t="s">
        <v>180</v>
      </c>
      <c r="F521">
        <v>3</v>
      </c>
      <c r="G521" t="s">
        <v>126</v>
      </c>
      <c r="H521" t="s">
        <v>24</v>
      </c>
      <c r="I521">
        <v>0</v>
      </c>
      <c r="J521">
        <v>0</v>
      </c>
      <c r="K521">
        <v>0</v>
      </c>
      <c r="L521">
        <v>8</v>
      </c>
      <c r="M521">
        <v>3</v>
      </c>
      <c r="N521">
        <v>0</v>
      </c>
      <c r="O521">
        <v>603</v>
      </c>
    </row>
    <row r="522" spans="1:15" x14ac:dyDescent="0.2">
      <c r="A522" t="s">
        <v>84</v>
      </c>
      <c r="B522" t="s">
        <v>83</v>
      </c>
      <c r="C522" t="s">
        <v>17</v>
      </c>
      <c r="D522" t="s">
        <v>75</v>
      </c>
      <c r="E522" t="s">
        <v>81</v>
      </c>
      <c r="F522">
        <v>3</v>
      </c>
      <c r="G522" t="s">
        <v>19</v>
      </c>
      <c r="H522" t="s">
        <v>20</v>
      </c>
      <c r="I522">
        <v>62</v>
      </c>
      <c r="J522">
        <v>15</v>
      </c>
      <c r="K522">
        <v>0</v>
      </c>
      <c r="L522">
        <v>81</v>
      </c>
      <c r="M522">
        <v>39</v>
      </c>
      <c r="N522">
        <v>0</v>
      </c>
      <c r="O522">
        <v>499</v>
      </c>
    </row>
    <row r="523" spans="1:15" x14ac:dyDescent="0.2">
      <c r="A523" t="s">
        <v>84</v>
      </c>
      <c r="B523" t="s">
        <v>83</v>
      </c>
      <c r="C523" t="s">
        <v>17</v>
      </c>
      <c r="D523" t="s">
        <v>75</v>
      </c>
      <c r="E523" t="s">
        <v>81</v>
      </c>
      <c r="F523">
        <v>3</v>
      </c>
      <c r="G523" t="s">
        <v>19</v>
      </c>
      <c r="H523" t="s">
        <v>21</v>
      </c>
      <c r="I523">
        <v>11</v>
      </c>
      <c r="J523">
        <v>3</v>
      </c>
      <c r="K523">
        <v>0</v>
      </c>
      <c r="L523">
        <v>81</v>
      </c>
      <c r="M523">
        <v>39</v>
      </c>
      <c r="N523">
        <v>0</v>
      </c>
      <c r="O523">
        <v>499</v>
      </c>
    </row>
    <row r="524" spans="1:15" x14ac:dyDescent="0.2">
      <c r="A524" t="s">
        <v>84</v>
      </c>
      <c r="B524" t="s">
        <v>83</v>
      </c>
      <c r="C524" t="s">
        <v>17</v>
      </c>
      <c r="D524" t="s">
        <v>75</v>
      </c>
      <c r="E524" t="s">
        <v>81</v>
      </c>
      <c r="F524">
        <v>3</v>
      </c>
      <c r="G524" t="s">
        <v>19</v>
      </c>
      <c r="H524" t="s">
        <v>22</v>
      </c>
      <c r="I524">
        <v>4</v>
      </c>
      <c r="J524">
        <v>6</v>
      </c>
      <c r="K524">
        <v>0</v>
      </c>
      <c r="L524">
        <v>81</v>
      </c>
      <c r="M524">
        <v>39</v>
      </c>
      <c r="N524">
        <v>0</v>
      </c>
      <c r="O524">
        <v>499</v>
      </c>
    </row>
    <row r="525" spans="1:15" x14ac:dyDescent="0.2">
      <c r="A525" t="s">
        <v>84</v>
      </c>
      <c r="B525" t="s">
        <v>83</v>
      </c>
      <c r="C525" t="s">
        <v>17</v>
      </c>
      <c r="D525" t="s">
        <v>75</v>
      </c>
      <c r="E525" t="s">
        <v>81</v>
      </c>
      <c r="F525">
        <v>3</v>
      </c>
      <c r="G525" t="s">
        <v>19</v>
      </c>
      <c r="H525" t="s">
        <v>23</v>
      </c>
      <c r="I525">
        <v>4</v>
      </c>
      <c r="J525">
        <v>15</v>
      </c>
      <c r="K525">
        <v>0</v>
      </c>
      <c r="L525">
        <v>81</v>
      </c>
      <c r="M525">
        <v>39</v>
      </c>
      <c r="N525">
        <v>0</v>
      </c>
      <c r="O525">
        <v>499</v>
      </c>
    </row>
    <row r="526" spans="1:15" x14ac:dyDescent="0.2">
      <c r="A526" t="s">
        <v>84</v>
      </c>
      <c r="B526" t="s">
        <v>83</v>
      </c>
      <c r="C526" t="s">
        <v>17</v>
      </c>
      <c r="D526" t="s">
        <v>75</v>
      </c>
      <c r="E526" t="s">
        <v>81</v>
      </c>
      <c r="F526">
        <v>3</v>
      </c>
      <c r="G526" t="s">
        <v>19</v>
      </c>
      <c r="H526" t="s">
        <v>24</v>
      </c>
      <c r="I526">
        <v>0</v>
      </c>
      <c r="J526">
        <v>0</v>
      </c>
      <c r="K526">
        <v>0</v>
      </c>
      <c r="L526">
        <v>81</v>
      </c>
      <c r="M526">
        <v>39</v>
      </c>
      <c r="N526">
        <v>0</v>
      </c>
      <c r="O526">
        <v>499</v>
      </c>
    </row>
    <row r="527" spans="1:15" x14ac:dyDescent="0.2">
      <c r="A527" t="s">
        <v>84</v>
      </c>
      <c r="B527" t="s">
        <v>83</v>
      </c>
      <c r="C527" t="s">
        <v>17</v>
      </c>
      <c r="D527" t="s">
        <v>75</v>
      </c>
      <c r="E527" t="s">
        <v>179</v>
      </c>
      <c r="F527">
        <v>3</v>
      </c>
      <c r="G527" t="s">
        <v>130</v>
      </c>
      <c r="H527" t="s">
        <v>20</v>
      </c>
      <c r="I527">
        <v>42</v>
      </c>
      <c r="J527">
        <v>8</v>
      </c>
      <c r="K527">
        <v>0</v>
      </c>
      <c r="L527">
        <v>55</v>
      </c>
      <c r="M527">
        <v>16</v>
      </c>
      <c r="N527">
        <v>0</v>
      </c>
      <c r="O527">
        <v>550</v>
      </c>
    </row>
    <row r="528" spans="1:15" x14ac:dyDescent="0.2">
      <c r="A528" t="s">
        <v>84</v>
      </c>
      <c r="B528" t="s">
        <v>83</v>
      </c>
      <c r="C528" t="s">
        <v>17</v>
      </c>
      <c r="D528" t="s">
        <v>75</v>
      </c>
      <c r="E528" t="s">
        <v>179</v>
      </c>
      <c r="F528">
        <v>3</v>
      </c>
      <c r="G528" t="s">
        <v>130</v>
      </c>
      <c r="H528" t="s">
        <v>21</v>
      </c>
      <c r="I528">
        <v>4</v>
      </c>
      <c r="J528">
        <v>2</v>
      </c>
      <c r="K528">
        <v>0</v>
      </c>
      <c r="L528">
        <v>55</v>
      </c>
      <c r="M528">
        <v>16</v>
      </c>
      <c r="N528">
        <v>0</v>
      </c>
      <c r="O528">
        <v>550</v>
      </c>
    </row>
    <row r="529" spans="1:15" x14ac:dyDescent="0.2">
      <c r="A529" t="s">
        <v>84</v>
      </c>
      <c r="B529" t="s">
        <v>83</v>
      </c>
      <c r="C529" t="s">
        <v>17</v>
      </c>
      <c r="D529" t="s">
        <v>75</v>
      </c>
      <c r="E529" t="s">
        <v>179</v>
      </c>
      <c r="F529">
        <v>3</v>
      </c>
      <c r="G529" t="s">
        <v>130</v>
      </c>
      <c r="H529" t="s">
        <v>22</v>
      </c>
      <c r="I529">
        <v>7</v>
      </c>
      <c r="J529">
        <v>1</v>
      </c>
      <c r="K529">
        <v>0</v>
      </c>
      <c r="L529">
        <v>55</v>
      </c>
      <c r="M529">
        <v>16</v>
      </c>
      <c r="N529">
        <v>0</v>
      </c>
      <c r="O529">
        <v>550</v>
      </c>
    </row>
    <row r="530" spans="1:15" x14ac:dyDescent="0.2">
      <c r="A530" t="s">
        <v>84</v>
      </c>
      <c r="B530" t="s">
        <v>83</v>
      </c>
      <c r="C530" t="s">
        <v>17</v>
      </c>
      <c r="D530" t="s">
        <v>75</v>
      </c>
      <c r="E530" t="s">
        <v>179</v>
      </c>
      <c r="F530">
        <v>3</v>
      </c>
      <c r="G530" t="s">
        <v>130</v>
      </c>
      <c r="H530" t="s">
        <v>23</v>
      </c>
      <c r="I530">
        <v>2</v>
      </c>
      <c r="J530">
        <v>5</v>
      </c>
      <c r="K530">
        <v>0</v>
      </c>
      <c r="L530">
        <v>55</v>
      </c>
      <c r="M530">
        <v>16</v>
      </c>
      <c r="N530">
        <v>0</v>
      </c>
      <c r="O530">
        <v>550</v>
      </c>
    </row>
    <row r="531" spans="1:15" x14ac:dyDescent="0.2">
      <c r="A531" t="s">
        <v>84</v>
      </c>
      <c r="B531" t="s">
        <v>83</v>
      </c>
      <c r="C531" t="s">
        <v>17</v>
      </c>
      <c r="D531" t="s">
        <v>75</v>
      </c>
      <c r="E531" t="s">
        <v>179</v>
      </c>
      <c r="F531">
        <v>3</v>
      </c>
      <c r="G531" t="s">
        <v>130</v>
      </c>
      <c r="H531" t="s">
        <v>24</v>
      </c>
      <c r="I531">
        <v>0</v>
      </c>
      <c r="J531">
        <v>0</v>
      </c>
      <c r="K531">
        <v>0</v>
      </c>
      <c r="L531">
        <v>55</v>
      </c>
      <c r="M531">
        <v>16</v>
      </c>
      <c r="N531">
        <v>0</v>
      </c>
      <c r="O531">
        <v>550</v>
      </c>
    </row>
    <row r="532" spans="1:15" x14ac:dyDescent="0.2">
      <c r="A532" t="s">
        <v>84</v>
      </c>
      <c r="B532" t="s">
        <v>83</v>
      </c>
      <c r="C532" t="s">
        <v>17</v>
      </c>
      <c r="D532" t="s">
        <v>75</v>
      </c>
      <c r="E532" t="s">
        <v>178</v>
      </c>
      <c r="F532">
        <v>3</v>
      </c>
      <c r="G532" t="s">
        <v>128</v>
      </c>
      <c r="H532" t="s">
        <v>20</v>
      </c>
      <c r="I532">
        <v>39</v>
      </c>
      <c r="J532">
        <v>10</v>
      </c>
      <c r="K532">
        <v>0</v>
      </c>
      <c r="L532">
        <v>56</v>
      </c>
      <c r="M532">
        <v>26</v>
      </c>
      <c r="N532">
        <v>0</v>
      </c>
      <c r="O532">
        <v>537</v>
      </c>
    </row>
    <row r="533" spans="1:15" x14ac:dyDescent="0.2">
      <c r="A533" t="s">
        <v>84</v>
      </c>
      <c r="B533" t="s">
        <v>83</v>
      </c>
      <c r="C533" t="s">
        <v>17</v>
      </c>
      <c r="D533" t="s">
        <v>75</v>
      </c>
      <c r="E533" t="s">
        <v>178</v>
      </c>
      <c r="F533">
        <v>3</v>
      </c>
      <c r="G533" t="s">
        <v>128</v>
      </c>
      <c r="H533" t="s">
        <v>21</v>
      </c>
      <c r="I533">
        <v>6</v>
      </c>
      <c r="J533">
        <v>2</v>
      </c>
      <c r="K533">
        <v>0</v>
      </c>
      <c r="L533">
        <v>56</v>
      </c>
      <c r="M533">
        <v>26</v>
      </c>
      <c r="N533">
        <v>0</v>
      </c>
      <c r="O533">
        <v>537</v>
      </c>
    </row>
    <row r="534" spans="1:15" x14ac:dyDescent="0.2">
      <c r="A534" t="s">
        <v>84</v>
      </c>
      <c r="B534" t="s">
        <v>83</v>
      </c>
      <c r="C534" t="s">
        <v>17</v>
      </c>
      <c r="D534" t="s">
        <v>75</v>
      </c>
      <c r="E534" t="s">
        <v>178</v>
      </c>
      <c r="F534">
        <v>3</v>
      </c>
      <c r="G534" t="s">
        <v>128</v>
      </c>
      <c r="H534" t="s">
        <v>22</v>
      </c>
      <c r="I534">
        <v>7</v>
      </c>
      <c r="J534">
        <v>6</v>
      </c>
      <c r="K534">
        <v>0</v>
      </c>
      <c r="L534">
        <v>56</v>
      </c>
      <c r="M534">
        <v>26</v>
      </c>
      <c r="N534">
        <v>0</v>
      </c>
      <c r="O534">
        <v>537</v>
      </c>
    </row>
    <row r="535" spans="1:15" x14ac:dyDescent="0.2">
      <c r="A535" t="s">
        <v>84</v>
      </c>
      <c r="B535" t="s">
        <v>83</v>
      </c>
      <c r="C535" t="s">
        <v>17</v>
      </c>
      <c r="D535" t="s">
        <v>75</v>
      </c>
      <c r="E535" t="s">
        <v>178</v>
      </c>
      <c r="F535">
        <v>3</v>
      </c>
      <c r="G535" t="s">
        <v>128</v>
      </c>
      <c r="H535" t="s">
        <v>23</v>
      </c>
      <c r="I535">
        <v>4</v>
      </c>
      <c r="J535">
        <v>8</v>
      </c>
      <c r="K535">
        <v>0</v>
      </c>
      <c r="L535">
        <v>56</v>
      </c>
      <c r="M535">
        <v>26</v>
      </c>
      <c r="N535">
        <v>0</v>
      </c>
      <c r="O535">
        <v>537</v>
      </c>
    </row>
    <row r="536" spans="1:15" x14ac:dyDescent="0.2">
      <c r="A536" t="s">
        <v>84</v>
      </c>
      <c r="B536" t="s">
        <v>83</v>
      </c>
      <c r="C536" t="s">
        <v>17</v>
      </c>
      <c r="D536" t="s">
        <v>75</v>
      </c>
      <c r="E536" t="s">
        <v>178</v>
      </c>
      <c r="F536">
        <v>3</v>
      </c>
      <c r="G536" t="s">
        <v>128</v>
      </c>
      <c r="H536" t="s">
        <v>24</v>
      </c>
      <c r="I536">
        <v>0</v>
      </c>
      <c r="J536">
        <v>0</v>
      </c>
      <c r="K536">
        <v>0</v>
      </c>
      <c r="L536">
        <v>56</v>
      </c>
      <c r="M536">
        <v>26</v>
      </c>
      <c r="N536">
        <v>0</v>
      </c>
      <c r="O536">
        <v>537</v>
      </c>
    </row>
    <row r="537" spans="1:15" x14ac:dyDescent="0.2">
      <c r="A537" t="s">
        <v>84</v>
      </c>
      <c r="B537" t="s">
        <v>83</v>
      </c>
      <c r="C537" t="s">
        <v>17</v>
      </c>
      <c r="D537" t="s">
        <v>75</v>
      </c>
      <c r="E537" t="s">
        <v>177</v>
      </c>
      <c r="F537">
        <v>3</v>
      </c>
      <c r="G537" t="s">
        <v>126</v>
      </c>
      <c r="H537" t="s">
        <v>20</v>
      </c>
      <c r="I537">
        <v>38</v>
      </c>
      <c r="J537">
        <v>9</v>
      </c>
      <c r="K537">
        <v>0</v>
      </c>
      <c r="L537">
        <v>53</v>
      </c>
      <c r="M537">
        <v>21</v>
      </c>
      <c r="N537">
        <v>0</v>
      </c>
      <c r="O537">
        <v>531</v>
      </c>
    </row>
    <row r="538" spans="1:15" x14ac:dyDescent="0.2">
      <c r="A538" t="s">
        <v>84</v>
      </c>
      <c r="B538" t="s">
        <v>83</v>
      </c>
      <c r="C538" t="s">
        <v>17</v>
      </c>
      <c r="D538" t="s">
        <v>75</v>
      </c>
      <c r="E538" t="s">
        <v>177</v>
      </c>
      <c r="F538">
        <v>3</v>
      </c>
      <c r="G538" t="s">
        <v>126</v>
      </c>
      <c r="H538" t="s">
        <v>21</v>
      </c>
      <c r="I538">
        <v>12</v>
      </c>
      <c r="J538">
        <v>3</v>
      </c>
      <c r="K538">
        <v>0</v>
      </c>
      <c r="L538">
        <v>53</v>
      </c>
      <c r="M538">
        <v>21</v>
      </c>
      <c r="N538">
        <v>0</v>
      </c>
      <c r="O538">
        <v>531</v>
      </c>
    </row>
    <row r="539" spans="1:15" x14ac:dyDescent="0.2">
      <c r="A539" t="s">
        <v>84</v>
      </c>
      <c r="B539" t="s">
        <v>83</v>
      </c>
      <c r="C539" t="s">
        <v>17</v>
      </c>
      <c r="D539" t="s">
        <v>75</v>
      </c>
      <c r="E539" t="s">
        <v>177</v>
      </c>
      <c r="F539">
        <v>3</v>
      </c>
      <c r="G539" t="s">
        <v>126</v>
      </c>
      <c r="H539" t="s">
        <v>22</v>
      </c>
      <c r="I539">
        <v>1</v>
      </c>
      <c r="J539">
        <v>2</v>
      </c>
      <c r="K539">
        <v>0</v>
      </c>
      <c r="L539">
        <v>53</v>
      </c>
      <c r="M539">
        <v>21</v>
      </c>
      <c r="N539">
        <v>0</v>
      </c>
      <c r="O539">
        <v>531</v>
      </c>
    </row>
    <row r="540" spans="1:15" x14ac:dyDescent="0.2">
      <c r="A540" t="s">
        <v>84</v>
      </c>
      <c r="B540" t="s">
        <v>83</v>
      </c>
      <c r="C540" t="s">
        <v>17</v>
      </c>
      <c r="D540" t="s">
        <v>75</v>
      </c>
      <c r="E540" t="s">
        <v>177</v>
      </c>
      <c r="F540">
        <v>3</v>
      </c>
      <c r="G540" t="s">
        <v>126</v>
      </c>
      <c r="H540" t="s">
        <v>23</v>
      </c>
      <c r="I540">
        <v>2</v>
      </c>
      <c r="J540">
        <v>6</v>
      </c>
      <c r="K540">
        <v>0</v>
      </c>
      <c r="L540">
        <v>53</v>
      </c>
      <c r="M540">
        <v>21</v>
      </c>
      <c r="N540">
        <v>0</v>
      </c>
      <c r="O540">
        <v>531</v>
      </c>
    </row>
    <row r="541" spans="1:15" x14ac:dyDescent="0.2">
      <c r="A541" t="s">
        <v>84</v>
      </c>
      <c r="B541" t="s">
        <v>83</v>
      </c>
      <c r="C541" t="s">
        <v>17</v>
      </c>
      <c r="D541" t="s">
        <v>75</v>
      </c>
      <c r="E541" t="s">
        <v>177</v>
      </c>
      <c r="F541">
        <v>3</v>
      </c>
      <c r="G541" t="s">
        <v>126</v>
      </c>
      <c r="H541" t="s">
        <v>24</v>
      </c>
      <c r="I541">
        <v>0</v>
      </c>
      <c r="J541">
        <v>1</v>
      </c>
      <c r="K541">
        <v>0</v>
      </c>
      <c r="L541">
        <v>53</v>
      </c>
      <c r="M541">
        <v>21</v>
      </c>
      <c r="N541">
        <v>0</v>
      </c>
      <c r="O541">
        <v>531</v>
      </c>
    </row>
    <row r="542" spans="1:15" x14ac:dyDescent="0.2">
      <c r="A542" t="s">
        <v>120</v>
      </c>
      <c r="B542" t="s">
        <v>83</v>
      </c>
      <c r="C542" t="s">
        <v>17</v>
      </c>
      <c r="D542" t="s">
        <v>75</v>
      </c>
      <c r="E542" t="s">
        <v>118</v>
      </c>
      <c r="F542">
        <v>3</v>
      </c>
      <c r="G542" t="s">
        <v>19</v>
      </c>
      <c r="H542" t="s">
        <v>20</v>
      </c>
      <c r="I542">
        <v>39</v>
      </c>
      <c r="J542">
        <v>29</v>
      </c>
      <c r="K542">
        <v>0</v>
      </c>
      <c r="L542">
        <v>46</v>
      </c>
      <c r="M542">
        <v>41</v>
      </c>
      <c r="N542">
        <v>0</v>
      </c>
      <c r="O542">
        <v>166</v>
      </c>
    </row>
    <row r="543" spans="1:15" x14ac:dyDescent="0.2">
      <c r="A543" t="s">
        <v>120</v>
      </c>
      <c r="B543" t="s">
        <v>83</v>
      </c>
      <c r="C543" t="s">
        <v>17</v>
      </c>
      <c r="D543" t="s">
        <v>75</v>
      </c>
      <c r="E543" t="s">
        <v>118</v>
      </c>
      <c r="F543">
        <v>3</v>
      </c>
      <c r="G543" t="s">
        <v>19</v>
      </c>
      <c r="H543" t="s">
        <v>21</v>
      </c>
      <c r="I543">
        <v>6</v>
      </c>
      <c r="J543">
        <v>4</v>
      </c>
      <c r="K543">
        <v>0</v>
      </c>
      <c r="L543">
        <v>46</v>
      </c>
      <c r="M543">
        <v>41</v>
      </c>
      <c r="N543">
        <v>0</v>
      </c>
      <c r="O543">
        <v>166</v>
      </c>
    </row>
    <row r="544" spans="1:15" x14ac:dyDescent="0.2">
      <c r="A544" t="s">
        <v>120</v>
      </c>
      <c r="B544" t="s">
        <v>83</v>
      </c>
      <c r="C544" t="s">
        <v>17</v>
      </c>
      <c r="D544" t="s">
        <v>75</v>
      </c>
      <c r="E544" t="s">
        <v>118</v>
      </c>
      <c r="F544">
        <v>3</v>
      </c>
      <c r="G544" t="s">
        <v>19</v>
      </c>
      <c r="H544" t="s">
        <v>22</v>
      </c>
      <c r="I544">
        <v>1</v>
      </c>
      <c r="J544">
        <v>0</v>
      </c>
      <c r="K544">
        <v>0</v>
      </c>
      <c r="L544">
        <v>46</v>
      </c>
      <c r="M544">
        <v>41</v>
      </c>
      <c r="N544">
        <v>0</v>
      </c>
      <c r="O544">
        <v>166</v>
      </c>
    </row>
    <row r="545" spans="1:15" x14ac:dyDescent="0.2">
      <c r="A545" t="s">
        <v>120</v>
      </c>
      <c r="B545" t="s">
        <v>83</v>
      </c>
      <c r="C545" t="s">
        <v>17</v>
      </c>
      <c r="D545" t="s">
        <v>75</v>
      </c>
      <c r="E545" t="s">
        <v>118</v>
      </c>
      <c r="F545">
        <v>3</v>
      </c>
      <c r="G545" t="s">
        <v>19</v>
      </c>
      <c r="H545" t="s">
        <v>23</v>
      </c>
      <c r="I545">
        <v>0</v>
      </c>
      <c r="J545">
        <v>7</v>
      </c>
      <c r="K545">
        <v>0</v>
      </c>
      <c r="L545">
        <v>46</v>
      </c>
      <c r="M545">
        <v>41</v>
      </c>
      <c r="N545">
        <v>0</v>
      </c>
      <c r="O545">
        <v>166</v>
      </c>
    </row>
    <row r="546" spans="1:15" x14ac:dyDescent="0.2">
      <c r="A546" t="s">
        <v>120</v>
      </c>
      <c r="B546" t="s">
        <v>83</v>
      </c>
      <c r="C546" t="s">
        <v>17</v>
      </c>
      <c r="D546" t="s">
        <v>75</v>
      </c>
      <c r="E546" t="s">
        <v>118</v>
      </c>
      <c r="F546">
        <v>3</v>
      </c>
      <c r="G546" t="s">
        <v>19</v>
      </c>
      <c r="H546" t="s">
        <v>24</v>
      </c>
      <c r="I546">
        <v>0</v>
      </c>
      <c r="J546">
        <v>1</v>
      </c>
      <c r="K546">
        <v>0</v>
      </c>
      <c r="L546">
        <v>46</v>
      </c>
      <c r="M546">
        <v>41</v>
      </c>
      <c r="N546">
        <v>0</v>
      </c>
      <c r="O546">
        <v>166</v>
      </c>
    </row>
    <row r="547" spans="1:15" x14ac:dyDescent="0.2">
      <c r="A547" t="s">
        <v>120</v>
      </c>
      <c r="B547" t="s">
        <v>83</v>
      </c>
      <c r="C547" t="s">
        <v>17</v>
      </c>
      <c r="D547" t="s">
        <v>75</v>
      </c>
      <c r="E547" t="s">
        <v>176</v>
      </c>
      <c r="F547">
        <v>3</v>
      </c>
      <c r="G547" t="s">
        <v>130</v>
      </c>
      <c r="H547" t="s">
        <v>20</v>
      </c>
      <c r="I547">
        <v>26</v>
      </c>
      <c r="J547">
        <v>17</v>
      </c>
      <c r="K547">
        <v>0</v>
      </c>
      <c r="L547">
        <v>31</v>
      </c>
      <c r="M547">
        <v>22</v>
      </c>
      <c r="N547">
        <v>0</v>
      </c>
      <c r="O547">
        <v>172</v>
      </c>
    </row>
    <row r="548" spans="1:15" x14ac:dyDescent="0.2">
      <c r="A548" t="s">
        <v>120</v>
      </c>
      <c r="B548" t="s">
        <v>83</v>
      </c>
      <c r="C548" t="s">
        <v>17</v>
      </c>
      <c r="D548" t="s">
        <v>75</v>
      </c>
      <c r="E548" t="s">
        <v>176</v>
      </c>
      <c r="F548">
        <v>3</v>
      </c>
      <c r="G548" t="s">
        <v>130</v>
      </c>
      <c r="H548" t="s">
        <v>21</v>
      </c>
      <c r="I548">
        <v>3</v>
      </c>
      <c r="J548">
        <v>2</v>
      </c>
      <c r="K548">
        <v>0</v>
      </c>
      <c r="L548">
        <v>31</v>
      </c>
      <c r="M548">
        <v>22</v>
      </c>
      <c r="N548">
        <v>0</v>
      </c>
      <c r="O548">
        <v>172</v>
      </c>
    </row>
    <row r="549" spans="1:15" x14ac:dyDescent="0.2">
      <c r="A549" t="s">
        <v>120</v>
      </c>
      <c r="B549" t="s">
        <v>83</v>
      </c>
      <c r="C549" t="s">
        <v>17</v>
      </c>
      <c r="D549" t="s">
        <v>75</v>
      </c>
      <c r="E549" t="s">
        <v>176</v>
      </c>
      <c r="F549">
        <v>3</v>
      </c>
      <c r="G549" t="s">
        <v>130</v>
      </c>
      <c r="H549" t="s">
        <v>22</v>
      </c>
      <c r="I549">
        <v>1</v>
      </c>
      <c r="J549">
        <v>1</v>
      </c>
      <c r="K549">
        <v>0</v>
      </c>
      <c r="L549">
        <v>31</v>
      </c>
      <c r="M549">
        <v>22</v>
      </c>
      <c r="N549">
        <v>0</v>
      </c>
      <c r="O549">
        <v>172</v>
      </c>
    </row>
    <row r="550" spans="1:15" x14ac:dyDescent="0.2">
      <c r="A550" t="s">
        <v>120</v>
      </c>
      <c r="B550" t="s">
        <v>83</v>
      </c>
      <c r="C550" t="s">
        <v>17</v>
      </c>
      <c r="D550" t="s">
        <v>75</v>
      </c>
      <c r="E550" t="s">
        <v>176</v>
      </c>
      <c r="F550">
        <v>3</v>
      </c>
      <c r="G550" t="s">
        <v>130</v>
      </c>
      <c r="H550" t="s">
        <v>23</v>
      </c>
      <c r="I550">
        <v>1</v>
      </c>
      <c r="J550">
        <v>2</v>
      </c>
      <c r="K550">
        <v>0</v>
      </c>
      <c r="L550">
        <v>31</v>
      </c>
      <c r="M550">
        <v>22</v>
      </c>
      <c r="N550">
        <v>0</v>
      </c>
      <c r="O550">
        <v>172</v>
      </c>
    </row>
    <row r="551" spans="1:15" x14ac:dyDescent="0.2">
      <c r="A551" t="s">
        <v>120</v>
      </c>
      <c r="B551" t="s">
        <v>83</v>
      </c>
      <c r="C551" t="s">
        <v>17</v>
      </c>
      <c r="D551" t="s">
        <v>75</v>
      </c>
      <c r="E551" t="s">
        <v>176</v>
      </c>
      <c r="F551">
        <v>3</v>
      </c>
      <c r="G551" t="s">
        <v>130</v>
      </c>
      <c r="H551" t="s">
        <v>24</v>
      </c>
      <c r="I551">
        <v>0</v>
      </c>
      <c r="J551">
        <v>0</v>
      </c>
      <c r="K551">
        <v>0</v>
      </c>
      <c r="L551">
        <v>31</v>
      </c>
      <c r="M551">
        <v>22</v>
      </c>
      <c r="N551">
        <v>0</v>
      </c>
      <c r="O551">
        <v>172</v>
      </c>
    </row>
    <row r="552" spans="1:15" x14ac:dyDescent="0.2">
      <c r="A552" t="s">
        <v>120</v>
      </c>
      <c r="B552" t="s">
        <v>83</v>
      </c>
      <c r="C552" t="s">
        <v>17</v>
      </c>
      <c r="D552" t="s">
        <v>75</v>
      </c>
      <c r="E552" t="s">
        <v>175</v>
      </c>
      <c r="F552">
        <v>3</v>
      </c>
      <c r="G552" t="s">
        <v>128</v>
      </c>
      <c r="H552" t="s">
        <v>20</v>
      </c>
      <c r="I552">
        <v>29</v>
      </c>
      <c r="J552">
        <v>18</v>
      </c>
      <c r="K552">
        <v>0</v>
      </c>
      <c r="L552">
        <v>34</v>
      </c>
      <c r="M552">
        <v>21</v>
      </c>
      <c r="N552">
        <v>0</v>
      </c>
      <c r="O552">
        <v>175</v>
      </c>
    </row>
    <row r="553" spans="1:15" x14ac:dyDescent="0.2">
      <c r="A553" t="s">
        <v>120</v>
      </c>
      <c r="B553" t="s">
        <v>83</v>
      </c>
      <c r="C553" t="s">
        <v>17</v>
      </c>
      <c r="D553" t="s">
        <v>75</v>
      </c>
      <c r="E553" t="s">
        <v>175</v>
      </c>
      <c r="F553">
        <v>3</v>
      </c>
      <c r="G553" t="s">
        <v>128</v>
      </c>
      <c r="H553" t="s">
        <v>21</v>
      </c>
      <c r="I553">
        <v>5</v>
      </c>
      <c r="J553">
        <v>2</v>
      </c>
      <c r="K553">
        <v>0</v>
      </c>
      <c r="L553">
        <v>34</v>
      </c>
      <c r="M553">
        <v>21</v>
      </c>
      <c r="N553">
        <v>0</v>
      </c>
      <c r="O553">
        <v>175</v>
      </c>
    </row>
    <row r="554" spans="1:15" x14ac:dyDescent="0.2">
      <c r="A554" t="s">
        <v>120</v>
      </c>
      <c r="B554" t="s">
        <v>83</v>
      </c>
      <c r="C554" t="s">
        <v>17</v>
      </c>
      <c r="D554" t="s">
        <v>75</v>
      </c>
      <c r="E554" t="s">
        <v>175</v>
      </c>
      <c r="F554">
        <v>3</v>
      </c>
      <c r="G554" t="s">
        <v>128</v>
      </c>
      <c r="H554" t="s">
        <v>22</v>
      </c>
      <c r="I554">
        <v>0</v>
      </c>
      <c r="J554">
        <v>1</v>
      </c>
      <c r="K554">
        <v>0</v>
      </c>
      <c r="L554">
        <v>34</v>
      </c>
      <c r="M554">
        <v>21</v>
      </c>
      <c r="N554">
        <v>0</v>
      </c>
      <c r="O554">
        <v>175</v>
      </c>
    </row>
    <row r="555" spans="1:15" x14ac:dyDescent="0.2">
      <c r="A555" t="s">
        <v>120</v>
      </c>
      <c r="B555" t="s">
        <v>83</v>
      </c>
      <c r="C555" t="s">
        <v>17</v>
      </c>
      <c r="D555" t="s">
        <v>75</v>
      </c>
      <c r="E555" t="s">
        <v>175</v>
      </c>
      <c r="F555">
        <v>3</v>
      </c>
      <c r="G555" t="s">
        <v>128</v>
      </c>
      <c r="H555" t="s">
        <v>23</v>
      </c>
      <c r="I555">
        <v>0</v>
      </c>
      <c r="J555">
        <v>0</v>
      </c>
      <c r="K555">
        <v>0</v>
      </c>
      <c r="L555">
        <v>34</v>
      </c>
      <c r="M555">
        <v>21</v>
      </c>
      <c r="N555">
        <v>0</v>
      </c>
      <c r="O555">
        <v>175</v>
      </c>
    </row>
    <row r="556" spans="1:15" x14ac:dyDescent="0.2">
      <c r="A556" t="s">
        <v>120</v>
      </c>
      <c r="B556" t="s">
        <v>83</v>
      </c>
      <c r="C556" t="s">
        <v>17</v>
      </c>
      <c r="D556" t="s">
        <v>75</v>
      </c>
      <c r="E556" t="s">
        <v>175</v>
      </c>
      <c r="F556">
        <v>3</v>
      </c>
      <c r="G556" t="s">
        <v>128</v>
      </c>
      <c r="H556" t="s">
        <v>24</v>
      </c>
      <c r="I556">
        <v>0</v>
      </c>
      <c r="J556">
        <v>0</v>
      </c>
      <c r="K556">
        <v>0</v>
      </c>
      <c r="L556">
        <v>34</v>
      </c>
      <c r="M556">
        <v>21</v>
      </c>
      <c r="N556">
        <v>0</v>
      </c>
      <c r="O556">
        <v>175</v>
      </c>
    </row>
    <row r="557" spans="1:15" x14ac:dyDescent="0.2">
      <c r="A557" t="s">
        <v>120</v>
      </c>
      <c r="B557" t="s">
        <v>83</v>
      </c>
      <c r="C557" t="s">
        <v>17</v>
      </c>
      <c r="D557" t="s">
        <v>75</v>
      </c>
      <c r="E557" t="s">
        <v>174</v>
      </c>
      <c r="F557">
        <v>3</v>
      </c>
      <c r="G557" t="s">
        <v>126</v>
      </c>
      <c r="H557" t="s">
        <v>20</v>
      </c>
      <c r="I557">
        <v>28</v>
      </c>
      <c r="J557">
        <v>20</v>
      </c>
      <c r="K557">
        <v>0</v>
      </c>
      <c r="L557">
        <v>31</v>
      </c>
      <c r="M557">
        <v>23</v>
      </c>
      <c r="N557">
        <v>0</v>
      </c>
      <c r="O557">
        <v>176</v>
      </c>
    </row>
    <row r="558" spans="1:15" x14ac:dyDescent="0.2">
      <c r="A558" t="s">
        <v>120</v>
      </c>
      <c r="B558" t="s">
        <v>83</v>
      </c>
      <c r="C558" t="s">
        <v>17</v>
      </c>
      <c r="D558" t="s">
        <v>75</v>
      </c>
      <c r="E558" t="s">
        <v>174</v>
      </c>
      <c r="F558">
        <v>3</v>
      </c>
      <c r="G558" t="s">
        <v>126</v>
      </c>
      <c r="H558" t="s">
        <v>21</v>
      </c>
      <c r="I558">
        <v>3</v>
      </c>
      <c r="J558">
        <v>0</v>
      </c>
      <c r="K558">
        <v>0</v>
      </c>
      <c r="L558">
        <v>31</v>
      </c>
      <c r="M558">
        <v>23</v>
      </c>
      <c r="N558">
        <v>0</v>
      </c>
      <c r="O558">
        <v>176</v>
      </c>
    </row>
    <row r="559" spans="1:15" x14ac:dyDescent="0.2">
      <c r="A559" t="s">
        <v>120</v>
      </c>
      <c r="B559" t="s">
        <v>83</v>
      </c>
      <c r="C559" t="s">
        <v>17</v>
      </c>
      <c r="D559" t="s">
        <v>75</v>
      </c>
      <c r="E559" t="s">
        <v>174</v>
      </c>
      <c r="F559">
        <v>3</v>
      </c>
      <c r="G559" t="s">
        <v>126</v>
      </c>
      <c r="H559" t="s">
        <v>22</v>
      </c>
      <c r="I559">
        <v>0</v>
      </c>
      <c r="J559">
        <v>0</v>
      </c>
      <c r="K559">
        <v>0</v>
      </c>
      <c r="L559">
        <v>31</v>
      </c>
      <c r="M559">
        <v>23</v>
      </c>
      <c r="N559">
        <v>0</v>
      </c>
      <c r="O559">
        <v>176</v>
      </c>
    </row>
    <row r="560" spans="1:15" x14ac:dyDescent="0.2">
      <c r="A560" t="s">
        <v>120</v>
      </c>
      <c r="B560" t="s">
        <v>83</v>
      </c>
      <c r="C560" t="s">
        <v>17</v>
      </c>
      <c r="D560" t="s">
        <v>75</v>
      </c>
      <c r="E560" t="s">
        <v>174</v>
      </c>
      <c r="F560">
        <v>3</v>
      </c>
      <c r="G560" t="s">
        <v>126</v>
      </c>
      <c r="H560" t="s">
        <v>23</v>
      </c>
      <c r="I560">
        <v>0</v>
      </c>
      <c r="J560">
        <v>3</v>
      </c>
      <c r="K560">
        <v>0</v>
      </c>
      <c r="L560">
        <v>31</v>
      </c>
      <c r="M560">
        <v>23</v>
      </c>
      <c r="N560">
        <v>0</v>
      </c>
      <c r="O560">
        <v>176</v>
      </c>
    </row>
    <row r="561" spans="1:15" x14ac:dyDescent="0.2">
      <c r="A561" t="s">
        <v>120</v>
      </c>
      <c r="B561" t="s">
        <v>83</v>
      </c>
      <c r="C561" t="s">
        <v>17</v>
      </c>
      <c r="D561" t="s">
        <v>75</v>
      </c>
      <c r="E561" t="s">
        <v>174</v>
      </c>
      <c r="F561">
        <v>3</v>
      </c>
      <c r="G561" t="s">
        <v>126</v>
      </c>
      <c r="H561" t="s">
        <v>24</v>
      </c>
      <c r="I561">
        <v>0</v>
      </c>
      <c r="J561">
        <v>0</v>
      </c>
      <c r="K561">
        <v>0</v>
      </c>
      <c r="L561">
        <v>31</v>
      </c>
      <c r="M561">
        <v>23</v>
      </c>
      <c r="N561">
        <v>0</v>
      </c>
      <c r="O561">
        <v>176</v>
      </c>
    </row>
    <row r="562" spans="1:15" x14ac:dyDescent="0.2">
      <c r="A562" t="s">
        <v>108</v>
      </c>
      <c r="B562" t="s">
        <v>83</v>
      </c>
      <c r="C562" t="s">
        <v>17</v>
      </c>
      <c r="D562" t="s">
        <v>75</v>
      </c>
      <c r="E562" t="s">
        <v>106</v>
      </c>
      <c r="F562">
        <v>3</v>
      </c>
      <c r="G562" t="s">
        <v>19</v>
      </c>
      <c r="H562" t="s">
        <v>20</v>
      </c>
      <c r="I562">
        <v>24</v>
      </c>
      <c r="J562">
        <v>43</v>
      </c>
      <c r="K562">
        <v>0</v>
      </c>
      <c r="L562">
        <v>41</v>
      </c>
      <c r="M562">
        <v>133</v>
      </c>
      <c r="N562">
        <v>0</v>
      </c>
      <c r="O562">
        <v>617</v>
      </c>
    </row>
    <row r="563" spans="1:15" x14ac:dyDescent="0.2">
      <c r="A563" t="s">
        <v>108</v>
      </c>
      <c r="B563" t="s">
        <v>83</v>
      </c>
      <c r="C563" t="s">
        <v>17</v>
      </c>
      <c r="D563" t="s">
        <v>75</v>
      </c>
      <c r="E563" t="s">
        <v>106</v>
      </c>
      <c r="F563">
        <v>3</v>
      </c>
      <c r="G563" t="s">
        <v>19</v>
      </c>
      <c r="H563" t="s">
        <v>21</v>
      </c>
      <c r="I563">
        <v>11</v>
      </c>
      <c r="J563">
        <v>20</v>
      </c>
      <c r="K563">
        <v>0</v>
      </c>
      <c r="L563">
        <v>41</v>
      </c>
      <c r="M563">
        <v>133</v>
      </c>
      <c r="N563">
        <v>0</v>
      </c>
      <c r="O563">
        <v>617</v>
      </c>
    </row>
    <row r="564" spans="1:15" x14ac:dyDescent="0.2">
      <c r="A564" t="s">
        <v>108</v>
      </c>
      <c r="B564" t="s">
        <v>83</v>
      </c>
      <c r="C564" t="s">
        <v>17</v>
      </c>
      <c r="D564" t="s">
        <v>75</v>
      </c>
      <c r="E564" t="s">
        <v>106</v>
      </c>
      <c r="F564">
        <v>3</v>
      </c>
      <c r="G564" t="s">
        <v>19</v>
      </c>
      <c r="H564" t="s">
        <v>22</v>
      </c>
      <c r="I564">
        <v>2</v>
      </c>
      <c r="J564">
        <v>9</v>
      </c>
      <c r="K564">
        <v>0</v>
      </c>
      <c r="L564">
        <v>41</v>
      </c>
      <c r="M564">
        <v>133</v>
      </c>
      <c r="N564">
        <v>0</v>
      </c>
      <c r="O564">
        <v>617</v>
      </c>
    </row>
    <row r="565" spans="1:15" x14ac:dyDescent="0.2">
      <c r="A565" t="s">
        <v>108</v>
      </c>
      <c r="B565" t="s">
        <v>83</v>
      </c>
      <c r="C565" t="s">
        <v>17</v>
      </c>
      <c r="D565" t="s">
        <v>75</v>
      </c>
      <c r="E565" t="s">
        <v>106</v>
      </c>
      <c r="F565">
        <v>3</v>
      </c>
      <c r="G565" t="s">
        <v>19</v>
      </c>
      <c r="H565" t="s">
        <v>23</v>
      </c>
      <c r="I565">
        <v>4</v>
      </c>
      <c r="J565">
        <v>61</v>
      </c>
      <c r="K565">
        <v>0</v>
      </c>
      <c r="L565">
        <v>41</v>
      </c>
      <c r="M565">
        <v>133</v>
      </c>
      <c r="N565">
        <v>0</v>
      </c>
      <c r="O565">
        <v>617</v>
      </c>
    </row>
    <row r="566" spans="1:15" x14ac:dyDescent="0.2">
      <c r="A566" t="s">
        <v>108</v>
      </c>
      <c r="B566" t="s">
        <v>83</v>
      </c>
      <c r="C566" t="s">
        <v>17</v>
      </c>
      <c r="D566" t="s">
        <v>75</v>
      </c>
      <c r="E566" t="s">
        <v>106</v>
      </c>
      <c r="F566">
        <v>3</v>
      </c>
      <c r="G566" t="s">
        <v>19</v>
      </c>
      <c r="H566" t="s">
        <v>24</v>
      </c>
      <c r="I566">
        <v>0</v>
      </c>
      <c r="J566">
        <v>0</v>
      </c>
      <c r="K566">
        <v>0</v>
      </c>
      <c r="L566">
        <v>41</v>
      </c>
      <c r="M566">
        <v>133</v>
      </c>
      <c r="N566">
        <v>0</v>
      </c>
      <c r="O566">
        <v>617</v>
      </c>
    </row>
    <row r="567" spans="1:15" x14ac:dyDescent="0.2">
      <c r="A567" t="s">
        <v>108</v>
      </c>
      <c r="B567" t="s">
        <v>83</v>
      </c>
      <c r="C567" t="s">
        <v>17</v>
      </c>
      <c r="D567" t="s">
        <v>75</v>
      </c>
      <c r="E567" t="s">
        <v>105</v>
      </c>
      <c r="F567">
        <v>3</v>
      </c>
      <c r="G567" t="s">
        <v>79</v>
      </c>
      <c r="H567" t="s">
        <v>20</v>
      </c>
      <c r="I567">
        <v>18</v>
      </c>
      <c r="J567">
        <v>20</v>
      </c>
      <c r="K567">
        <v>0</v>
      </c>
      <c r="L567">
        <v>23</v>
      </c>
      <c r="M567">
        <v>42</v>
      </c>
      <c r="N567">
        <v>0</v>
      </c>
      <c r="O567">
        <v>739</v>
      </c>
    </row>
    <row r="568" spans="1:15" x14ac:dyDescent="0.2">
      <c r="A568" t="s">
        <v>108</v>
      </c>
      <c r="B568" t="s">
        <v>83</v>
      </c>
      <c r="C568" t="s">
        <v>17</v>
      </c>
      <c r="D568" t="s">
        <v>75</v>
      </c>
      <c r="E568" t="s">
        <v>105</v>
      </c>
      <c r="F568">
        <v>3</v>
      </c>
      <c r="G568" t="s">
        <v>79</v>
      </c>
      <c r="H568" t="s">
        <v>21</v>
      </c>
      <c r="I568">
        <v>3</v>
      </c>
      <c r="J568">
        <v>2</v>
      </c>
      <c r="K568">
        <v>0</v>
      </c>
      <c r="L568">
        <v>23</v>
      </c>
      <c r="M568">
        <v>42</v>
      </c>
      <c r="N568">
        <v>0</v>
      </c>
      <c r="O568">
        <v>739</v>
      </c>
    </row>
    <row r="569" spans="1:15" x14ac:dyDescent="0.2">
      <c r="A569" t="s">
        <v>108</v>
      </c>
      <c r="B569" t="s">
        <v>83</v>
      </c>
      <c r="C569" t="s">
        <v>17</v>
      </c>
      <c r="D569" t="s">
        <v>75</v>
      </c>
      <c r="E569" t="s">
        <v>105</v>
      </c>
      <c r="F569">
        <v>3</v>
      </c>
      <c r="G569" t="s">
        <v>79</v>
      </c>
      <c r="H569" t="s">
        <v>22</v>
      </c>
      <c r="I569">
        <v>0</v>
      </c>
      <c r="J569">
        <v>2</v>
      </c>
      <c r="K569">
        <v>0</v>
      </c>
      <c r="L569">
        <v>23</v>
      </c>
      <c r="M569">
        <v>42</v>
      </c>
      <c r="N569">
        <v>0</v>
      </c>
      <c r="O569">
        <v>739</v>
      </c>
    </row>
    <row r="570" spans="1:15" x14ac:dyDescent="0.2">
      <c r="A570" t="s">
        <v>108</v>
      </c>
      <c r="B570" t="s">
        <v>83</v>
      </c>
      <c r="C570" t="s">
        <v>17</v>
      </c>
      <c r="D570" t="s">
        <v>75</v>
      </c>
      <c r="E570" t="s">
        <v>105</v>
      </c>
      <c r="F570">
        <v>3</v>
      </c>
      <c r="G570" t="s">
        <v>79</v>
      </c>
      <c r="H570" t="s">
        <v>23</v>
      </c>
      <c r="I570">
        <v>2</v>
      </c>
      <c r="J570">
        <v>17</v>
      </c>
      <c r="K570">
        <v>0</v>
      </c>
      <c r="L570">
        <v>23</v>
      </c>
      <c r="M570">
        <v>42</v>
      </c>
      <c r="N570">
        <v>0</v>
      </c>
      <c r="O570">
        <v>739</v>
      </c>
    </row>
    <row r="571" spans="1:15" x14ac:dyDescent="0.2">
      <c r="A571" t="s">
        <v>108</v>
      </c>
      <c r="B571" t="s">
        <v>83</v>
      </c>
      <c r="C571" t="s">
        <v>17</v>
      </c>
      <c r="D571" t="s">
        <v>75</v>
      </c>
      <c r="E571" t="s">
        <v>105</v>
      </c>
      <c r="F571">
        <v>3</v>
      </c>
      <c r="G571" t="s">
        <v>79</v>
      </c>
      <c r="H571" t="s">
        <v>24</v>
      </c>
      <c r="I571">
        <v>0</v>
      </c>
      <c r="J571">
        <v>1</v>
      </c>
      <c r="K571">
        <v>0</v>
      </c>
      <c r="L571">
        <v>23</v>
      </c>
      <c r="M571">
        <v>42</v>
      </c>
      <c r="N571">
        <v>0</v>
      </c>
      <c r="O571">
        <v>739</v>
      </c>
    </row>
    <row r="572" spans="1:15" x14ac:dyDescent="0.2">
      <c r="A572" t="s">
        <v>108</v>
      </c>
      <c r="B572" t="s">
        <v>83</v>
      </c>
      <c r="C572" t="s">
        <v>17</v>
      </c>
      <c r="D572" t="s">
        <v>75</v>
      </c>
      <c r="E572" t="s">
        <v>104</v>
      </c>
      <c r="F572">
        <v>3</v>
      </c>
      <c r="G572" t="s">
        <v>77</v>
      </c>
      <c r="H572" t="s">
        <v>20</v>
      </c>
      <c r="I572">
        <v>15</v>
      </c>
      <c r="J572">
        <v>20</v>
      </c>
      <c r="K572">
        <v>0</v>
      </c>
      <c r="L572">
        <v>20</v>
      </c>
      <c r="M572">
        <v>35</v>
      </c>
      <c r="N572">
        <v>0</v>
      </c>
      <c r="O572">
        <v>731</v>
      </c>
    </row>
    <row r="573" spans="1:15" x14ac:dyDescent="0.2">
      <c r="A573" t="s">
        <v>108</v>
      </c>
      <c r="B573" t="s">
        <v>83</v>
      </c>
      <c r="C573" t="s">
        <v>17</v>
      </c>
      <c r="D573" t="s">
        <v>75</v>
      </c>
      <c r="E573" t="s">
        <v>104</v>
      </c>
      <c r="F573">
        <v>3</v>
      </c>
      <c r="G573" t="s">
        <v>77</v>
      </c>
      <c r="H573" t="s">
        <v>21</v>
      </c>
      <c r="I573">
        <v>4</v>
      </c>
      <c r="J573">
        <v>4</v>
      </c>
      <c r="K573">
        <v>0</v>
      </c>
      <c r="L573">
        <v>20</v>
      </c>
      <c r="M573">
        <v>35</v>
      </c>
      <c r="N573">
        <v>0</v>
      </c>
      <c r="O573">
        <v>731</v>
      </c>
    </row>
    <row r="574" spans="1:15" x14ac:dyDescent="0.2">
      <c r="A574" t="s">
        <v>108</v>
      </c>
      <c r="B574" t="s">
        <v>83</v>
      </c>
      <c r="C574" t="s">
        <v>17</v>
      </c>
      <c r="D574" t="s">
        <v>75</v>
      </c>
      <c r="E574" t="s">
        <v>104</v>
      </c>
      <c r="F574">
        <v>3</v>
      </c>
      <c r="G574" t="s">
        <v>77</v>
      </c>
      <c r="H574" t="s">
        <v>22</v>
      </c>
      <c r="I574">
        <v>1</v>
      </c>
      <c r="J574">
        <v>0</v>
      </c>
      <c r="K574">
        <v>0</v>
      </c>
      <c r="L574">
        <v>20</v>
      </c>
      <c r="M574">
        <v>35</v>
      </c>
      <c r="N574">
        <v>0</v>
      </c>
      <c r="O574">
        <v>731</v>
      </c>
    </row>
    <row r="575" spans="1:15" x14ac:dyDescent="0.2">
      <c r="A575" t="s">
        <v>108</v>
      </c>
      <c r="B575" t="s">
        <v>83</v>
      </c>
      <c r="C575" t="s">
        <v>17</v>
      </c>
      <c r="D575" t="s">
        <v>75</v>
      </c>
      <c r="E575" t="s">
        <v>104</v>
      </c>
      <c r="F575">
        <v>3</v>
      </c>
      <c r="G575" t="s">
        <v>77</v>
      </c>
      <c r="H575" t="s">
        <v>23</v>
      </c>
      <c r="I575">
        <v>0</v>
      </c>
      <c r="J575">
        <v>11</v>
      </c>
      <c r="K575">
        <v>0</v>
      </c>
      <c r="L575">
        <v>20</v>
      </c>
      <c r="M575">
        <v>35</v>
      </c>
      <c r="N575">
        <v>0</v>
      </c>
      <c r="O575">
        <v>731</v>
      </c>
    </row>
    <row r="576" spans="1:15" x14ac:dyDescent="0.2">
      <c r="A576" t="s">
        <v>108</v>
      </c>
      <c r="B576" t="s">
        <v>83</v>
      </c>
      <c r="C576" t="s">
        <v>17</v>
      </c>
      <c r="D576" t="s">
        <v>75</v>
      </c>
      <c r="E576" t="s">
        <v>104</v>
      </c>
      <c r="F576">
        <v>3</v>
      </c>
      <c r="G576" t="s">
        <v>77</v>
      </c>
      <c r="H576" t="s">
        <v>24</v>
      </c>
      <c r="I576">
        <v>0</v>
      </c>
      <c r="J576">
        <v>0</v>
      </c>
      <c r="K576">
        <v>0</v>
      </c>
      <c r="L576">
        <v>20</v>
      </c>
      <c r="M576">
        <v>35</v>
      </c>
      <c r="N576">
        <v>0</v>
      </c>
      <c r="O576">
        <v>731</v>
      </c>
    </row>
    <row r="577" spans="1:41" x14ac:dyDescent="0.2">
      <c r="A577" t="s">
        <v>108</v>
      </c>
      <c r="B577" t="s">
        <v>83</v>
      </c>
      <c r="C577" t="s">
        <v>17</v>
      </c>
      <c r="D577" t="s">
        <v>75</v>
      </c>
      <c r="E577" t="s">
        <v>102</v>
      </c>
      <c r="F577">
        <v>3</v>
      </c>
      <c r="G577" t="s">
        <v>73</v>
      </c>
      <c r="H577" t="s">
        <v>20</v>
      </c>
      <c r="I577">
        <v>9</v>
      </c>
      <c r="J577">
        <v>12</v>
      </c>
      <c r="K577">
        <v>0</v>
      </c>
      <c r="L577">
        <v>19</v>
      </c>
      <c r="M577">
        <v>32</v>
      </c>
      <c r="N577">
        <v>0</v>
      </c>
      <c r="O577">
        <v>708</v>
      </c>
    </row>
    <row r="578" spans="1:41" x14ac:dyDescent="0.2">
      <c r="A578" t="s">
        <v>108</v>
      </c>
      <c r="B578" t="s">
        <v>83</v>
      </c>
      <c r="C578" t="s">
        <v>17</v>
      </c>
      <c r="D578" t="s">
        <v>75</v>
      </c>
      <c r="E578" t="s">
        <v>102</v>
      </c>
      <c r="F578">
        <v>3</v>
      </c>
      <c r="G578" t="s">
        <v>73</v>
      </c>
      <c r="H578" t="s">
        <v>21</v>
      </c>
      <c r="I578">
        <v>8</v>
      </c>
      <c r="J578">
        <v>6</v>
      </c>
      <c r="K578">
        <v>0</v>
      </c>
      <c r="L578">
        <v>19</v>
      </c>
      <c r="M578">
        <v>32</v>
      </c>
      <c r="N578">
        <v>0</v>
      </c>
      <c r="O578">
        <v>708</v>
      </c>
    </row>
    <row r="579" spans="1:41" x14ac:dyDescent="0.2">
      <c r="A579" t="s">
        <v>108</v>
      </c>
      <c r="B579" t="s">
        <v>83</v>
      </c>
      <c r="C579" t="s">
        <v>17</v>
      </c>
      <c r="D579" t="s">
        <v>75</v>
      </c>
      <c r="E579" t="s">
        <v>102</v>
      </c>
      <c r="F579">
        <v>3</v>
      </c>
      <c r="G579" t="s">
        <v>73</v>
      </c>
      <c r="H579" t="s">
        <v>22</v>
      </c>
      <c r="I579">
        <v>2</v>
      </c>
      <c r="J579">
        <v>3</v>
      </c>
      <c r="K579">
        <v>0</v>
      </c>
      <c r="L579">
        <v>19</v>
      </c>
      <c r="M579">
        <v>32</v>
      </c>
      <c r="N579">
        <v>0</v>
      </c>
      <c r="O579">
        <v>708</v>
      </c>
    </row>
    <row r="580" spans="1:41" x14ac:dyDescent="0.2">
      <c r="A580" t="s">
        <v>108</v>
      </c>
      <c r="B580" t="s">
        <v>83</v>
      </c>
      <c r="C580" t="s">
        <v>17</v>
      </c>
      <c r="D580" t="s">
        <v>75</v>
      </c>
      <c r="E580" t="s">
        <v>102</v>
      </c>
      <c r="F580">
        <v>3</v>
      </c>
      <c r="G580" t="s">
        <v>73</v>
      </c>
      <c r="H580" t="s">
        <v>23</v>
      </c>
      <c r="I580">
        <v>0</v>
      </c>
      <c r="J580">
        <v>11</v>
      </c>
      <c r="K580">
        <v>0</v>
      </c>
      <c r="L580">
        <v>19</v>
      </c>
      <c r="M580">
        <v>32</v>
      </c>
      <c r="N580">
        <v>0</v>
      </c>
      <c r="O580">
        <v>708</v>
      </c>
    </row>
    <row r="581" spans="1:41" x14ac:dyDescent="0.2">
      <c r="A581" t="s">
        <v>108</v>
      </c>
      <c r="B581" t="s">
        <v>83</v>
      </c>
      <c r="C581" t="s">
        <v>17</v>
      </c>
      <c r="D581" t="s">
        <v>75</v>
      </c>
      <c r="E581" t="s">
        <v>102</v>
      </c>
      <c r="F581">
        <v>3</v>
      </c>
      <c r="G581" t="s">
        <v>73</v>
      </c>
      <c r="H581" t="s">
        <v>24</v>
      </c>
      <c r="I581">
        <v>0</v>
      </c>
      <c r="J581">
        <v>0</v>
      </c>
      <c r="K581">
        <v>0</v>
      </c>
      <c r="L581">
        <v>19</v>
      </c>
      <c r="M581">
        <v>32</v>
      </c>
      <c r="N581">
        <v>0</v>
      </c>
      <c r="O581">
        <v>708</v>
      </c>
      <c r="AF581" t="s">
        <v>150</v>
      </c>
      <c r="AG581" s="3" t="s">
        <v>20</v>
      </c>
      <c r="AH581" s="3" t="s">
        <v>21</v>
      </c>
      <c r="AI581" s="3" t="s">
        <v>60</v>
      </c>
      <c r="AJ581" s="3" t="s">
        <v>61</v>
      </c>
      <c r="AK581" s="3" t="s">
        <v>62</v>
      </c>
      <c r="AL581" s="29" t="s">
        <v>200</v>
      </c>
      <c r="AM581" s="29" t="s">
        <v>201</v>
      </c>
    </row>
    <row r="582" spans="1:41" x14ac:dyDescent="0.2">
      <c r="A582" t="s">
        <v>96</v>
      </c>
      <c r="B582" t="s">
        <v>83</v>
      </c>
      <c r="C582" t="s">
        <v>17</v>
      </c>
      <c r="D582" t="s">
        <v>75</v>
      </c>
      <c r="E582" t="s">
        <v>94</v>
      </c>
      <c r="F582">
        <v>3</v>
      </c>
      <c r="G582" t="s">
        <v>19</v>
      </c>
      <c r="H582" t="s">
        <v>20</v>
      </c>
      <c r="I582">
        <v>6</v>
      </c>
      <c r="J582">
        <v>0</v>
      </c>
      <c r="K582">
        <v>0</v>
      </c>
      <c r="L582">
        <v>9</v>
      </c>
      <c r="M582">
        <v>5</v>
      </c>
      <c r="N582">
        <v>0</v>
      </c>
      <c r="O582">
        <v>541</v>
      </c>
      <c r="AF582" s="18" t="s">
        <v>205</v>
      </c>
      <c r="AG582" s="8">
        <f>Z716</f>
        <v>61.745695699601811</v>
      </c>
      <c r="AH582" s="8">
        <f>AA716</f>
        <v>15.581331895920028</v>
      </c>
      <c r="AI582" s="8">
        <f>AB716</f>
        <v>8.4591840173491164</v>
      </c>
      <c r="AJ582" s="8">
        <f>AC716</f>
        <v>14.213788387129032</v>
      </c>
      <c r="AK582" s="8">
        <f>AD716</f>
        <v>0</v>
      </c>
      <c r="AL582" s="8">
        <f>SUM(AG582:AH582)</f>
        <v>77.327027595521841</v>
      </c>
      <c r="AM582" s="8">
        <f>SUM(AG582:AI582)</f>
        <v>85.786211612870957</v>
      </c>
    </row>
    <row r="583" spans="1:41" x14ac:dyDescent="0.2">
      <c r="A583" t="s">
        <v>96</v>
      </c>
      <c r="B583" t="s">
        <v>83</v>
      </c>
      <c r="C583" t="s">
        <v>17</v>
      </c>
      <c r="D583" t="s">
        <v>75</v>
      </c>
      <c r="E583" t="s">
        <v>94</v>
      </c>
      <c r="F583">
        <v>3</v>
      </c>
      <c r="G583" t="s">
        <v>19</v>
      </c>
      <c r="H583" t="s">
        <v>21</v>
      </c>
      <c r="I583">
        <v>0</v>
      </c>
      <c r="J583">
        <v>0</v>
      </c>
      <c r="K583">
        <v>0</v>
      </c>
      <c r="L583">
        <v>9</v>
      </c>
      <c r="M583">
        <v>5</v>
      </c>
      <c r="N583">
        <v>0</v>
      </c>
      <c r="O583">
        <v>541</v>
      </c>
      <c r="AF583" s="18" t="s">
        <v>206</v>
      </c>
      <c r="AG583" s="8">
        <f>Z724</f>
        <v>71.95198614574673</v>
      </c>
      <c r="AH583" s="8">
        <f>AA724</f>
        <v>7.7371386479095516</v>
      </c>
      <c r="AI583" s="8">
        <f>AB724</f>
        <v>9.4426304879862961</v>
      </c>
      <c r="AJ583" s="8">
        <f>AC724</f>
        <v>10.868244718357413</v>
      </c>
      <c r="AK583" s="8">
        <f>AD724</f>
        <v>0</v>
      </c>
      <c r="AL583" s="8">
        <f>SUM(AG583:AH583)</f>
        <v>79.689124793656276</v>
      </c>
      <c r="AM583" s="8">
        <f t="shared" ref="AM583" si="6">SUM(AG583:AI583)</f>
        <v>89.131755281642569</v>
      </c>
      <c r="AO583" s="24">
        <f>(AL583-AL582)/AL582</f>
        <v>3.0546851102178266E-2</v>
      </c>
    </row>
    <row r="584" spans="1:41" x14ac:dyDescent="0.2">
      <c r="A584" t="s">
        <v>96</v>
      </c>
      <c r="B584" t="s">
        <v>83</v>
      </c>
      <c r="C584" t="s">
        <v>17</v>
      </c>
      <c r="D584" t="s">
        <v>75</v>
      </c>
      <c r="E584" t="s">
        <v>94</v>
      </c>
      <c r="F584">
        <v>3</v>
      </c>
      <c r="G584" t="s">
        <v>19</v>
      </c>
      <c r="H584" t="s">
        <v>22</v>
      </c>
      <c r="I584">
        <v>0</v>
      </c>
      <c r="J584">
        <v>0</v>
      </c>
      <c r="K584">
        <v>0</v>
      </c>
      <c r="L584">
        <v>9</v>
      </c>
      <c r="M584">
        <v>5</v>
      </c>
      <c r="N584">
        <v>0</v>
      </c>
      <c r="O584">
        <v>541</v>
      </c>
      <c r="AF584" s="18" t="s">
        <v>207</v>
      </c>
      <c r="AG584" s="8">
        <f>Z732</f>
        <v>54.049573529890182</v>
      </c>
      <c r="AH584" s="8">
        <f>AA732</f>
        <v>18.873897509350957</v>
      </c>
      <c r="AI584" s="8">
        <f>AB732</f>
        <v>6.9549843626263712</v>
      </c>
      <c r="AJ584" s="8">
        <f>AC732</f>
        <v>20.121544598132484</v>
      </c>
      <c r="AK584" s="8">
        <f>AD732</f>
        <v>0</v>
      </c>
      <c r="AL584" s="8">
        <f t="shared" ref="AL584" si="7">SUM(AG584:AH584)</f>
        <v>72.923471039241136</v>
      </c>
      <c r="AM584" s="8">
        <f>SUM(AG584:AI584)</f>
        <v>79.878455401867512</v>
      </c>
    </row>
    <row r="585" spans="1:41" x14ac:dyDescent="0.2">
      <c r="A585" t="s">
        <v>96</v>
      </c>
      <c r="B585" t="s">
        <v>83</v>
      </c>
      <c r="C585" t="s">
        <v>17</v>
      </c>
      <c r="D585" t="s">
        <v>75</v>
      </c>
      <c r="E585" t="s">
        <v>94</v>
      </c>
      <c r="F585">
        <v>3</v>
      </c>
      <c r="G585" t="s">
        <v>19</v>
      </c>
      <c r="H585" t="s">
        <v>23</v>
      </c>
      <c r="I585">
        <v>3</v>
      </c>
      <c r="J585">
        <v>5</v>
      </c>
      <c r="K585">
        <v>0</v>
      </c>
      <c r="L585">
        <v>9</v>
      </c>
      <c r="M585">
        <v>5</v>
      </c>
      <c r="N585">
        <v>0</v>
      </c>
      <c r="O585">
        <v>541</v>
      </c>
      <c r="AL585" s="30"/>
      <c r="AM585" s="30"/>
    </row>
    <row r="586" spans="1:41" x14ac:dyDescent="0.2">
      <c r="A586" t="s">
        <v>96</v>
      </c>
      <c r="B586" t="s">
        <v>83</v>
      </c>
      <c r="C586" t="s">
        <v>17</v>
      </c>
      <c r="D586" t="s">
        <v>75</v>
      </c>
      <c r="E586" t="s">
        <v>94</v>
      </c>
      <c r="F586">
        <v>3</v>
      </c>
      <c r="G586" t="s">
        <v>19</v>
      </c>
      <c r="H586" t="s">
        <v>24</v>
      </c>
      <c r="I586">
        <v>0</v>
      </c>
      <c r="J586">
        <v>0</v>
      </c>
      <c r="K586">
        <v>0</v>
      </c>
      <c r="L586">
        <v>9</v>
      </c>
      <c r="M586">
        <v>5</v>
      </c>
      <c r="N586">
        <v>0</v>
      </c>
      <c r="O586">
        <v>541</v>
      </c>
      <c r="AF586" t="s">
        <v>151</v>
      </c>
      <c r="AG586" s="3" t="s">
        <v>20</v>
      </c>
      <c r="AH586" s="3" t="s">
        <v>21</v>
      </c>
      <c r="AI586" s="3" t="s">
        <v>60</v>
      </c>
      <c r="AJ586" s="3" t="s">
        <v>61</v>
      </c>
      <c r="AK586" s="3" t="s">
        <v>62</v>
      </c>
      <c r="AL586" s="30"/>
      <c r="AM586" s="30"/>
    </row>
    <row r="587" spans="1:41" x14ac:dyDescent="0.2">
      <c r="A587" t="s">
        <v>96</v>
      </c>
      <c r="B587" t="s">
        <v>83</v>
      </c>
      <c r="C587" t="s">
        <v>17</v>
      </c>
      <c r="D587" t="s">
        <v>75</v>
      </c>
      <c r="E587" t="s">
        <v>93</v>
      </c>
      <c r="F587">
        <v>3</v>
      </c>
      <c r="G587" t="s">
        <v>79</v>
      </c>
      <c r="H587" t="s">
        <v>20</v>
      </c>
      <c r="I587">
        <v>2</v>
      </c>
      <c r="J587">
        <v>1</v>
      </c>
      <c r="K587">
        <v>0</v>
      </c>
      <c r="L587">
        <v>6</v>
      </c>
      <c r="M587">
        <v>4</v>
      </c>
      <c r="N587">
        <v>0</v>
      </c>
      <c r="O587">
        <v>686</v>
      </c>
      <c r="AF587" s="18" t="s">
        <v>205</v>
      </c>
      <c r="AG587" s="8">
        <f>Z740</f>
        <v>59.555709141888734</v>
      </c>
      <c r="AH587" s="8">
        <f>AA740</f>
        <v>13.716498988172035</v>
      </c>
      <c r="AI587" s="8">
        <f>AB740</f>
        <v>6.7754896062778336</v>
      </c>
      <c r="AJ587" s="8">
        <f>AC740</f>
        <v>19.952302263661402</v>
      </c>
      <c r="AK587" s="8">
        <f>AD740</f>
        <v>0</v>
      </c>
      <c r="AL587" s="8">
        <f>SUM(AG587:AH587)</f>
        <v>73.272208130060761</v>
      </c>
      <c r="AM587" s="8">
        <f>SUM(AG587:AI587)</f>
        <v>80.047697736338591</v>
      </c>
    </row>
    <row r="588" spans="1:41" x14ac:dyDescent="0.2">
      <c r="A588" t="s">
        <v>96</v>
      </c>
      <c r="B588" t="s">
        <v>83</v>
      </c>
      <c r="C588" t="s">
        <v>17</v>
      </c>
      <c r="D588" t="s">
        <v>75</v>
      </c>
      <c r="E588" t="s">
        <v>93</v>
      </c>
      <c r="F588">
        <v>3</v>
      </c>
      <c r="G588" t="s">
        <v>79</v>
      </c>
      <c r="H588" t="s">
        <v>21</v>
      </c>
      <c r="I588">
        <v>3</v>
      </c>
      <c r="J588">
        <v>0</v>
      </c>
      <c r="K588">
        <v>0</v>
      </c>
      <c r="L588">
        <v>6</v>
      </c>
      <c r="M588">
        <v>4</v>
      </c>
      <c r="N588">
        <v>0</v>
      </c>
      <c r="O588">
        <v>686</v>
      </c>
      <c r="AF588" s="18" t="s">
        <v>206</v>
      </c>
      <c r="AG588" s="8">
        <f>Z748</f>
        <v>62.352567370807719</v>
      </c>
      <c r="AH588" s="8">
        <f>AA748</f>
        <v>13.3221349818793</v>
      </c>
      <c r="AI588" s="8">
        <f>AB748</f>
        <v>4.8860147300639776</v>
      </c>
      <c r="AJ588" s="8">
        <f>AC748</f>
        <v>19.439282917248992</v>
      </c>
      <c r="AK588" s="8">
        <f>AD748</f>
        <v>0</v>
      </c>
      <c r="AL588" s="8">
        <f>SUM(AG588:AH588)</f>
        <v>75.674702352687021</v>
      </c>
      <c r="AM588" s="8">
        <f t="shared" ref="AM588" si="8">SUM(AG588:AI588)</f>
        <v>80.560717082750998</v>
      </c>
      <c r="AO588" s="24">
        <f>(AL588-AL587)/AL587</f>
        <v>3.2788615000680033E-2</v>
      </c>
    </row>
    <row r="589" spans="1:41" x14ac:dyDescent="0.2">
      <c r="A589" t="s">
        <v>96</v>
      </c>
      <c r="B589" t="s">
        <v>83</v>
      </c>
      <c r="C589" t="s">
        <v>17</v>
      </c>
      <c r="D589" t="s">
        <v>75</v>
      </c>
      <c r="E589" t="s">
        <v>93</v>
      </c>
      <c r="F589">
        <v>3</v>
      </c>
      <c r="G589" t="s">
        <v>79</v>
      </c>
      <c r="H589" t="s">
        <v>22</v>
      </c>
      <c r="I589">
        <v>0</v>
      </c>
      <c r="J589">
        <v>0</v>
      </c>
      <c r="K589">
        <v>0</v>
      </c>
      <c r="L589">
        <v>6</v>
      </c>
      <c r="M589">
        <v>4</v>
      </c>
      <c r="N589">
        <v>0</v>
      </c>
      <c r="O589">
        <v>686</v>
      </c>
      <c r="AF589" s="18" t="s">
        <v>207</v>
      </c>
      <c r="AG589" s="8">
        <f>Z756</f>
        <v>58.121092222494909</v>
      </c>
      <c r="AH589" s="8">
        <f>AA756</f>
        <v>14.896857233940811</v>
      </c>
      <c r="AI589" s="8">
        <f>AB756</f>
        <v>8.5125657510227946</v>
      </c>
      <c r="AJ589" s="8">
        <f>AC756</f>
        <v>18.469484792541483</v>
      </c>
      <c r="AK589" s="8">
        <f>AD756</f>
        <v>0</v>
      </c>
      <c r="AL589" s="8">
        <f t="shared" ref="AL589" si="9">SUM(AG589:AH589)</f>
        <v>73.017949456435716</v>
      </c>
      <c r="AM589" s="8">
        <f>SUM(AG589:AI589)</f>
        <v>81.530515207458507</v>
      </c>
    </row>
    <row r="590" spans="1:41" x14ac:dyDescent="0.2">
      <c r="A590" t="s">
        <v>96</v>
      </c>
      <c r="B590" t="s">
        <v>83</v>
      </c>
      <c r="C590" t="s">
        <v>17</v>
      </c>
      <c r="D590" t="s">
        <v>75</v>
      </c>
      <c r="E590" t="s">
        <v>93</v>
      </c>
      <c r="F590">
        <v>3</v>
      </c>
      <c r="G590" t="s">
        <v>79</v>
      </c>
      <c r="H590" t="s">
        <v>23</v>
      </c>
      <c r="I590">
        <v>1</v>
      </c>
      <c r="J590">
        <v>3</v>
      </c>
      <c r="K590">
        <v>0</v>
      </c>
      <c r="L590">
        <v>6</v>
      </c>
      <c r="M590">
        <v>4</v>
      </c>
      <c r="N590">
        <v>0</v>
      </c>
      <c r="O590">
        <v>686</v>
      </c>
    </row>
    <row r="591" spans="1:41" x14ac:dyDescent="0.2">
      <c r="A591" t="s">
        <v>96</v>
      </c>
      <c r="B591" t="s">
        <v>83</v>
      </c>
      <c r="C591" t="s">
        <v>17</v>
      </c>
      <c r="D591" t="s">
        <v>75</v>
      </c>
      <c r="E591" t="s">
        <v>93</v>
      </c>
      <c r="F591">
        <v>3</v>
      </c>
      <c r="G591" t="s">
        <v>79</v>
      </c>
      <c r="H591" t="s">
        <v>24</v>
      </c>
      <c r="I591">
        <v>0</v>
      </c>
      <c r="J591">
        <v>0</v>
      </c>
      <c r="K591">
        <v>0</v>
      </c>
      <c r="L591">
        <v>6</v>
      </c>
      <c r="M591">
        <v>4</v>
      </c>
      <c r="N591">
        <v>0</v>
      </c>
      <c r="O591">
        <v>686</v>
      </c>
    </row>
    <row r="592" spans="1:41" x14ac:dyDescent="0.2">
      <c r="A592" t="s">
        <v>96</v>
      </c>
      <c r="B592" t="s">
        <v>83</v>
      </c>
      <c r="C592" t="s">
        <v>17</v>
      </c>
      <c r="D592" t="s">
        <v>75</v>
      </c>
      <c r="E592" t="s">
        <v>92</v>
      </c>
      <c r="F592">
        <v>3</v>
      </c>
      <c r="G592" t="s">
        <v>77</v>
      </c>
      <c r="H592" t="s">
        <v>20</v>
      </c>
      <c r="I592">
        <v>2</v>
      </c>
      <c r="J592">
        <v>0</v>
      </c>
      <c r="K592">
        <v>0</v>
      </c>
      <c r="L592">
        <v>4</v>
      </c>
      <c r="M592">
        <v>3</v>
      </c>
      <c r="N592">
        <v>0</v>
      </c>
      <c r="O592">
        <v>671</v>
      </c>
    </row>
    <row r="593" spans="1:15" x14ac:dyDescent="0.2">
      <c r="A593" t="s">
        <v>96</v>
      </c>
      <c r="B593" t="s">
        <v>83</v>
      </c>
      <c r="C593" t="s">
        <v>17</v>
      </c>
      <c r="D593" t="s">
        <v>75</v>
      </c>
      <c r="E593" t="s">
        <v>92</v>
      </c>
      <c r="F593">
        <v>3</v>
      </c>
      <c r="G593" t="s">
        <v>77</v>
      </c>
      <c r="H593" t="s">
        <v>21</v>
      </c>
      <c r="I593">
        <v>1</v>
      </c>
      <c r="J593">
        <v>2</v>
      </c>
      <c r="K593">
        <v>0</v>
      </c>
      <c r="L593">
        <v>4</v>
      </c>
      <c r="M593">
        <v>3</v>
      </c>
      <c r="N593">
        <v>0</v>
      </c>
      <c r="O593">
        <v>671</v>
      </c>
    </row>
    <row r="594" spans="1:15" x14ac:dyDescent="0.2">
      <c r="A594" t="s">
        <v>96</v>
      </c>
      <c r="B594" t="s">
        <v>83</v>
      </c>
      <c r="C594" t="s">
        <v>17</v>
      </c>
      <c r="D594" t="s">
        <v>75</v>
      </c>
      <c r="E594" t="s">
        <v>92</v>
      </c>
      <c r="F594">
        <v>3</v>
      </c>
      <c r="G594" t="s">
        <v>77</v>
      </c>
      <c r="H594" t="s">
        <v>22</v>
      </c>
      <c r="I594">
        <v>0</v>
      </c>
      <c r="J594">
        <v>1</v>
      </c>
      <c r="K594">
        <v>0</v>
      </c>
      <c r="L594">
        <v>4</v>
      </c>
      <c r="M594">
        <v>3</v>
      </c>
      <c r="N594">
        <v>0</v>
      </c>
      <c r="O594">
        <v>671</v>
      </c>
    </row>
    <row r="595" spans="1:15" x14ac:dyDescent="0.2">
      <c r="A595" t="s">
        <v>96</v>
      </c>
      <c r="B595" t="s">
        <v>83</v>
      </c>
      <c r="C595" t="s">
        <v>17</v>
      </c>
      <c r="D595" t="s">
        <v>75</v>
      </c>
      <c r="E595" t="s">
        <v>92</v>
      </c>
      <c r="F595">
        <v>3</v>
      </c>
      <c r="G595" t="s">
        <v>77</v>
      </c>
      <c r="H595" t="s">
        <v>23</v>
      </c>
      <c r="I595">
        <v>1</v>
      </c>
      <c r="J595">
        <v>0</v>
      </c>
      <c r="K595">
        <v>0</v>
      </c>
      <c r="L595">
        <v>4</v>
      </c>
      <c r="M595">
        <v>3</v>
      </c>
      <c r="N595">
        <v>0</v>
      </c>
      <c r="O595">
        <v>671</v>
      </c>
    </row>
    <row r="596" spans="1:15" x14ac:dyDescent="0.2">
      <c r="A596" t="s">
        <v>96</v>
      </c>
      <c r="B596" t="s">
        <v>83</v>
      </c>
      <c r="C596" t="s">
        <v>17</v>
      </c>
      <c r="D596" t="s">
        <v>75</v>
      </c>
      <c r="E596" t="s">
        <v>92</v>
      </c>
      <c r="F596">
        <v>3</v>
      </c>
      <c r="G596" t="s">
        <v>77</v>
      </c>
      <c r="H596" t="s">
        <v>24</v>
      </c>
      <c r="I596">
        <v>0</v>
      </c>
      <c r="J596">
        <v>0</v>
      </c>
      <c r="K596">
        <v>0</v>
      </c>
      <c r="L596">
        <v>4</v>
      </c>
      <c r="M596">
        <v>3</v>
      </c>
      <c r="N596">
        <v>0</v>
      </c>
      <c r="O596">
        <v>671</v>
      </c>
    </row>
    <row r="597" spans="1:15" x14ac:dyDescent="0.2">
      <c r="A597" t="s">
        <v>96</v>
      </c>
      <c r="B597" t="s">
        <v>83</v>
      </c>
      <c r="C597" t="s">
        <v>17</v>
      </c>
      <c r="D597" t="s">
        <v>75</v>
      </c>
      <c r="E597" t="s">
        <v>90</v>
      </c>
      <c r="F597">
        <v>3</v>
      </c>
      <c r="G597" t="s">
        <v>73</v>
      </c>
      <c r="H597" t="s">
        <v>20</v>
      </c>
      <c r="I597">
        <v>2</v>
      </c>
      <c r="J597">
        <v>0</v>
      </c>
      <c r="K597">
        <v>0</v>
      </c>
      <c r="L597">
        <v>6</v>
      </c>
      <c r="M597">
        <v>0</v>
      </c>
      <c r="N597">
        <v>0</v>
      </c>
      <c r="O597">
        <v>654</v>
      </c>
    </row>
    <row r="598" spans="1:15" x14ac:dyDescent="0.2">
      <c r="A598" t="s">
        <v>96</v>
      </c>
      <c r="B598" t="s">
        <v>83</v>
      </c>
      <c r="C598" t="s">
        <v>17</v>
      </c>
      <c r="D598" t="s">
        <v>75</v>
      </c>
      <c r="E598" t="s">
        <v>90</v>
      </c>
      <c r="F598">
        <v>3</v>
      </c>
      <c r="G598" t="s">
        <v>73</v>
      </c>
      <c r="H598" t="s">
        <v>21</v>
      </c>
      <c r="I598">
        <v>1</v>
      </c>
      <c r="J598">
        <v>0</v>
      </c>
      <c r="K598">
        <v>0</v>
      </c>
      <c r="L598">
        <v>6</v>
      </c>
      <c r="M598">
        <v>0</v>
      </c>
      <c r="N598">
        <v>0</v>
      </c>
      <c r="O598">
        <v>654</v>
      </c>
    </row>
    <row r="599" spans="1:15" x14ac:dyDescent="0.2">
      <c r="A599" t="s">
        <v>96</v>
      </c>
      <c r="B599" t="s">
        <v>83</v>
      </c>
      <c r="C599" t="s">
        <v>17</v>
      </c>
      <c r="D599" t="s">
        <v>75</v>
      </c>
      <c r="E599" t="s">
        <v>90</v>
      </c>
      <c r="F599">
        <v>3</v>
      </c>
      <c r="G599" t="s">
        <v>73</v>
      </c>
      <c r="H599" t="s">
        <v>22</v>
      </c>
      <c r="I599">
        <v>1</v>
      </c>
      <c r="J599">
        <v>0</v>
      </c>
      <c r="K599">
        <v>0</v>
      </c>
      <c r="L599">
        <v>6</v>
      </c>
      <c r="M599">
        <v>0</v>
      </c>
      <c r="N599">
        <v>0</v>
      </c>
      <c r="O599">
        <v>654</v>
      </c>
    </row>
    <row r="600" spans="1:15" x14ac:dyDescent="0.2">
      <c r="A600" t="s">
        <v>96</v>
      </c>
      <c r="B600" t="s">
        <v>83</v>
      </c>
      <c r="C600" t="s">
        <v>17</v>
      </c>
      <c r="D600" t="s">
        <v>75</v>
      </c>
      <c r="E600" t="s">
        <v>90</v>
      </c>
      <c r="F600">
        <v>3</v>
      </c>
      <c r="G600" t="s">
        <v>73</v>
      </c>
      <c r="H600" t="s">
        <v>23</v>
      </c>
      <c r="I600">
        <v>2</v>
      </c>
      <c r="J600">
        <v>0</v>
      </c>
      <c r="K600">
        <v>0</v>
      </c>
      <c r="L600">
        <v>6</v>
      </c>
      <c r="M600">
        <v>0</v>
      </c>
      <c r="N600">
        <v>0</v>
      </c>
      <c r="O600">
        <v>654</v>
      </c>
    </row>
    <row r="601" spans="1:15" x14ac:dyDescent="0.2">
      <c r="A601" t="s">
        <v>96</v>
      </c>
      <c r="B601" t="s">
        <v>83</v>
      </c>
      <c r="C601" t="s">
        <v>17</v>
      </c>
      <c r="D601" t="s">
        <v>75</v>
      </c>
      <c r="E601" t="s">
        <v>90</v>
      </c>
      <c r="F601">
        <v>3</v>
      </c>
      <c r="G601" t="s">
        <v>73</v>
      </c>
      <c r="H601" t="s">
        <v>24</v>
      </c>
      <c r="I601">
        <v>0</v>
      </c>
      <c r="J601">
        <v>0</v>
      </c>
      <c r="K601">
        <v>0</v>
      </c>
      <c r="L601">
        <v>6</v>
      </c>
      <c r="M601">
        <v>0</v>
      </c>
      <c r="N601">
        <v>0</v>
      </c>
      <c r="O601">
        <v>654</v>
      </c>
    </row>
    <row r="602" spans="1:15" x14ac:dyDescent="0.2">
      <c r="A602" t="s">
        <v>84</v>
      </c>
      <c r="B602" t="s">
        <v>83</v>
      </c>
      <c r="C602" t="s">
        <v>17</v>
      </c>
      <c r="D602" t="s">
        <v>75</v>
      </c>
      <c r="E602" t="s">
        <v>81</v>
      </c>
      <c r="F602">
        <v>3</v>
      </c>
      <c r="G602" t="s">
        <v>19</v>
      </c>
      <c r="H602" t="s">
        <v>20</v>
      </c>
      <c r="I602">
        <v>62</v>
      </c>
      <c r="J602">
        <v>15</v>
      </c>
      <c r="K602">
        <v>0</v>
      </c>
      <c r="L602">
        <v>81</v>
      </c>
      <c r="M602">
        <v>39</v>
      </c>
      <c r="N602">
        <v>0</v>
      </c>
      <c r="O602">
        <v>499</v>
      </c>
    </row>
    <row r="603" spans="1:15" x14ac:dyDescent="0.2">
      <c r="A603" t="s">
        <v>84</v>
      </c>
      <c r="B603" t="s">
        <v>83</v>
      </c>
      <c r="C603" t="s">
        <v>17</v>
      </c>
      <c r="D603" t="s">
        <v>75</v>
      </c>
      <c r="E603" t="s">
        <v>81</v>
      </c>
      <c r="F603">
        <v>3</v>
      </c>
      <c r="G603" t="s">
        <v>19</v>
      </c>
      <c r="H603" t="s">
        <v>21</v>
      </c>
      <c r="I603">
        <v>11</v>
      </c>
      <c r="J603">
        <v>3</v>
      </c>
      <c r="K603">
        <v>0</v>
      </c>
      <c r="L603">
        <v>81</v>
      </c>
      <c r="M603">
        <v>39</v>
      </c>
      <c r="N603">
        <v>0</v>
      </c>
      <c r="O603">
        <v>499</v>
      </c>
    </row>
    <row r="604" spans="1:15" x14ac:dyDescent="0.2">
      <c r="A604" t="s">
        <v>84</v>
      </c>
      <c r="B604" t="s">
        <v>83</v>
      </c>
      <c r="C604" t="s">
        <v>17</v>
      </c>
      <c r="D604" t="s">
        <v>75</v>
      </c>
      <c r="E604" t="s">
        <v>81</v>
      </c>
      <c r="F604">
        <v>3</v>
      </c>
      <c r="G604" t="s">
        <v>19</v>
      </c>
      <c r="H604" t="s">
        <v>22</v>
      </c>
      <c r="I604">
        <v>4</v>
      </c>
      <c r="J604">
        <v>6</v>
      </c>
      <c r="K604">
        <v>0</v>
      </c>
      <c r="L604">
        <v>81</v>
      </c>
      <c r="M604">
        <v>39</v>
      </c>
      <c r="N604">
        <v>0</v>
      </c>
      <c r="O604">
        <v>499</v>
      </c>
    </row>
    <row r="605" spans="1:15" x14ac:dyDescent="0.2">
      <c r="A605" t="s">
        <v>84</v>
      </c>
      <c r="B605" t="s">
        <v>83</v>
      </c>
      <c r="C605" t="s">
        <v>17</v>
      </c>
      <c r="D605" t="s">
        <v>75</v>
      </c>
      <c r="E605" t="s">
        <v>81</v>
      </c>
      <c r="F605">
        <v>3</v>
      </c>
      <c r="G605" t="s">
        <v>19</v>
      </c>
      <c r="H605" t="s">
        <v>23</v>
      </c>
      <c r="I605">
        <v>4</v>
      </c>
      <c r="J605">
        <v>15</v>
      </c>
      <c r="K605">
        <v>0</v>
      </c>
      <c r="L605">
        <v>81</v>
      </c>
      <c r="M605">
        <v>39</v>
      </c>
      <c r="N605">
        <v>0</v>
      </c>
      <c r="O605">
        <v>499</v>
      </c>
    </row>
    <row r="606" spans="1:15" x14ac:dyDescent="0.2">
      <c r="A606" t="s">
        <v>84</v>
      </c>
      <c r="B606" t="s">
        <v>83</v>
      </c>
      <c r="C606" t="s">
        <v>17</v>
      </c>
      <c r="D606" t="s">
        <v>75</v>
      </c>
      <c r="E606" t="s">
        <v>81</v>
      </c>
      <c r="F606">
        <v>3</v>
      </c>
      <c r="G606" t="s">
        <v>19</v>
      </c>
      <c r="H606" t="s">
        <v>24</v>
      </c>
      <c r="I606">
        <v>0</v>
      </c>
      <c r="J606">
        <v>0</v>
      </c>
      <c r="K606">
        <v>0</v>
      </c>
      <c r="L606">
        <v>81</v>
      </c>
      <c r="M606">
        <v>39</v>
      </c>
      <c r="N606">
        <v>0</v>
      </c>
      <c r="O606">
        <v>499</v>
      </c>
    </row>
    <row r="607" spans="1:15" x14ac:dyDescent="0.2">
      <c r="A607" t="s">
        <v>84</v>
      </c>
      <c r="B607" t="s">
        <v>83</v>
      </c>
      <c r="C607" t="s">
        <v>17</v>
      </c>
      <c r="D607" t="s">
        <v>75</v>
      </c>
      <c r="E607" t="s">
        <v>80</v>
      </c>
      <c r="F607">
        <v>3</v>
      </c>
      <c r="G607" t="s">
        <v>79</v>
      </c>
      <c r="H607" t="s">
        <v>20</v>
      </c>
      <c r="I607">
        <v>20</v>
      </c>
      <c r="J607">
        <v>5</v>
      </c>
      <c r="K607">
        <v>0</v>
      </c>
      <c r="L607">
        <v>26</v>
      </c>
      <c r="M607">
        <v>12</v>
      </c>
      <c r="N607">
        <v>0</v>
      </c>
      <c r="O607">
        <v>575</v>
      </c>
    </row>
    <row r="608" spans="1:15" x14ac:dyDescent="0.2">
      <c r="A608" t="s">
        <v>84</v>
      </c>
      <c r="B608" t="s">
        <v>83</v>
      </c>
      <c r="C608" t="s">
        <v>17</v>
      </c>
      <c r="D608" t="s">
        <v>75</v>
      </c>
      <c r="E608" t="s">
        <v>80</v>
      </c>
      <c r="F608">
        <v>3</v>
      </c>
      <c r="G608" t="s">
        <v>79</v>
      </c>
      <c r="H608" t="s">
        <v>21</v>
      </c>
      <c r="I608">
        <v>3</v>
      </c>
      <c r="J608">
        <v>0</v>
      </c>
      <c r="K608">
        <v>0</v>
      </c>
      <c r="L608">
        <v>26</v>
      </c>
      <c r="M608">
        <v>12</v>
      </c>
      <c r="N608">
        <v>0</v>
      </c>
      <c r="O608">
        <v>575</v>
      </c>
    </row>
    <row r="609" spans="1:15" x14ac:dyDescent="0.2">
      <c r="A609" t="s">
        <v>84</v>
      </c>
      <c r="B609" t="s">
        <v>83</v>
      </c>
      <c r="C609" t="s">
        <v>17</v>
      </c>
      <c r="D609" t="s">
        <v>75</v>
      </c>
      <c r="E609" t="s">
        <v>80</v>
      </c>
      <c r="F609">
        <v>3</v>
      </c>
      <c r="G609" t="s">
        <v>79</v>
      </c>
      <c r="H609" t="s">
        <v>22</v>
      </c>
      <c r="I609">
        <v>2</v>
      </c>
      <c r="J609">
        <v>1</v>
      </c>
      <c r="K609">
        <v>0</v>
      </c>
      <c r="L609">
        <v>26</v>
      </c>
      <c r="M609">
        <v>12</v>
      </c>
      <c r="N609">
        <v>0</v>
      </c>
      <c r="O609">
        <v>575</v>
      </c>
    </row>
    <row r="610" spans="1:15" x14ac:dyDescent="0.2">
      <c r="A610" t="s">
        <v>84</v>
      </c>
      <c r="B610" t="s">
        <v>83</v>
      </c>
      <c r="C610" t="s">
        <v>17</v>
      </c>
      <c r="D610" t="s">
        <v>75</v>
      </c>
      <c r="E610" t="s">
        <v>80</v>
      </c>
      <c r="F610">
        <v>3</v>
      </c>
      <c r="G610" t="s">
        <v>79</v>
      </c>
      <c r="H610" t="s">
        <v>23</v>
      </c>
      <c r="I610">
        <v>1</v>
      </c>
      <c r="J610">
        <v>6</v>
      </c>
      <c r="K610">
        <v>0</v>
      </c>
      <c r="L610">
        <v>26</v>
      </c>
      <c r="M610">
        <v>12</v>
      </c>
      <c r="N610">
        <v>0</v>
      </c>
      <c r="O610">
        <v>575</v>
      </c>
    </row>
    <row r="611" spans="1:15" x14ac:dyDescent="0.2">
      <c r="A611" t="s">
        <v>84</v>
      </c>
      <c r="B611" t="s">
        <v>83</v>
      </c>
      <c r="C611" t="s">
        <v>17</v>
      </c>
      <c r="D611" t="s">
        <v>75</v>
      </c>
      <c r="E611" t="s">
        <v>80</v>
      </c>
      <c r="F611">
        <v>3</v>
      </c>
      <c r="G611" t="s">
        <v>79</v>
      </c>
      <c r="H611" t="s">
        <v>24</v>
      </c>
      <c r="I611">
        <v>0</v>
      </c>
      <c r="J611">
        <v>0</v>
      </c>
      <c r="K611">
        <v>0</v>
      </c>
      <c r="L611">
        <v>26</v>
      </c>
      <c r="M611">
        <v>12</v>
      </c>
      <c r="N611">
        <v>0</v>
      </c>
      <c r="O611">
        <v>575</v>
      </c>
    </row>
    <row r="612" spans="1:15" x14ac:dyDescent="0.2">
      <c r="A612" t="s">
        <v>84</v>
      </c>
      <c r="B612" t="s">
        <v>83</v>
      </c>
      <c r="C612" t="s">
        <v>17</v>
      </c>
      <c r="D612" t="s">
        <v>75</v>
      </c>
      <c r="E612" t="s">
        <v>78</v>
      </c>
      <c r="F612">
        <v>3</v>
      </c>
      <c r="G612" t="s">
        <v>77</v>
      </c>
      <c r="H612" t="s">
        <v>20</v>
      </c>
      <c r="I612">
        <v>20</v>
      </c>
      <c r="J612">
        <v>5</v>
      </c>
      <c r="K612">
        <v>0</v>
      </c>
      <c r="L612">
        <v>26</v>
      </c>
      <c r="M612">
        <v>11</v>
      </c>
      <c r="N612">
        <v>0</v>
      </c>
      <c r="O612">
        <v>573</v>
      </c>
    </row>
    <row r="613" spans="1:15" x14ac:dyDescent="0.2">
      <c r="A613" t="s">
        <v>84</v>
      </c>
      <c r="B613" t="s">
        <v>83</v>
      </c>
      <c r="C613" t="s">
        <v>17</v>
      </c>
      <c r="D613" t="s">
        <v>75</v>
      </c>
      <c r="E613" t="s">
        <v>78</v>
      </c>
      <c r="F613">
        <v>3</v>
      </c>
      <c r="G613" t="s">
        <v>77</v>
      </c>
      <c r="H613" t="s">
        <v>21</v>
      </c>
      <c r="I613">
        <v>1</v>
      </c>
      <c r="J613">
        <v>1</v>
      </c>
      <c r="K613">
        <v>0</v>
      </c>
      <c r="L613">
        <v>26</v>
      </c>
      <c r="M613">
        <v>11</v>
      </c>
      <c r="N613">
        <v>0</v>
      </c>
      <c r="O613">
        <v>573</v>
      </c>
    </row>
    <row r="614" spans="1:15" x14ac:dyDescent="0.2">
      <c r="A614" t="s">
        <v>84</v>
      </c>
      <c r="B614" t="s">
        <v>83</v>
      </c>
      <c r="C614" t="s">
        <v>17</v>
      </c>
      <c r="D614" t="s">
        <v>75</v>
      </c>
      <c r="E614" t="s">
        <v>78</v>
      </c>
      <c r="F614">
        <v>3</v>
      </c>
      <c r="G614" t="s">
        <v>77</v>
      </c>
      <c r="H614" t="s">
        <v>22</v>
      </c>
      <c r="I614">
        <v>2</v>
      </c>
      <c r="J614">
        <v>2</v>
      </c>
      <c r="K614">
        <v>0</v>
      </c>
      <c r="L614">
        <v>26</v>
      </c>
      <c r="M614">
        <v>11</v>
      </c>
      <c r="N614">
        <v>0</v>
      </c>
      <c r="O614">
        <v>573</v>
      </c>
    </row>
    <row r="615" spans="1:15" x14ac:dyDescent="0.2">
      <c r="A615" t="s">
        <v>84</v>
      </c>
      <c r="B615" t="s">
        <v>83</v>
      </c>
      <c r="C615" t="s">
        <v>17</v>
      </c>
      <c r="D615" t="s">
        <v>75</v>
      </c>
      <c r="E615" t="s">
        <v>78</v>
      </c>
      <c r="F615">
        <v>3</v>
      </c>
      <c r="G615" t="s">
        <v>77</v>
      </c>
      <c r="H615" t="s">
        <v>23</v>
      </c>
      <c r="I615">
        <v>3</v>
      </c>
      <c r="J615">
        <v>3</v>
      </c>
      <c r="K615">
        <v>0</v>
      </c>
      <c r="L615">
        <v>26</v>
      </c>
      <c r="M615">
        <v>11</v>
      </c>
      <c r="N615">
        <v>0</v>
      </c>
      <c r="O615">
        <v>573</v>
      </c>
    </row>
    <row r="616" spans="1:15" x14ac:dyDescent="0.2">
      <c r="A616" t="s">
        <v>84</v>
      </c>
      <c r="B616" t="s">
        <v>83</v>
      </c>
      <c r="C616" t="s">
        <v>17</v>
      </c>
      <c r="D616" t="s">
        <v>75</v>
      </c>
      <c r="E616" t="s">
        <v>78</v>
      </c>
      <c r="F616">
        <v>3</v>
      </c>
      <c r="G616" t="s">
        <v>77</v>
      </c>
      <c r="H616" t="s">
        <v>24</v>
      </c>
      <c r="I616">
        <v>0</v>
      </c>
      <c r="J616">
        <v>0</v>
      </c>
      <c r="K616">
        <v>0</v>
      </c>
      <c r="L616">
        <v>26</v>
      </c>
      <c r="M616">
        <v>11</v>
      </c>
      <c r="N616">
        <v>0</v>
      </c>
      <c r="O616">
        <v>573</v>
      </c>
    </row>
    <row r="617" spans="1:15" x14ac:dyDescent="0.2">
      <c r="A617" t="s">
        <v>84</v>
      </c>
      <c r="B617" t="s">
        <v>83</v>
      </c>
      <c r="C617" t="s">
        <v>17</v>
      </c>
      <c r="D617" t="s">
        <v>75</v>
      </c>
      <c r="E617" t="s">
        <v>74</v>
      </c>
      <c r="F617">
        <v>3</v>
      </c>
      <c r="G617" t="s">
        <v>73</v>
      </c>
      <c r="H617" t="s">
        <v>20</v>
      </c>
      <c r="I617">
        <v>18</v>
      </c>
      <c r="J617">
        <v>4</v>
      </c>
      <c r="K617">
        <v>0</v>
      </c>
      <c r="L617">
        <v>26</v>
      </c>
      <c r="M617">
        <v>12</v>
      </c>
      <c r="N617">
        <v>0</v>
      </c>
      <c r="O617">
        <v>565</v>
      </c>
    </row>
    <row r="618" spans="1:15" x14ac:dyDescent="0.2">
      <c r="A618" t="s">
        <v>84</v>
      </c>
      <c r="B618" t="s">
        <v>83</v>
      </c>
      <c r="C618" t="s">
        <v>17</v>
      </c>
      <c r="D618" t="s">
        <v>75</v>
      </c>
      <c r="E618" t="s">
        <v>74</v>
      </c>
      <c r="F618">
        <v>3</v>
      </c>
      <c r="G618" t="s">
        <v>73</v>
      </c>
      <c r="H618" t="s">
        <v>21</v>
      </c>
      <c r="I618">
        <v>2</v>
      </c>
      <c r="J618">
        <v>2</v>
      </c>
      <c r="K618">
        <v>0</v>
      </c>
      <c r="L618">
        <v>26</v>
      </c>
      <c r="M618">
        <v>12</v>
      </c>
      <c r="N618">
        <v>0</v>
      </c>
      <c r="O618">
        <v>565</v>
      </c>
    </row>
    <row r="619" spans="1:15" x14ac:dyDescent="0.2">
      <c r="A619" t="s">
        <v>84</v>
      </c>
      <c r="B619" t="s">
        <v>83</v>
      </c>
      <c r="C619" t="s">
        <v>17</v>
      </c>
      <c r="D619" t="s">
        <v>75</v>
      </c>
      <c r="E619" t="s">
        <v>74</v>
      </c>
      <c r="F619">
        <v>3</v>
      </c>
      <c r="G619" t="s">
        <v>73</v>
      </c>
      <c r="H619" t="s">
        <v>22</v>
      </c>
      <c r="I619">
        <v>4</v>
      </c>
      <c r="J619">
        <v>1</v>
      </c>
      <c r="K619">
        <v>0</v>
      </c>
      <c r="L619">
        <v>26</v>
      </c>
      <c r="M619">
        <v>12</v>
      </c>
      <c r="N619">
        <v>0</v>
      </c>
      <c r="O619">
        <v>565</v>
      </c>
    </row>
    <row r="620" spans="1:15" x14ac:dyDescent="0.2">
      <c r="A620" t="s">
        <v>84</v>
      </c>
      <c r="B620" t="s">
        <v>83</v>
      </c>
      <c r="C620" t="s">
        <v>17</v>
      </c>
      <c r="D620" t="s">
        <v>75</v>
      </c>
      <c r="E620" t="s">
        <v>74</v>
      </c>
      <c r="F620">
        <v>3</v>
      </c>
      <c r="G620" t="s">
        <v>73</v>
      </c>
      <c r="H620" t="s">
        <v>23</v>
      </c>
      <c r="I620">
        <v>2</v>
      </c>
      <c r="J620">
        <v>5</v>
      </c>
      <c r="K620">
        <v>0</v>
      </c>
      <c r="L620">
        <v>26</v>
      </c>
      <c r="M620">
        <v>12</v>
      </c>
      <c r="N620">
        <v>0</v>
      </c>
      <c r="O620">
        <v>565</v>
      </c>
    </row>
    <row r="621" spans="1:15" x14ac:dyDescent="0.2">
      <c r="A621" t="s">
        <v>84</v>
      </c>
      <c r="B621" t="s">
        <v>83</v>
      </c>
      <c r="C621" t="s">
        <v>17</v>
      </c>
      <c r="D621" t="s">
        <v>75</v>
      </c>
      <c r="E621" t="s">
        <v>74</v>
      </c>
      <c r="F621">
        <v>3</v>
      </c>
      <c r="G621" t="s">
        <v>73</v>
      </c>
      <c r="H621" t="s">
        <v>24</v>
      </c>
      <c r="I621">
        <v>0</v>
      </c>
      <c r="J621">
        <v>0</v>
      </c>
      <c r="K621">
        <v>0</v>
      </c>
      <c r="L621">
        <v>26</v>
      </c>
      <c r="M621">
        <v>12</v>
      </c>
      <c r="N621">
        <v>0</v>
      </c>
      <c r="O621">
        <v>565</v>
      </c>
    </row>
    <row r="622" spans="1:15" x14ac:dyDescent="0.2">
      <c r="A622" t="s">
        <v>120</v>
      </c>
      <c r="B622" t="s">
        <v>83</v>
      </c>
      <c r="C622" t="s">
        <v>17</v>
      </c>
      <c r="D622" t="s">
        <v>75</v>
      </c>
      <c r="E622" t="s">
        <v>118</v>
      </c>
      <c r="F622">
        <v>3</v>
      </c>
      <c r="G622" t="s">
        <v>19</v>
      </c>
      <c r="H622" t="s">
        <v>20</v>
      </c>
      <c r="I622">
        <v>39</v>
      </c>
      <c r="J622">
        <v>29</v>
      </c>
      <c r="K622">
        <v>0</v>
      </c>
      <c r="L622">
        <v>46</v>
      </c>
      <c r="M622">
        <v>41</v>
      </c>
      <c r="N622">
        <v>0</v>
      </c>
      <c r="O622">
        <v>166</v>
      </c>
    </row>
    <row r="623" spans="1:15" x14ac:dyDescent="0.2">
      <c r="A623" t="s">
        <v>120</v>
      </c>
      <c r="B623" t="s">
        <v>83</v>
      </c>
      <c r="C623" t="s">
        <v>17</v>
      </c>
      <c r="D623" t="s">
        <v>75</v>
      </c>
      <c r="E623" t="s">
        <v>118</v>
      </c>
      <c r="F623">
        <v>3</v>
      </c>
      <c r="G623" t="s">
        <v>19</v>
      </c>
      <c r="H623" t="s">
        <v>21</v>
      </c>
      <c r="I623">
        <v>6</v>
      </c>
      <c r="J623">
        <v>4</v>
      </c>
      <c r="K623">
        <v>0</v>
      </c>
      <c r="L623">
        <v>46</v>
      </c>
      <c r="M623">
        <v>41</v>
      </c>
      <c r="N623">
        <v>0</v>
      </c>
      <c r="O623">
        <v>166</v>
      </c>
    </row>
    <row r="624" spans="1:15" x14ac:dyDescent="0.2">
      <c r="A624" t="s">
        <v>120</v>
      </c>
      <c r="B624" t="s">
        <v>83</v>
      </c>
      <c r="C624" t="s">
        <v>17</v>
      </c>
      <c r="D624" t="s">
        <v>75</v>
      </c>
      <c r="E624" t="s">
        <v>118</v>
      </c>
      <c r="F624">
        <v>3</v>
      </c>
      <c r="G624" t="s">
        <v>19</v>
      </c>
      <c r="H624" t="s">
        <v>22</v>
      </c>
      <c r="I624">
        <v>1</v>
      </c>
      <c r="J624">
        <v>0</v>
      </c>
      <c r="K624">
        <v>0</v>
      </c>
      <c r="L624">
        <v>46</v>
      </c>
      <c r="M624">
        <v>41</v>
      </c>
      <c r="N624">
        <v>0</v>
      </c>
      <c r="O624">
        <v>166</v>
      </c>
    </row>
    <row r="625" spans="1:15" x14ac:dyDescent="0.2">
      <c r="A625" t="s">
        <v>120</v>
      </c>
      <c r="B625" t="s">
        <v>83</v>
      </c>
      <c r="C625" t="s">
        <v>17</v>
      </c>
      <c r="D625" t="s">
        <v>75</v>
      </c>
      <c r="E625" t="s">
        <v>118</v>
      </c>
      <c r="F625">
        <v>3</v>
      </c>
      <c r="G625" t="s">
        <v>19</v>
      </c>
      <c r="H625" t="s">
        <v>23</v>
      </c>
      <c r="I625">
        <v>0</v>
      </c>
      <c r="J625">
        <v>7</v>
      </c>
      <c r="K625">
        <v>0</v>
      </c>
      <c r="L625">
        <v>46</v>
      </c>
      <c r="M625">
        <v>41</v>
      </c>
      <c r="N625">
        <v>0</v>
      </c>
      <c r="O625">
        <v>166</v>
      </c>
    </row>
    <row r="626" spans="1:15" x14ac:dyDescent="0.2">
      <c r="A626" t="s">
        <v>120</v>
      </c>
      <c r="B626" t="s">
        <v>83</v>
      </c>
      <c r="C626" t="s">
        <v>17</v>
      </c>
      <c r="D626" t="s">
        <v>75</v>
      </c>
      <c r="E626" t="s">
        <v>118</v>
      </c>
      <c r="F626">
        <v>3</v>
      </c>
      <c r="G626" t="s">
        <v>19</v>
      </c>
      <c r="H626" t="s">
        <v>24</v>
      </c>
      <c r="I626">
        <v>0</v>
      </c>
      <c r="J626">
        <v>1</v>
      </c>
      <c r="K626">
        <v>0</v>
      </c>
      <c r="L626">
        <v>46</v>
      </c>
      <c r="M626">
        <v>41</v>
      </c>
      <c r="N626">
        <v>0</v>
      </c>
      <c r="O626">
        <v>166</v>
      </c>
    </row>
    <row r="627" spans="1:15" x14ac:dyDescent="0.2">
      <c r="A627" t="s">
        <v>120</v>
      </c>
      <c r="B627" t="s">
        <v>83</v>
      </c>
      <c r="C627" t="s">
        <v>17</v>
      </c>
      <c r="D627" t="s">
        <v>75</v>
      </c>
      <c r="E627" t="s">
        <v>117</v>
      </c>
      <c r="F627">
        <v>3</v>
      </c>
      <c r="G627" t="s">
        <v>79</v>
      </c>
      <c r="H627" t="s">
        <v>20</v>
      </c>
      <c r="I627">
        <v>12</v>
      </c>
      <c r="J627">
        <v>10</v>
      </c>
      <c r="K627">
        <v>0</v>
      </c>
      <c r="L627">
        <v>13</v>
      </c>
      <c r="M627">
        <v>10</v>
      </c>
      <c r="N627">
        <v>0</v>
      </c>
      <c r="O627">
        <v>180</v>
      </c>
    </row>
    <row r="628" spans="1:15" x14ac:dyDescent="0.2">
      <c r="A628" t="s">
        <v>120</v>
      </c>
      <c r="B628" t="s">
        <v>83</v>
      </c>
      <c r="C628" t="s">
        <v>17</v>
      </c>
      <c r="D628" t="s">
        <v>75</v>
      </c>
      <c r="E628" t="s">
        <v>117</v>
      </c>
      <c r="F628">
        <v>3</v>
      </c>
      <c r="G628" t="s">
        <v>79</v>
      </c>
      <c r="H628" t="s">
        <v>21</v>
      </c>
      <c r="I628">
        <v>1</v>
      </c>
      <c r="J628">
        <v>0</v>
      </c>
      <c r="K628">
        <v>0</v>
      </c>
      <c r="L628">
        <v>13</v>
      </c>
      <c r="M628">
        <v>10</v>
      </c>
      <c r="N628">
        <v>0</v>
      </c>
      <c r="O628">
        <v>180</v>
      </c>
    </row>
    <row r="629" spans="1:15" x14ac:dyDescent="0.2">
      <c r="A629" t="s">
        <v>120</v>
      </c>
      <c r="B629" t="s">
        <v>83</v>
      </c>
      <c r="C629" t="s">
        <v>17</v>
      </c>
      <c r="D629" t="s">
        <v>75</v>
      </c>
      <c r="E629" t="s">
        <v>117</v>
      </c>
      <c r="F629">
        <v>3</v>
      </c>
      <c r="G629" t="s">
        <v>79</v>
      </c>
      <c r="H629" t="s">
        <v>22</v>
      </c>
      <c r="I629">
        <v>0</v>
      </c>
      <c r="J629">
        <v>0</v>
      </c>
      <c r="K629">
        <v>0</v>
      </c>
      <c r="L629">
        <v>13</v>
      </c>
      <c r="M629">
        <v>10</v>
      </c>
      <c r="N629">
        <v>0</v>
      </c>
      <c r="O629">
        <v>180</v>
      </c>
    </row>
    <row r="630" spans="1:15" x14ac:dyDescent="0.2">
      <c r="A630" t="s">
        <v>120</v>
      </c>
      <c r="B630" t="s">
        <v>83</v>
      </c>
      <c r="C630" t="s">
        <v>17</v>
      </c>
      <c r="D630" t="s">
        <v>75</v>
      </c>
      <c r="E630" t="s">
        <v>117</v>
      </c>
      <c r="F630">
        <v>3</v>
      </c>
      <c r="G630" t="s">
        <v>79</v>
      </c>
      <c r="H630" t="s">
        <v>23</v>
      </c>
      <c r="I630">
        <v>0</v>
      </c>
      <c r="J630">
        <v>0</v>
      </c>
      <c r="K630">
        <v>0</v>
      </c>
      <c r="L630">
        <v>13</v>
      </c>
      <c r="M630">
        <v>10</v>
      </c>
      <c r="N630">
        <v>0</v>
      </c>
      <c r="O630">
        <v>180</v>
      </c>
    </row>
    <row r="631" spans="1:15" x14ac:dyDescent="0.2">
      <c r="A631" t="s">
        <v>120</v>
      </c>
      <c r="B631" t="s">
        <v>83</v>
      </c>
      <c r="C631" t="s">
        <v>17</v>
      </c>
      <c r="D631" t="s">
        <v>75</v>
      </c>
      <c r="E631" t="s">
        <v>117</v>
      </c>
      <c r="F631">
        <v>3</v>
      </c>
      <c r="G631" t="s">
        <v>79</v>
      </c>
      <c r="H631" t="s">
        <v>24</v>
      </c>
      <c r="I631">
        <v>0</v>
      </c>
      <c r="J631">
        <v>0</v>
      </c>
      <c r="K631">
        <v>0</v>
      </c>
      <c r="L631">
        <v>13</v>
      </c>
      <c r="M631">
        <v>10</v>
      </c>
      <c r="N631">
        <v>0</v>
      </c>
      <c r="O631">
        <v>180</v>
      </c>
    </row>
    <row r="632" spans="1:15" x14ac:dyDescent="0.2">
      <c r="A632" t="s">
        <v>120</v>
      </c>
      <c r="B632" t="s">
        <v>83</v>
      </c>
      <c r="C632" t="s">
        <v>17</v>
      </c>
      <c r="D632" t="s">
        <v>75</v>
      </c>
      <c r="E632" t="s">
        <v>116</v>
      </c>
      <c r="F632">
        <v>3</v>
      </c>
      <c r="G632" t="s">
        <v>77</v>
      </c>
      <c r="H632" t="s">
        <v>20</v>
      </c>
      <c r="I632">
        <v>13</v>
      </c>
      <c r="J632">
        <v>10</v>
      </c>
      <c r="K632">
        <v>0</v>
      </c>
      <c r="L632">
        <v>15</v>
      </c>
      <c r="M632">
        <v>11</v>
      </c>
      <c r="N632">
        <v>0</v>
      </c>
      <c r="O632">
        <v>184</v>
      </c>
    </row>
    <row r="633" spans="1:15" x14ac:dyDescent="0.2">
      <c r="A633" t="s">
        <v>120</v>
      </c>
      <c r="B633" t="s">
        <v>83</v>
      </c>
      <c r="C633" t="s">
        <v>17</v>
      </c>
      <c r="D633" t="s">
        <v>75</v>
      </c>
      <c r="E633" t="s">
        <v>116</v>
      </c>
      <c r="F633">
        <v>3</v>
      </c>
      <c r="G633" t="s">
        <v>77</v>
      </c>
      <c r="H633" t="s">
        <v>21</v>
      </c>
      <c r="I633">
        <v>2</v>
      </c>
      <c r="J633">
        <v>1</v>
      </c>
      <c r="K633">
        <v>0</v>
      </c>
      <c r="L633">
        <v>15</v>
      </c>
      <c r="M633">
        <v>11</v>
      </c>
      <c r="N633">
        <v>0</v>
      </c>
      <c r="O633">
        <v>184</v>
      </c>
    </row>
    <row r="634" spans="1:15" x14ac:dyDescent="0.2">
      <c r="A634" t="s">
        <v>120</v>
      </c>
      <c r="B634" t="s">
        <v>83</v>
      </c>
      <c r="C634" t="s">
        <v>17</v>
      </c>
      <c r="D634" t="s">
        <v>75</v>
      </c>
      <c r="E634" t="s">
        <v>116</v>
      </c>
      <c r="F634">
        <v>3</v>
      </c>
      <c r="G634" t="s">
        <v>77</v>
      </c>
      <c r="H634" t="s">
        <v>22</v>
      </c>
      <c r="I634">
        <v>0</v>
      </c>
      <c r="J634">
        <v>0</v>
      </c>
      <c r="K634">
        <v>0</v>
      </c>
      <c r="L634">
        <v>15</v>
      </c>
      <c r="M634">
        <v>11</v>
      </c>
      <c r="N634">
        <v>0</v>
      </c>
      <c r="O634">
        <v>184</v>
      </c>
    </row>
    <row r="635" spans="1:15" x14ac:dyDescent="0.2">
      <c r="A635" t="s">
        <v>120</v>
      </c>
      <c r="B635" t="s">
        <v>83</v>
      </c>
      <c r="C635" t="s">
        <v>17</v>
      </c>
      <c r="D635" t="s">
        <v>75</v>
      </c>
      <c r="E635" t="s">
        <v>116</v>
      </c>
      <c r="F635">
        <v>3</v>
      </c>
      <c r="G635" t="s">
        <v>77</v>
      </c>
      <c r="H635" t="s">
        <v>23</v>
      </c>
      <c r="I635">
        <v>0</v>
      </c>
      <c r="J635">
        <v>0</v>
      </c>
      <c r="K635">
        <v>0</v>
      </c>
      <c r="L635">
        <v>15</v>
      </c>
      <c r="M635">
        <v>11</v>
      </c>
      <c r="N635">
        <v>0</v>
      </c>
      <c r="O635">
        <v>184</v>
      </c>
    </row>
    <row r="636" spans="1:15" x14ac:dyDescent="0.2">
      <c r="A636" t="s">
        <v>120</v>
      </c>
      <c r="B636" t="s">
        <v>83</v>
      </c>
      <c r="C636" t="s">
        <v>17</v>
      </c>
      <c r="D636" t="s">
        <v>75</v>
      </c>
      <c r="E636" t="s">
        <v>116</v>
      </c>
      <c r="F636">
        <v>3</v>
      </c>
      <c r="G636" t="s">
        <v>77</v>
      </c>
      <c r="H636" t="s">
        <v>24</v>
      </c>
      <c r="I636">
        <v>0</v>
      </c>
      <c r="J636">
        <v>0</v>
      </c>
      <c r="K636">
        <v>0</v>
      </c>
      <c r="L636">
        <v>15</v>
      </c>
      <c r="M636">
        <v>11</v>
      </c>
      <c r="N636">
        <v>0</v>
      </c>
      <c r="O636">
        <v>184</v>
      </c>
    </row>
    <row r="637" spans="1:15" x14ac:dyDescent="0.2">
      <c r="A637" t="s">
        <v>120</v>
      </c>
      <c r="B637" t="s">
        <v>83</v>
      </c>
      <c r="C637" t="s">
        <v>17</v>
      </c>
      <c r="D637" t="s">
        <v>75</v>
      </c>
      <c r="E637" t="s">
        <v>114</v>
      </c>
      <c r="F637">
        <v>3</v>
      </c>
      <c r="G637" t="s">
        <v>73</v>
      </c>
      <c r="H637" t="s">
        <v>20</v>
      </c>
      <c r="I637">
        <v>13</v>
      </c>
      <c r="J637">
        <v>10</v>
      </c>
      <c r="K637">
        <v>0</v>
      </c>
      <c r="L637">
        <v>17</v>
      </c>
      <c r="M637">
        <v>14</v>
      </c>
      <c r="N637">
        <v>0</v>
      </c>
      <c r="O637">
        <v>181</v>
      </c>
    </row>
    <row r="638" spans="1:15" x14ac:dyDescent="0.2">
      <c r="A638" t="s">
        <v>120</v>
      </c>
      <c r="B638" t="s">
        <v>83</v>
      </c>
      <c r="C638" t="s">
        <v>17</v>
      </c>
      <c r="D638" t="s">
        <v>75</v>
      </c>
      <c r="E638" t="s">
        <v>114</v>
      </c>
      <c r="F638">
        <v>3</v>
      </c>
      <c r="G638" t="s">
        <v>73</v>
      </c>
      <c r="H638" t="s">
        <v>21</v>
      </c>
      <c r="I638">
        <v>4</v>
      </c>
      <c r="J638">
        <v>0</v>
      </c>
      <c r="K638">
        <v>0</v>
      </c>
      <c r="L638">
        <v>17</v>
      </c>
      <c r="M638">
        <v>14</v>
      </c>
      <c r="N638">
        <v>0</v>
      </c>
      <c r="O638">
        <v>181</v>
      </c>
    </row>
    <row r="639" spans="1:15" x14ac:dyDescent="0.2">
      <c r="A639" t="s">
        <v>120</v>
      </c>
      <c r="B639" t="s">
        <v>83</v>
      </c>
      <c r="C639" t="s">
        <v>17</v>
      </c>
      <c r="D639" t="s">
        <v>75</v>
      </c>
      <c r="E639" t="s">
        <v>114</v>
      </c>
      <c r="F639">
        <v>3</v>
      </c>
      <c r="G639" t="s">
        <v>73</v>
      </c>
      <c r="H639" t="s">
        <v>22</v>
      </c>
      <c r="I639">
        <v>0</v>
      </c>
      <c r="J639">
        <v>3</v>
      </c>
      <c r="K639">
        <v>0</v>
      </c>
      <c r="L639">
        <v>17</v>
      </c>
      <c r="M639">
        <v>14</v>
      </c>
      <c r="N639">
        <v>0</v>
      </c>
      <c r="O639">
        <v>181</v>
      </c>
    </row>
    <row r="640" spans="1:15" x14ac:dyDescent="0.2">
      <c r="A640" t="s">
        <v>120</v>
      </c>
      <c r="B640" t="s">
        <v>83</v>
      </c>
      <c r="C640" t="s">
        <v>17</v>
      </c>
      <c r="D640" t="s">
        <v>75</v>
      </c>
      <c r="E640" t="s">
        <v>114</v>
      </c>
      <c r="F640">
        <v>3</v>
      </c>
      <c r="G640" t="s">
        <v>73</v>
      </c>
      <c r="H640" t="s">
        <v>23</v>
      </c>
      <c r="I640">
        <v>0</v>
      </c>
      <c r="J640">
        <v>1</v>
      </c>
      <c r="K640">
        <v>0</v>
      </c>
      <c r="L640">
        <v>17</v>
      </c>
      <c r="M640">
        <v>14</v>
      </c>
      <c r="N640">
        <v>0</v>
      </c>
      <c r="O640">
        <v>181</v>
      </c>
    </row>
    <row r="641" spans="1:15" x14ac:dyDescent="0.2">
      <c r="A641" t="s">
        <v>120</v>
      </c>
      <c r="B641" t="s">
        <v>83</v>
      </c>
      <c r="C641" t="s">
        <v>17</v>
      </c>
      <c r="D641" t="s">
        <v>75</v>
      </c>
      <c r="E641" t="s">
        <v>114</v>
      </c>
      <c r="F641">
        <v>3</v>
      </c>
      <c r="G641" t="s">
        <v>73</v>
      </c>
      <c r="H641" t="s">
        <v>24</v>
      </c>
      <c r="I641">
        <v>0</v>
      </c>
      <c r="J641">
        <v>0</v>
      </c>
      <c r="K641">
        <v>0</v>
      </c>
      <c r="L641">
        <v>17</v>
      </c>
      <c r="M641">
        <v>14</v>
      </c>
      <c r="N641">
        <v>0</v>
      </c>
      <c r="O641">
        <v>181</v>
      </c>
    </row>
    <row r="660" spans="1:61" x14ac:dyDescent="0.2">
      <c r="A660" s="31" t="s">
        <v>186</v>
      </c>
      <c r="B660" s="32" t="s">
        <v>53</v>
      </c>
      <c r="C660" s="32"/>
      <c r="D660" s="32"/>
      <c r="E660" s="32"/>
      <c r="F660" s="32"/>
      <c r="G660" s="4" t="s">
        <v>64</v>
      </c>
      <c r="H660" s="32" t="s">
        <v>54</v>
      </c>
      <c r="I660" s="32"/>
      <c r="J660" s="32"/>
      <c r="K660" s="32"/>
      <c r="L660" s="32"/>
      <c r="M660" s="4" t="s">
        <v>64</v>
      </c>
      <c r="N660" s="32" t="s">
        <v>55</v>
      </c>
      <c r="O660" s="32"/>
      <c r="P660" s="32"/>
      <c r="Q660" s="32"/>
      <c r="R660" s="32"/>
      <c r="S660" s="4" t="s">
        <v>64</v>
      </c>
      <c r="T660" s="32" t="s">
        <v>56</v>
      </c>
      <c r="U660" s="32"/>
      <c r="V660" s="32"/>
      <c r="W660" s="32"/>
      <c r="X660" s="32"/>
      <c r="Y660" s="4" t="s">
        <v>64</v>
      </c>
      <c r="AF660" s="31" t="s">
        <v>186</v>
      </c>
      <c r="AG660" s="32" t="s">
        <v>53</v>
      </c>
      <c r="AH660" s="32"/>
      <c r="AI660" s="32"/>
      <c r="AJ660" s="32"/>
      <c r="AK660" s="32"/>
      <c r="AL660" s="4" t="s">
        <v>64</v>
      </c>
      <c r="AM660" s="32" t="s">
        <v>54</v>
      </c>
      <c r="AN660" s="32"/>
      <c r="AO660" s="32"/>
      <c r="AP660" s="32"/>
      <c r="AQ660" s="32"/>
      <c r="AR660" s="4" t="s">
        <v>64</v>
      </c>
      <c r="AS660" s="32" t="s">
        <v>55</v>
      </c>
      <c r="AT660" s="32"/>
      <c r="AU660" s="32"/>
      <c r="AV660" s="32"/>
      <c r="AW660" s="32"/>
      <c r="AX660" s="4" t="s">
        <v>64</v>
      </c>
      <c r="AY660" s="32" t="s">
        <v>56</v>
      </c>
      <c r="AZ660" s="32"/>
      <c r="BA660" s="32"/>
      <c r="BB660" s="32"/>
      <c r="BC660" s="32"/>
      <c r="BD660" s="4" t="s">
        <v>64</v>
      </c>
    </row>
    <row r="661" spans="1:61" x14ac:dyDescent="0.2">
      <c r="A661" s="32"/>
      <c r="B661" s="4" t="s">
        <v>20</v>
      </c>
      <c r="C661" s="4" t="s">
        <v>21</v>
      </c>
      <c r="D661" s="4" t="s">
        <v>60</v>
      </c>
      <c r="E661" s="4" t="s">
        <v>61</v>
      </c>
      <c r="F661" s="4" t="s">
        <v>62</v>
      </c>
      <c r="G661" s="4"/>
      <c r="H661" s="4" t="s">
        <v>20</v>
      </c>
      <c r="I661" s="4" t="s">
        <v>21</v>
      </c>
      <c r="J661" s="4" t="s">
        <v>60</v>
      </c>
      <c r="K661" s="4" t="s">
        <v>61</v>
      </c>
      <c r="L661" s="4" t="s">
        <v>62</v>
      </c>
      <c r="M661" s="4"/>
      <c r="N661" s="4" t="s">
        <v>20</v>
      </c>
      <c r="O661" s="4" t="s">
        <v>21</v>
      </c>
      <c r="P661" s="4" t="s">
        <v>60</v>
      </c>
      <c r="Q661" s="4" t="s">
        <v>61</v>
      </c>
      <c r="R661" s="4" t="s">
        <v>62</v>
      </c>
      <c r="S661" s="4"/>
      <c r="T661" s="4" t="s">
        <v>20</v>
      </c>
      <c r="U661" s="4" t="s">
        <v>21</v>
      </c>
      <c r="V661" s="4" t="s">
        <v>60</v>
      </c>
      <c r="W661" s="4" t="s">
        <v>61</v>
      </c>
      <c r="X661" s="4" t="s">
        <v>62</v>
      </c>
      <c r="Y661" s="4"/>
      <c r="AF661" s="32"/>
      <c r="AG661" s="4" t="s">
        <v>20</v>
      </c>
      <c r="AH661" s="4" t="s">
        <v>21</v>
      </c>
      <c r="AI661" s="4" t="s">
        <v>60</v>
      </c>
      <c r="AJ661" s="4" t="s">
        <v>61</v>
      </c>
      <c r="AK661" s="4" t="s">
        <v>62</v>
      </c>
      <c r="AL661" s="4"/>
      <c r="AM661" s="4" t="s">
        <v>20</v>
      </c>
      <c r="AN661" s="4" t="s">
        <v>21</v>
      </c>
      <c r="AO661" s="4" t="s">
        <v>60</v>
      </c>
      <c r="AP661" s="4" t="s">
        <v>61</v>
      </c>
      <c r="AQ661" s="4" t="s">
        <v>62</v>
      </c>
      <c r="AR661" s="4"/>
      <c r="AS661" s="4" t="s">
        <v>20</v>
      </c>
      <c r="AT661" s="4" t="s">
        <v>21</v>
      </c>
      <c r="AU661" s="4" t="s">
        <v>60</v>
      </c>
      <c r="AV661" s="4" t="s">
        <v>61</v>
      </c>
      <c r="AW661" s="4" t="s">
        <v>62</v>
      </c>
      <c r="AX661" s="4"/>
      <c r="AY661" s="4" t="s">
        <v>20</v>
      </c>
      <c r="AZ661" s="4" t="s">
        <v>21</v>
      </c>
      <c r="BA661" s="4" t="s">
        <v>60</v>
      </c>
      <c r="BB661" s="4" t="s">
        <v>61</v>
      </c>
      <c r="BC661" s="4" t="s">
        <v>62</v>
      </c>
      <c r="BD661" s="4"/>
    </row>
    <row r="662" spans="1:61" x14ac:dyDescent="0.2">
      <c r="A662" s="5" t="s">
        <v>57</v>
      </c>
      <c r="B662" s="8">
        <f>$I$7/$L$7*100</f>
        <v>76.536312849162016</v>
      </c>
      <c r="C662" s="8">
        <f>$I$8/$L$8*100</f>
        <v>9.4972067039106136</v>
      </c>
      <c r="D662" s="8">
        <f>$I$9/$L$9*100</f>
        <v>0</v>
      </c>
      <c r="E662" s="8">
        <f>$I$10/$L$10*100</f>
        <v>13.966480446927374</v>
      </c>
      <c r="F662" s="8">
        <f>$I$11/$L$11*100</f>
        <v>0</v>
      </c>
      <c r="G662" s="8">
        <f>SUM(B662:F662)</f>
        <v>100.00000000000001</v>
      </c>
      <c r="H662" s="8">
        <f>$I$27/$L$27*100</f>
        <v>84.375</v>
      </c>
      <c r="I662" s="8">
        <f>$I$28/$L$28*100</f>
        <v>0</v>
      </c>
      <c r="J662" s="8">
        <f>$I$29/$L$29*100</f>
        <v>0</v>
      </c>
      <c r="K662" s="8">
        <f>$I$30/$L$30*100</f>
        <v>15.625</v>
      </c>
      <c r="L662" s="8">
        <f>$I$31/$L$31*100</f>
        <v>0</v>
      </c>
      <c r="M662" s="8">
        <f>SUM(H662:L662)</f>
        <v>100</v>
      </c>
      <c r="N662" s="8">
        <f>$I$47/$L$47*100</f>
        <v>79.166666666666657</v>
      </c>
      <c r="O662" s="8">
        <f>$I$48/$L$48*100</f>
        <v>0.69444444444444442</v>
      </c>
      <c r="P662" s="8">
        <f>$I$49/$L$49*100</f>
        <v>2.083333333333333</v>
      </c>
      <c r="Q662" s="8">
        <f>$I$50/$L$50*100</f>
        <v>18.055555555555554</v>
      </c>
      <c r="R662" s="8">
        <f>$I$51/$L$51*100</f>
        <v>0</v>
      </c>
      <c r="S662" s="8">
        <f>SUM(N662:R662)</f>
        <v>99.999999999999986</v>
      </c>
      <c r="T662" s="8">
        <f>$I$67/$L$67*100</f>
        <v>98.333333333333329</v>
      </c>
      <c r="U662" s="8">
        <f>$I$68/$L$68*100</f>
        <v>1.6666666666666667</v>
      </c>
      <c r="V662" s="8">
        <f>$I$69/$L$69*100</f>
        <v>0</v>
      </c>
      <c r="W662" s="8">
        <f>$I$70/$L$70*100</f>
        <v>0</v>
      </c>
      <c r="X662" s="8">
        <f>$I$71/$L$71*100</f>
        <v>0</v>
      </c>
      <c r="Y662" s="8">
        <f>SUM(T662:X662)</f>
        <v>100</v>
      </c>
      <c r="AF662" s="5" t="s">
        <v>57</v>
      </c>
      <c r="AG662" s="8">
        <f>$I$7/$L$7*100</f>
        <v>76.536312849162016</v>
      </c>
      <c r="AH662" s="8">
        <f>$I$8/$L$8*100</f>
        <v>9.4972067039106136</v>
      </c>
      <c r="AI662" s="8">
        <f>$I$9/$L$9*100</f>
        <v>0</v>
      </c>
      <c r="AJ662" s="8">
        <f>$I$10/$L$10*100</f>
        <v>13.966480446927374</v>
      </c>
      <c r="AK662" s="8">
        <f>$I$11/$L$11*100</f>
        <v>0</v>
      </c>
      <c r="AL662" s="8">
        <f>SUM(AG662:AK662)</f>
        <v>100.00000000000001</v>
      </c>
      <c r="AM662" s="8">
        <f>$I$27/$L$27*100</f>
        <v>84.375</v>
      </c>
      <c r="AN662" s="8">
        <f>$I$28/$L$28*100</f>
        <v>0</v>
      </c>
      <c r="AO662" s="8">
        <f>$I$29/$L$29*100</f>
        <v>0</v>
      </c>
      <c r="AP662" s="8">
        <f>$I$30/$L$30*100</f>
        <v>15.625</v>
      </c>
      <c r="AQ662" s="8">
        <f>$I$31/$L$31*100</f>
        <v>0</v>
      </c>
      <c r="AR662" s="8">
        <f>SUM(AM662:AQ662)</f>
        <v>100</v>
      </c>
      <c r="AS662" s="8">
        <f>$I$47/$L$47*100</f>
        <v>79.166666666666657</v>
      </c>
      <c r="AT662" s="8">
        <f>$I$48/$L$48*100</f>
        <v>0.69444444444444442</v>
      </c>
      <c r="AU662" s="8">
        <f>$I$49/$L$49*100</f>
        <v>2.083333333333333</v>
      </c>
      <c r="AV662" s="8">
        <f>$I$50/$L$50*100</f>
        <v>18.055555555555554</v>
      </c>
      <c r="AW662" s="8">
        <f>$I$51/$L$51*100</f>
        <v>0</v>
      </c>
      <c r="AX662" s="8">
        <f>SUM(AS662:AW662)</f>
        <v>99.999999999999986</v>
      </c>
      <c r="AY662" s="8">
        <f>$I$67/$L$67*100</f>
        <v>98.333333333333329</v>
      </c>
      <c r="AZ662" s="8">
        <f>$I$68/$L$68*100</f>
        <v>1.6666666666666667</v>
      </c>
      <c r="BA662" s="8">
        <f>$I$69/$L$69*100</f>
        <v>0</v>
      </c>
      <c r="BB662" s="8">
        <f>$I$70/$L$70*100</f>
        <v>0</v>
      </c>
      <c r="BC662" s="8">
        <f>$I$71/$L$71*100</f>
        <v>0</v>
      </c>
      <c r="BD662" s="8">
        <f>SUM(AY662:BC662)</f>
        <v>100</v>
      </c>
    </row>
    <row r="663" spans="1:61" x14ac:dyDescent="0.2">
      <c r="A663" s="5" t="s">
        <v>58</v>
      </c>
      <c r="B663" s="8">
        <f>$I$87/$L$87*100</f>
        <v>79.666666666666657</v>
      </c>
      <c r="C663" s="8">
        <f>$I$88/$L$88*100</f>
        <v>9.6666666666666661</v>
      </c>
      <c r="D663" s="8">
        <f>$I$89/$L$89*100</f>
        <v>2.5</v>
      </c>
      <c r="E663" s="8">
        <f>$I$90/$L$90*100</f>
        <v>8.1666666666666661</v>
      </c>
      <c r="F663" s="8">
        <f>$I$91/$L$91*100</f>
        <v>0</v>
      </c>
      <c r="G663" s="8">
        <f>SUM(B663:F663)</f>
        <v>100</v>
      </c>
      <c r="H663" s="8">
        <f>$I$107/$L$107*100</f>
        <v>71.875</v>
      </c>
      <c r="I663" s="8">
        <f>$I$108/$L$108*100</f>
        <v>21.875</v>
      </c>
      <c r="J663" s="8">
        <f>$I$109/$L$109*100</f>
        <v>0</v>
      </c>
      <c r="K663" s="8">
        <f>$I$110/$L$110*100</f>
        <v>6.25</v>
      </c>
      <c r="L663" s="8">
        <f>$I$111/$L$111*100</f>
        <v>0</v>
      </c>
      <c r="M663" s="8">
        <f>SUM(H663:L663)</f>
        <v>100</v>
      </c>
      <c r="N663" s="8">
        <f>$I$127/$L$127*100</f>
        <v>80.392156862745097</v>
      </c>
      <c r="O663" s="8">
        <f>$I$128/$L$128*100</f>
        <v>11.76470588235294</v>
      </c>
      <c r="P663" s="8">
        <f>$I$129/$L$129*100</f>
        <v>0</v>
      </c>
      <c r="Q663" s="8">
        <f>$I$130/$L$130*100</f>
        <v>7.8431372549019605</v>
      </c>
      <c r="R663" s="8">
        <f>$I$131/$L$131*100</f>
        <v>0</v>
      </c>
      <c r="S663" s="8">
        <f>SUM(N663:R663)</f>
        <v>100</v>
      </c>
      <c r="T663" s="8">
        <f>$I$147/$L$147*100</f>
        <v>80.26315789473685</v>
      </c>
      <c r="U663" s="8">
        <f>$I$148/$L$148*100</f>
        <v>7.8947368421052628</v>
      </c>
      <c r="V663" s="8">
        <f>$I$149/$L$149*100</f>
        <v>5.2631578947368416</v>
      </c>
      <c r="W663" s="8">
        <f>$I$150/$L$150*100</f>
        <v>6.5789473684210522</v>
      </c>
      <c r="X663" s="8">
        <f>$I$151/$L$151*100</f>
        <v>0</v>
      </c>
      <c r="Y663" s="8">
        <f>SUM(T663:X663)</f>
        <v>100</v>
      </c>
      <c r="AF663" s="5" t="s">
        <v>58</v>
      </c>
      <c r="AG663" s="8">
        <f>$I$87/$L$87*100</f>
        <v>79.666666666666657</v>
      </c>
      <c r="AH663" s="8">
        <f>$I$88/$L$88*100</f>
        <v>9.6666666666666661</v>
      </c>
      <c r="AI663" s="8">
        <f>$I$89/$L$89*100</f>
        <v>2.5</v>
      </c>
      <c r="AJ663" s="8">
        <f>$I$90/$L$90*100</f>
        <v>8.1666666666666661</v>
      </c>
      <c r="AK663" s="8">
        <f>$I$91/$L$91*100</f>
        <v>0</v>
      </c>
      <c r="AL663" s="8">
        <f>SUM(AG663:AK663)</f>
        <v>100</v>
      </c>
      <c r="AM663" s="8">
        <f>$I$107/$L$107*100</f>
        <v>71.875</v>
      </c>
      <c r="AN663" s="8">
        <f>$I$108/$L$108*100</f>
        <v>21.875</v>
      </c>
      <c r="AO663" s="8">
        <f>$I$109/$L$109*100</f>
        <v>0</v>
      </c>
      <c r="AP663" s="8">
        <f>$I$110/$L$110*100</f>
        <v>6.25</v>
      </c>
      <c r="AQ663" s="8">
        <f>$I$111/$L$111*100</f>
        <v>0</v>
      </c>
      <c r="AR663" s="8">
        <f>SUM(AM663:AQ663)</f>
        <v>100</v>
      </c>
      <c r="AS663" s="8">
        <f>$I$127/$L$127*100</f>
        <v>80.392156862745097</v>
      </c>
      <c r="AT663" s="8">
        <f>$I$128/$L$128*100</f>
        <v>11.76470588235294</v>
      </c>
      <c r="AU663" s="8">
        <f>$I$129/$L$129*100</f>
        <v>0</v>
      </c>
      <c r="AV663" s="8">
        <f>$I$130/$L$130*100</f>
        <v>7.8431372549019605</v>
      </c>
      <c r="AW663" s="8">
        <f>$I$131/$L$131*100</f>
        <v>0</v>
      </c>
      <c r="AX663" s="8">
        <f>SUM(AS663:AW663)</f>
        <v>100</v>
      </c>
      <c r="AY663" s="8">
        <f>$I$147/$L$147*100</f>
        <v>80.26315789473685</v>
      </c>
      <c r="AZ663" s="8">
        <f>$I$148/$L$148*100</f>
        <v>7.8947368421052628</v>
      </c>
      <c r="BA663" s="8">
        <f>$I$149/$L$149*100</f>
        <v>5.2631578947368416</v>
      </c>
      <c r="BB663" s="8">
        <f>$I$150/$L$150*100</f>
        <v>6.5789473684210522</v>
      </c>
      <c r="BC663" s="8">
        <f>$I$151/$L$151*100</f>
        <v>0</v>
      </c>
      <c r="BD663" s="8">
        <f>SUM(AY663:BC663)</f>
        <v>100</v>
      </c>
    </row>
    <row r="664" spans="1:61" ht="16" thickBot="1" x14ac:dyDescent="0.25">
      <c r="A664" s="9" t="s">
        <v>59</v>
      </c>
      <c r="B664" s="8">
        <f>$I$167/$L$167*100</f>
        <v>27.835051546391753</v>
      </c>
      <c r="C664" s="8">
        <f>$I$168/$L$168*100</f>
        <v>35.051546391752574</v>
      </c>
      <c r="D664" s="8">
        <f>$I$169/$L$169*100</f>
        <v>22.680412371134022</v>
      </c>
      <c r="E664" s="8">
        <f>$I$170/$L$170*100</f>
        <v>14.432989690721648</v>
      </c>
      <c r="F664" s="8">
        <f>$I$171/$L$171*100</f>
        <v>0</v>
      </c>
      <c r="G664" s="8">
        <f>SUM(B664:F664)</f>
        <v>100</v>
      </c>
      <c r="H664" s="8">
        <f>$I$187/$L$187*100</f>
        <v>62.5</v>
      </c>
      <c r="I664" s="8">
        <f>$I$188/$L$188*100</f>
        <v>0</v>
      </c>
      <c r="J664" s="8">
        <f>$I$189/$L$189*100</f>
        <v>25</v>
      </c>
      <c r="K664" s="8">
        <f>$I$190/$L$190*100</f>
        <v>12.5</v>
      </c>
      <c r="L664" s="8">
        <f>$I$191/$L$191*100</f>
        <v>0</v>
      </c>
      <c r="M664" s="8">
        <f>SUM(H664:L664)</f>
        <v>100</v>
      </c>
      <c r="N664" s="8">
        <f>$I$207/$L$207*100</f>
        <v>43.137254901960787</v>
      </c>
      <c r="O664" s="8">
        <f>$I$208/$L$208*100</f>
        <v>25.490196078431371</v>
      </c>
      <c r="P664" s="8">
        <f>$I$209/$L$209*100</f>
        <v>13.725490196078432</v>
      </c>
      <c r="Q664" s="8">
        <f>$I$210/$L$210*100</f>
        <v>17.647058823529413</v>
      </c>
      <c r="R664" s="8">
        <f>$I$211/$L$211*100</f>
        <v>0</v>
      </c>
      <c r="S664" s="8">
        <f>SUM(N664:R664)</f>
        <v>100</v>
      </c>
      <c r="T664" s="8">
        <f>$I$227/$L$227*100</f>
        <v>48.148148148148145</v>
      </c>
      <c r="U664" s="8">
        <f>$I$228/$L$228*100</f>
        <v>29.629629629629626</v>
      </c>
      <c r="V664" s="8">
        <f>$I$229/$L$229*100</f>
        <v>18.518518518518519</v>
      </c>
      <c r="W664" s="8">
        <f>$I$230/$L$230*100</f>
        <v>3.7037037037037033</v>
      </c>
      <c r="X664" s="8">
        <f>$I$231/$L$231*100</f>
        <v>0</v>
      </c>
      <c r="Y664" s="8">
        <f>SUM(T664:X664)</f>
        <v>100</v>
      </c>
      <c r="AF664" s="5" t="s">
        <v>142</v>
      </c>
      <c r="AG664" s="8">
        <f>$I$487/$L$487*100</f>
        <v>77.777777777777786</v>
      </c>
      <c r="AH664" s="8">
        <f>$I$488/$L$488*100</f>
        <v>13.333333333333334</v>
      </c>
      <c r="AI664" s="8">
        <f>$I$489/$L$489*100</f>
        <v>2.2222222222222223</v>
      </c>
      <c r="AJ664" s="8">
        <f>$I$490/$L$490*100</f>
        <v>6.666666666666667</v>
      </c>
      <c r="AK664" s="8">
        <f>$I$491/$L$491*100</f>
        <v>0</v>
      </c>
      <c r="AL664" s="8">
        <f>SUM(AG664:AK664)</f>
        <v>100.00000000000001</v>
      </c>
      <c r="AM664" s="8">
        <f>$I$507/$L$507*100</f>
        <v>42.857142857142854</v>
      </c>
      <c r="AN664" s="8">
        <f>$I$508/$L$508*100</f>
        <v>0</v>
      </c>
      <c r="AO664" s="8">
        <f>$I$509/$L$509*100</f>
        <v>0</v>
      </c>
      <c r="AP664" s="8">
        <f>$I$510/$L$510*100</f>
        <v>57.142857142857139</v>
      </c>
      <c r="AQ664" s="8">
        <f>$I$511/$L$511*100</f>
        <v>0</v>
      </c>
      <c r="AR664" s="8">
        <f>SUM(AM664:AQ664)</f>
        <v>100</v>
      </c>
      <c r="AS664" s="8">
        <f>$I$527/$L$527*100</f>
        <v>76.363636363636374</v>
      </c>
      <c r="AT664" s="8">
        <f>$I$528/$L$528*100</f>
        <v>7.2727272727272725</v>
      </c>
      <c r="AU664" s="8">
        <f>$I$529/$L$529*100</f>
        <v>12.727272727272727</v>
      </c>
      <c r="AV664" s="8">
        <f>$I$530/$L$530*100</f>
        <v>3.6363636363636362</v>
      </c>
      <c r="AW664" s="8">
        <f>$I$531/$L$531*100</f>
        <v>0</v>
      </c>
      <c r="AX664" s="8">
        <f>SUM(AS664:AW664)</f>
        <v>100.00000000000001</v>
      </c>
      <c r="AY664" s="8">
        <f>$I$547/$L$547*100</f>
        <v>83.870967741935488</v>
      </c>
      <c r="AZ664" s="8">
        <f>$I$548/$L$548*100</f>
        <v>9.67741935483871</v>
      </c>
      <c r="BA664" s="8">
        <f>$I$549/$L$549*100</f>
        <v>3.225806451612903</v>
      </c>
      <c r="BB664" s="8">
        <f>$I$550/$L$550*100</f>
        <v>3.225806451612903</v>
      </c>
      <c r="BC664" s="8">
        <f>$I$551/$L$551*100</f>
        <v>0</v>
      </c>
      <c r="BD664" s="8">
        <f>SUM(AY664:BC664)</f>
        <v>99.999999999999986</v>
      </c>
    </row>
    <row r="665" spans="1:61" ht="16" thickBot="1" x14ac:dyDescent="0.25">
      <c r="A665" s="10" t="s">
        <v>50</v>
      </c>
      <c r="B665" s="12">
        <f>AVERAGE(B662:B664)</f>
        <v>61.346010354073478</v>
      </c>
      <c r="C665" s="12">
        <f>AVERAGE(C662:C664)</f>
        <v>18.071806587443284</v>
      </c>
      <c r="D665" s="11">
        <f>AVERAGE(D662:D664)</f>
        <v>8.3934707903780073</v>
      </c>
      <c r="E665" s="11">
        <f>AVERAGE(E662:E664)</f>
        <v>12.188712268105229</v>
      </c>
      <c r="F665" s="11">
        <f>AVERAGE(F662:F664)</f>
        <v>0</v>
      </c>
      <c r="G665" s="12"/>
      <c r="H665" s="11">
        <f>AVERAGE(H662:H664)</f>
        <v>72.916666666666671</v>
      </c>
      <c r="I665" s="13">
        <f>AVERAGE(I662:I664)</f>
        <v>7.291666666666667</v>
      </c>
      <c r="J665" s="14">
        <f>AVERAGE(J662:J664)</f>
        <v>8.3333333333333339</v>
      </c>
      <c r="K665" s="14">
        <f>AVERAGE(K662:K664)</f>
        <v>11.458333333333334</v>
      </c>
      <c r="L665" s="14">
        <f>AVERAGE(L662:L664)</f>
        <v>0</v>
      </c>
      <c r="M665" s="12"/>
      <c r="N665" s="14">
        <f>AVERAGE(N662:N664)</f>
        <v>67.565359477124176</v>
      </c>
      <c r="O665" s="12">
        <f>AVERAGE(O662:O664)</f>
        <v>12.649782135076251</v>
      </c>
      <c r="P665" s="11">
        <f>AVERAGE(P662:P664)</f>
        <v>5.2696078431372548</v>
      </c>
      <c r="Q665" s="11">
        <f>AVERAGE(Q662:Q664)</f>
        <v>14.515250544662308</v>
      </c>
      <c r="R665" s="11">
        <f>AVERAGE(R662:R664)</f>
        <v>0</v>
      </c>
      <c r="S665" s="15"/>
      <c r="T665" s="14">
        <f>AVERAGE(T662:T664)</f>
        <v>75.581546458739453</v>
      </c>
      <c r="U665" s="12">
        <f>AVERAGE(U662:U664)</f>
        <v>13.063677712800519</v>
      </c>
      <c r="V665" s="11">
        <f>AVERAGE(V662:V664)</f>
        <v>7.9272254710851202</v>
      </c>
      <c r="W665" s="11">
        <f>AVERAGE(W662:W664)</f>
        <v>3.4275503573749186</v>
      </c>
      <c r="X665" s="11">
        <f>AVERAGE(X662:X664)</f>
        <v>0</v>
      </c>
      <c r="Y665" s="15"/>
      <c r="Z665" s="8">
        <f>AVERAGE(B665,H665,N665,T665)</f>
        <v>69.35239573915095</v>
      </c>
      <c r="AA665" s="8">
        <f>AVERAGE(C665,I665,O665,U665)</f>
        <v>12.76923327549668</v>
      </c>
      <c r="AB665" s="8">
        <f>AVERAGE(D665,J665,P665,V665)</f>
        <v>7.4809093594834284</v>
      </c>
      <c r="AC665" s="8">
        <f>AVERAGE(E665,K665,Q665,W665)</f>
        <v>10.397461625868948</v>
      </c>
      <c r="AD665" s="8">
        <f>AVERAGE(F665,L665,R665,X665)</f>
        <v>0</v>
      </c>
      <c r="AF665" s="9" t="s">
        <v>59</v>
      </c>
      <c r="AG665" s="8">
        <f>$I$167/$L$167*100</f>
        <v>27.835051546391753</v>
      </c>
      <c r="AH665" s="8">
        <f>$I$168/$L$168*100</f>
        <v>35.051546391752574</v>
      </c>
      <c r="AI665" s="8">
        <f>$I$169/$L$169*100</f>
        <v>22.680412371134022</v>
      </c>
      <c r="AJ665" s="8">
        <f>$I$170/$L$170*100</f>
        <v>14.432989690721648</v>
      </c>
      <c r="AK665" s="8">
        <f>$I$171/$L$171*100</f>
        <v>0</v>
      </c>
      <c r="AL665" s="8">
        <f>SUM(AG665:AK665)</f>
        <v>100</v>
      </c>
      <c r="AM665" s="8">
        <f>$I$187/$L$187*100</f>
        <v>62.5</v>
      </c>
      <c r="AN665" s="8">
        <f>$I$188/$L$188*100</f>
        <v>0</v>
      </c>
      <c r="AO665" s="8">
        <f>$I$189/$L$189*100</f>
        <v>25</v>
      </c>
      <c r="AP665" s="8">
        <f>$I$190/$L$190*100</f>
        <v>12.5</v>
      </c>
      <c r="AQ665" s="8">
        <f>$I$191/$L$191*100</f>
        <v>0</v>
      </c>
      <c r="AR665" s="8">
        <f>SUM(AM665:AQ665)</f>
        <v>100</v>
      </c>
      <c r="AS665" s="8">
        <f>$I$207/$L$207*100</f>
        <v>43.137254901960787</v>
      </c>
      <c r="AT665" s="8">
        <f>$I$208/$L$208*100</f>
        <v>25.490196078431371</v>
      </c>
      <c r="AU665" s="8">
        <f>$I$209/$L$209*100</f>
        <v>13.725490196078432</v>
      </c>
      <c r="AV665" s="8">
        <f>$I$210/$L$210*100</f>
        <v>17.647058823529413</v>
      </c>
      <c r="AW665" s="8">
        <f>$I$211/$L$211*100</f>
        <v>0</v>
      </c>
      <c r="AX665" s="8">
        <f>SUM(AS665:AW665)</f>
        <v>100</v>
      </c>
      <c r="AY665" s="8">
        <f>$I$227/$L$227*100</f>
        <v>48.148148148148145</v>
      </c>
      <c r="AZ665" s="8">
        <f>$I$228/$L$228*100</f>
        <v>29.629629629629626</v>
      </c>
      <c r="BA665" s="8">
        <f>$I$229/$L$229*100</f>
        <v>18.518518518518519</v>
      </c>
      <c r="BB665" s="8">
        <f>$I$230/$L$230*100</f>
        <v>3.7037037037037033</v>
      </c>
      <c r="BC665" s="8">
        <f>$I$231/$L$231*100</f>
        <v>0</v>
      </c>
      <c r="BD665" s="8">
        <f>SUM(AY665:BC665)</f>
        <v>100</v>
      </c>
    </row>
    <row r="666" spans="1:61" x14ac:dyDescent="0.2">
      <c r="AF666" s="10" t="s">
        <v>50</v>
      </c>
      <c r="AG666" s="12">
        <f>AVERAGE(AG662:AG665)</f>
        <v>65.453952209999557</v>
      </c>
      <c r="AH666" s="12">
        <f>AVERAGE(AH662:AH665)</f>
        <v>16.887188273915797</v>
      </c>
      <c r="AI666" s="11">
        <f>AVERAGE(AI662:AI665)</f>
        <v>6.8506586483390608</v>
      </c>
      <c r="AJ666" s="11">
        <f>AVERAGE(AJ662:AJ665)</f>
        <v>10.80820086774559</v>
      </c>
      <c r="AK666" s="11">
        <f>AVERAGE(AK662:AK665)</f>
        <v>0</v>
      </c>
      <c r="AL666" s="12"/>
      <c r="AM666" s="11">
        <f>AVERAGE(AM662:AM665)</f>
        <v>65.401785714285722</v>
      </c>
      <c r="AN666" s="13">
        <f>AVERAGE(AN662:AN665)</f>
        <v>5.46875</v>
      </c>
      <c r="AO666" s="14">
        <f>AVERAGE(AO662:AO665)</f>
        <v>6.25</v>
      </c>
      <c r="AP666" s="14">
        <f>AVERAGE(AP662:AP665)</f>
        <v>22.879464285714285</v>
      </c>
      <c r="AQ666" s="14">
        <f>AVERAGE(AQ662:AQ665)</f>
        <v>0</v>
      </c>
      <c r="AR666" s="12"/>
      <c r="AS666" s="14">
        <f>AVERAGE(AS662:AS665)</f>
        <v>69.764928698752229</v>
      </c>
      <c r="AT666" s="12">
        <f>AVERAGE(AT662:AT665)</f>
        <v>11.305518419489008</v>
      </c>
      <c r="AU666" s="11">
        <f>AVERAGE(AU662:AU665)</f>
        <v>7.1340240641711228</v>
      </c>
      <c r="AV666" s="11">
        <f>AVERAGE(AV662:AV665)</f>
        <v>11.795528817587641</v>
      </c>
      <c r="AW666" s="11">
        <f>AVERAGE(AW662:AW665)</f>
        <v>0</v>
      </c>
      <c r="AX666" s="15"/>
      <c r="AY666" s="14">
        <f>AVERAGE(AY662:AY665)</f>
        <v>77.653901779538458</v>
      </c>
      <c r="AZ666" s="12">
        <f>AVERAGE(AZ662:AZ665)</f>
        <v>12.217113123310067</v>
      </c>
      <c r="BA666" s="11">
        <f>AVERAGE(BA662:BA665)</f>
        <v>6.7518707162170664</v>
      </c>
      <c r="BB666" s="11">
        <f>AVERAGE(BB662:BB665)</f>
        <v>3.3771143809344144</v>
      </c>
      <c r="BC666" s="11">
        <f>AVERAGE(BC662:BC665)</f>
        <v>0</v>
      </c>
      <c r="BD666" s="15"/>
      <c r="BE666" s="8">
        <f>AVERAGE(AG666,AM666,AS666,AY666)</f>
        <v>69.568642100643984</v>
      </c>
      <c r="BF666" s="8">
        <f>AVERAGE(AH666,AN666,AT666,AZ666)</f>
        <v>11.469642454178718</v>
      </c>
      <c r="BG666" s="8">
        <f>AVERAGE(AI666,AO666,AU666,BA666)</f>
        <v>6.746638357181812</v>
      </c>
      <c r="BH666" s="8">
        <f>AVERAGE(AJ666,AP666,AV666,BB666)</f>
        <v>12.215077087995482</v>
      </c>
      <c r="BI666" s="8">
        <f>AVERAGE(AK666,AQ666,AW666,BC666)</f>
        <v>0</v>
      </c>
    </row>
    <row r="668" spans="1:61" ht="32" x14ac:dyDescent="0.2">
      <c r="A668" s="2" t="s">
        <v>187</v>
      </c>
      <c r="B668" s="3" t="s">
        <v>53</v>
      </c>
      <c r="C668" s="3"/>
      <c r="D668" s="3"/>
      <c r="E668" s="3"/>
      <c r="F668" s="3"/>
      <c r="G668" s="4" t="s">
        <v>64</v>
      </c>
      <c r="H668" s="3" t="s">
        <v>54</v>
      </c>
      <c r="I668" s="3"/>
      <c r="J668" s="3"/>
      <c r="K668" s="3"/>
      <c r="L668" s="3"/>
      <c r="M668" s="4" t="s">
        <v>64</v>
      </c>
      <c r="N668" s="3" t="s">
        <v>55</v>
      </c>
      <c r="O668" s="3"/>
      <c r="P668" s="3"/>
      <c r="Q668" s="3"/>
      <c r="R668" s="3"/>
      <c r="S668" s="4" t="s">
        <v>64</v>
      </c>
      <c r="T668" s="3" t="s">
        <v>56</v>
      </c>
      <c r="U668" s="3"/>
      <c r="V668" s="3"/>
      <c r="W668" s="3"/>
      <c r="X668" s="3"/>
      <c r="Y668" s="4" t="s">
        <v>64</v>
      </c>
    </row>
    <row r="669" spans="1:61" ht="32" x14ac:dyDescent="0.2">
      <c r="A669" s="3"/>
      <c r="B669" s="4" t="s">
        <v>20</v>
      </c>
      <c r="C669" s="4" t="s">
        <v>21</v>
      </c>
      <c r="D669" s="4" t="s">
        <v>60</v>
      </c>
      <c r="E669" s="4" t="s">
        <v>61</v>
      </c>
      <c r="F669" s="4" t="s">
        <v>62</v>
      </c>
      <c r="G669" s="4"/>
      <c r="H669" s="4" t="s">
        <v>20</v>
      </c>
      <c r="I669" s="4" t="s">
        <v>21</v>
      </c>
      <c r="J669" s="4" t="s">
        <v>60</v>
      </c>
      <c r="K669" s="4" t="s">
        <v>61</v>
      </c>
      <c r="L669" s="4" t="s">
        <v>62</v>
      </c>
      <c r="M669" s="4"/>
      <c r="N669" s="4" t="s">
        <v>20</v>
      </c>
      <c r="O669" s="4" t="s">
        <v>21</v>
      </c>
      <c r="P669" s="4" t="s">
        <v>60</v>
      </c>
      <c r="Q669" s="4" t="s">
        <v>61</v>
      </c>
      <c r="R669" s="4" t="s">
        <v>62</v>
      </c>
      <c r="S669" s="4"/>
      <c r="T669" s="4" t="s">
        <v>20</v>
      </c>
      <c r="U669" s="4" t="s">
        <v>21</v>
      </c>
      <c r="V669" s="4" t="s">
        <v>60</v>
      </c>
      <c r="W669" s="4" t="s">
        <v>61</v>
      </c>
      <c r="X669" s="4" t="s">
        <v>62</v>
      </c>
      <c r="Y669" s="4"/>
      <c r="AF669" s="2" t="s">
        <v>187</v>
      </c>
      <c r="AG669" s="3" t="s">
        <v>53</v>
      </c>
      <c r="AH669" s="3"/>
      <c r="AI669" s="3"/>
      <c r="AJ669" s="3"/>
      <c r="AK669" s="3"/>
      <c r="AL669" s="4" t="s">
        <v>64</v>
      </c>
      <c r="AM669" s="3" t="s">
        <v>54</v>
      </c>
      <c r="AN669" s="3"/>
      <c r="AO669" s="3"/>
      <c r="AP669" s="3"/>
      <c r="AQ669" s="3"/>
      <c r="AR669" s="4" t="s">
        <v>64</v>
      </c>
      <c r="AS669" s="3" t="s">
        <v>55</v>
      </c>
      <c r="AT669" s="3"/>
      <c r="AU669" s="3"/>
      <c r="AV669" s="3"/>
      <c r="AW669" s="3"/>
      <c r="AX669" s="4" t="s">
        <v>64</v>
      </c>
      <c r="AY669" s="3" t="s">
        <v>56</v>
      </c>
      <c r="AZ669" s="3"/>
      <c r="BA669" s="3"/>
      <c r="BB669" s="3"/>
      <c r="BC669" s="3"/>
      <c r="BD669" s="4" t="s">
        <v>64</v>
      </c>
    </row>
    <row r="670" spans="1:61" x14ac:dyDescent="0.2">
      <c r="A670" s="5" t="s">
        <v>57</v>
      </c>
      <c r="B670" s="8">
        <f>$I$12/$L$12*100</f>
        <v>75.531914893617028</v>
      </c>
      <c r="C670" s="8">
        <f>$I$13/$L$13*100</f>
        <v>10.106382978723403</v>
      </c>
      <c r="D670" s="8">
        <f>$I$14/$L$14*100</f>
        <v>1.0638297872340425</v>
      </c>
      <c r="E670" s="8">
        <f>$I$15/$L$15*100</f>
        <v>13.297872340425531</v>
      </c>
      <c r="F670" s="8">
        <f>$I$16/$L$16*100</f>
        <v>0</v>
      </c>
      <c r="G670" s="8">
        <f>SUM(B670:F670)</f>
        <v>100</v>
      </c>
      <c r="H670" s="8">
        <f>$I$32/$L$32*100</f>
        <v>82.758620689655174</v>
      </c>
      <c r="I670" s="8">
        <f>$I$33/$L$33*100</f>
        <v>10.344827586206897</v>
      </c>
      <c r="J670" s="8">
        <f>$I$34/$L$34*100</f>
        <v>3.4482758620689653</v>
      </c>
      <c r="K670" s="8">
        <f>$I$35/$L$35*100</f>
        <v>3.4482758620689653</v>
      </c>
      <c r="L670" s="8">
        <f>$I$36/$L$36*100</f>
        <v>0</v>
      </c>
      <c r="M670" s="8">
        <f>SUM(H670:L670)</f>
        <v>100</v>
      </c>
      <c r="N670" s="8">
        <f>$I$52/$L$52*100</f>
        <v>76.969696969696969</v>
      </c>
      <c r="O670" s="8">
        <f>$I$53/$L$53*100</f>
        <v>4.8484848484848486</v>
      </c>
      <c r="P670" s="8">
        <f>$I$54/$L$54*100</f>
        <v>2.4242424242424243</v>
      </c>
      <c r="Q670" s="8">
        <f>$I$55/$L$55*100</f>
        <v>15.757575757575756</v>
      </c>
      <c r="R670" s="8">
        <f>$I$56/$L$56*100</f>
        <v>0</v>
      </c>
      <c r="S670" s="8">
        <f>SUM(N670:R670)</f>
        <v>99.999999999999986</v>
      </c>
      <c r="T670" s="8">
        <f>$I$72/$L$72*100</f>
        <v>98.412698412698404</v>
      </c>
      <c r="U670" s="8">
        <f>$I$73/$L$73*100</f>
        <v>1.5873015873015872</v>
      </c>
      <c r="V670" s="8">
        <f>$I$74/$L$74*100</f>
        <v>0</v>
      </c>
      <c r="W670" s="8">
        <f>$I$75/$L$75*100</f>
        <v>0</v>
      </c>
      <c r="X670" s="8">
        <f>$I$76/$L$76*100</f>
        <v>0</v>
      </c>
      <c r="Y670" s="8">
        <f>SUM(T670:X670)</f>
        <v>99.999999999999986</v>
      </c>
      <c r="AF670" s="3"/>
      <c r="AG670" s="4" t="s">
        <v>20</v>
      </c>
      <c r="AH670" s="4" t="s">
        <v>21</v>
      </c>
      <c r="AI670" s="4" t="s">
        <v>60</v>
      </c>
      <c r="AJ670" s="4" t="s">
        <v>61</v>
      </c>
      <c r="AK670" s="4" t="s">
        <v>62</v>
      </c>
      <c r="AL670" s="4"/>
      <c r="AM670" s="4" t="s">
        <v>20</v>
      </c>
      <c r="AN670" s="4" t="s">
        <v>21</v>
      </c>
      <c r="AO670" s="4" t="s">
        <v>60</v>
      </c>
      <c r="AP670" s="4" t="s">
        <v>61</v>
      </c>
      <c r="AQ670" s="4" t="s">
        <v>62</v>
      </c>
      <c r="AR670" s="4"/>
      <c r="AS670" s="4" t="s">
        <v>20</v>
      </c>
      <c r="AT670" s="4" t="s">
        <v>21</v>
      </c>
      <c r="AU670" s="4" t="s">
        <v>60</v>
      </c>
      <c r="AV670" s="4" t="s">
        <v>61</v>
      </c>
      <c r="AW670" s="4" t="s">
        <v>62</v>
      </c>
      <c r="AX670" s="4"/>
      <c r="AY670" s="4" t="s">
        <v>20</v>
      </c>
      <c r="AZ670" s="4" t="s">
        <v>21</v>
      </c>
      <c r="BA670" s="4" t="s">
        <v>60</v>
      </c>
      <c r="BB670" s="4" t="s">
        <v>61</v>
      </c>
      <c r="BC670" s="4" t="s">
        <v>62</v>
      </c>
      <c r="BD670" s="4"/>
    </row>
    <row r="671" spans="1:61" x14ac:dyDescent="0.2">
      <c r="A671" s="5" t="s">
        <v>58</v>
      </c>
      <c r="B671" s="8">
        <f>$I$92/$L$92*100</f>
        <v>74.624373956594326</v>
      </c>
      <c r="C671" s="8">
        <f>$I$93/$L$93*100</f>
        <v>13.18864774624374</v>
      </c>
      <c r="D671" s="8">
        <f>$I$94/$L$94*100</f>
        <v>2.003338898163606</v>
      </c>
      <c r="E671" s="8">
        <f>$I$95/$L$95*100</f>
        <v>10.183639398998331</v>
      </c>
      <c r="F671" s="8">
        <f>$I$96/$L$96*100</f>
        <v>0</v>
      </c>
      <c r="G671" s="8">
        <f>SUM(B671:F671)</f>
        <v>100</v>
      </c>
      <c r="H671" s="8">
        <f>$I$112/$L$112*100</f>
        <v>64.86486486486487</v>
      </c>
      <c r="I671" s="8">
        <f>$I$113/$L$113*100</f>
        <v>27.027027027027028</v>
      </c>
      <c r="J671" s="8">
        <f>$I$114/$L$114*100</f>
        <v>0</v>
      </c>
      <c r="K671" s="8">
        <f>$I$115/$L$115*100</f>
        <v>8.1081081081081088</v>
      </c>
      <c r="L671" s="8">
        <f>$I$116/$L$116*100</f>
        <v>0</v>
      </c>
      <c r="M671" s="8">
        <f>SUM(H671:L671)</f>
        <v>100.00000000000001</v>
      </c>
      <c r="N671" s="8">
        <f>$I$132/$L$132*100</f>
        <v>75.438596491228068</v>
      </c>
      <c r="O671" s="8">
        <f>$I$133/$L$133*100</f>
        <v>10.526315789473683</v>
      </c>
      <c r="P671" s="8">
        <f>$I$134/$L$134*100</f>
        <v>0</v>
      </c>
      <c r="Q671" s="8">
        <f>$I$135/$L$135*100</f>
        <v>14.035087719298245</v>
      </c>
      <c r="R671" s="8">
        <f>$I$136/$L$136*100</f>
        <v>0</v>
      </c>
      <c r="S671" s="8">
        <f>SUM(N671:R671)</f>
        <v>100</v>
      </c>
      <c r="T671" s="8">
        <f>$I$152/$L$152*100</f>
        <v>73.170731707317074</v>
      </c>
      <c r="U671" s="8">
        <f>$I$153/$L$153*100</f>
        <v>13.414634146341465</v>
      </c>
      <c r="V671" s="8">
        <f>$I$154/$L$154*100</f>
        <v>4.8780487804878048</v>
      </c>
      <c r="W671" s="8">
        <f>$I$155/$L$155*100</f>
        <v>8.536585365853659</v>
      </c>
      <c r="X671" s="8">
        <f>$I$156/$L$156*100</f>
        <v>0</v>
      </c>
      <c r="Y671" s="8">
        <f>SUM(T671:X671)</f>
        <v>100</v>
      </c>
      <c r="AF671" s="5" t="s">
        <v>57</v>
      </c>
      <c r="AG671" s="8">
        <f>$I$12/$L$12*100</f>
        <v>75.531914893617028</v>
      </c>
      <c r="AH671" s="8">
        <f>$I$13/$L$13*100</f>
        <v>10.106382978723403</v>
      </c>
      <c r="AI671" s="8">
        <f>$I$14/$L$14*100</f>
        <v>1.0638297872340425</v>
      </c>
      <c r="AJ671" s="8">
        <f>$I$15/$L$15*100</f>
        <v>13.297872340425531</v>
      </c>
      <c r="AK671" s="8">
        <f>$I$16/$L$16*100</f>
        <v>0</v>
      </c>
      <c r="AL671" s="8">
        <f>SUM(AG671:AK671)</f>
        <v>100</v>
      </c>
      <c r="AM671" s="8">
        <f>$I$32/$L$32*100</f>
        <v>82.758620689655174</v>
      </c>
      <c r="AN671" s="8">
        <f>$I$33/$L$33*100</f>
        <v>10.344827586206897</v>
      </c>
      <c r="AO671" s="8">
        <f>$I$34/$L$34*100</f>
        <v>3.4482758620689653</v>
      </c>
      <c r="AP671" s="8">
        <f>$I$35/$L$35*100</f>
        <v>3.4482758620689653</v>
      </c>
      <c r="AQ671" s="8">
        <f>$I$36/$L$36*100</f>
        <v>0</v>
      </c>
      <c r="AR671" s="8">
        <f>SUM(AM671:AQ671)</f>
        <v>100</v>
      </c>
      <c r="AS671" s="8">
        <f>$I$52/$L$52*100</f>
        <v>76.969696969696969</v>
      </c>
      <c r="AT671" s="8">
        <f>$I$53/$L$53*100</f>
        <v>4.8484848484848486</v>
      </c>
      <c r="AU671" s="8">
        <f>$I$54/$L$54*100</f>
        <v>2.4242424242424243</v>
      </c>
      <c r="AV671" s="8">
        <f>$I$55/$L$55*100</f>
        <v>15.757575757575756</v>
      </c>
      <c r="AW671" s="8">
        <f>$I$56/$L$56*100</f>
        <v>0</v>
      </c>
      <c r="AX671" s="8">
        <f>SUM(AS671:AW671)</f>
        <v>99.999999999999986</v>
      </c>
      <c r="AY671" s="8">
        <f>$I$72/$L$72*100</f>
        <v>98.412698412698404</v>
      </c>
      <c r="AZ671" s="8">
        <f>$I$73/$L$73*100</f>
        <v>1.5873015873015872</v>
      </c>
      <c r="BA671" s="8">
        <f>$I$74/$L$74*100</f>
        <v>0</v>
      </c>
      <c r="BB671" s="8">
        <f>$I$75/$L$75*100</f>
        <v>0</v>
      </c>
      <c r="BC671" s="8">
        <f>$I$76/$L$76*100</f>
        <v>0</v>
      </c>
      <c r="BD671" s="8">
        <f>SUM(AY671:BC671)</f>
        <v>99.999999999999986</v>
      </c>
    </row>
    <row r="672" spans="1:61" ht="16" thickBot="1" x14ac:dyDescent="0.25">
      <c r="A672" s="9" t="s">
        <v>59</v>
      </c>
      <c r="B672" s="8">
        <f>$I$172/$L$172*100</f>
        <v>22.222222222222221</v>
      </c>
      <c r="C672" s="8">
        <f>$I$173/$L$173*100</f>
        <v>35.353535353535356</v>
      </c>
      <c r="D672" s="8">
        <f>$I$174/$L$174*100</f>
        <v>21.212121212121211</v>
      </c>
      <c r="E672" s="8">
        <f>$I$175/$L$175*100</f>
        <v>21.212121212121211</v>
      </c>
      <c r="F672" s="8">
        <f>$I$176/$L$176*100</f>
        <v>0</v>
      </c>
      <c r="G672" s="8">
        <f>SUM(B672:F672)</f>
        <v>100</v>
      </c>
      <c r="H672" s="8">
        <f>$I$192/$L$192*100</f>
        <v>64.285714285714292</v>
      </c>
      <c r="I672" s="8">
        <f>$I$193/$L$193*100</f>
        <v>7.1428571428571423</v>
      </c>
      <c r="J672" s="8">
        <f>$I$194/$L$194*100</f>
        <v>28.571428571428569</v>
      </c>
      <c r="K672" s="8">
        <f>$I$195/$L$195*100</f>
        <v>0</v>
      </c>
      <c r="L672" s="8">
        <f>$I$196/$L$196*100</f>
        <v>0</v>
      </c>
      <c r="M672" s="8">
        <f>SUM(H672:L672)</f>
        <v>100</v>
      </c>
      <c r="N672" s="8">
        <f>$I$212/$L$212*100</f>
        <v>45.333333333333329</v>
      </c>
      <c r="O672" s="8">
        <f>$I$213/$L$213*100</f>
        <v>18.666666666666668</v>
      </c>
      <c r="P672" s="8">
        <f>$I$214/$L$214*100</f>
        <v>10.666666666666668</v>
      </c>
      <c r="Q672" s="8">
        <f>$I$215/$L$215*100</f>
        <v>25.333333333333336</v>
      </c>
      <c r="R672" s="8">
        <f>$I$216/$L$216*100</f>
        <v>0</v>
      </c>
      <c r="S672" s="8">
        <f>SUM(N672:R672)</f>
        <v>100</v>
      </c>
      <c r="T672" s="8">
        <f>$I$232/$L$232*100</f>
        <v>33.333333333333329</v>
      </c>
      <c r="U672" s="8">
        <f>$I$233/$L$233*100</f>
        <v>30</v>
      </c>
      <c r="V672" s="8">
        <f>$I$234/$L$234*100</f>
        <v>20</v>
      </c>
      <c r="W672" s="8">
        <f>$I$235/$L$235*100</f>
        <v>16.666666666666664</v>
      </c>
      <c r="X672" s="8">
        <f>$I$236/$L$236*100</f>
        <v>0</v>
      </c>
      <c r="Y672" s="8">
        <f>SUM(T672:X672)</f>
        <v>100</v>
      </c>
      <c r="AF672" s="5" t="s">
        <v>58</v>
      </c>
      <c r="AG672" s="8">
        <f>$I$92/$L$92*100</f>
        <v>74.624373956594326</v>
      </c>
      <c r="AH672" s="8">
        <f>$I$93/$L$93*100</f>
        <v>13.18864774624374</v>
      </c>
      <c r="AI672" s="8">
        <f>$I$94/$L$94*100</f>
        <v>2.003338898163606</v>
      </c>
      <c r="AJ672" s="8">
        <f>$I$95/$L$95*100</f>
        <v>10.183639398998331</v>
      </c>
      <c r="AK672" s="8">
        <f>$I$96/$L$96*100</f>
        <v>0</v>
      </c>
      <c r="AL672" s="8">
        <f>SUM(AG672:AK672)</f>
        <v>100</v>
      </c>
      <c r="AM672" s="8">
        <f>$I$112/$L$112*100</f>
        <v>64.86486486486487</v>
      </c>
      <c r="AN672" s="8">
        <f>$I$113/$L$113*100</f>
        <v>27.027027027027028</v>
      </c>
      <c r="AO672" s="8">
        <f>$I$114/$L$114*100</f>
        <v>0</v>
      </c>
      <c r="AP672" s="8">
        <f>$I$115/$L$115*100</f>
        <v>8.1081081081081088</v>
      </c>
      <c r="AQ672" s="8">
        <f>$I$116/$L$116*100</f>
        <v>0</v>
      </c>
      <c r="AR672" s="8">
        <f>SUM(AM672:AQ672)</f>
        <v>100.00000000000001</v>
      </c>
      <c r="AS672" s="8">
        <f>$I$132/$L$132*100</f>
        <v>75.438596491228068</v>
      </c>
      <c r="AT672" s="8">
        <f>$I$133/$L$133*100</f>
        <v>10.526315789473683</v>
      </c>
      <c r="AU672" s="8">
        <f>$I$134/$L$134*100</f>
        <v>0</v>
      </c>
      <c r="AV672" s="8">
        <f>$I$135/$L$135*100</f>
        <v>14.035087719298245</v>
      </c>
      <c r="AW672" s="8">
        <f>$I$136/$L$136*100</f>
        <v>0</v>
      </c>
      <c r="AX672" s="8">
        <f>SUM(AS672:AW672)</f>
        <v>100</v>
      </c>
      <c r="AY672" s="8">
        <f>$I$152/$L$152*100</f>
        <v>73.170731707317074</v>
      </c>
      <c r="AZ672" s="8">
        <f>$I$153/$L$153*100</f>
        <v>13.414634146341465</v>
      </c>
      <c r="BA672" s="8">
        <f>$I$154/$L$154*100</f>
        <v>4.8780487804878048</v>
      </c>
      <c r="BB672" s="8">
        <f>$I$155/$L$155*100</f>
        <v>8.536585365853659</v>
      </c>
      <c r="BC672" s="8">
        <f>$I$156/$L$156*100</f>
        <v>0</v>
      </c>
      <c r="BD672" s="8">
        <f>SUM(AY672:BC672)</f>
        <v>100</v>
      </c>
    </row>
    <row r="673" spans="1:61" x14ac:dyDescent="0.2">
      <c r="A673" s="10" t="s">
        <v>50</v>
      </c>
      <c r="B673" s="12">
        <f>AVERAGE(B670:B672)</f>
        <v>57.459503690811196</v>
      </c>
      <c r="C673" s="12">
        <f>AVERAGE(C670:C672)</f>
        <v>19.549522026167498</v>
      </c>
      <c r="D673" s="11">
        <f>AVERAGE(D670:D672)</f>
        <v>8.0930966325062865</v>
      </c>
      <c r="E673" s="11">
        <f>AVERAGE(E670:E672)</f>
        <v>14.897877650515023</v>
      </c>
      <c r="F673" s="11">
        <f>AVERAGE(F670:F672)</f>
        <v>0</v>
      </c>
      <c r="G673" s="12"/>
      <c r="H673" s="11">
        <f>AVERAGE(H670:H672)</f>
        <v>70.636399946744788</v>
      </c>
      <c r="I673" s="13">
        <f>AVERAGE(I670:I672)</f>
        <v>14.838237252030353</v>
      </c>
      <c r="J673" s="14">
        <f>AVERAGE(J670:J672)</f>
        <v>10.673234811165846</v>
      </c>
      <c r="K673" s="14">
        <f>AVERAGE(K670:K672)</f>
        <v>3.8521279900590244</v>
      </c>
      <c r="L673" s="14">
        <f>AVERAGE(L670:L672)</f>
        <v>0</v>
      </c>
      <c r="M673" s="12"/>
      <c r="N673" s="14">
        <f>AVERAGE(N670:N672)</f>
        <v>65.913875598086122</v>
      </c>
      <c r="O673" s="12">
        <f>AVERAGE(O670:O672)</f>
        <v>11.347155768208401</v>
      </c>
      <c r="P673" s="11">
        <f>AVERAGE(P670:P672)</f>
        <v>4.3636363636363642</v>
      </c>
      <c r="Q673" s="11">
        <f>AVERAGE(Q670:Q672)</f>
        <v>18.375332270069112</v>
      </c>
      <c r="R673" s="11">
        <f>AVERAGE(R670:R672)</f>
        <v>0</v>
      </c>
      <c r="S673" s="15"/>
      <c r="T673" s="14">
        <f>AVERAGE(T670:T672)</f>
        <v>68.305587817782921</v>
      </c>
      <c r="U673" s="12">
        <f>AVERAGE(U670:U672)</f>
        <v>15.000645244547684</v>
      </c>
      <c r="V673" s="11">
        <f>AVERAGE(V670:V672)</f>
        <v>8.2926829268292686</v>
      </c>
      <c r="W673" s="11">
        <f>AVERAGE(W670:W672)</f>
        <v>8.4010840108401084</v>
      </c>
      <c r="X673" s="11">
        <f>AVERAGE(X670:X672)</f>
        <v>0</v>
      </c>
      <c r="Y673" s="15"/>
      <c r="Z673" s="8">
        <f>AVERAGE(B673,H673,N673,T673)</f>
        <v>65.578841763356252</v>
      </c>
      <c r="AA673" s="8">
        <f>AVERAGE(C673,I673,O673,U673)</f>
        <v>15.183890072738484</v>
      </c>
      <c r="AB673" s="8">
        <f>AVERAGE(D673,J673,P673,V673)</f>
        <v>7.8556626835344412</v>
      </c>
      <c r="AC673" s="8">
        <f>AVERAGE(E673,K673,Q673,W673)</f>
        <v>11.381605480370816</v>
      </c>
      <c r="AD673" s="8">
        <f>AVERAGE(F673,L673,R673,X673)</f>
        <v>0</v>
      </c>
      <c r="AF673" s="5" t="s">
        <v>142</v>
      </c>
      <c r="AG673" s="8">
        <f>$I$492/$L$492*100</f>
        <v>58.620689655172406</v>
      </c>
      <c r="AH673" s="8">
        <f>$I$493/$L$493*100</f>
        <v>31.03448275862069</v>
      </c>
      <c r="AI673" s="8">
        <f>$I$494/$L$494*100</f>
        <v>6.8965517241379306</v>
      </c>
      <c r="AJ673" s="8">
        <f>$I$495/$L$495*100</f>
        <v>3.4482758620689653</v>
      </c>
      <c r="AK673" s="8">
        <f>$I$496/$L$496*100</f>
        <v>0</v>
      </c>
      <c r="AL673" s="8">
        <f>SUM(AG673:AK673)</f>
        <v>100</v>
      </c>
      <c r="AM673" s="8">
        <f>$I$512/$L$512*100</f>
        <v>50</v>
      </c>
      <c r="AN673" s="8">
        <f>$I$513/$L$513*100</f>
        <v>25</v>
      </c>
      <c r="AO673" s="8">
        <f>$I$514/$L$514*150</f>
        <v>0</v>
      </c>
      <c r="AP673" s="8">
        <f>$I$515/$L$515*100</f>
        <v>25</v>
      </c>
      <c r="AQ673" s="8">
        <f>$I$516/$L$516*150</f>
        <v>0</v>
      </c>
      <c r="AR673" s="8">
        <f>SUM(AM673:AQ673)</f>
        <v>100</v>
      </c>
      <c r="AS673" s="8">
        <f>$I$532/$L$532*100</f>
        <v>69.642857142857139</v>
      </c>
      <c r="AT673" s="8">
        <f>$I$533/$L$533*100</f>
        <v>10.714285714285714</v>
      </c>
      <c r="AU673" s="8">
        <f>$I$534/$L$534*100</f>
        <v>12.5</v>
      </c>
      <c r="AV673" s="8">
        <f>$I$535/$L$535*100</f>
        <v>7.1428571428571423</v>
      </c>
      <c r="AW673" s="8">
        <f>$I$536/$L$536*100</f>
        <v>0</v>
      </c>
      <c r="AX673" s="8">
        <f>SUM(AS673:AW673)</f>
        <v>99.999999999999986</v>
      </c>
      <c r="AY673" s="8">
        <f>$I$552/$L$552*100</f>
        <v>85.294117647058826</v>
      </c>
      <c r="AZ673" s="8">
        <f>$I$553/$L$553*100</f>
        <v>14.705882352941178</v>
      </c>
      <c r="BA673" s="8">
        <f>$I$554/$L$554*100</f>
        <v>0</v>
      </c>
      <c r="BB673" s="8">
        <f>$I$555/$L$555*100</f>
        <v>0</v>
      </c>
      <c r="BC673" s="8">
        <f>$I$556/$L$556*100</f>
        <v>0</v>
      </c>
      <c r="BD673" s="8">
        <f>SUM(AY673:BC673)</f>
        <v>100</v>
      </c>
    </row>
    <row r="674" spans="1:61" ht="16" thickBot="1" x14ac:dyDescent="0.25">
      <c r="AF674" s="9" t="s">
        <v>59</v>
      </c>
      <c r="AG674" s="8">
        <f>$I$172/$L$172*100</f>
        <v>22.222222222222221</v>
      </c>
      <c r="AH674" s="8">
        <f>$I$173/$L$173*100</f>
        <v>35.353535353535356</v>
      </c>
      <c r="AI674" s="8">
        <f>$I$174/$L$174*100</f>
        <v>21.212121212121211</v>
      </c>
      <c r="AJ674" s="8">
        <f>$I$175/$L$175*100</f>
        <v>21.212121212121211</v>
      </c>
      <c r="AK674" s="8">
        <f>$I$176/$L$176*100</f>
        <v>0</v>
      </c>
      <c r="AL674" s="8">
        <f>SUM(AG674:AK674)</f>
        <v>100</v>
      </c>
      <c r="AM674" s="8">
        <f>$I$192/$L$192*100</f>
        <v>64.285714285714292</v>
      </c>
      <c r="AN674" s="8">
        <f>$I$193/$L$193*100</f>
        <v>7.1428571428571423</v>
      </c>
      <c r="AO674" s="8">
        <f>$I$194/$L$194*100</f>
        <v>28.571428571428569</v>
      </c>
      <c r="AP674" s="8">
        <f>$I$195/$L$195*100</f>
        <v>0</v>
      </c>
      <c r="AQ674" s="8">
        <f>$I$196/$L$196*100</f>
        <v>0</v>
      </c>
      <c r="AR674" s="8">
        <f>SUM(AM674:AQ674)</f>
        <v>100</v>
      </c>
      <c r="AS674" s="8">
        <f>$I$212/$L$212*100</f>
        <v>45.333333333333329</v>
      </c>
      <c r="AT674" s="8">
        <f>$I$213/$L$213*100</f>
        <v>18.666666666666668</v>
      </c>
      <c r="AU674" s="8">
        <f>$I$214/$L$214*100</f>
        <v>10.666666666666668</v>
      </c>
      <c r="AV674" s="8">
        <f>$I$215/$L$215*100</f>
        <v>25.333333333333336</v>
      </c>
      <c r="AW674" s="8">
        <f>$I$216/$L$216*100</f>
        <v>0</v>
      </c>
      <c r="AX674" s="8">
        <f>SUM(AS674:AW674)</f>
        <v>100</v>
      </c>
      <c r="AY674" s="8">
        <f>$I$232/$L$232*100</f>
        <v>33.333333333333329</v>
      </c>
      <c r="AZ674" s="8">
        <f>$I$233/$L$233*100</f>
        <v>30</v>
      </c>
      <c r="BA674" s="8">
        <f>$I$234/$L$234*100</f>
        <v>20</v>
      </c>
      <c r="BB674" s="8">
        <f>$I$235/$L$235*100</f>
        <v>16.666666666666664</v>
      </c>
      <c r="BC674" s="8">
        <f>$I$236/$L$236*100</f>
        <v>0</v>
      </c>
      <c r="BD674" s="8">
        <f>SUM(AY674:BC674)</f>
        <v>100</v>
      </c>
    </row>
    <row r="675" spans="1:61" x14ac:dyDescent="0.2">
      <c r="AF675" s="10" t="s">
        <v>50</v>
      </c>
      <c r="AG675" s="12">
        <f>AVERAGE(AG671:AG674)</f>
        <v>57.749800181901499</v>
      </c>
      <c r="AH675" s="12">
        <f>AVERAGE(AH671:AH674)</f>
        <v>22.420762209280795</v>
      </c>
      <c r="AI675" s="11">
        <f>AVERAGE(AI671:AI674)</f>
        <v>7.7939604054141975</v>
      </c>
      <c r="AJ675" s="11">
        <f>AVERAGE(AJ671:AJ674)</f>
        <v>12.035477203403509</v>
      </c>
      <c r="AK675" s="11">
        <f>AVERAGE(AK671:AK674)</f>
        <v>0</v>
      </c>
      <c r="AL675" s="12"/>
      <c r="AM675" s="11">
        <f>AVERAGE(AM671:AM674)</f>
        <v>65.477299960058588</v>
      </c>
      <c r="AN675" s="13">
        <f>AVERAGE(AN671:AN674)</f>
        <v>17.378677939022765</v>
      </c>
      <c r="AO675" s="14">
        <f>AVERAGE(AO671:AO674)</f>
        <v>8.0049261083743843</v>
      </c>
      <c r="AP675" s="14">
        <f>AVERAGE(AP671:AP674)</f>
        <v>9.1390959925442683</v>
      </c>
      <c r="AQ675" s="14">
        <f>AVERAGE(AQ671:AQ674)</f>
        <v>0</v>
      </c>
      <c r="AR675" s="12"/>
      <c r="AS675" s="14">
        <f>AVERAGE(AS671:AS674)</f>
        <v>66.846120984278883</v>
      </c>
      <c r="AT675" s="12">
        <f>AVERAGE(AT671:AT674)</f>
        <v>11.188938254727727</v>
      </c>
      <c r="AU675" s="11">
        <f>AVERAGE(AU671:AU674)</f>
        <v>6.3977272727272734</v>
      </c>
      <c r="AV675" s="11">
        <f>AVERAGE(AV671:AV674)</f>
        <v>15.56721348826612</v>
      </c>
      <c r="AW675" s="11">
        <f>AVERAGE(AW671:AW674)</f>
        <v>0</v>
      </c>
      <c r="AX675" s="15"/>
      <c r="AY675" s="14">
        <f>AVERAGE(AY671:AY674)</f>
        <v>72.552720275101905</v>
      </c>
      <c r="AZ675" s="12">
        <f>AVERAGE(AZ671:AZ674)</f>
        <v>14.926954521646056</v>
      </c>
      <c r="BA675" s="11">
        <f>AVERAGE(BA671:BA674)</f>
        <v>6.2195121951219514</v>
      </c>
      <c r="BB675" s="11">
        <f>AVERAGE(BB671:BB674)</f>
        <v>6.3008130081300813</v>
      </c>
      <c r="BC675" s="11">
        <f>AVERAGE(BC671:BC674)</f>
        <v>0</v>
      </c>
      <c r="BD675" s="15"/>
      <c r="BE675" s="8">
        <f>AVERAGE(AG675,AM675,AS675,AY675)</f>
        <v>65.656485350335217</v>
      </c>
      <c r="BF675" s="8">
        <f>AVERAGE(AH675,AN675,AT675,AZ675)</f>
        <v>16.478833231169336</v>
      </c>
      <c r="BG675" s="8">
        <f>AVERAGE(AI675,AO675,AU675,BA675)</f>
        <v>7.1040314954094512</v>
      </c>
      <c r="BH675" s="8">
        <f>AVERAGE(AJ675,AP675,AV675,BB675)</f>
        <v>10.760649923085996</v>
      </c>
      <c r="BI675" s="8">
        <f>AVERAGE(AK675,AQ675,AW675,BC675)</f>
        <v>0</v>
      </c>
    </row>
    <row r="677" spans="1:61" ht="32" x14ac:dyDescent="0.2">
      <c r="A677" s="2" t="s">
        <v>188</v>
      </c>
      <c r="B677" s="3" t="s">
        <v>53</v>
      </c>
      <c r="C677" s="3"/>
      <c r="D677" s="3"/>
      <c r="E677" s="3"/>
      <c r="F677" s="3"/>
      <c r="G677" s="4" t="s">
        <v>64</v>
      </c>
      <c r="H677" s="3" t="s">
        <v>54</v>
      </c>
      <c r="I677" s="3"/>
      <c r="J677" s="3"/>
      <c r="K677" s="3"/>
      <c r="L677" s="3"/>
      <c r="M677" s="4" t="s">
        <v>64</v>
      </c>
      <c r="N677" s="3" t="s">
        <v>55</v>
      </c>
      <c r="O677" s="3"/>
      <c r="P677" s="3"/>
      <c r="Q677" s="3"/>
      <c r="R677" s="3"/>
      <c r="S677" s="4" t="s">
        <v>64</v>
      </c>
      <c r="T677" s="3" t="s">
        <v>56</v>
      </c>
      <c r="U677" s="3"/>
      <c r="V677" s="3"/>
      <c r="W677" s="3"/>
      <c r="X677" s="3"/>
      <c r="Y677" s="4" t="s">
        <v>64</v>
      </c>
    </row>
    <row r="678" spans="1:61" x14ac:dyDescent="0.2">
      <c r="A678" s="3"/>
      <c r="B678" s="4" t="s">
        <v>20</v>
      </c>
      <c r="C678" s="4" t="s">
        <v>21</v>
      </c>
      <c r="D678" s="4" t="s">
        <v>60</v>
      </c>
      <c r="E678" s="4" t="s">
        <v>61</v>
      </c>
      <c r="F678" s="4" t="s">
        <v>62</v>
      </c>
      <c r="G678" s="4"/>
      <c r="H678" s="4" t="s">
        <v>20</v>
      </c>
      <c r="I678" s="4" t="s">
        <v>21</v>
      </c>
      <c r="J678" s="4" t="s">
        <v>60</v>
      </c>
      <c r="K678" s="4" t="s">
        <v>61</v>
      </c>
      <c r="L678" s="4" t="s">
        <v>62</v>
      </c>
      <c r="M678" s="4"/>
      <c r="N678" s="4" t="s">
        <v>20</v>
      </c>
      <c r="O678" s="4" t="s">
        <v>21</v>
      </c>
      <c r="P678" s="4" t="s">
        <v>60</v>
      </c>
      <c r="Q678" s="4" t="s">
        <v>61</v>
      </c>
      <c r="R678" s="4" t="s">
        <v>62</v>
      </c>
      <c r="S678" s="4"/>
      <c r="T678" s="4" t="s">
        <v>20</v>
      </c>
      <c r="U678" s="4" t="s">
        <v>21</v>
      </c>
      <c r="V678" s="4" t="s">
        <v>60</v>
      </c>
      <c r="W678" s="4" t="s">
        <v>61</v>
      </c>
      <c r="X678" s="4" t="s">
        <v>62</v>
      </c>
      <c r="Y678" s="4"/>
    </row>
    <row r="679" spans="1:61" ht="32" x14ac:dyDescent="0.2">
      <c r="A679" s="5" t="s">
        <v>57</v>
      </c>
      <c r="B679" s="8">
        <f>$I$17/$L$17*100</f>
        <v>79.532163742690059</v>
      </c>
      <c r="C679" s="8">
        <f>$I$18/$L$18*100</f>
        <v>9.3567251461988299</v>
      </c>
      <c r="D679" s="8">
        <f>$I$19/$L$19*100</f>
        <v>0</v>
      </c>
      <c r="E679" s="8">
        <f>$I$20/$L$20*100</f>
        <v>11.111111111111111</v>
      </c>
      <c r="F679" s="8">
        <f>$I$21/$L$21*100</f>
        <v>0</v>
      </c>
      <c r="G679" s="8">
        <f>SUM(B679:F679)</f>
        <v>100</v>
      </c>
      <c r="H679" s="8">
        <f>$I$37/$L$37*100</f>
        <v>77.777777777777786</v>
      </c>
      <c r="I679" s="8">
        <f>$I$38/$L$38*100</f>
        <v>3.7037037037037033</v>
      </c>
      <c r="J679" s="8">
        <f>$I$39/$L$39*100</f>
        <v>3.7037037037037033</v>
      </c>
      <c r="K679" s="8">
        <f>$I$40/$L$40*100</f>
        <v>14.814814814814813</v>
      </c>
      <c r="L679" s="8">
        <f>$I$41/$L$41*100</f>
        <v>0</v>
      </c>
      <c r="M679" s="8">
        <f>SUM(H679:L679)</f>
        <v>100.00000000000001</v>
      </c>
      <c r="N679" s="8">
        <f>$I$57/$L$57*100</f>
        <v>75</v>
      </c>
      <c r="O679" s="8">
        <f>$I$58/$L$58*100</f>
        <v>4.7619047619047619</v>
      </c>
      <c r="P679" s="8">
        <f>$I$59/$L$59*100</f>
        <v>0.59523809523809523</v>
      </c>
      <c r="Q679" s="8">
        <f>$I$60/$L$60*100</f>
        <v>19.642857142857142</v>
      </c>
      <c r="R679" s="8">
        <f>$I$61/$L$61*100</f>
        <v>0</v>
      </c>
      <c r="S679" s="8">
        <f>SUM(N679:R679)</f>
        <v>100</v>
      </c>
      <c r="T679" s="8">
        <f>$I$77/$L$77*100</f>
        <v>96.721311475409834</v>
      </c>
      <c r="U679" s="8">
        <f>$I$78/$L$78*100</f>
        <v>3.278688524590164</v>
      </c>
      <c r="V679" s="8">
        <f>$I$79/$L$79*100</f>
        <v>0</v>
      </c>
      <c r="W679" s="8">
        <f>$I$80/$L$80*100</f>
        <v>0</v>
      </c>
      <c r="X679" s="8">
        <f>$I$81/$L$81*100</f>
        <v>0</v>
      </c>
      <c r="Y679" s="8">
        <f>SUM(T679:X679)</f>
        <v>100</v>
      </c>
      <c r="AF679" s="2" t="s">
        <v>188</v>
      </c>
      <c r="AG679" s="3" t="s">
        <v>53</v>
      </c>
      <c r="AH679" s="3"/>
      <c r="AI679" s="3"/>
      <c r="AJ679" s="3"/>
      <c r="AK679" s="3"/>
      <c r="AL679" s="4" t="s">
        <v>64</v>
      </c>
      <c r="AM679" s="3" t="s">
        <v>54</v>
      </c>
      <c r="AN679" s="3"/>
      <c r="AO679" s="3"/>
      <c r="AP679" s="3"/>
      <c r="AQ679" s="3"/>
      <c r="AR679" s="4" t="s">
        <v>64</v>
      </c>
      <c r="AS679" s="3" t="s">
        <v>55</v>
      </c>
      <c r="AT679" s="3"/>
      <c r="AU679" s="3"/>
      <c r="AV679" s="3"/>
      <c r="AW679" s="3"/>
      <c r="AX679" s="4" t="s">
        <v>64</v>
      </c>
      <c r="AY679" s="3" t="s">
        <v>56</v>
      </c>
      <c r="AZ679" s="3"/>
      <c r="BA679" s="3"/>
      <c r="BB679" s="3"/>
      <c r="BC679" s="3"/>
      <c r="BD679" s="4" t="s">
        <v>64</v>
      </c>
    </row>
    <row r="680" spans="1:61" x14ac:dyDescent="0.2">
      <c r="A680" s="5" t="s">
        <v>58</v>
      </c>
      <c r="B680" s="8">
        <f>$I$97/$L$97*100</f>
        <v>74.367622259696461</v>
      </c>
      <c r="C680" s="8">
        <f>$I$98/$L$98*100</f>
        <v>13.490725126475548</v>
      </c>
      <c r="D680" s="8">
        <f>$I$99/$L$99*100</f>
        <v>2.5295109612141653</v>
      </c>
      <c r="E680" s="8">
        <f>$I$100/$L$100*100</f>
        <v>9.6121416526138272</v>
      </c>
      <c r="F680" s="8">
        <f>$I$111/$L$111*100</f>
        <v>0</v>
      </c>
      <c r="G680" s="8">
        <f>SUM(B680:F680)</f>
        <v>100.00000000000001</v>
      </c>
      <c r="H680" s="8">
        <f>$I$117/$L$117*100</f>
        <v>54.54545454545454</v>
      </c>
      <c r="I680" s="8">
        <f>$I$118/$L$118*100</f>
        <v>20.454545454545457</v>
      </c>
      <c r="J680" s="8">
        <f>$I$119/$L$119*100</f>
        <v>6.8181818181818175</v>
      </c>
      <c r="K680" s="8">
        <f>$I$120/$L$120*100</f>
        <v>18.181818181818183</v>
      </c>
      <c r="L680" s="8">
        <f>$I$121/$L$121*100</f>
        <v>0</v>
      </c>
      <c r="M680" s="8">
        <f>SUM(H680:L680)</f>
        <v>100</v>
      </c>
      <c r="N680" s="8">
        <f>$I$137/$L$137*100</f>
        <v>89.130434782608688</v>
      </c>
      <c r="O680" s="8">
        <f>$I$138/$L$138*100</f>
        <v>4.3478260869565215</v>
      </c>
      <c r="P680" s="8">
        <f>$I$139/$L$139*100</f>
        <v>2.1739130434782608</v>
      </c>
      <c r="Q680" s="8">
        <f>$I$140/$L$140*100</f>
        <v>4.3478260869565215</v>
      </c>
      <c r="R680" s="8">
        <f>$I$141/$L$141*100</f>
        <v>0</v>
      </c>
      <c r="S680" s="8">
        <f>SUM(N680:R680)</f>
        <v>99.999999999999986</v>
      </c>
      <c r="T680" s="8">
        <f>$I$157/$L$157*100</f>
        <v>71.951219512195124</v>
      </c>
      <c r="U680" s="8">
        <f>$I$158/$L$158*100</f>
        <v>15.853658536585366</v>
      </c>
      <c r="V680" s="8">
        <f>$I$159/$L$159*100</f>
        <v>8.536585365853659</v>
      </c>
      <c r="W680" s="8">
        <f>$I$160/$L$160*100</f>
        <v>3.6585365853658534</v>
      </c>
      <c r="X680" s="8">
        <f>$I$161/$L$161*100</f>
        <v>0</v>
      </c>
      <c r="Y680" s="8">
        <f>SUM(T680:X680)</f>
        <v>100</v>
      </c>
      <c r="AF680" s="3"/>
      <c r="AG680" s="4" t="s">
        <v>20</v>
      </c>
      <c r="AH680" s="4" t="s">
        <v>21</v>
      </c>
      <c r="AI680" s="4" t="s">
        <v>60</v>
      </c>
      <c r="AJ680" s="4" t="s">
        <v>61</v>
      </c>
      <c r="AK680" s="4" t="s">
        <v>62</v>
      </c>
      <c r="AL680" s="4"/>
      <c r="AM680" s="4" t="s">
        <v>20</v>
      </c>
      <c r="AN680" s="4" t="s">
        <v>21</v>
      </c>
      <c r="AO680" s="4" t="s">
        <v>60</v>
      </c>
      <c r="AP680" s="4" t="s">
        <v>61</v>
      </c>
      <c r="AQ680" s="4" t="s">
        <v>62</v>
      </c>
      <c r="AR680" s="4"/>
      <c r="AS680" s="4" t="s">
        <v>20</v>
      </c>
      <c r="AT680" s="4" t="s">
        <v>21</v>
      </c>
      <c r="AU680" s="4" t="s">
        <v>60</v>
      </c>
      <c r="AV680" s="4" t="s">
        <v>61</v>
      </c>
      <c r="AW680" s="4" t="s">
        <v>62</v>
      </c>
      <c r="AX680" s="4"/>
      <c r="AY680" s="4" t="s">
        <v>20</v>
      </c>
      <c r="AZ680" s="4" t="s">
        <v>21</v>
      </c>
      <c r="BA680" s="4" t="s">
        <v>60</v>
      </c>
      <c r="BB680" s="4" t="s">
        <v>61</v>
      </c>
      <c r="BC680" s="4" t="s">
        <v>62</v>
      </c>
      <c r="BD680" s="4"/>
    </row>
    <row r="681" spans="1:61" ht="16" thickBot="1" x14ac:dyDescent="0.25">
      <c r="A681" s="9" t="s">
        <v>59</v>
      </c>
      <c r="B681" s="8">
        <f>$I$177/$L$177*100</f>
        <v>20</v>
      </c>
      <c r="C681" s="8">
        <f>$I$178/$L$178*100</f>
        <v>34</v>
      </c>
      <c r="D681" s="8">
        <f>$I$179/$L$179*100</f>
        <v>24</v>
      </c>
      <c r="E681" s="8">
        <f>$I$180/$L$180*100</f>
        <v>22</v>
      </c>
      <c r="F681" s="8">
        <f>$I$181/$L$181*100</f>
        <v>0</v>
      </c>
      <c r="G681" s="8">
        <f>SUM(B681:F681)</f>
        <v>100</v>
      </c>
      <c r="H681" s="8">
        <f>$I$197/$L$197*100</f>
        <v>58.82352941176471</v>
      </c>
      <c r="I681" s="8">
        <f>$I$198/$L$198*100</f>
        <v>23.52941176470588</v>
      </c>
      <c r="J681" s="8">
        <f>$I$199/$L$199*100</f>
        <v>11.76470588235294</v>
      </c>
      <c r="K681" s="8">
        <f>$I$200/$L$200*100</f>
        <v>5.8823529411764701</v>
      </c>
      <c r="L681" s="8">
        <f>$I$211/$L$211*100</f>
        <v>0</v>
      </c>
      <c r="M681" s="8">
        <f>SUM(H681:L681)</f>
        <v>100</v>
      </c>
      <c r="N681" s="8">
        <f>$I$217/$L$217*100</f>
        <v>35</v>
      </c>
      <c r="O681" s="8">
        <f>$I$218/$L$218*100</f>
        <v>26.666666666666668</v>
      </c>
      <c r="P681" s="8">
        <f>$I$219/$L$219*100</f>
        <v>10</v>
      </c>
      <c r="Q681" s="8">
        <f>$I$220/$L$220*100</f>
        <v>28.333333333333332</v>
      </c>
      <c r="R681" s="8">
        <f>$I$221/$L$221*100</f>
        <v>0</v>
      </c>
      <c r="S681" s="8">
        <f>SUM(N681:R681)</f>
        <v>100</v>
      </c>
      <c r="T681" s="8">
        <f>$I$237/$L$237*100</f>
        <v>26.923076923076923</v>
      </c>
      <c r="U681" s="8">
        <f>$I$238/$L$238*100</f>
        <v>38.461538461538467</v>
      </c>
      <c r="V681" s="8">
        <f>$I$239/$L$239*100</f>
        <v>26.923076923076923</v>
      </c>
      <c r="W681" s="8">
        <f>$I$240/$L$240*100</f>
        <v>7.6923076923076925</v>
      </c>
      <c r="X681" s="8">
        <f>$I$241/$L$241*100</f>
        <v>0</v>
      </c>
      <c r="Y681" s="8">
        <f>SUM(T681:X681)</f>
        <v>100</v>
      </c>
      <c r="AF681" s="5" t="s">
        <v>57</v>
      </c>
      <c r="AG681" s="8">
        <f>$I$17/$L$17*100</f>
        <v>79.532163742690059</v>
      </c>
      <c r="AH681" s="8">
        <f>$I$18/$L$18*100</f>
        <v>9.3567251461988299</v>
      </c>
      <c r="AI681" s="8">
        <f>$I$19/$L$19*100</f>
        <v>0</v>
      </c>
      <c r="AJ681" s="8">
        <f>$I$20/$L$20*100</f>
        <v>11.111111111111111</v>
      </c>
      <c r="AK681" s="8">
        <f>$I$21/$L$21*100</f>
        <v>0</v>
      </c>
      <c r="AL681" s="8">
        <f>SUM(AG681:AK681)</f>
        <v>100</v>
      </c>
      <c r="AM681" s="8">
        <f>$I$37/$L$37*100</f>
        <v>77.777777777777786</v>
      </c>
      <c r="AN681" s="8">
        <f>$I$38/$L$38*100</f>
        <v>3.7037037037037033</v>
      </c>
      <c r="AO681" s="8">
        <f>$I$39/$L$39*100</f>
        <v>3.7037037037037033</v>
      </c>
      <c r="AP681" s="8">
        <f>$I$40/$L$40*100</f>
        <v>14.814814814814813</v>
      </c>
      <c r="AQ681" s="8">
        <f>$I$41/$L$41*100</f>
        <v>0</v>
      </c>
      <c r="AR681" s="8">
        <f>SUM(AM681:AQ681)</f>
        <v>100.00000000000001</v>
      </c>
      <c r="AS681" s="8">
        <f>$I$57/$L$57*100</f>
        <v>75</v>
      </c>
      <c r="AT681" s="8">
        <f>$I$58/$L$58*100</f>
        <v>4.7619047619047619</v>
      </c>
      <c r="AU681" s="8">
        <f>$I$59/$L$59*100</f>
        <v>0.59523809523809523</v>
      </c>
      <c r="AV681" s="8">
        <f>$I$60/$L$60*100</f>
        <v>19.642857142857142</v>
      </c>
      <c r="AW681" s="8">
        <f>$I$61/$L$61*100</f>
        <v>0</v>
      </c>
      <c r="AX681" s="8">
        <f>SUM(AS681:AW681)</f>
        <v>100</v>
      </c>
      <c r="AY681" s="8">
        <f>$I$77/$L$77*100</f>
        <v>96.721311475409834</v>
      </c>
      <c r="AZ681" s="8">
        <f>$I$78/$L$78*100</f>
        <v>3.278688524590164</v>
      </c>
      <c r="BA681" s="8">
        <f>$I$79/$L$79*100</f>
        <v>0</v>
      </c>
      <c r="BB681" s="8">
        <f>$I$80/$L$80*100</f>
        <v>0</v>
      </c>
      <c r="BC681" s="8">
        <f>$I$81/$L$81*100</f>
        <v>0</v>
      </c>
      <c r="BD681" s="8">
        <f>SUM(AY681:BC681)</f>
        <v>100</v>
      </c>
    </row>
    <row r="682" spans="1:61" x14ac:dyDescent="0.2">
      <c r="A682" s="10" t="s">
        <v>50</v>
      </c>
      <c r="B682" s="12">
        <f>AVERAGE(B679:B681)</f>
        <v>57.96659533412884</v>
      </c>
      <c r="C682" s="12">
        <f>AVERAGE(C679:C681)</f>
        <v>18.949150090891461</v>
      </c>
      <c r="D682" s="11">
        <f>AVERAGE(D679:D681)</f>
        <v>8.8431703204047221</v>
      </c>
      <c r="E682" s="11">
        <f>AVERAGE(E679:E681)</f>
        <v>14.241084254574979</v>
      </c>
      <c r="F682" s="11">
        <f>AVERAGE(F679:F681)</f>
        <v>0</v>
      </c>
      <c r="G682" s="12"/>
      <c r="H682" s="11">
        <f>AVERAGE(H679:H681)</f>
        <v>63.715587244999007</v>
      </c>
      <c r="I682" s="13">
        <f>AVERAGE(I679:I681)</f>
        <v>15.895886974318346</v>
      </c>
      <c r="J682" s="14">
        <f>AVERAGE(J679:J681)</f>
        <v>7.4288638014128203</v>
      </c>
      <c r="K682" s="14">
        <f>AVERAGE(K679:K681)</f>
        <v>12.959661979269823</v>
      </c>
      <c r="L682" s="14">
        <f>AVERAGE(L679:L681)</f>
        <v>0</v>
      </c>
      <c r="M682" s="12"/>
      <c r="N682" s="14">
        <f>AVERAGE(N679:N681)</f>
        <v>66.376811594202891</v>
      </c>
      <c r="O682" s="12">
        <f>AVERAGE(O679:O681)</f>
        <v>11.925465838509316</v>
      </c>
      <c r="P682" s="11">
        <f>AVERAGE(P679:P681)</f>
        <v>4.2563837129054525</v>
      </c>
      <c r="Q682" s="11">
        <f>AVERAGE(Q679:Q681)</f>
        <v>17.441338854382334</v>
      </c>
      <c r="R682" s="11">
        <f>AVERAGE(R679:R681)</f>
        <v>0</v>
      </c>
      <c r="S682" s="15"/>
      <c r="T682" s="14">
        <f>AVERAGE(T679:T681)</f>
        <v>65.198535970227297</v>
      </c>
      <c r="U682" s="12">
        <f>AVERAGE(U679:U681)</f>
        <v>19.197961840904664</v>
      </c>
      <c r="V682" s="11">
        <f>AVERAGE(V679:V681)</f>
        <v>11.819887429643527</v>
      </c>
      <c r="W682" s="11">
        <f>AVERAGE(W679:W681)</f>
        <v>3.7836147592245148</v>
      </c>
      <c r="X682" s="11">
        <f>AVERAGE(X679:X681)</f>
        <v>0</v>
      </c>
      <c r="Y682" s="15"/>
      <c r="Z682" s="8">
        <f>AVERAGE(B682,H682,N682,T682)</f>
        <v>63.314382535889507</v>
      </c>
      <c r="AA682" s="8">
        <f>AVERAGE(C682,I682,O682,U682)</f>
        <v>16.492116186155947</v>
      </c>
      <c r="AB682" s="8">
        <f>AVERAGE(D682,J682,P682,V682)</f>
        <v>8.0870763160916308</v>
      </c>
      <c r="AC682" s="8">
        <f>AVERAGE(E682,K682,Q682,W682)</f>
        <v>12.106424961862912</v>
      </c>
      <c r="AD682" s="8">
        <f>AVERAGE(F682,L682,R682,X682)</f>
        <v>0</v>
      </c>
      <c r="AF682" s="5" t="s">
        <v>58</v>
      </c>
      <c r="AG682" s="8">
        <f>$I$97/$L$97*100</f>
        <v>74.367622259696461</v>
      </c>
      <c r="AH682" s="8">
        <f>$I$98/$L$98*100</f>
        <v>13.490725126475548</v>
      </c>
      <c r="AI682" s="8">
        <f>$I$99/$L$99*100</f>
        <v>2.5295109612141653</v>
      </c>
      <c r="AJ682" s="8">
        <f>$I$100/$L$100*100</f>
        <v>9.6121416526138272</v>
      </c>
      <c r="AK682" s="8">
        <f>$I$111/$L$111*100</f>
        <v>0</v>
      </c>
      <c r="AL682" s="8">
        <f>SUM(AG682:AK682)</f>
        <v>100.00000000000001</v>
      </c>
      <c r="AM682" s="8">
        <f>$I$117/$L$117*100</f>
        <v>54.54545454545454</v>
      </c>
      <c r="AN682" s="8">
        <f>$I$118/$L$118*100</f>
        <v>20.454545454545457</v>
      </c>
      <c r="AO682" s="8">
        <f>$I$119/$L$119*100</f>
        <v>6.8181818181818175</v>
      </c>
      <c r="AP682" s="8">
        <f>$I$120/$L$120*100</f>
        <v>18.181818181818183</v>
      </c>
      <c r="AQ682" s="8">
        <f>$I$121/$L$121*100</f>
        <v>0</v>
      </c>
      <c r="AR682" s="8">
        <f>SUM(AM682:AQ682)</f>
        <v>100</v>
      </c>
      <c r="AS682" s="8">
        <f>$I$137/$L$137*100</f>
        <v>89.130434782608688</v>
      </c>
      <c r="AT682" s="8">
        <f>$I$138/$L$138*100</f>
        <v>4.3478260869565215</v>
      </c>
      <c r="AU682" s="8">
        <f>$I$139/$L$139*100</f>
        <v>2.1739130434782608</v>
      </c>
      <c r="AV682" s="8">
        <f>$I$140/$L$140*100</f>
        <v>4.3478260869565215</v>
      </c>
      <c r="AW682" s="8">
        <f>$I$141/$L$141*100</f>
        <v>0</v>
      </c>
      <c r="AX682" s="8">
        <f>SUM(AS682:AW682)</f>
        <v>99.999999999999986</v>
      </c>
      <c r="AY682" s="8">
        <f>$I$157/$L$157*100</f>
        <v>71.951219512195124</v>
      </c>
      <c r="AZ682" s="8">
        <f>$I$158/$L$158*100</f>
        <v>15.853658536585366</v>
      </c>
      <c r="BA682" s="8">
        <f>$I$159/$L$159*100</f>
        <v>8.536585365853659</v>
      </c>
      <c r="BB682" s="8">
        <f>$I$160/$L$160*100</f>
        <v>3.6585365853658534</v>
      </c>
      <c r="BC682" s="8">
        <f>$I$161/$L$161*100</f>
        <v>0</v>
      </c>
      <c r="BD682" s="8">
        <f>SUM(AY682:BC682)</f>
        <v>100</v>
      </c>
    </row>
    <row r="683" spans="1:61" x14ac:dyDescent="0.2">
      <c r="AF683" s="5" t="s">
        <v>142</v>
      </c>
      <c r="AG683" s="8">
        <f>$I$497/$L$497*100</f>
        <v>75.862068965517238</v>
      </c>
      <c r="AH683" s="8">
        <f>$I$498/$L$498*100</f>
        <v>20.689655172413794</v>
      </c>
      <c r="AI683" s="8">
        <f>$I$499/$L$499*100</f>
        <v>0</v>
      </c>
      <c r="AJ683" s="8">
        <f>$I$500/$L$500*100</f>
        <v>3.4482758620689653</v>
      </c>
      <c r="AK683" s="8">
        <f>$I$501/$L$501*100</f>
        <v>0</v>
      </c>
      <c r="AL683" s="8">
        <f>SUM(AG683:AK683)</f>
        <v>100</v>
      </c>
      <c r="AM683" s="8">
        <f>$I$517/$L$517*100</f>
        <v>50</v>
      </c>
      <c r="AN683" s="8">
        <f>$I$518/$L$518*100</f>
        <v>0</v>
      </c>
      <c r="AO683" s="8">
        <f>$I$519/$L$519*150</f>
        <v>0</v>
      </c>
      <c r="AP683" s="8">
        <f>$I$520/$L$520*100</f>
        <v>50</v>
      </c>
      <c r="AQ683" s="8">
        <f>$I$521/$L$521*150</f>
        <v>0</v>
      </c>
      <c r="AR683" s="8">
        <f>SUM(AM683:AQ683)</f>
        <v>100</v>
      </c>
      <c r="AS683" s="8">
        <f>$I$537/$L$537*100</f>
        <v>71.698113207547166</v>
      </c>
      <c r="AT683" s="8">
        <f>$I$538/$L$538*100</f>
        <v>22.641509433962266</v>
      </c>
      <c r="AU683" s="8">
        <f>$I$539/$L$539*100</f>
        <v>1.8867924528301887</v>
      </c>
      <c r="AV683" s="8">
        <f>$I$540/$L$540*100</f>
        <v>3.7735849056603774</v>
      </c>
      <c r="AW683" s="8">
        <f>$I$541/$L$541*100</f>
        <v>0</v>
      </c>
      <c r="AX683" s="8">
        <f>SUM(AS683:AW683)</f>
        <v>100</v>
      </c>
      <c r="AY683" s="8">
        <f>$I$557/$L$557*100</f>
        <v>90.322580645161281</v>
      </c>
      <c r="AZ683" s="8">
        <f>$I$558/$L$558*100</f>
        <v>9.67741935483871</v>
      </c>
      <c r="BA683" s="8">
        <f>$I$559/$L$559*100</f>
        <v>0</v>
      </c>
      <c r="BB683" s="8">
        <f>$I$560/$L$560*100</f>
        <v>0</v>
      </c>
      <c r="BC683" s="8">
        <f>$I$561/$L$561*100</f>
        <v>0</v>
      </c>
      <c r="BD683" s="8">
        <f>SUM(AY683:BC683)</f>
        <v>99.999999999999986</v>
      </c>
    </row>
    <row r="684" spans="1:61" ht="16" thickBot="1" x14ac:dyDescent="0.25">
      <c r="AF684" s="9" t="s">
        <v>59</v>
      </c>
      <c r="AG684" s="8">
        <f>$I$177/$L$177*100</f>
        <v>20</v>
      </c>
      <c r="AH684" s="8">
        <f>$I$178/$L$178*100</f>
        <v>34</v>
      </c>
      <c r="AI684" s="8">
        <f>$I$179/$L$179*100</f>
        <v>24</v>
      </c>
      <c r="AJ684" s="8">
        <f>$I$180/$L$180*100</f>
        <v>22</v>
      </c>
      <c r="AK684" s="8">
        <f>$I$181/$L$181*100</f>
        <v>0</v>
      </c>
      <c r="AL684" s="8">
        <f>SUM(AG684:AK684)</f>
        <v>100</v>
      </c>
      <c r="AM684" s="8">
        <f>$I$197/$L$197*100</f>
        <v>58.82352941176471</v>
      </c>
      <c r="AN684" s="8">
        <f>$I$198/$L$198*100</f>
        <v>23.52941176470588</v>
      </c>
      <c r="AO684" s="8">
        <f>$I$199/$L$199*100</f>
        <v>11.76470588235294</v>
      </c>
      <c r="AP684" s="8">
        <f>$I$200/$L$200*100</f>
        <v>5.8823529411764701</v>
      </c>
      <c r="AQ684" s="8">
        <f>$I$211/$L$211*100</f>
        <v>0</v>
      </c>
      <c r="AR684" s="8">
        <f>SUM(AM684:AQ684)</f>
        <v>100</v>
      </c>
      <c r="AS684" s="8">
        <f>$I$217/$L$217*100</f>
        <v>35</v>
      </c>
      <c r="AT684" s="8">
        <f>$I$218/$L$218*100</f>
        <v>26.666666666666668</v>
      </c>
      <c r="AU684" s="8">
        <f>$I$219/$L$219*100</f>
        <v>10</v>
      </c>
      <c r="AV684" s="8">
        <f>$I$220/$L$220*100</f>
        <v>28.333333333333332</v>
      </c>
      <c r="AW684" s="8">
        <f>$I$221/$L$221*100</f>
        <v>0</v>
      </c>
      <c r="AX684" s="8">
        <f>SUM(AS684:AW684)</f>
        <v>100</v>
      </c>
      <c r="AY684" s="8">
        <f>$I$237/$L$237*100</f>
        <v>26.923076923076923</v>
      </c>
      <c r="AZ684" s="8">
        <f>$I$238/$L$238*100</f>
        <v>38.461538461538467</v>
      </c>
      <c r="BA684" s="8">
        <f>$I$239/$L$239*100</f>
        <v>26.923076923076923</v>
      </c>
      <c r="BB684" s="8">
        <f>$I$240/$L$240*100</f>
        <v>7.6923076923076925</v>
      </c>
      <c r="BC684" s="8">
        <f>$I$241/$L$241*100</f>
        <v>0</v>
      </c>
      <c r="BD684" s="8">
        <f>SUM(AY684:BC684)</f>
        <v>100</v>
      </c>
    </row>
    <row r="685" spans="1:61" ht="32" x14ac:dyDescent="0.2">
      <c r="A685" s="2" t="s">
        <v>189</v>
      </c>
      <c r="B685" s="3" t="s">
        <v>53</v>
      </c>
      <c r="C685" s="3"/>
      <c r="D685" s="3"/>
      <c r="E685" s="3"/>
      <c r="F685" s="3"/>
      <c r="G685" s="4" t="s">
        <v>64</v>
      </c>
      <c r="H685" s="3" t="s">
        <v>54</v>
      </c>
      <c r="I685" s="3"/>
      <c r="J685" s="3"/>
      <c r="K685" s="3"/>
      <c r="L685" s="3"/>
      <c r="M685" s="4" t="s">
        <v>64</v>
      </c>
      <c r="N685" s="3" t="s">
        <v>55</v>
      </c>
      <c r="O685" s="3"/>
      <c r="P685" s="3"/>
      <c r="Q685" s="3"/>
      <c r="R685" s="3"/>
      <c r="S685" s="4" t="s">
        <v>64</v>
      </c>
      <c r="T685" s="3" t="s">
        <v>56</v>
      </c>
      <c r="U685" s="3"/>
      <c r="V685" s="3"/>
      <c r="W685" s="3"/>
      <c r="X685" s="3"/>
      <c r="Y685" s="4" t="s">
        <v>64</v>
      </c>
      <c r="AF685" s="10" t="s">
        <v>50</v>
      </c>
      <c r="AG685" s="12">
        <f>AVERAGE(AG681:AG684)</f>
        <v>62.44046374197594</v>
      </c>
      <c r="AH685" s="12">
        <f>AVERAGE(AH681:AH684)</f>
        <v>19.384276361272043</v>
      </c>
      <c r="AI685" s="11">
        <f>AVERAGE(AI681:AI684)</f>
        <v>6.6323777403035411</v>
      </c>
      <c r="AJ685" s="11">
        <f>AVERAGE(AJ681:AJ684)</f>
        <v>11.542882156448474</v>
      </c>
      <c r="AK685" s="11">
        <f>AVERAGE(AK681:AK684)</f>
        <v>0</v>
      </c>
      <c r="AL685" s="12"/>
      <c r="AM685" s="11">
        <f>AVERAGE(AM681:AM684)</f>
        <v>60.286690433749257</v>
      </c>
      <c r="AN685" s="13">
        <f>AVERAGE(AN681:AN684)</f>
        <v>11.92191523073876</v>
      </c>
      <c r="AO685" s="14">
        <f>AVERAGE(AO681:AO684)</f>
        <v>5.5716478510596152</v>
      </c>
      <c r="AP685" s="14">
        <f>AVERAGE(AP681:AP684)</f>
        <v>22.219746484452365</v>
      </c>
      <c r="AQ685" s="14">
        <f>AVERAGE(AQ681:AQ684)</f>
        <v>0</v>
      </c>
      <c r="AR685" s="12"/>
      <c r="AS685" s="14">
        <f>AVERAGE(AS681:AS684)</f>
        <v>67.707136997538967</v>
      </c>
      <c r="AT685" s="12">
        <f>AVERAGE(AT681:AT684)</f>
        <v>14.604476737372554</v>
      </c>
      <c r="AU685" s="11">
        <f>AVERAGE(AU681:AU684)</f>
        <v>3.6639858978866364</v>
      </c>
      <c r="AV685" s="11">
        <f>AVERAGE(AV681:AV684)</f>
        <v>14.024400367201842</v>
      </c>
      <c r="AW685" s="11">
        <f>AVERAGE(AW681:AW684)</f>
        <v>0</v>
      </c>
      <c r="AX685" s="15"/>
      <c r="AY685" s="14">
        <f>AVERAGE(AY681:AY684)</f>
        <v>71.479547138960783</v>
      </c>
      <c r="AZ685" s="12">
        <f>AVERAGE(AZ681:AZ684)</f>
        <v>16.817826219388177</v>
      </c>
      <c r="BA685" s="11">
        <f>AVERAGE(BA681:BA684)</f>
        <v>8.8649155722326451</v>
      </c>
      <c r="BB685" s="11">
        <f>AVERAGE(BB681:BB684)</f>
        <v>2.8377110694183862</v>
      </c>
      <c r="BC685" s="11">
        <f>AVERAGE(BC681:BC684)</f>
        <v>0</v>
      </c>
      <c r="BD685" s="15"/>
      <c r="BE685" s="8">
        <f>AVERAGE(AG685,AM685,AS685,AY685)</f>
        <v>65.478459578056231</v>
      </c>
      <c r="BF685" s="8">
        <f>AVERAGE(AH685,AN685,AT685,AZ685)</f>
        <v>15.682123637192884</v>
      </c>
      <c r="BG685" s="8">
        <f>AVERAGE(AI685,AO685,AU685,BA685)</f>
        <v>6.1832317653706088</v>
      </c>
      <c r="BH685" s="8">
        <f>AVERAGE(AJ685,AP685,AV685,BB685)</f>
        <v>12.656185019380267</v>
      </c>
      <c r="BI685" s="8">
        <f>AVERAGE(AK685,AQ685,AW685,BC685)</f>
        <v>0</v>
      </c>
    </row>
    <row r="686" spans="1:61" x14ac:dyDescent="0.2">
      <c r="A686" s="3"/>
      <c r="B686" s="4" t="s">
        <v>20</v>
      </c>
      <c r="C686" s="4" t="s">
        <v>21</v>
      </c>
      <c r="D686" s="4" t="s">
        <v>60</v>
      </c>
      <c r="E686" s="4" t="s">
        <v>61</v>
      </c>
      <c r="F686" s="4" t="s">
        <v>62</v>
      </c>
      <c r="G686" s="4"/>
      <c r="H686" s="4" t="s">
        <v>20</v>
      </c>
      <c r="I686" s="4" t="s">
        <v>21</v>
      </c>
      <c r="J686" s="4" t="s">
        <v>60</v>
      </c>
      <c r="K686" s="4" t="s">
        <v>61</v>
      </c>
      <c r="L686" s="4" t="s">
        <v>62</v>
      </c>
      <c r="M686" s="4"/>
      <c r="N686" s="4" t="s">
        <v>20</v>
      </c>
      <c r="O686" s="4" t="s">
        <v>21</v>
      </c>
      <c r="P686" s="4" t="s">
        <v>60</v>
      </c>
      <c r="Q686" s="4" t="s">
        <v>61</v>
      </c>
      <c r="R686" s="4" t="s">
        <v>62</v>
      </c>
      <c r="S686" s="4"/>
      <c r="T686" s="4" t="s">
        <v>20</v>
      </c>
      <c r="U686" s="4" t="s">
        <v>21</v>
      </c>
      <c r="V686" s="4" t="s">
        <v>60</v>
      </c>
      <c r="W686" s="4" t="s">
        <v>61</v>
      </c>
      <c r="X686" s="4" t="s">
        <v>62</v>
      </c>
      <c r="Y686" s="4"/>
    </row>
    <row r="687" spans="1:61" x14ac:dyDescent="0.2">
      <c r="A687" s="5" t="s">
        <v>57</v>
      </c>
      <c r="B687" s="8">
        <f>$J$7/$M$7*100</f>
        <v>88.732394366197184</v>
      </c>
      <c r="C687" s="8">
        <f>$J$8/$M$8*100</f>
        <v>7.042253521126761</v>
      </c>
      <c r="D687" s="8">
        <f>$J$9/$M$9*100</f>
        <v>1.4084507042253522</v>
      </c>
      <c r="E687" s="8">
        <f>$J$10/$M$10*100</f>
        <v>2.8169014084507045</v>
      </c>
      <c r="F687" s="8">
        <f>$J$11/$M$11*100</f>
        <v>0</v>
      </c>
      <c r="G687" s="8">
        <f>SUM(B687:F687)</f>
        <v>100.00000000000001</v>
      </c>
      <c r="H687" s="8">
        <f>$J$27/$M$27*100</f>
        <v>75</v>
      </c>
      <c r="I687" s="8">
        <f>$J$28/$M$28*100</f>
        <v>12.5</v>
      </c>
      <c r="J687" s="8">
        <f>$J$29/$M$29*100</f>
        <v>0</v>
      </c>
      <c r="K687" s="8">
        <f>$J$30/$M$30*100</f>
        <v>12.5</v>
      </c>
      <c r="L687" s="8">
        <f>$J$31/$M$31*100</f>
        <v>0</v>
      </c>
      <c r="M687" s="8">
        <f>SUM(H687:L687)</f>
        <v>100</v>
      </c>
      <c r="N687" s="8">
        <f>$J$47/$M$47*100</f>
        <v>95.360824742268051</v>
      </c>
      <c r="O687" s="8">
        <f>$J$48/$M$48*100</f>
        <v>1.0309278350515463</v>
      </c>
      <c r="P687" s="8">
        <f>$J$49/$M$49*100</f>
        <v>0</v>
      </c>
      <c r="Q687" s="8">
        <f>$J$50/$M$50*100</f>
        <v>3.608247422680412</v>
      </c>
      <c r="R687" s="8">
        <f>$J$51/$M$51*100</f>
        <v>0</v>
      </c>
      <c r="S687" s="8">
        <f>SUM(N687:R687)</f>
        <v>100</v>
      </c>
      <c r="T687" s="8">
        <f>$J$67/$M$67*100</f>
        <v>80</v>
      </c>
      <c r="U687" s="8">
        <f>$J$68/$M$68*100</f>
        <v>0</v>
      </c>
      <c r="V687" s="8">
        <f>$J$69/$M$69*100</f>
        <v>0</v>
      </c>
      <c r="W687" s="8">
        <f>$J$70/$M$70*100</f>
        <v>20</v>
      </c>
      <c r="X687" s="8">
        <f>$J$71/$M$71*100</f>
        <v>0</v>
      </c>
      <c r="Y687" s="8">
        <f>SUM(T687:X687)</f>
        <v>100</v>
      </c>
    </row>
    <row r="688" spans="1:61" ht="32" x14ac:dyDescent="0.2">
      <c r="A688" s="5" t="s">
        <v>58</v>
      </c>
      <c r="B688" s="8">
        <f>$J$87/$M$87*100</f>
        <v>62</v>
      </c>
      <c r="C688" s="8">
        <f>$J$88/$M$88*100</f>
        <v>14.000000000000002</v>
      </c>
      <c r="D688" s="8">
        <f>$J$89/$M$89*100</f>
        <v>6</v>
      </c>
      <c r="E688" s="8">
        <f>$J$90/$M$90*100</f>
        <v>18</v>
      </c>
      <c r="F688" s="8">
        <f>$J$91/$M$91*100</f>
        <v>0</v>
      </c>
      <c r="G688" s="8">
        <f>SUM(B688:F688)</f>
        <v>100</v>
      </c>
      <c r="H688" s="8">
        <f>$J$107/$M$107*100</f>
        <v>80</v>
      </c>
      <c r="I688" s="8">
        <f>$J$108/$M$108*100</f>
        <v>20</v>
      </c>
      <c r="J688" s="8">
        <f>$J$109/$M$109*100</f>
        <v>0</v>
      </c>
      <c r="K688" s="8">
        <f>$J$110/$M$110*100</f>
        <v>0</v>
      </c>
      <c r="L688" s="8">
        <f>$J$111/$M$111*100</f>
        <v>0</v>
      </c>
      <c r="M688" s="8">
        <f>SUM(H688:L688)</f>
        <v>100</v>
      </c>
      <c r="N688" s="8">
        <f>$J$127/$M$127*100</f>
        <v>24.324324324324326</v>
      </c>
      <c r="O688" s="8">
        <f>$J$128/$M$128*100</f>
        <v>2.7027027027027026</v>
      </c>
      <c r="P688" s="8">
        <f>$J$129/$M$129*100</f>
        <v>0</v>
      </c>
      <c r="Q688" s="8">
        <f>$J$130/$M$130*100</f>
        <v>72.072072072072075</v>
      </c>
      <c r="R688" s="8">
        <f>$J$131/$M$131*100</f>
        <v>0.90090090090090091</v>
      </c>
      <c r="S688" s="8">
        <f>SUM(N688:R688)</f>
        <v>100.00000000000001</v>
      </c>
      <c r="T688" s="8">
        <f>$J$147/$M$147*100</f>
        <v>50</v>
      </c>
      <c r="U688" s="8">
        <f>$J$148/$M$148*100</f>
        <v>5</v>
      </c>
      <c r="V688" s="8">
        <f>$J$149/$M$149*100</f>
        <v>5</v>
      </c>
      <c r="W688" s="8">
        <f>$J$150/$M$150*100</f>
        <v>40</v>
      </c>
      <c r="X688" s="8">
        <f>$J$151/$M$151*100</f>
        <v>0</v>
      </c>
      <c r="Y688" s="8">
        <f>SUM(T688:X688)</f>
        <v>100</v>
      </c>
      <c r="AF688" s="2" t="s">
        <v>189</v>
      </c>
      <c r="AG688" s="3" t="s">
        <v>53</v>
      </c>
      <c r="AH688" s="3"/>
      <c r="AI688" s="3"/>
      <c r="AJ688" s="3"/>
      <c r="AK688" s="3"/>
      <c r="AL688" s="4" t="s">
        <v>64</v>
      </c>
      <c r="AM688" s="3" t="s">
        <v>54</v>
      </c>
      <c r="AN688" s="3"/>
      <c r="AO688" s="3"/>
      <c r="AP688" s="3"/>
      <c r="AQ688" s="3"/>
      <c r="AR688" s="4" t="s">
        <v>64</v>
      </c>
      <c r="AS688" s="3" t="s">
        <v>55</v>
      </c>
      <c r="AT688" s="3"/>
      <c r="AU688" s="3"/>
      <c r="AV688" s="3"/>
      <c r="AW688" s="3"/>
      <c r="AX688" s="4" t="s">
        <v>64</v>
      </c>
      <c r="AY688" s="3" t="s">
        <v>56</v>
      </c>
      <c r="AZ688" s="3"/>
      <c r="BA688" s="3"/>
      <c r="BB688" s="3"/>
      <c r="BC688" s="3"/>
      <c r="BD688" s="4" t="s">
        <v>64</v>
      </c>
    </row>
    <row r="689" spans="1:61" ht="16" thickBot="1" x14ac:dyDescent="0.25">
      <c r="A689" s="9" t="s">
        <v>59</v>
      </c>
      <c r="B689" s="8">
        <f>$J$167/$M$167*100</f>
        <v>35.374149659863946</v>
      </c>
      <c r="C689" s="8">
        <f>$J$168/$M$168*100</f>
        <v>27.89115646258503</v>
      </c>
      <c r="D689" s="8">
        <f>$J$169/$M$169*100</f>
        <v>29.931972789115648</v>
      </c>
      <c r="E689" s="8">
        <f>$J$170/$M$170*100</f>
        <v>6.8027210884353746</v>
      </c>
      <c r="F689" s="8">
        <f>$J$171/$M$171*100</f>
        <v>0</v>
      </c>
      <c r="G689" s="8">
        <f>SUM(B689:F689)</f>
        <v>100</v>
      </c>
      <c r="H689" s="8">
        <f>$J$187/$M$187*100</f>
        <v>22.222222222222221</v>
      </c>
      <c r="I689" s="8">
        <f>$J$188/$M$188*100</f>
        <v>55.555555555555557</v>
      </c>
      <c r="J689" s="8">
        <f>$J$189/$M$189*100</f>
        <v>11.111111111111111</v>
      </c>
      <c r="K689" s="8">
        <f>$J$190/$M$190*100</f>
        <v>11.111111111111111</v>
      </c>
      <c r="L689" s="8">
        <f>$J$191/$M$191*100</f>
        <v>0</v>
      </c>
      <c r="M689" s="8">
        <f>SUM(H689:L689)</f>
        <v>100</v>
      </c>
      <c r="N689" s="8">
        <f>$J$207/$M$207*100</f>
        <v>32.467532467532465</v>
      </c>
      <c r="O689" s="8">
        <f>$J$208/$M$208*100</f>
        <v>25.97402597402597</v>
      </c>
      <c r="P689" s="8">
        <f>$J$209/$M$209*100</f>
        <v>15.584415584415584</v>
      </c>
      <c r="Q689" s="8">
        <f>$J$210/$M$210*100</f>
        <v>25.97402597402597</v>
      </c>
      <c r="R689" s="8">
        <f>$J$211/$M$211*100</f>
        <v>0</v>
      </c>
      <c r="S689" s="8">
        <f>SUM(N689:R689)</f>
        <v>100</v>
      </c>
      <c r="T689" s="8">
        <f>$J$227/$M$227*100</f>
        <v>45.161290322580641</v>
      </c>
      <c r="U689" s="8">
        <f>$J$228/$M$228*100</f>
        <v>35.483870967741936</v>
      </c>
      <c r="V689" s="8">
        <f>$J$229/$M$229*100</f>
        <v>19.35483870967742</v>
      </c>
      <c r="W689" s="8">
        <f>$J$230/$M$230*100</f>
        <v>0</v>
      </c>
      <c r="X689" s="8">
        <f>$J$231/$M$231*100</f>
        <v>0</v>
      </c>
      <c r="Y689" s="8">
        <f>SUM(T689:X689)</f>
        <v>100</v>
      </c>
      <c r="AF689" s="3"/>
      <c r="AG689" s="4" t="s">
        <v>20</v>
      </c>
      <c r="AH689" s="4" t="s">
        <v>21</v>
      </c>
      <c r="AI689" s="4" t="s">
        <v>60</v>
      </c>
      <c r="AJ689" s="4" t="s">
        <v>61</v>
      </c>
      <c r="AK689" s="4" t="s">
        <v>62</v>
      </c>
      <c r="AL689" s="4"/>
      <c r="AM689" s="4" t="s">
        <v>20</v>
      </c>
      <c r="AN689" s="4" t="s">
        <v>21</v>
      </c>
      <c r="AO689" s="4" t="s">
        <v>60</v>
      </c>
      <c r="AP689" s="4" t="s">
        <v>61</v>
      </c>
      <c r="AQ689" s="4" t="s">
        <v>62</v>
      </c>
      <c r="AR689" s="4"/>
      <c r="AS689" s="4" t="s">
        <v>20</v>
      </c>
      <c r="AT689" s="4" t="s">
        <v>21</v>
      </c>
      <c r="AU689" s="4" t="s">
        <v>60</v>
      </c>
      <c r="AV689" s="4" t="s">
        <v>61</v>
      </c>
      <c r="AW689" s="4" t="s">
        <v>62</v>
      </c>
      <c r="AX689" s="4"/>
      <c r="AY689" s="4" t="s">
        <v>20</v>
      </c>
      <c r="AZ689" s="4" t="s">
        <v>21</v>
      </c>
      <c r="BA689" s="4" t="s">
        <v>60</v>
      </c>
      <c r="BB689" s="4" t="s">
        <v>61</v>
      </c>
      <c r="BC689" s="4" t="s">
        <v>62</v>
      </c>
      <c r="BD689" s="4"/>
    </row>
    <row r="690" spans="1:61" x14ac:dyDescent="0.2">
      <c r="A690" s="10" t="s">
        <v>50</v>
      </c>
      <c r="B690" s="12">
        <f>AVERAGE(B687:B689)</f>
        <v>62.03551467535371</v>
      </c>
      <c r="C690" s="12">
        <f>AVERAGE(C687:C689)</f>
        <v>16.311136661237267</v>
      </c>
      <c r="D690" s="11">
        <f>AVERAGE(D687:D689)</f>
        <v>12.446807831113667</v>
      </c>
      <c r="E690" s="11">
        <f>AVERAGE(E687:E689)</f>
        <v>9.2065408322953601</v>
      </c>
      <c r="F690" s="11">
        <f>AVERAGE(F687:F689)</f>
        <v>0</v>
      </c>
      <c r="G690" s="12"/>
      <c r="H690" s="11">
        <f>AVERAGE(H687:H689)</f>
        <v>59.074074074074076</v>
      </c>
      <c r="I690" s="13">
        <f>AVERAGE(I687:I689)</f>
        <v>29.351851851851851</v>
      </c>
      <c r="J690" s="14">
        <f>AVERAGE(J687:J689)</f>
        <v>3.7037037037037037</v>
      </c>
      <c r="K690" s="14">
        <f>AVERAGE(K687:K689)</f>
        <v>7.8703703703703702</v>
      </c>
      <c r="L690" s="14">
        <f>AVERAGE(L687:L689)</f>
        <v>0</v>
      </c>
      <c r="M690" s="12"/>
      <c r="N690" s="14">
        <f>AVERAGE(N687:N689)</f>
        <v>50.717560511374948</v>
      </c>
      <c r="O690" s="12">
        <f>AVERAGE(O687:O689)</f>
        <v>9.9025521705934061</v>
      </c>
      <c r="P690" s="11">
        <f>AVERAGE(P687:P689)</f>
        <v>5.1948051948051948</v>
      </c>
      <c r="Q690" s="11">
        <f>AVERAGE(Q687:Q689)</f>
        <v>33.884781822926151</v>
      </c>
      <c r="R690" s="11">
        <f>AVERAGE(R687:R689)</f>
        <v>0.3003003003003003</v>
      </c>
      <c r="S690" s="15"/>
      <c r="T690" s="14">
        <f>AVERAGE(T687:T689)</f>
        <v>58.387096774193544</v>
      </c>
      <c r="U690" s="12">
        <f>AVERAGE(U687:U689)</f>
        <v>13.494623655913978</v>
      </c>
      <c r="V690" s="11">
        <f>AVERAGE(V687:V689)</f>
        <v>8.1182795698924739</v>
      </c>
      <c r="W690" s="11">
        <f>AVERAGE(W687:W689)</f>
        <v>20</v>
      </c>
      <c r="X690" s="11">
        <f>AVERAGE(X687:X689)</f>
        <v>0</v>
      </c>
      <c r="Y690" s="15"/>
      <c r="Z690" s="8">
        <f>AVERAGE(B690,H690,N690,T690)</f>
        <v>57.55356150874907</v>
      </c>
      <c r="AA690" s="8">
        <f>AVERAGE(C690,I690,O690,U690)</f>
        <v>17.265041084899128</v>
      </c>
      <c r="AB690" s="8">
        <f>AVERAGE(D690,J690,P690,V690)</f>
        <v>7.3658990748787598</v>
      </c>
      <c r="AC690" s="8">
        <f>AVERAGE(E690,K690,Q690,W690)</f>
        <v>17.740423256397971</v>
      </c>
      <c r="AD690" s="8">
        <f>AVERAGE(F690,L690,R690,X690)</f>
        <v>7.5075075075075076E-2</v>
      </c>
      <c r="AF690" s="5" t="s">
        <v>57</v>
      </c>
      <c r="AG690" s="8">
        <f>$J$7/$M$7*100</f>
        <v>88.732394366197184</v>
      </c>
      <c r="AH690" s="8">
        <f>$J$8/$M$8*100</f>
        <v>7.042253521126761</v>
      </c>
      <c r="AI690" s="8">
        <f>$J$9/$M$9*100</f>
        <v>1.4084507042253522</v>
      </c>
      <c r="AJ690" s="8">
        <f>$J$10/$M$10*100</f>
        <v>2.8169014084507045</v>
      </c>
      <c r="AK690" s="8">
        <f>$J$11/$M$11*100</f>
        <v>0</v>
      </c>
      <c r="AL690" s="8">
        <f>SUM(AG690:AK690)</f>
        <v>100.00000000000001</v>
      </c>
      <c r="AM690" s="8">
        <f>$J$27/$M$27*100</f>
        <v>75</v>
      </c>
      <c r="AN690" s="8">
        <f>$J$28/$M$28*100</f>
        <v>12.5</v>
      </c>
      <c r="AO690" s="8">
        <f>$J$29/$M$29*100</f>
        <v>0</v>
      </c>
      <c r="AP690" s="8">
        <f>$J$30/$M$30*100</f>
        <v>12.5</v>
      </c>
      <c r="AQ690" s="8">
        <f>$J$31/$M$31*100</f>
        <v>0</v>
      </c>
      <c r="AR690" s="8">
        <f>SUM(AM690:AQ690)</f>
        <v>100</v>
      </c>
      <c r="AS690" s="8">
        <f>$J$47/$M$47*100</f>
        <v>95.360824742268051</v>
      </c>
      <c r="AT690" s="8">
        <f>$J$48/$M$48*100</f>
        <v>1.0309278350515463</v>
      </c>
      <c r="AU690" s="8">
        <f>$J$49/$M$49*100</f>
        <v>0</v>
      </c>
      <c r="AV690" s="8">
        <f>$J$50/$M$50*100</f>
        <v>3.608247422680412</v>
      </c>
      <c r="AW690" s="8">
        <f>$J$51/$M$51*100</f>
        <v>0</v>
      </c>
      <c r="AX690" s="8">
        <f>SUM(AS690:AW690)</f>
        <v>100</v>
      </c>
      <c r="AY690" s="8">
        <f>$J$67/$M$67*100</f>
        <v>80</v>
      </c>
      <c r="AZ690" s="8">
        <f>$J$68/$M$68*100</f>
        <v>0</v>
      </c>
      <c r="BA690" s="8">
        <f>$J$69/$M$69*100</f>
        <v>0</v>
      </c>
      <c r="BB690" s="8">
        <f>$J$70/$M$70*100</f>
        <v>20</v>
      </c>
      <c r="BC690" s="8">
        <f>$J$71/$M$71*100</f>
        <v>0</v>
      </c>
      <c r="BD690" s="8">
        <f>SUM(AY690:BC690)</f>
        <v>100</v>
      </c>
    </row>
    <row r="691" spans="1:61" x14ac:dyDescent="0.2">
      <c r="AF691" s="5" t="s">
        <v>58</v>
      </c>
      <c r="AG691" s="8">
        <f>$J$87/$M$87*100</f>
        <v>62</v>
      </c>
      <c r="AH691" s="8">
        <f>$J$88/$M$88*100</f>
        <v>14.000000000000002</v>
      </c>
      <c r="AI691" s="8">
        <f>$J$89/$M$89*100</f>
        <v>6</v>
      </c>
      <c r="AJ691" s="8">
        <f>$J$90/$M$90*100</f>
        <v>18</v>
      </c>
      <c r="AK691" s="8">
        <f>$J$91/$M$91*100</f>
        <v>0</v>
      </c>
      <c r="AL691" s="8">
        <f>SUM(AG691:AK691)</f>
        <v>100</v>
      </c>
      <c r="AM691" s="8">
        <f>$J$107/$M$107*100</f>
        <v>80</v>
      </c>
      <c r="AN691" s="8">
        <f>$J$108/$M$108*100</f>
        <v>20</v>
      </c>
      <c r="AO691" s="8">
        <f>$J$109/$M$109*100</f>
        <v>0</v>
      </c>
      <c r="AP691" s="8">
        <f>$J$110/$M$110*100</f>
        <v>0</v>
      </c>
      <c r="AQ691" s="8">
        <f>$J$111/$M$111*100</f>
        <v>0</v>
      </c>
      <c r="AR691" s="8">
        <f>SUM(AM691:AQ691)</f>
        <v>100</v>
      </c>
      <c r="AS691" s="8">
        <f>$J$127/$M$127*100</f>
        <v>24.324324324324326</v>
      </c>
      <c r="AT691" s="8">
        <f>$J$128/$M$128*100</f>
        <v>2.7027027027027026</v>
      </c>
      <c r="AU691" s="8">
        <f>$J$129/$M$129*100</f>
        <v>0</v>
      </c>
      <c r="AV691" s="8">
        <f>$J$130/$M$130*100</f>
        <v>72.072072072072075</v>
      </c>
      <c r="AW691" s="8">
        <f>$J$131/$M$131*100</f>
        <v>0.90090090090090091</v>
      </c>
      <c r="AX691" s="8">
        <f>SUM(AS691:AW691)</f>
        <v>100.00000000000001</v>
      </c>
      <c r="AY691" s="8">
        <f>$J$147/$M$147*100</f>
        <v>50</v>
      </c>
      <c r="AZ691" s="8">
        <f>$J$148/$M$148*100</f>
        <v>5</v>
      </c>
      <c r="BA691" s="8">
        <f>$J$149/$M$149*100</f>
        <v>5</v>
      </c>
      <c r="BB691" s="8">
        <f>$J$150/$M$150*100</f>
        <v>40</v>
      </c>
      <c r="BC691" s="8">
        <f>$J$151/$M$151*100</f>
        <v>0</v>
      </c>
      <c r="BD691" s="8">
        <f>SUM(AY691:BC691)</f>
        <v>100</v>
      </c>
    </row>
    <row r="692" spans="1:61" x14ac:dyDescent="0.2">
      <c r="AF692" s="5" t="s">
        <v>142</v>
      </c>
      <c r="AG692" s="8">
        <f>$J$487/$M$487*100</f>
        <v>37.209302325581397</v>
      </c>
      <c r="AH692" s="8">
        <f>$J$488/$M$488*100</f>
        <v>8.1395348837209305</v>
      </c>
      <c r="AI692" s="8">
        <f>$J$489/$M$489*100</f>
        <v>3.4883720930232558</v>
      </c>
      <c r="AJ692" s="8">
        <f>$J$490/$M$490*100</f>
        <v>51.162790697674424</v>
      </c>
      <c r="AK692" s="8">
        <f>$J$491/$M$491*100</f>
        <v>0</v>
      </c>
      <c r="AL692" s="8">
        <f>SUM(AG692:AK692)</f>
        <v>100.00000000000001</v>
      </c>
      <c r="AM692" s="8">
        <f>$J$507/$M$507*100</f>
        <v>0</v>
      </c>
      <c r="AN692" s="8">
        <f>$J$508/$M$508*100</f>
        <v>25</v>
      </c>
      <c r="AO692" s="8">
        <f>$J$509/$M$509*100</f>
        <v>8.3333333333333321</v>
      </c>
      <c r="AP692" s="8">
        <f>$J$510/$M$510*100</f>
        <v>66.666666666666657</v>
      </c>
      <c r="AQ692" s="8">
        <f>$J$511/$M$511*100</f>
        <v>0</v>
      </c>
      <c r="AR692" s="8">
        <f>SUM(AM692:AQ692)</f>
        <v>99.999999999999986</v>
      </c>
      <c r="AS692" s="8">
        <f>$J$527/$M$527*100</f>
        <v>50</v>
      </c>
      <c r="AT692" s="8">
        <f>$J$528/$M$528*100</f>
        <v>12.5</v>
      </c>
      <c r="AU692" s="8">
        <f>$J$529/$M$529*100</f>
        <v>6.25</v>
      </c>
      <c r="AV692" s="8">
        <f>$J$530/$M$530*100</f>
        <v>31.25</v>
      </c>
      <c r="AW692" s="8">
        <f>$J$531/$M$531*100</f>
        <v>0</v>
      </c>
      <c r="AX692" s="8">
        <f>SUM(AS692:AW692)</f>
        <v>100</v>
      </c>
      <c r="AY692" s="8">
        <f>$J$547/$M$547*100</f>
        <v>77.272727272727266</v>
      </c>
      <c r="AZ692" s="8">
        <f>$J$548/$M$548*100</f>
        <v>9.0909090909090917</v>
      </c>
      <c r="BA692" s="8">
        <f>$J$549/$M$549*100</f>
        <v>4.5454545454545459</v>
      </c>
      <c r="BB692" s="8">
        <f>$J$550/$M$550*100</f>
        <v>9.0909090909090917</v>
      </c>
      <c r="BC692" s="8">
        <f>$J$551/$M$551*100</f>
        <v>0</v>
      </c>
      <c r="BD692" s="8">
        <f>SUM(AY692:BC692)</f>
        <v>100</v>
      </c>
    </row>
    <row r="693" spans="1:61" ht="33" thickBot="1" x14ac:dyDescent="0.25">
      <c r="A693" s="2" t="s">
        <v>190</v>
      </c>
      <c r="B693" s="3" t="s">
        <v>53</v>
      </c>
      <c r="C693" s="3"/>
      <c r="D693" s="3"/>
      <c r="E693" s="3"/>
      <c r="F693" s="3"/>
      <c r="G693" s="4" t="s">
        <v>64</v>
      </c>
      <c r="H693" s="3" t="s">
        <v>54</v>
      </c>
      <c r="I693" s="3"/>
      <c r="J693" s="3"/>
      <c r="K693" s="3"/>
      <c r="L693" s="3"/>
      <c r="M693" s="4" t="s">
        <v>64</v>
      </c>
      <c r="N693" s="3" t="s">
        <v>55</v>
      </c>
      <c r="O693" s="3"/>
      <c r="P693" s="3"/>
      <c r="Q693" s="3"/>
      <c r="R693" s="3"/>
      <c r="S693" s="4" t="s">
        <v>64</v>
      </c>
      <c r="T693" s="3" t="s">
        <v>56</v>
      </c>
      <c r="U693" s="3"/>
      <c r="V693" s="3"/>
      <c r="W693" s="3"/>
      <c r="X693" s="3"/>
      <c r="Y693" s="4" t="s">
        <v>64</v>
      </c>
      <c r="AF693" s="9" t="s">
        <v>59</v>
      </c>
      <c r="AG693" s="8">
        <f>$J$167/$M$167*100</f>
        <v>35.374149659863946</v>
      </c>
      <c r="AH693" s="8">
        <f>$J$168/$M$168*100</f>
        <v>27.89115646258503</v>
      </c>
      <c r="AI693" s="8">
        <f>$J$169/$M$169*100</f>
        <v>29.931972789115648</v>
      </c>
      <c r="AJ693" s="8">
        <f>$J$170/$M$170*100</f>
        <v>6.8027210884353746</v>
      </c>
      <c r="AK693" s="8">
        <f>$J$171/$M$171*100</f>
        <v>0</v>
      </c>
      <c r="AL693" s="8">
        <f>SUM(AG693:AK693)</f>
        <v>100</v>
      </c>
      <c r="AM693" s="8">
        <f>$J$187/$M$187*100</f>
        <v>22.222222222222221</v>
      </c>
      <c r="AN693" s="8">
        <f>$J$188/$M$188*100</f>
        <v>55.555555555555557</v>
      </c>
      <c r="AO693" s="8">
        <f>$J$189/$M$189*100</f>
        <v>11.111111111111111</v>
      </c>
      <c r="AP693" s="8">
        <f>$J$190/$M$190*100</f>
        <v>11.111111111111111</v>
      </c>
      <c r="AQ693" s="8">
        <f>$J$191/$M$191*100</f>
        <v>0</v>
      </c>
      <c r="AR693" s="8">
        <f>SUM(AM693:AQ693)</f>
        <v>100</v>
      </c>
      <c r="AS693" s="8">
        <f>$J$207/$M$207*100</f>
        <v>32.467532467532465</v>
      </c>
      <c r="AT693" s="8">
        <f>$J$208/$M$208*100</f>
        <v>25.97402597402597</v>
      </c>
      <c r="AU693" s="8">
        <f>$J$209/$M$209*100</f>
        <v>15.584415584415584</v>
      </c>
      <c r="AV693" s="8">
        <f>$J$210/$M$210*100</f>
        <v>25.97402597402597</v>
      </c>
      <c r="AW693" s="8">
        <f>$J$211/$M$211*100</f>
        <v>0</v>
      </c>
      <c r="AX693" s="8">
        <f>SUM(AS693:AW693)</f>
        <v>100</v>
      </c>
      <c r="AY693" s="8">
        <f>$J$227/$M$227*100</f>
        <v>45.161290322580641</v>
      </c>
      <c r="AZ693" s="8">
        <f>$J$228/$M$228*100</f>
        <v>35.483870967741936</v>
      </c>
      <c r="BA693" s="8">
        <f>$J$229/$M$229*100</f>
        <v>19.35483870967742</v>
      </c>
      <c r="BB693" s="8">
        <f>$J$230/$M$230*100</f>
        <v>0</v>
      </c>
      <c r="BC693" s="8">
        <f>$J$231/$M$231*100</f>
        <v>0</v>
      </c>
      <c r="BD693" s="8">
        <f>SUM(AY693:BC693)</f>
        <v>100</v>
      </c>
    </row>
    <row r="694" spans="1:61" x14ac:dyDescent="0.2">
      <c r="A694" s="3"/>
      <c r="B694" s="4" t="s">
        <v>20</v>
      </c>
      <c r="C694" s="4" t="s">
        <v>21</v>
      </c>
      <c r="D694" s="4" t="s">
        <v>60</v>
      </c>
      <c r="E694" s="4" t="s">
        <v>61</v>
      </c>
      <c r="F694" s="4" t="s">
        <v>62</v>
      </c>
      <c r="G694" s="4"/>
      <c r="H694" s="4" t="s">
        <v>20</v>
      </c>
      <c r="I694" s="4" t="s">
        <v>21</v>
      </c>
      <c r="J694" s="4" t="s">
        <v>60</v>
      </c>
      <c r="K694" s="4" t="s">
        <v>61</v>
      </c>
      <c r="L694" s="4" t="s">
        <v>62</v>
      </c>
      <c r="M694" s="4"/>
      <c r="N694" s="4" t="s">
        <v>20</v>
      </c>
      <c r="O694" s="4" t="s">
        <v>21</v>
      </c>
      <c r="P694" s="4" t="s">
        <v>60</v>
      </c>
      <c r="Q694" s="4" t="s">
        <v>61</v>
      </c>
      <c r="R694" s="4" t="s">
        <v>62</v>
      </c>
      <c r="S694" s="4"/>
      <c r="T694" s="4" t="s">
        <v>20</v>
      </c>
      <c r="U694" s="4" t="s">
        <v>21</v>
      </c>
      <c r="V694" s="4" t="s">
        <v>60</v>
      </c>
      <c r="W694" s="4" t="s">
        <v>61</v>
      </c>
      <c r="X694" s="4" t="s">
        <v>62</v>
      </c>
      <c r="Y694" s="4"/>
      <c r="AF694" s="10" t="s">
        <v>50</v>
      </c>
      <c r="AG694" s="12">
        <f>AVERAGE(AG690:AG693)</f>
        <v>55.828961587910634</v>
      </c>
      <c r="AH694" s="12">
        <f>AVERAGE(AH690:AH693)</f>
        <v>14.268236216858181</v>
      </c>
      <c r="AI694" s="11">
        <f>AVERAGE(AI690:AI693)</f>
        <v>10.207198896591063</v>
      </c>
      <c r="AJ694" s="11">
        <f>AVERAGE(AJ690:AJ693)</f>
        <v>19.695603298640126</v>
      </c>
      <c r="AK694" s="11">
        <f>AVERAGE(AK690:AK693)</f>
        <v>0</v>
      </c>
      <c r="AL694" s="12"/>
      <c r="AM694" s="11">
        <f>AVERAGE(AM690:AM693)</f>
        <v>44.305555555555557</v>
      </c>
      <c r="AN694" s="13">
        <f>AVERAGE(AN690:AN693)</f>
        <v>28.263888888888889</v>
      </c>
      <c r="AO694" s="14">
        <f>AVERAGE(AO690:AO693)</f>
        <v>4.8611111111111107</v>
      </c>
      <c r="AP694" s="14">
        <f>AVERAGE(AP690:AP693)</f>
        <v>22.569444444444443</v>
      </c>
      <c r="AQ694" s="14">
        <f>AVERAGE(AQ690:AQ693)</f>
        <v>0</v>
      </c>
      <c r="AR694" s="12"/>
      <c r="AS694" s="14">
        <f>AVERAGE(AS690:AS693)</f>
        <v>50.538170383531209</v>
      </c>
      <c r="AT694" s="12">
        <f>AVERAGE(AT690:AT693)</f>
        <v>10.551914127945054</v>
      </c>
      <c r="AU694" s="11">
        <f>AVERAGE(AU690:AU693)</f>
        <v>5.4586038961038961</v>
      </c>
      <c r="AV694" s="11">
        <f>AVERAGE(AV690:AV693)</f>
        <v>33.226086367194611</v>
      </c>
      <c r="AW694" s="11">
        <f>AVERAGE(AW690:AW693)</f>
        <v>0.22522522522522523</v>
      </c>
      <c r="AX694" s="15"/>
      <c r="AY694" s="14">
        <f>AVERAGE(AY690:AY693)</f>
        <v>63.108504398826973</v>
      </c>
      <c r="AZ694" s="12">
        <f>AVERAGE(AZ690:AZ693)</f>
        <v>12.393695014662757</v>
      </c>
      <c r="BA694" s="11">
        <f>AVERAGE(BA690:BA693)</f>
        <v>7.2250733137829917</v>
      </c>
      <c r="BB694" s="11">
        <f>AVERAGE(BB690:BB693)</f>
        <v>17.272727272727273</v>
      </c>
      <c r="BC694" s="11">
        <f>AVERAGE(BC690:BC693)</f>
        <v>0</v>
      </c>
      <c r="BD694" s="15"/>
      <c r="BE694" s="8">
        <f>AVERAGE(AG694,AM694,AS694,AY694)</f>
        <v>53.445297981456086</v>
      </c>
      <c r="BF694" s="8">
        <f>AVERAGE(AH694,AN694,AT694,AZ694)</f>
        <v>16.369433562088719</v>
      </c>
      <c r="BG694" s="8">
        <f>AVERAGE(AI694,AO694,AU694,BA694)</f>
        <v>6.9379968043972653</v>
      </c>
      <c r="BH694" s="8">
        <f>AVERAGE(AJ694,AP694,AV694,BB694)</f>
        <v>23.190965345751614</v>
      </c>
      <c r="BI694" s="8">
        <f>AVERAGE(AK694,AQ694,AW694,BC694)</f>
        <v>5.6306306306306307E-2</v>
      </c>
    </row>
    <row r="695" spans="1:61" x14ac:dyDescent="0.2">
      <c r="A695" s="5" t="s">
        <v>57</v>
      </c>
      <c r="B695" s="8">
        <f>$J$12/$M$12*100</f>
        <v>93.442622950819683</v>
      </c>
      <c r="C695" s="8">
        <f>$J$13/$M$13*100</f>
        <v>6.557377049180328</v>
      </c>
      <c r="D695" s="8">
        <f>$J$14/$M$14*100</f>
        <v>0</v>
      </c>
      <c r="E695" s="8">
        <f>$J$15/$M$15*100</f>
        <v>0</v>
      </c>
      <c r="F695" s="8">
        <f>$J$16/$M$16*100</f>
        <v>0</v>
      </c>
      <c r="G695" s="8">
        <f>SUM(B695:F695)</f>
        <v>100.00000000000001</v>
      </c>
      <c r="H695" s="8">
        <f>$J$32/$M$32*100</f>
        <v>100</v>
      </c>
      <c r="I695" s="8">
        <f>$J$33/$M$33*100</f>
        <v>0</v>
      </c>
      <c r="J695" s="8">
        <f>$J$34/$M$34*100</f>
        <v>0</v>
      </c>
      <c r="K695" s="8">
        <f>$J$35/$M$35*100</f>
        <v>0</v>
      </c>
      <c r="L695" s="8">
        <f>$J$36/$M$36*100</f>
        <v>0</v>
      </c>
      <c r="M695" s="8">
        <f>SUM(H695:L695)</f>
        <v>100</v>
      </c>
      <c r="N695" s="8">
        <f>$J$52/$M$52*100</f>
        <v>92.972972972972983</v>
      </c>
      <c r="O695" s="8">
        <f>$J$53/$M$53*100</f>
        <v>2.1621621621621623</v>
      </c>
      <c r="P695" s="8">
        <f>$J$54/$M$54*100</f>
        <v>0</v>
      </c>
      <c r="Q695" s="8">
        <f>$J$55/$M$55*100</f>
        <v>4.8648648648648649</v>
      </c>
      <c r="R695" s="8">
        <f>$J$56/$M$56*100</f>
        <v>0</v>
      </c>
      <c r="S695" s="8">
        <f>SUM(N695:R695)</f>
        <v>100.00000000000001</v>
      </c>
      <c r="T695" s="8">
        <f>$J$72/$M$72*100</f>
        <v>88.888888888888886</v>
      </c>
      <c r="U695" s="8">
        <f>$J$73/$M$73*100</f>
        <v>0</v>
      </c>
      <c r="V695" s="8">
        <f>$J$74/$M$74*100</f>
        <v>0</v>
      </c>
      <c r="W695" s="8">
        <f>$J$75/$M$75*100</f>
        <v>11.111111111111111</v>
      </c>
      <c r="X695" s="8">
        <f>$J$76/$M$76*100</f>
        <v>0</v>
      </c>
      <c r="Y695" s="8">
        <f>SUM(T695:X695)</f>
        <v>100</v>
      </c>
    </row>
    <row r="696" spans="1:61" x14ac:dyDescent="0.2">
      <c r="A696" s="5" t="s">
        <v>58</v>
      </c>
      <c r="B696" s="8">
        <f>$J$92/$M$92*100</f>
        <v>58.139534883720934</v>
      </c>
      <c r="C696" s="8">
        <f>$J$93/$M$93*100</f>
        <v>13.953488372093023</v>
      </c>
      <c r="D696" s="8">
        <f>$J$94/$M$94*100</f>
        <v>6.9767441860465116</v>
      </c>
      <c r="E696" s="8">
        <f>$J$95/$M$95*100</f>
        <v>20.930232558139537</v>
      </c>
      <c r="F696" s="8">
        <f>$J$96/$M$96*100</f>
        <v>0</v>
      </c>
      <c r="G696" s="8">
        <f>SUM(B696:F696)</f>
        <v>100.00000000000001</v>
      </c>
      <c r="H696" s="8">
        <f>$J$112/$M$112*100</f>
        <v>90.909090909090907</v>
      </c>
      <c r="I696" s="8">
        <f>$J$113/$M$113*100</f>
        <v>0</v>
      </c>
      <c r="J696" s="8">
        <f>$J$114/$M$114*100</f>
        <v>0</v>
      </c>
      <c r="K696" s="8">
        <f>$J$115/$M$115*100</f>
        <v>9.0909090909090917</v>
      </c>
      <c r="L696" s="8">
        <f>$J$116/$M$116*100</f>
        <v>0</v>
      </c>
      <c r="M696" s="8">
        <f t="shared" ref="M696:M697" si="10">SUM(H696:L696)</f>
        <v>100</v>
      </c>
      <c r="N696" s="8">
        <f>$J$132/$M$132*100</f>
        <v>24.786324786324787</v>
      </c>
      <c r="O696" s="8">
        <f>$J$133/$M$133*100</f>
        <v>3.4188034188034191</v>
      </c>
      <c r="P696" s="8">
        <f>$J$134/$M$134*100</f>
        <v>0</v>
      </c>
      <c r="Q696" s="8">
        <f>$J$135/$M$135*100</f>
        <v>71.794871794871796</v>
      </c>
      <c r="R696" s="8">
        <f>$J$136/$M$136*100</f>
        <v>0</v>
      </c>
      <c r="S696" s="8">
        <f>SUM(N696:R696)</f>
        <v>100</v>
      </c>
      <c r="T696" s="8">
        <f>$J$152/$M$152*100</f>
        <v>57.142857142857139</v>
      </c>
      <c r="U696" s="8">
        <f>$J$153/$M$153*100</f>
        <v>21.428571428571427</v>
      </c>
      <c r="V696" s="8">
        <f>$J$154/$M$154*100</f>
        <v>7.1428571428571423</v>
      </c>
      <c r="W696" s="8">
        <f>$J$155/$M$155*100</f>
        <v>14.285714285714285</v>
      </c>
      <c r="X696" s="8">
        <f>$J$156/$M$156*100</f>
        <v>0</v>
      </c>
      <c r="Y696" s="8">
        <f>SUM(T696:X696)</f>
        <v>100</v>
      </c>
    </row>
    <row r="697" spans="1:61" ht="33" thickBot="1" x14ac:dyDescent="0.25">
      <c r="A697" s="9" t="s">
        <v>59</v>
      </c>
      <c r="B697" s="8">
        <f>$J$172/$M$172*100</f>
        <v>41.17647058823529</v>
      </c>
      <c r="C697" s="8">
        <f>$J$173/$M$173*100</f>
        <v>22.794117647058822</v>
      </c>
      <c r="D697" s="8">
        <f>$J$174/$M$174*100</f>
        <v>25.735294117647058</v>
      </c>
      <c r="E697" s="8">
        <f>$J$175/$M$175*100</f>
        <v>10.294117647058822</v>
      </c>
      <c r="F697" s="8">
        <f>$J$176/$M$176*100</f>
        <v>0</v>
      </c>
      <c r="G697" s="8">
        <f>SUM(B697:F697)</f>
        <v>100</v>
      </c>
      <c r="H697" s="8">
        <f>$J$192/$M$192*100</f>
        <v>14.285714285714285</v>
      </c>
      <c r="I697" s="8">
        <f>$J$193/$M$193*100</f>
        <v>64.285714285714292</v>
      </c>
      <c r="J697" s="8">
        <f>$J$194/$M$194*100</f>
        <v>7.1428571428571423</v>
      </c>
      <c r="K697" s="8">
        <f>$J$195/$M$195*100</f>
        <v>14.285714285714285</v>
      </c>
      <c r="L697" s="8">
        <f>$J$196/$M$196*100</f>
        <v>0</v>
      </c>
      <c r="M697" s="8">
        <f t="shared" si="10"/>
        <v>100</v>
      </c>
      <c r="N697" s="8">
        <f>$J$212/$M$212*100</f>
        <v>41.463414634146339</v>
      </c>
      <c r="O697" s="8">
        <f>$J$213/$M$213*100</f>
        <v>21.951219512195124</v>
      </c>
      <c r="P697" s="8">
        <f>$J$214/$M$214*100</f>
        <v>18.292682926829269</v>
      </c>
      <c r="Q697" s="8">
        <f>$J$215/$M$215*100</f>
        <v>18.292682926829269</v>
      </c>
      <c r="R697" s="8">
        <f>$J$216/$M$216*100</f>
        <v>0</v>
      </c>
      <c r="S697" s="8">
        <f>SUM(N697:R697)</f>
        <v>100</v>
      </c>
      <c r="T697" s="8">
        <f>$J$232/$M$232*100</f>
        <v>40</v>
      </c>
      <c r="U697" s="8">
        <f>$J$233/$M$233*100</f>
        <v>36</v>
      </c>
      <c r="V697" s="8">
        <f>$J$234/$M$234*100</f>
        <v>16</v>
      </c>
      <c r="W697" s="8">
        <f>$J$235/$M$235*100</f>
        <v>8</v>
      </c>
      <c r="X697" s="8">
        <f>$J$236/$M$236*100</f>
        <v>0</v>
      </c>
      <c r="Y697" s="8">
        <f>SUM(T697:X697)</f>
        <v>100</v>
      </c>
      <c r="AF697" s="2" t="s">
        <v>190</v>
      </c>
      <c r="AG697" s="3" t="s">
        <v>53</v>
      </c>
      <c r="AH697" s="3"/>
      <c r="AI697" s="3"/>
      <c r="AJ697" s="3"/>
      <c r="AK697" s="3"/>
      <c r="AL697" s="4" t="s">
        <v>64</v>
      </c>
      <c r="AM697" s="3" t="s">
        <v>54</v>
      </c>
      <c r="AN697" s="3"/>
      <c r="AO697" s="3"/>
      <c r="AP697" s="3"/>
      <c r="AQ697" s="3"/>
      <c r="AR697" s="4" t="s">
        <v>64</v>
      </c>
      <c r="AS697" s="3" t="s">
        <v>55</v>
      </c>
      <c r="AT697" s="3"/>
      <c r="AU697" s="3"/>
      <c r="AV697" s="3"/>
      <c r="AW697" s="3"/>
      <c r="AX697" s="4" t="s">
        <v>64</v>
      </c>
      <c r="AY697" s="3" t="s">
        <v>56</v>
      </c>
      <c r="AZ697" s="3"/>
      <c r="BA697" s="3"/>
      <c r="BB697" s="3"/>
      <c r="BC697" s="3"/>
      <c r="BD697" s="4" t="s">
        <v>64</v>
      </c>
    </row>
    <row r="698" spans="1:61" x14ac:dyDescent="0.2">
      <c r="A698" s="10" t="s">
        <v>50</v>
      </c>
      <c r="B698" s="12">
        <f>AVERAGE(B695:B697)</f>
        <v>64.252876140925309</v>
      </c>
      <c r="C698" s="12">
        <f>AVERAGE(C695:C697)</f>
        <v>14.434994356110726</v>
      </c>
      <c r="D698" s="11">
        <f>AVERAGE(D695:D697)</f>
        <v>10.904012767897855</v>
      </c>
      <c r="E698" s="11">
        <f>AVERAGE(E695:E697)</f>
        <v>10.40811673506612</v>
      </c>
      <c r="F698" s="11">
        <f>AVERAGE(F695:F697)</f>
        <v>0</v>
      </c>
      <c r="G698" s="12"/>
      <c r="H698" s="11">
        <f>AVERAGE(H695:H697)</f>
        <v>68.398268398268399</v>
      </c>
      <c r="I698" s="13">
        <f>AVERAGE(I695:I697)</f>
        <v>21.428571428571431</v>
      </c>
      <c r="J698" s="14">
        <f>AVERAGE(J695:J697)</f>
        <v>2.3809523809523809</v>
      </c>
      <c r="K698" s="14">
        <f>AVERAGE(K695:K697)</f>
        <v>7.792207792207793</v>
      </c>
      <c r="L698" s="14">
        <f>AVERAGE(L695:L697)</f>
        <v>0</v>
      </c>
      <c r="M698" s="12"/>
      <c r="N698" s="14">
        <f>AVERAGE(N695:N697)</f>
        <v>53.074237464481371</v>
      </c>
      <c r="O698" s="12">
        <f>AVERAGE(O695:O697)</f>
        <v>9.1773950310535692</v>
      </c>
      <c r="P698" s="11">
        <f>AVERAGE(P695:P697)</f>
        <v>6.0975609756097562</v>
      </c>
      <c r="Q698" s="11">
        <f>AVERAGE(Q695:Q697)</f>
        <v>31.650806528855313</v>
      </c>
      <c r="R698" s="11">
        <f>AVERAGE(R695:R697)</f>
        <v>0</v>
      </c>
      <c r="S698" s="15"/>
      <c r="T698" s="14">
        <f>AVERAGE(T695:T697)</f>
        <v>62.010582010582006</v>
      </c>
      <c r="U698" s="12">
        <f>AVERAGE(U695:U697)</f>
        <v>19.142857142857142</v>
      </c>
      <c r="V698" s="11">
        <f>AVERAGE(V695:V697)</f>
        <v>7.7142857142857144</v>
      </c>
      <c r="W698" s="11">
        <f>AVERAGE(W695:W697)</f>
        <v>11.132275132275131</v>
      </c>
      <c r="X698" s="11">
        <f>AVERAGE(X695:X697)</f>
        <v>0</v>
      </c>
      <c r="Y698" s="15"/>
      <c r="Z698" s="8">
        <f>AVERAGE(B698,H698,N698,T698)</f>
        <v>61.933991003564266</v>
      </c>
      <c r="AA698" s="8">
        <f>AVERAGE(C698,I698,O698,U698)</f>
        <v>16.045954489648217</v>
      </c>
      <c r="AB698" s="8">
        <f>AVERAGE(D698,J698,P698,V698)</f>
        <v>6.7742029596864271</v>
      </c>
      <c r="AC698" s="8">
        <f>AVERAGE(E698,K698,Q698,W698)</f>
        <v>15.24585154710109</v>
      </c>
      <c r="AD698" s="8">
        <f>AVERAGE(F698,L698,R698,X698)</f>
        <v>0</v>
      </c>
      <c r="AF698" s="3"/>
      <c r="AG698" s="4" t="s">
        <v>20</v>
      </c>
      <c r="AH698" s="4" t="s">
        <v>21</v>
      </c>
      <c r="AI698" s="4" t="s">
        <v>60</v>
      </c>
      <c r="AJ698" s="4" t="s">
        <v>61</v>
      </c>
      <c r="AK698" s="4" t="s">
        <v>62</v>
      </c>
      <c r="AL698" s="4"/>
      <c r="AM698" s="4" t="s">
        <v>20</v>
      </c>
      <c r="AN698" s="4" t="s">
        <v>21</v>
      </c>
      <c r="AO698" s="4" t="s">
        <v>60</v>
      </c>
      <c r="AP698" s="4" t="s">
        <v>61</v>
      </c>
      <c r="AQ698" s="4" t="s">
        <v>62</v>
      </c>
      <c r="AR698" s="4"/>
      <c r="AS698" s="4" t="s">
        <v>20</v>
      </c>
      <c r="AT698" s="4" t="s">
        <v>21</v>
      </c>
      <c r="AU698" s="4" t="s">
        <v>60</v>
      </c>
      <c r="AV698" s="4" t="s">
        <v>61</v>
      </c>
      <c r="AW698" s="4" t="s">
        <v>62</v>
      </c>
      <c r="AX698" s="4"/>
      <c r="AY698" s="4" t="s">
        <v>20</v>
      </c>
      <c r="AZ698" s="4" t="s">
        <v>21</v>
      </c>
      <c r="BA698" s="4" t="s">
        <v>60</v>
      </c>
      <c r="BB698" s="4" t="s">
        <v>61</v>
      </c>
      <c r="BC698" s="4" t="s">
        <v>62</v>
      </c>
      <c r="BD698" s="4"/>
    </row>
    <row r="699" spans="1:61" x14ac:dyDescent="0.2">
      <c r="AF699" s="5" t="s">
        <v>57</v>
      </c>
      <c r="AG699" s="8">
        <f>$J$12/$M$12*100</f>
        <v>93.442622950819683</v>
      </c>
      <c r="AH699" s="8">
        <f>$J$13/$M$13*100</f>
        <v>6.557377049180328</v>
      </c>
      <c r="AI699" s="8">
        <f>$J$14/$M$14*100</f>
        <v>0</v>
      </c>
      <c r="AJ699" s="8">
        <f>$J$15/$M$15*100</f>
        <v>0</v>
      </c>
      <c r="AK699" s="8">
        <f>$J$16/$M$16*100</f>
        <v>0</v>
      </c>
      <c r="AL699" s="8">
        <f>SUM(AG699:AK699)</f>
        <v>100.00000000000001</v>
      </c>
      <c r="AM699" s="8">
        <f>$J$32/$M$32*100</f>
        <v>100</v>
      </c>
      <c r="AN699" s="8">
        <f>$J$33/$M$33*100</f>
        <v>0</v>
      </c>
      <c r="AO699" s="8">
        <f>$J$34/$M$34*100</f>
        <v>0</v>
      </c>
      <c r="AP699" s="8">
        <f>$J$35/$M$35*100</f>
        <v>0</v>
      </c>
      <c r="AQ699" s="8">
        <f>$J$36/$M$36*100</f>
        <v>0</v>
      </c>
      <c r="AR699" s="8">
        <f>SUM(AM699:AQ699)</f>
        <v>100</v>
      </c>
      <c r="AS699" s="8">
        <f>$J$52/$M$52*100</f>
        <v>92.972972972972983</v>
      </c>
      <c r="AT699" s="8">
        <f>$J$53/$M$53*100</f>
        <v>2.1621621621621623</v>
      </c>
      <c r="AU699" s="8">
        <f>$J$54/$M$54*100</f>
        <v>0</v>
      </c>
      <c r="AV699" s="8">
        <f>$J$55/$M$55*100</f>
        <v>4.8648648648648649</v>
      </c>
      <c r="AW699" s="8">
        <f>$J$56/$M$56*100</f>
        <v>0</v>
      </c>
      <c r="AX699" s="8">
        <f>SUM(AS699:AW699)</f>
        <v>100.00000000000001</v>
      </c>
      <c r="AY699" s="8">
        <f>$J$72/$M$72*100</f>
        <v>88.888888888888886</v>
      </c>
      <c r="AZ699" s="8">
        <f>$J$73/$M$73*100</f>
        <v>0</v>
      </c>
      <c r="BA699" s="8">
        <f>$J$74/$M$74*100</f>
        <v>0</v>
      </c>
      <c r="BB699" s="8">
        <f>$J$75/$M$75*100</f>
        <v>11.111111111111111</v>
      </c>
      <c r="BC699" s="8">
        <f>$J$76/$M$76*100</f>
        <v>0</v>
      </c>
      <c r="BD699" s="8">
        <f>SUM(AY699:BC699)</f>
        <v>100</v>
      </c>
    </row>
    <row r="700" spans="1:61" x14ac:dyDescent="0.2">
      <c r="AF700" s="5" t="s">
        <v>58</v>
      </c>
      <c r="AG700" s="8">
        <f>$J$92/$M$92*100</f>
        <v>58.139534883720934</v>
      </c>
      <c r="AH700" s="8">
        <f>$J$93/$M$93*100</f>
        <v>13.953488372093023</v>
      </c>
      <c r="AI700" s="8">
        <f>$J$94/$M$94*100</f>
        <v>6.9767441860465116</v>
      </c>
      <c r="AJ700" s="8">
        <f>$J$95/$M$95*100</f>
        <v>20.930232558139537</v>
      </c>
      <c r="AK700" s="8">
        <f>$J$96/$M$96*100</f>
        <v>0</v>
      </c>
      <c r="AL700" s="8">
        <f>SUM(AG700:AK700)</f>
        <v>100.00000000000001</v>
      </c>
      <c r="AM700" s="8">
        <f>$J$112/$M$112*100</f>
        <v>90.909090909090907</v>
      </c>
      <c r="AN700" s="8">
        <f>$J$113/$M$113*100</f>
        <v>0</v>
      </c>
      <c r="AO700" s="8">
        <f>$J$114/$M$114*100</f>
        <v>0</v>
      </c>
      <c r="AP700" s="8">
        <f>$J$115/$M$115*100</f>
        <v>9.0909090909090917</v>
      </c>
      <c r="AQ700" s="8">
        <f>$J$116/$M$116*100</f>
        <v>0</v>
      </c>
      <c r="AR700" s="8">
        <f t="shared" ref="AR700" si="11">SUM(AM700:AQ700)</f>
        <v>100</v>
      </c>
      <c r="AS700" s="8">
        <f>$J$132/$M$132*100</f>
        <v>24.786324786324787</v>
      </c>
      <c r="AT700" s="8">
        <f>$J$133/$M$133*100</f>
        <v>3.4188034188034191</v>
      </c>
      <c r="AU700" s="8">
        <f>$J$134/$M$134*100</f>
        <v>0</v>
      </c>
      <c r="AV700" s="8">
        <f>$J$135/$M$135*100</f>
        <v>71.794871794871796</v>
      </c>
      <c r="AW700" s="8">
        <f>$J$136/$M$136*100</f>
        <v>0</v>
      </c>
      <c r="AX700" s="8">
        <f>SUM(AS700:AW700)</f>
        <v>100</v>
      </c>
      <c r="AY700" s="8">
        <f>$J$152/$M$152*100</f>
        <v>57.142857142857139</v>
      </c>
      <c r="AZ700" s="8">
        <f>$J$153/$M$153*100</f>
        <v>21.428571428571427</v>
      </c>
      <c r="BA700" s="8">
        <f>$J$154/$M$154*100</f>
        <v>7.1428571428571423</v>
      </c>
      <c r="BB700" s="8">
        <f>$J$155/$M$155*100</f>
        <v>14.285714285714285</v>
      </c>
      <c r="BC700" s="8">
        <f>$J$156/$M$156*100</f>
        <v>0</v>
      </c>
      <c r="BD700" s="8">
        <f>SUM(AY700:BC700)</f>
        <v>100</v>
      </c>
    </row>
    <row r="701" spans="1:61" ht="32" x14ac:dyDescent="0.2">
      <c r="A701" s="2" t="s">
        <v>191</v>
      </c>
      <c r="B701" s="3" t="s">
        <v>53</v>
      </c>
      <c r="C701" s="3"/>
      <c r="D701" s="3"/>
      <c r="E701" s="3"/>
      <c r="F701" s="3"/>
      <c r="G701" s="4" t="s">
        <v>64</v>
      </c>
      <c r="H701" s="3" t="s">
        <v>54</v>
      </c>
      <c r="I701" s="3"/>
      <c r="J701" s="3"/>
      <c r="K701" s="3"/>
      <c r="L701" s="3"/>
      <c r="M701" s="4" t="s">
        <v>64</v>
      </c>
      <c r="N701" s="3" t="s">
        <v>55</v>
      </c>
      <c r="O701" s="3"/>
      <c r="P701" s="3"/>
      <c r="Q701" s="3"/>
      <c r="R701" s="3"/>
      <c r="S701" s="4" t="s">
        <v>64</v>
      </c>
      <c r="T701" s="3" t="s">
        <v>56</v>
      </c>
      <c r="U701" s="3"/>
      <c r="V701" s="3"/>
      <c r="W701" s="3"/>
      <c r="X701" s="3"/>
      <c r="Y701" s="4" t="s">
        <v>64</v>
      </c>
      <c r="AF701" s="5" t="s">
        <v>142</v>
      </c>
      <c r="AG701" s="8">
        <f>$J$492/$M$492*100</f>
        <v>33.846153846153847</v>
      </c>
      <c r="AH701" s="8">
        <f>$J$493/$M$493*100</f>
        <v>9.2307692307692317</v>
      </c>
      <c r="AI701" s="8">
        <f>$J$494/$M$494*100</f>
        <v>6.1538461538461542</v>
      </c>
      <c r="AJ701" s="8">
        <f>$J$495/$M$495*100</f>
        <v>50.769230769230766</v>
      </c>
      <c r="AK701" s="8">
        <f>$J$496/$M$496*100</f>
        <v>0</v>
      </c>
      <c r="AL701" s="8">
        <f>SUM(AG701:AK701)</f>
        <v>100</v>
      </c>
      <c r="AM701" s="8">
        <f>$J$512/$M$512*100</f>
        <v>0</v>
      </c>
      <c r="AN701" s="8">
        <f>$J$513/$M$513*100</f>
        <v>14.285714285714285</v>
      </c>
      <c r="AO701" s="8">
        <f>$J$514/$M$514*100</f>
        <v>42.857142857142854</v>
      </c>
      <c r="AP701" s="8">
        <f>$J$515/$M$515*100</f>
        <v>42.857142857142854</v>
      </c>
      <c r="AQ701" s="8">
        <f>$J$516/$M$516*150</f>
        <v>0</v>
      </c>
      <c r="AR701" s="8">
        <f>SUM(AM701:AQ701)</f>
        <v>100</v>
      </c>
      <c r="AS701" s="8">
        <f>$J$532/$M$532*100</f>
        <v>38.461538461538467</v>
      </c>
      <c r="AT701" s="8">
        <f>$J$533/$M$533*100</f>
        <v>7.6923076923076925</v>
      </c>
      <c r="AU701" s="8">
        <f>$J$534/$M$534*100</f>
        <v>23.076923076923077</v>
      </c>
      <c r="AV701" s="8">
        <f>$J$535/$M$535*100</f>
        <v>30.76923076923077</v>
      </c>
      <c r="AW701" s="8">
        <f>$J$536/$M$536*100</f>
        <v>0</v>
      </c>
      <c r="AX701" s="8">
        <f>SUM(AS701:AW701)</f>
        <v>100.00000000000001</v>
      </c>
      <c r="AY701" s="8">
        <f>$J$552/$M$552*100</f>
        <v>85.714285714285708</v>
      </c>
      <c r="AZ701" s="8">
        <f>$J$553/$M$553*100</f>
        <v>9.5238095238095237</v>
      </c>
      <c r="BA701" s="8">
        <f>$J$554/$M$554*100</f>
        <v>4.7619047619047619</v>
      </c>
      <c r="BB701" s="8">
        <f>$J$555/$M$555*100</f>
        <v>0</v>
      </c>
      <c r="BC701" s="8">
        <f>$J$556/$M$556*100</f>
        <v>0</v>
      </c>
      <c r="BD701" s="8">
        <f>SUM(AY701:BC701)</f>
        <v>99.999999999999986</v>
      </c>
    </row>
    <row r="702" spans="1:61" ht="16" thickBot="1" x14ac:dyDescent="0.25">
      <c r="A702" s="3"/>
      <c r="B702" s="4" t="s">
        <v>20</v>
      </c>
      <c r="C702" s="4" t="s">
        <v>21</v>
      </c>
      <c r="D702" s="4" t="s">
        <v>60</v>
      </c>
      <c r="E702" s="4" t="s">
        <v>61</v>
      </c>
      <c r="F702" s="4" t="s">
        <v>62</v>
      </c>
      <c r="G702" s="4"/>
      <c r="H702" s="4" t="s">
        <v>20</v>
      </c>
      <c r="I702" s="4" t="s">
        <v>21</v>
      </c>
      <c r="J702" s="4" t="s">
        <v>60</v>
      </c>
      <c r="K702" s="4" t="s">
        <v>61</v>
      </c>
      <c r="L702" s="4" t="s">
        <v>62</v>
      </c>
      <c r="M702" s="4"/>
      <c r="N702" s="4" t="s">
        <v>20</v>
      </c>
      <c r="O702" s="4" t="s">
        <v>21</v>
      </c>
      <c r="P702" s="4" t="s">
        <v>60</v>
      </c>
      <c r="Q702" s="4" t="s">
        <v>61</v>
      </c>
      <c r="R702" s="4" t="s">
        <v>62</v>
      </c>
      <c r="S702" s="4"/>
      <c r="T702" s="4" t="s">
        <v>20</v>
      </c>
      <c r="U702" s="4" t="s">
        <v>21</v>
      </c>
      <c r="V702" s="4" t="s">
        <v>60</v>
      </c>
      <c r="W702" s="4" t="s">
        <v>61</v>
      </c>
      <c r="X702" s="4" t="s">
        <v>62</v>
      </c>
      <c r="Y702" s="4"/>
      <c r="AF702" s="9" t="s">
        <v>59</v>
      </c>
      <c r="AG702" s="8">
        <f>$J$172/$M$172*100</f>
        <v>41.17647058823529</v>
      </c>
      <c r="AH702" s="8">
        <f>$J$173/$M$173*100</f>
        <v>22.794117647058822</v>
      </c>
      <c r="AI702" s="8">
        <f>$J$174/$M$174*100</f>
        <v>25.735294117647058</v>
      </c>
      <c r="AJ702" s="8">
        <f>$J$175/$M$175*100</f>
        <v>10.294117647058822</v>
      </c>
      <c r="AK702" s="8">
        <f>$J$176/$M$176*100</f>
        <v>0</v>
      </c>
      <c r="AL702" s="8">
        <f>SUM(AG702:AK702)</f>
        <v>100</v>
      </c>
      <c r="AM702" s="8">
        <f>$J$192/$M$192*100</f>
        <v>14.285714285714285</v>
      </c>
      <c r="AN702" s="8">
        <f>$J$193/$M$193*100</f>
        <v>64.285714285714292</v>
      </c>
      <c r="AO702" s="8">
        <f>$J$194/$M$194*100</f>
        <v>7.1428571428571423</v>
      </c>
      <c r="AP702" s="8">
        <f>$J$195/$M$195*100</f>
        <v>14.285714285714285</v>
      </c>
      <c r="AQ702" s="8">
        <f>$J$196/$M$196*100</f>
        <v>0</v>
      </c>
      <c r="AR702" s="8">
        <f>SUM(AM702:AQ702)</f>
        <v>100</v>
      </c>
      <c r="AS702" s="8">
        <f>$J$212/$M$212*100</f>
        <v>41.463414634146339</v>
      </c>
      <c r="AT702" s="8">
        <f>$J$213/$M$213*100</f>
        <v>21.951219512195124</v>
      </c>
      <c r="AU702" s="8">
        <f>$J$214/$M$214*100</f>
        <v>18.292682926829269</v>
      </c>
      <c r="AV702" s="8">
        <f>$J$215/$M$215*100</f>
        <v>18.292682926829269</v>
      </c>
      <c r="AW702" s="8">
        <f>$J$216/$M$216*100</f>
        <v>0</v>
      </c>
      <c r="AX702" s="8">
        <f>SUM(AS702:AW702)</f>
        <v>100</v>
      </c>
      <c r="AY702" s="8">
        <f>$J$232/$M$232*100</f>
        <v>40</v>
      </c>
      <c r="AZ702" s="8">
        <f>$J$233/$M$233*100</f>
        <v>36</v>
      </c>
      <c r="BA702" s="8">
        <f>$J$234/$M$234*100</f>
        <v>16</v>
      </c>
      <c r="BB702" s="8">
        <f>$J$235/$M$235*100</f>
        <v>8</v>
      </c>
      <c r="BC702" s="8">
        <f>$J$236/$M$236*100</f>
        <v>0</v>
      </c>
      <c r="BD702" s="8">
        <f>SUM(AY702:BC702)</f>
        <v>100</v>
      </c>
    </row>
    <row r="703" spans="1:61" x14ac:dyDescent="0.2">
      <c r="A703" s="5" t="s">
        <v>57</v>
      </c>
      <c r="B703" s="8">
        <f>$J$17/$M$17*100</f>
        <v>87.142857142857139</v>
      </c>
      <c r="C703" s="8">
        <f>$J$18/$M$18*100</f>
        <v>4.2857142857142856</v>
      </c>
      <c r="D703" s="8">
        <f>$J$19/$M$19*100</f>
        <v>1.4285714285714286</v>
      </c>
      <c r="E703" s="8">
        <f>$J$20/$M$20*100</f>
        <v>7.1428571428571423</v>
      </c>
      <c r="F703" s="8">
        <f>$J$21/$M$21*100</f>
        <v>0</v>
      </c>
      <c r="G703" s="8">
        <f>SUM(B703:F703)</f>
        <v>100</v>
      </c>
      <c r="H703" s="8">
        <f>$J$37/$M$37*100</f>
        <v>90.909090909090907</v>
      </c>
      <c r="I703" s="8">
        <f>$J$38/$M$38*100</f>
        <v>0</v>
      </c>
      <c r="J703" s="8">
        <f>$J$39/$M$39*100</f>
        <v>0</v>
      </c>
      <c r="K703" s="8">
        <f>$J$40/$M$40*100</f>
        <v>9.0909090909090917</v>
      </c>
      <c r="L703" s="8">
        <f>$J$41/$M$41*100</f>
        <v>0</v>
      </c>
      <c r="M703" s="8">
        <f>SUM(H703:L703)</f>
        <v>100</v>
      </c>
      <c r="N703" s="8">
        <f>$J$57/$M$57*100</f>
        <v>96.067415730337075</v>
      </c>
      <c r="O703" s="8">
        <f>$J$58/$M$58*100</f>
        <v>2.2471910112359552</v>
      </c>
      <c r="P703" s="8">
        <f>$J$59/$M$59*100</f>
        <v>1.1235955056179776</v>
      </c>
      <c r="Q703" s="8">
        <f>$J$60/$M$60*100</f>
        <v>0.5617977528089888</v>
      </c>
      <c r="R703" s="8">
        <f>$J$61/$M$61*100</f>
        <v>0</v>
      </c>
      <c r="S703" s="8">
        <f>SUM(N703:R703)</f>
        <v>100</v>
      </c>
      <c r="T703" s="8">
        <f>$J$77/$M$77*100</f>
        <v>100</v>
      </c>
      <c r="U703" s="8">
        <f>$J$78/$M$78*100</f>
        <v>0</v>
      </c>
      <c r="V703" s="8">
        <f>$J$79/$M$79*100</f>
        <v>0</v>
      </c>
      <c r="W703" s="8">
        <f>$J$80/$M$80*100</f>
        <v>0</v>
      </c>
      <c r="X703" s="8">
        <f>$J$81/$M$81*100</f>
        <v>0</v>
      </c>
      <c r="Y703" s="8">
        <f>SUM(T703:X703)</f>
        <v>100</v>
      </c>
      <c r="AF703" s="10" t="s">
        <v>50</v>
      </c>
      <c r="AG703" s="12">
        <f>AVERAGE(AG699:AG702)</f>
        <v>56.651195567232435</v>
      </c>
      <c r="AH703" s="12">
        <f>AVERAGE(AH699:AH702)</f>
        <v>13.133938074775351</v>
      </c>
      <c r="AI703" s="11">
        <f>AVERAGE(AI699:AI702)</f>
        <v>9.7164711143849303</v>
      </c>
      <c r="AJ703" s="11">
        <f>AVERAGE(AJ699:AJ702)</f>
        <v>20.49839524360728</v>
      </c>
      <c r="AK703" s="11">
        <f>AVERAGE(AK699:AK702)</f>
        <v>0</v>
      </c>
      <c r="AL703" s="12"/>
      <c r="AM703" s="11">
        <f>AVERAGE(AM699:AM702)</f>
        <v>51.298701298701296</v>
      </c>
      <c r="AN703" s="13">
        <f>AVERAGE(AN699:AN702)</f>
        <v>19.642857142857146</v>
      </c>
      <c r="AO703" s="14">
        <f>AVERAGE(AO699:AO702)</f>
        <v>12.5</v>
      </c>
      <c r="AP703" s="14">
        <f>AVERAGE(AP699:AP702)</f>
        <v>16.558441558441558</v>
      </c>
      <c r="AQ703" s="14">
        <f>AVERAGE(AQ699:AQ702)</f>
        <v>0</v>
      </c>
      <c r="AR703" s="12"/>
      <c r="AS703" s="14">
        <f>AVERAGE(AS699:AS702)</f>
        <v>49.421062713745648</v>
      </c>
      <c r="AT703" s="12">
        <f>AVERAGE(AT699:AT702)</f>
        <v>8.8061231963670998</v>
      </c>
      <c r="AU703" s="11">
        <f>AVERAGE(AU699:AU702)</f>
        <v>10.342401500938086</v>
      </c>
      <c r="AV703" s="11">
        <f>AVERAGE(AV699:AV702)</f>
        <v>31.430412588949178</v>
      </c>
      <c r="AW703" s="11">
        <f>AVERAGE(AW699:AW702)</f>
        <v>0</v>
      </c>
      <c r="AX703" s="15"/>
      <c r="AY703" s="14">
        <f>AVERAGE(AY699:AY702)</f>
        <v>67.936507936507937</v>
      </c>
      <c r="AZ703" s="12">
        <f>AVERAGE(AZ699:AZ702)</f>
        <v>16.738095238095237</v>
      </c>
      <c r="BA703" s="11">
        <f>AVERAGE(BA699:BA702)</f>
        <v>6.9761904761904763</v>
      </c>
      <c r="BB703" s="11">
        <f>AVERAGE(BB699:BB702)</f>
        <v>8.349206349206348</v>
      </c>
      <c r="BC703" s="11">
        <f>AVERAGE(BC699:BC702)</f>
        <v>0</v>
      </c>
      <c r="BD703" s="15"/>
      <c r="BE703" s="8">
        <f>AVERAGE(AG703,AM703,AS703,AY703)</f>
        <v>56.326866879046833</v>
      </c>
      <c r="BF703" s="8">
        <f>AVERAGE(AH703,AN703,AT703,AZ703)</f>
        <v>14.580253413023708</v>
      </c>
      <c r="BG703" s="8">
        <f>AVERAGE(AI703,AO703,AU703,BA703)</f>
        <v>9.8837657728783732</v>
      </c>
      <c r="BH703" s="8">
        <f>AVERAGE(AJ703,AP703,AV703,BB703)</f>
        <v>19.209113935051093</v>
      </c>
      <c r="BI703" s="8">
        <f>AVERAGE(AK703,AQ703,AW703,BC703)</f>
        <v>0</v>
      </c>
    </row>
    <row r="704" spans="1:61" x14ac:dyDescent="0.2">
      <c r="A704" s="5" t="s">
        <v>58</v>
      </c>
      <c r="B704" s="8">
        <f>$J$97/$M$97*100</f>
        <v>50</v>
      </c>
      <c r="C704" s="8">
        <f>$J$98/$M$98*100</f>
        <v>27.419354838709676</v>
      </c>
      <c r="D704" s="8">
        <f>$J$99/$M$99*100</f>
        <v>3.225806451612903</v>
      </c>
      <c r="E704" s="8">
        <f>$J$100/$M$100*100</f>
        <v>19.35483870967742</v>
      </c>
      <c r="F704" s="8">
        <f>$J$111/$M$111*100</f>
        <v>0</v>
      </c>
      <c r="G704" s="8">
        <f>SUM(B704:F704)</f>
        <v>100</v>
      </c>
      <c r="H704" s="8">
        <f>$J$117/$M$117*100</f>
        <v>90.909090909090907</v>
      </c>
      <c r="I704" s="8">
        <f>$J$118/$M$118*100</f>
        <v>0</v>
      </c>
      <c r="J704" s="8">
        <f>$J$119/$M$119*100</f>
        <v>0</v>
      </c>
      <c r="K704" s="8">
        <f>$J$120/$M$120*100</f>
        <v>9.0909090909090917</v>
      </c>
      <c r="L704" s="8">
        <f>$J$121/$M$121*100</f>
        <v>0</v>
      </c>
      <c r="M704" s="8">
        <f>SUM(H704:L704)</f>
        <v>100</v>
      </c>
      <c r="N704" s="8">
        <f>$J$137/$M$137*100</f>
        <v>20.967741935483872</v>
      </c>
      <c r="O704" s="8">
        <f>$J$138/$M$138*100</f>
        <v>1.6129032258064515</v>
      </c>
      <c r="P704" s="8">
        <f>$J$139/$M$139*100</f>
        <v>0.80645161290322576</v>
      </c>
      <c r="Q704" s="8">
        <f>$J$140/$M$140*100</f>
        <v>75.806451612903231</v>
      </c>
      <c r="R704" s="8">
        <f>$J$141/$M$141*100</f>
        <v>0.80645161290322576</v>
      </c>
      <c r="S704" s="8">
        <f>SUM(N704:R704)</f>
        <v>100.00000000000001</v>
      </c>
      <c r="T704" s="8">
        <f>$J$157/$M$157*100</f>
        <v>45.454545454545453</v>
      </c>
      <c r="U704" s="8">
        <f>$J$158/$M$158*100</f>
        <v>18.181818181818183</v>
      </c>
      <c r="V704" s="8">
        <f>$J$159/$M$159*100</f>
        <v>9.0909090909090917</v>
      </c>
      <c r="W704" s="8">
        <f>$J$160/$M$160*100</f>
        <v>27.27272727272727</v>
      </c>
      <c r="X704" s="8">
        <f>$J$161/$M$161*100</f>
        <v>0</v>
      </c>
      <c r="Y704" s="8">
        <f>SUM(T704:X704)</f>
        <v>100</v>
      </c>
    </row>
    <row r="705" spans="1:61" ht="16" thickBot="1" x14ac:dyDescent="0.25">
      <c r="A705" s="9" t="s">
        <v>59</v>
      </c>
      <c r="B705" s="8">
        <f>$J$177/$M$177*100</f>
        <v>49.152542372881356</v>
      </c>
      <c r="C705" s="8">
        <f>$J$178/$M$178*100</f>
        <v>21.1864406779661</v>
      </c>
      <c r="D705" s="8">
        <f>$J$179/$M$179*100</f>
        <v>17.796610169491526</v>
      </c>
      <c r="E705" s="8">
        <f>$J$180/$M$180*100</f>
        <v>11.864406779661017</v>
      </c>
      <c r="F705" s="8">
        <f>$J$181/$M$181*100</f>
        <v>0</v>
      </c>
      <c r="G705" s="8">
        <f>SUM(B705:F705)</f>
        <v>100</v>
      </c>
      <c r="H705" s="8">
        <f>$J$197/$M$197*100</f>
        <v>21.739130434782609</v>
      </c>
      <c r="I705" s="8">
        <f>$J$198/$M$198*100</f>
        <v>21.739130434782609</v>
      </c>
      <c r="J705" s="8">
        <f>$J$199/$M$199*100</f>
        <v>39.130434782608695</v>
      </c>
      <c r="K705" s="8">
        <f>$J$200/$M$200*100</f>
        <v>17.391304347826086</v>
      </c>
      <c r="L705" s="8">
        <f>$J$211/$M$211*100</f>
        <v>0</v>
      </c>
      <c r="M705" s="8">
        <f>SUM(H705:L705)</f>
        <v>100</v>
      </c>
      <c r="N705" s="8">
        <f>$J$217/$M$217*100</f>
        <v>34.42622950819672</v>
      </c>
      <c r="O705" s="8">
        <f>$J$218/$M$218*100</f>
        <v>16.393442622950818</v>
      </c>
      <c r="P705" s="8">
        <f>$J$219/$M$219*100</f>
        <v>24.590163934426229</v>
      </c>
      <c r="Q705" s="8">
        <f>$J$220/$M$220*100</f>
        <v>24.590163934426229</v>
      </c>
      <c r="R705" s="8">
        <f>$J$221/$M$221*100</f>
        <v>0</v>
      </c>
      <c r="S705" s="8">
        <f>SUM(N705:R705)</f>
        <v>100</v>
      </c>
      <c r="T705" s="8">
        <f>$J$237/$M$237*100</f>
        <v>33.333333333333329</v>
      </c>
      <c r="U705" s="8">
        <f>$J$238/$M$238*100</f>
        <v>13.333333333333334</v>
      </c>
      <c r="V705" s="8">
        <f>$J$239/$M$239*100</f>
        <v>23.333333333333332</v>
      </c>
      <c r="W705" s="8">
        <f>$J$240/$M$240*100</f>
        <v>30</v>
      </c>
      <c r="X705" s="8">
        <f>$J$241/$M$241*100</f>
        <v>0</v>
      </c>
      <c r="Y705" s="8">
        <f>SUM(T705:X705)</f>
        <v>100</v>
      </c>
    </row>
    <row r="706" spans="1:61" ht="32" x14ac:dyDescent="0.2">
      <c r="A706" s="10" t="s">
        <v>50</v>
      </c>
      <c r="B706" s="12">
        <f>AVERAGE(B703:B705)</f>
        <v>62.098466505246165</v>
      </c>
      <c r="C706" s="12">
        <f>AVERAGE(C703:C705)</f>
        <v>17.630503267463354</v>
      </c>
      <c r="D706" s="11">
        <f>AVERAGE(D703:D705)</f>
        <v>7.4836626832252859</v>
      </c>
      <c r="E706" s="11">
        <f>AVERAGE(E703:E705)</f>
        <v>12.787367544065193</v>
      </c>
      <c r="F706" s="11">
        <f>AVERAGE(F703:F705)</f>
        <v>0</v>
      </c>
      <c r="G706" s="12"/>
      <c r="H706" s="11">
        <f>AVERAGE(H703:H705)</f>
        <v>67.852437417654812</v>
      </c>
      <c r="I706" s="13">
        <f>AVERAGE(I703:I705)</f>
        <v>7.2463768115942031</v>
      </c>
      <c r="J706" s="14">
        <f>AVERAGE(J703:J705)</f>
        <v>13.043478260869565</v>
      </c>
      <c r="K706" s="14">
        <f>AVERAGE(K703:K705)</f>
        <v>11.857707509881422</v>
      </c>
      <c r="L706" s="14">
        <f>AVERAGE(L703:L705)</f>
        <v>0</v>
      </c>
      <c r="M706" s="12"/>
      <c r="N706" s="14">
        <f>AVERAGE(N703:N705)</f>
        <v>50.487129058005884</v>
      </c>
      <c r="O706" s="12">
        <f>AVERAGE(O703:O705)</f>
        <v>6.7511789533310749</v>
      </c>
      <c r="P706" s="11">
        <f>AVERAGE(P703:P705)</f>
        <v>8.8400703509824776</v>
      </c>
      <c r="Q706" s="11">
        <f>AVERAGE(Q703:Q705)</f>
        <v>33.65280443337948</v>
      </c>
      <c r="R706" s="11">
        <f>AVERAGE(R703:R705)</f>
        <v>0.26881720430107525</v>
      </c>
      <c r="S706" s="15"/>
      <c r="T706" s="14">
        <f>AVERAGE(T703:T705)</f>
        <v>59.595959595959584</v>
      </c>
      <c r="U706" s="12">
        <f>AVERAGE(U703:U705)</f>
        <v>10.505050505050505</v>
      </c>
      <c r="V706" s="11">
        <f>AVERAGE(V703:V705)</f>
        <v>10.808080808080808</v>
      </c>
      <c r="W706" s="11">
        <f>AVERAGE(W703:W705)</f>
        <v>19.09090909090909</v>
      </c>
      <c r="X706" s="11">
        <f>AVERAGE(X703:X705)</f>
        <v>0</v>
      </c>
      <c r="Y706" s="15"/>
      <c r="Z706" s="8">
        <f>AVERAGE(B706,H706,N706,T706)</f>
        <v>60.00849814421661</v>
      </c>
      <c r="AA706" s="8">
        <f>AVERAGE(C706,I706,O706,U706)</f>
        <v>10.533277384359785</v>
      </c>
      <c r="AB706" s="8">
        <f>AVERAGE(D706,J706,P706,V706)</f>
        <v>10.043823025789534</v>
      </c>
      <c r="AC706" s="8">
        <f>AVERAGE(E706,K706,Q706,W706)</f>
        <v>19.347197144558795</v>
      </c>
      <c r="AD706" s="8">
        <f>AVERAGE(F706,L706,R706,X706)</f>
        <v>6.7204301075268813E-2</v>
      </c>
      <c r="AF706" s="2" t="s">
        <v>191</v>
      </c>
      <c r="AG706" s="3" t="s">
        <v>53</v>
      </c>
      <c r="AH706" s="3"/>
      <c r="AI706" s="3"/>
      <c r="AJ706" s="3"/>
      <c r="AK706" s="3"/>
      <c r="AL706" s="4" t="s">
        <v>64</v>
      </c>
      <c r="AM706" s="3" t="s">
        <v>54</v>
      </c>
      <c r="AN706" s="3"/>
      <c r="AO706" s="3"/>
      <c r="AP706" s="3"/>
      <c r="AQ706" s="3"/>
      <c r="AR706" s="4" t="s">
        <v>64</v>
      </c>
      <c r="AS706" s="3" t="s">
        <v>55</v>
      </c>
      <c r="AT706" s="3"/>
      <c r="AU706" s="3"/>
      <c r="AV706" s="3"/>
      <c r="AW706" s="3"/>
      <c r="AX706" s="4" t="s">
        <v>64</v>
      </c>
      <c r="AY706" s="3" t="s">
        <v>56</v>
      </c>
      <c r="AZ706" s="3"/>
      <c r="BA706" s="3"/>
      <c r="BB706" s="3"/>
      <c r="BC706" s="3"/>
      <c r="BD706" s="4" t="s">
        <v>64</v>
      </c>
    </row>
    <row r="707" spans="1:61" x14ac:dyDescent="0.2">
      <c r="AF707" s="3"/>
      <c r="AG707" s="4" t="s">
        <v>20</v>
      </c>
      <c r="AH707" s="4" t="s">
        <v>21</v>
      </c>
      <c r="AI707" s="4" t="s">
        <v>60</v>
      </c>
      <c r="AJ707" s="4" t="s">
        <v>61</v>
      </c>
      <c r="AK707" s="4" t="s">
        <v>62</v>
      </c>
      <c r="AL707" s="4"/>
      <c r="AM707" s="4" t="s">
        <v>20</v>
      </c>
      <c r="AN707" s="4" t="s">
        <v>21</v>
      </c>
      <c r="AO707" s="4" t="s">
        <v>60</v>
      </c>
      <c r="AP707" s="4" t="s">
        <v>61</v>
      </c>
      <c r="AQ707" s="4" t="s">
        <v>62</v>
      </c>
      <c r="AR707" s="4"/>
      <c r="AS707" s="4" t="s">
        <v>20</v>
      </c>
      <c r="AT707" s="4" t="s">
        <v>21</v>
      </c>
      <c r="AU707" s="4" t="s">
        <v>60</v>
      </c>
      <c r="AV707" s="4" t="s">
        <v>61</v>
      </c>
      <c r="AW707" s="4" t="s">
        <v>62</v>
      </c>
      <c r="AX707" s="4"/>
      <c r="AY707" s="4" t="s">
        <v>20</v>
      </c>
      <c r="AZ707" s="4" t="s">
        <v>21</v>
      </c>
      <c r="BA707" s="4" t="s">
        <v>60</v>
      </c>
      <c r="BB707" s="4" t="s">
        <v>61</v>
      </c>
      <c r="BC707" s="4" t="s">
        <v>62</v>
      </c>
      <c r="BD707" s="4"/>
    </row>
    <row r="708" spans="1:61" x14ac:dyDescent="0.2">
      <c r="AF708" s="5" t="s">
        <v>57</v>
      </c>
      <c r="AG708" s="8">
        <f>$J$17/$M$17*100</f>
        <v>87.142857142857139</v>
      </c>
      <c r="AH708" s="8">
        <f>$J$18/$M$18*100</f>
        <v>4.2857142857142856</v>
      </c>
      <c r="AI708" s="8">
        <f>$J$19/$M$19*100</f>
        <v>1.4285714285714286</v>
      </c>
      <c r="AJ708" s="8">
        <f>$J$20/$M$20*100</f>
        <v>7.1428571428571423</v>
      </c>
      <c r="AK708" s="8">
        <f>$J$21/$M$21*100</f>
        <v>0</v>
      </c>
      <c r="AL708" s="8">
        <f>SUM(AG708:AK708)</f>
        <v>100</v>
      </c>
      <c r="AM708" s="8">
        <f>$J$37/$M$37*100</f>
        <v>90.909090909090907</v>
      </c>
      <c r="AN708" s="8">
        <f>$J$38/$M$38*100</f>
        <v>0</v>
      </c>
      <c r="AO708" s="8">
        <f>$J$39/$M$39*100</f>
        <v>0</v>
      </c>
      <c r="AP708" s="8">
        <f>$J$40/$M$40*100</f>
        <v>9.0909090909090917</v>
      </c>
      <c r="AQ708" s="8">
        <f>$J$41/$M$41*100</f>
        <v>0</v>
      </c>
      <c r="AR708" s="8">
        <f>SUM(AM708:AQ708)</f>
        <v>100</v>
      </c>
      <c r="AS708" s="8">
        <f>$J$57/$M$57*100</f>
        <v>96.067415730337075</v>
      </c>
      <c r="AT708" s="8">
        <f>$J$58/$M$58*100</f>
        <v>2.2471910112359552</v>
      </c>
      <c r="AU708" s="8">
        <f>$J$59/$M$59*100</f>
        <v>1.1235955056179776</v>
      </c>
      <c r="AV708" s="8">
        <f>$J$60/$M$60*100</f>
        <v>0.5617977528089888</v>
      </c>
      <c r="AW708" s="8">
        <f>$J$61/$M$61*100</f>
        <v>0</v>
      </c>
      <c r="AX708" s="8">
        <f>SUM(AS708:AW708)</f>
        <v>100</v>
      </c>
      <c r="AY708" s="8">
        <f>$J$77/$M$77*100</f>
        <v>100</v>
      </c>
      <c r="AZ708" s="8">
        <f>$J$78/$M$78*100</f>
        <v>0</v>
      </c>
      <c r="BA708" s="8">
        <f>$J$79/$M$79*100</f>
        <v>0</v>
      </c>
      <c r="BB708" s="8">
        <f>$J$80/$M$80*100</f>
        <v>0</v>
      </c>
      <c r="BC708" s="8">
        <f>$J$81/$M$81*100</f>
        <v>0</v>
      </c>
      <c r="BD708" s="8">
        <f>SUM(AY708:BC708)</f>
        <v>100</v>
      </c>
    </row>
    <row r="709" spans="1:61" x14ac:dyDescent="0.2">
      <c r="AF709" s="5" t="s">
        <v>58</v>
      </c>
      <c r="AG709" s="8">
        <f>$J$97/$M$97*100</f>
        <v>50</v>
      </c>
      <c r="AH709" s="8">
        <f>$J$98/$M$98*100</f>
        <v>27.419354838709676</v>
      </c>
      <c r="AI709" s="8">
        <f>$J$99/$M$99*100</f>
        <v>3.225806451612903</v>
      </c>
      <c r="AJ709" s="8">
        <f>$J$100/$M$100*100</f>
        <v>19.35483870967742</v>
      </c>
      <c r="AK709" s="8">
        <f>$J$111/$M$111*100</f>
        <v>0</v>
      </c>
      <c r="AL709" s="8">
        <f>SUM(AG709:AK709)</f>
        <v>100</v>
      </c>
      <c r="AM709" s="8">
        <f>$J$117/$M$117*100</f>
        <v>90.909090909090907</v>
      </c>
      <c r="AN709" s="8">
        <f>$J$118/$M$118*100</f>
        <v>0</v>
      </c>
      <c r="AO709" s="8">
        <f>$J$119/$M$119*100</f>
        <v>0</v>
      </c>
      <c r="AP709" s="8">
        <f>$J$120/$M$120*100</f>
        <v>9.0909090909090917</v>
      </c>
      <c r="AQ709" s="8">
        <f>$J$121/$M$121*100</f>
        <v>0</v>
      </c>
      <c r="AR709" s="8">
        <f>SUM(AM709:AQ709)</f>
        <v>100</v>
      </c>
      <c r="AS709" s="8">
        <f>$J$137/$M$137*100</f>
        <v>20.967741935483872</v>
      </c>
      <c r="AT709" s="8">
        <f>$J$138/$M$138*100</f>
        <v>1.6129032258064515</v>
      </c>
      <c r="AU709" s="8">
        <f>$J$139/$M$139*100</f>
        <v>0.80645161290322576</v>
      </c>
      <c r="AV709" s="8">
        <f>$J$140/$M$140*100</f>
        <v>75.806451612903231</v>
      </c>
      <c r="AW709" s="8">
        <f>$J$141/$M$141*100</f>
        <v>0.80645161290322576</v>
      </c>
      <c r="AX709" s="8">
        <f>SUM(AS709:AW709)</f>
        <v>100.00000000000001</v>
      </c>
      <c r="AY709" s="8">
        <f>$J$157/$M$157*100</f>
        <v>45.454545454545453</v>
      </c>
      <c r="AZ709" s="8">
        <f>$J$158/$M$158*100</f>
        <v>18.181818181818183</v>
      </c>
      <c r="BA709" s="8">
        <f>$J$159/$M$159*100</f>
        <v>9.0909090909090917</v>
      </c>
      <c r="BB709" s="8">
        <f>$J$160/$M$160*100</f>
        <v>27.27272727272727</v>
      </c>
      <c r="BC709" s="8">
        <f>$J$161/$M$161*100</f>
        <v>0</v>
      </c>
      <c r="BD709" s="8">
        <f>SUM(AY709:BC709)</f>
        <v>100</v>
      </c>
    </row>
    <row r="710" spans="1:61" x14ac:dyDescent="0.2">
      <c r="AF710" s="5" t="s">
        <v>142</v>
      </c>
      <c r="AG710" s="8">
        <f>$J$497/$M$497*100</f>
        <v>27.941176470588236</v>
      </c>
      <c r="AH710" s="8">
        <f>$J$498/$M$498*100</f>
        <v>11.76470588235294</v>
      </c>
      <c r="AI710" s="8">
        <f>$J$499/$M$499*100</f>
        <v>7.3529411764705888</v>
      </c>
      <c r="AJ710" s="8">
        <f>$J$500/$M$500*100</f>
        <v>51.470588235294116</v>
      </c>
      <c r="AK710" s="8">
        <f>$J$501/$M$501*100</f>
        <v>1.4705882352941175</v>
      </c>
      <c r="AL710" s="8">
        <f>SUM(AG710:AK710)</f>
        <v>100</v>
      </c>
      <c r="AM710" s="8">
        <f>$J$517/$M$517*100</f>
        <v>0</v>
      </c>
      <c r="AN710" s="8">
        <f>$J$518/$M$518*100</f>
        <v>0</v>
      </c>
      <c r="AO710" s="8">
        <f>$J$519/$M$519*100</f>
        <v>66.666666666666657</v>
      </c>
      <c r="AP710" s="8">
        <f>$J$520/$M$520*100</f>
        <v>33.333333333333329</v>
      </c>
      <c r="AQ710" s="8">
        <f>$J$521/$M$521*150</f>
        <v>0</v>
      </c>
      <c r="AR710" s="8">
        <f>SUM(AM710:AQ710)</f>
        <v>99.999999999999986</v>
      </c>
      <c r="AS710" s="8">
        <f>$J$537/$M$537*100</f>
        <v>42.857142857142854</v>
      </c>
      <c r="AT710" s="8">
        <f>$J$538/$M$538*100</f>
        <v>14.285714285714285</v>
      </c>
      <c r="AU710" s="8">
        <f>$J$539/$M$539*100</f>
        <v>9.5238095238095237</v>
      </c>
      <c r="AV710" s="8">
        <f>$J$540/$M$540*100</f>
        <v>28.571428571428569</v>
      </c>
      <c r="AW710" s="8">
        <f>$J$541/$M$541*100</f>
        <v>4.7619047619047619</v>
      </c>
      <c r="AX710" s="8">
        <f>SUM(AS710:AW710)</f>
        <v>99.999999999999986</v>
      </c>
      <c r="AY710" s="8">
        <f>$J$557/$M$557*100</f>
        <v>86.956521739130437</v>
      </c>
      <c r="AZ710" s="8">
        <f>$J$558/$M$558*100</f>
        <v>0</v>
      </c>
      <c r="BA710" s="8">
        <f>$J$559/$M$559*100</f>
        <v>0</v>
      </c>
      <c r="BB710" s="8">
        <f>$J$560/$M$560*100</f>
        <v>13.043478260869565</v>
      </c>
      <c r="BC710" s="8">
        <f>$J$561/$M$561*100</f>
        <v>0</v>
      </c>
      <c r="BD710" s="8">
        <f>SUM(AY710:BC710)</f>
        <v>100</v>
      </c>
    </row>
    <row r="711" spans="1:61" ht="33" thickBot="1" x14ac:dyDescent="0.25">
      <c r="A711" s="2" t="s">
        <v>192</v>
      </c>
      <c r="B711" s="3" t="s">
        <v>53</v>
      </c>
      <c r="C711" s="3"/>
      <c r="D711" s="3"/>
      <c r="E711" s="3"/>
      <c r="F711" s="3"/>
      <c r="G711" s="4" t="s">
        <v>64</v>
      </c>
      <c r="H711" s="3" t="s">
        <v>54</v>
      </c>
      <c r="I711" s="3"/>
      <c r="J711" s="3"/>
      <c r="K711" s="3"/>
      <c r="L711" s="3"/>
      <c r="M711" s="4" t="s">
        <v>64</v>
      </c>
      <c r="N711" s="3" t="s">
        <v>55</v>
      </c>
      <c r="O711" s="3"/>
      <c r="P711" s="3"/>
      <c r="Q711" s="3"/>
      <c r="R711" s="3"/>
      <c r="S711" s="4" t="s">
        <v>64</v>
      </c>
      <c r="T711" s="3" t="s">
        <v>56</v>
      </c>
      <c r="U711" s="3"/>
      <c r="V711" s="3"/>
      <c r="W711" s="3"/>
      <c r="X711" s="3"/>
      <c r="Y711" s="4" t="s">
        <v>64</v>
      </c>
      <c r="AF711" s="9" t="s">
        <v>59</v>
      </c>
      <c r="AG711" s="8">
        <f>$J$177/$M$177*100</f>
        <v>49.152542372881356</v>
      </c>
      <c r="AH711" s="8">
        <f>$J$178/$M$178*100</f>
        <v>21.1864406779661</v>
      </c>
      <c r="AI711" s="8">
        <f>$J$179/$M$179*100</f>
        <v>17.796610169491526</v>
      </c>
      <c r="AJ711" s="8">
        <f>$J$180/$M$180*100</f>
        <v>11.864406779661017</v>
      </c>
      <c r="AK711" s="8">
        <f>$J$181/$M$181*100</f>
        <v>0</v>
      </c>
      <c r="AL711" s="8">
        <f>SUM(AG711:AK711)</f>
        <v>100</v>
      </c>
      <c r="AM711" s="8">
        <f>$J$197/$M$197*100</f>
        <v>21.739130434782609</v>
      </c>
      <c r="AN711" s="8">
        <f>$J$198/$M$198*100</f>
        <v>21.739130434782609</v>
      </c>
      <c r="AO711" s="8">
        <f>$J$199/$M$199*100</f>
        <v>39.130434782608695</v>
      </c>
      <c r="AP711" s="8">
        <f>$J$200/$M$200*100</f>
        <v>17.391304347826086</v>
      </c>
      <c r="AQ711" s="8">
        <f>$J$211/$M$211*100</f>
        <v>0</v>
      </c>
      <c r="AR711" s="8">
        <f>SUM(AM711:AQ711)</f>
        <v>100</v>
      </c>
      <c r="AS711" s="8">
        <f>$J$217/$M$217*100</f>
        <v>34.42622950819672</v>
      </c>
      <c r="AT711" s="8">
        <f>$J$218/$M$218*100</f>
        <v>16.393442622950818</v>
      </c>
      <c r="AU711" s="8">
        <f>$J$219/$M$219*100</f>
        <v>24.590163934426229</v>
      </c>
      <c r="AV711" s="8">
        <f>$J$220/$M$220*100</f>
        <v>24.590163934426229</v>
      </c>
      <c r="AW711" s="8">
        <f>$J$221/$M$221*100</f>
        <v>0</v>
      </c>
      <c r="AX711" s="8">
        <f>SUM(AS711:AW711)</f>
        <v>100</v>
      </c>
      <c r="AY711" s="8">
        <f>$J$237/$M$237*100</f>
        <v>33.333333333333329</v>
      </c>
      <c r="AZ711" s="8">
        <f>$J$238/$M$238*100</f>
        <v>13.333333333333334</v>
      </c>
      <c r="BA711" s="8">
        <f>$J$239/$M$239*100</f>
        <v>23.333333333333332</v>
      </c>
      <c r="BB711" s="8">
        <f>$J$240/$M$240*100</f>
        <v>30</v>
      </c>
      <c r="BC711" s="8">
        <f>$J$241/$M$241*100</f>
        <v>0</v>
      </c>
      <c r="BD711" s="8">
        <f>SUM(AY711:BC711)</f>
        <v>100</v>
      </c>
    </row>
    <row r="712" spans="1:61" x14ac:dyDescent="0.2">
      <c r="A712" s="2"/>
      <c r="B712" s="4" t="s">
        <v>20</v>
      </c>
      <c r="C712" s="4" t="s">
        <v>21</v>
      </c>
      <c r="D712" s="4" t="s">
        <v>60</v>
      </c>
      <c r="E712" s="4" t="s">
        <v>61</v>
      </c>
      <c r="F712" s="4" t="s">
        <v>62</v>
      </c>
      <c r="G712" s="4"/>
      <c r="H712" s="4" t="s">
        <v>20</v>
      </c>
      <c r="I712" s="4" t="s">
        <v>21</v>
      </c>
      <c r="J712" s="4" t="s">
        <v>60</v>
      </c>
      <c r="K712" s="4" t="s">
        <v>61</v>
      </c>
      <c r="L712" s="4" t="s">
        <v>62</v>
      </c>
      <c r="M712" s="4"/>
      <c r="N712" s="4" t="s">
        <v>20</v>
      </c>
      <c r="O712" s="4" t="s">
        <v>21</v>
      </c>
      <c r="P712" s="4" t="s">
        <v>60</v>
      </c>
      <c r="Q712" s="4" t="s">
        <v>61</v>
      </c>
      <c r="R712" s="4" t="s">
        <v>62</v>
      </c>
      <c r="S712" s="4"/>
      <c r="T712" s="4" t="s">
        <v>20</v>
      </c>
      <c r="U712" s="4" t="s">
        <v>21</v>
      </c>
      <c r="V712" s="4" t="s">
        <v>60</v>
      </c>
      <c r="W712" s="4" t="s">
        <v>61</v>
      </c>
      <c r="X712" s="4" t="s">
        <v>62</v>
      </c>
      <c r="Y712" s="4"/>
      <c r="AF712" s="10" t="s">
        <v>50</v>
      </c>
      <c r="AG712" s="12">
        <f>AVERAGE(AG708:AG711)</f>
        <v>53.559143996581682</v>
      </c>
      <c r="AH712" s="12">
        <f>AVERAGE(AH708:AH711)</f>
        <v>16.164053921185751</v>
      </c>
      <c r="AI712" s="11">
        <f>AVERAGE(AI708:AI711)</f>
        <v>7.4509823065366119</v>
      </c>
      <c r="AJ712" s="11">
        <f>AVERAGE(AJ708:AJ711)</f>
        <v>22.458172716872426</v>
      </c>
      <c r="AK712" s="11">
        <f>AVERAGE(AK708:AK711)</f>
        <v>0.36764705882352938</v>
      </c>
      <c r="AL712" s="12"/>
      <c r="AM712" s="11">
        <f>AVERAGE(AM708:AM711)</f>
        <v>50.889328063241109</v>
      </c>
      <c r="AN712" s="13">
        <f>AVERAGE(AN708:AN711)</f>
        <v>5.4347826086956523</v>
      </c>
      <c r="AO712" s="14">
        <f>AVERAGE(AO708:AO711)</f>
        <v>26.449275362318836</v>
      </c>
      <c r="AP712" s="14">
        <f>AVERAGE(AP708:AP711)</f>
        <v>17.226613965744399</v>
      </c>
      <c r="AQ712" s="14">
        <f>AVERAGE(AQ708:AQ711)</f>
        <v>0</v>
      </c>
      <c r="AR712" s="12"/>
      <c r="AS712" s="14">
        <f>AVERAGE(AS708:AS711)</f>
        <v>48.57963250779013</v>
      </c>
      <c r="AT712" s="12">
        <f>AVERAGE(AT708:AT711)</f>
        <v>8.6348127864268776</v>
      </c>
      <c r="AU712" s="11">
        <f>AVERAGE(AU708:AU711)</f>
        <v>9.0110051441892391</v>
      </c>
      <c r="AV712" s="11">
        <f>AVERAGE(AV708:AV711)</f>
        <v>32.382460467891754</v>
      </c>
      <c r="AW712" s="11">
        <f>AVERAGE(AW708:AW711)</f>
        <v>1.392089093701997</v>
      </c>
      <c r="AX712" s="15"/>
      <c r="AY712" s="14">
        <f>AVERAGE(AY708:AY711)</f>
        <v>66.436100131752298</v>
      </c>
      <c r="AZ712" s="12">
        <f>AVERAGE(AZ708:AZ711)</f>
        <v>7.8787878787878789</v>
      </c>
      <c r="BA712" s="11">
        <f>AVERAGE(BA708:BA711)</f>
        <v>8.1060606060606055</v>
      </c>
      <c r="BB712" s="11">
        <f>AVERAGE(BB708:BB711)</f>
        <v>17.579051383399211</v>
      </c>
      <c r="BC712" s="11">
        <f>AVERAGE(BC708:BC711)</f>
        <v>0</v>
      </c>
      <c r="BD712" s="15"/>
      <c r="BE712" s="8">
        <f>AVERAGE(AG712,AM712,AS712,AY712)</f>
        <v>54.866051174841303</v>
      </c>
      <c r="BF712" s="8">
        <f>AVERAGE(AH712,AN712,AT712,AZ712)</f>
        <v>9.5281092987740408</v>
      </c>
      <c r="BG712" s="8">
        <f>AVERAGE(AI712,AO712,AU712,BA712)</f>
        <v>12.754330854776324</v>
      </c>
      <c r="BH712" s="8">
        <f>AVERAGE(AJ712,AP712,AV712,BB712)</f>
        <v>22.411574633476945</v>
      </c>
      <c r="BI712" s="8">
        <f>AVERAGE(AK712,AQ712,AW712,BC712)</f>
        <v>0.4399340381313816</v>
      </c>
    </row>
    <row r="713" spans="1:61" x14ac:dyDescent="0.2">
      <c r="A713" s="5" t="s">
        <v>57</v>
      </c>
      <c r="B713" s="8">
        <f>$I$247/$L$247*100</f>
        <v>81.395348837209298</v>
      </c>
      <c r="C713" s="8">
        <f>$I$248/$L$248*100</f>
        <v>8.1395348837209305</v>
      </c>
      <c r="D713" s="8">
        <f>$I$249/$L$249*100</f>
        <v>2.3255813953488373</v>
      </c>
      <c r="E713" s="8">
        <f>$I$250/$L$250*100</f>
        <v>8.1395348837209305</v>
      </c>
      <c r="F713" s="8">
        <f>$I$251/$L$251*100</f>
        <v>0</v>
      </c>
      <c r="G713" s="8">
        <f>SUM(B713:F713)</f>
        <v>99.999999999999986</v>
      </c>
      <c r="H713" s="8">
        <f>$I$267/$L$267*100</f>
        <v>76.470588235294116</v>
      </c>
      <c r="I713" s="8">
        <f>$I$268/$L$268*100</f>
        <v>11.76470588235294</v>
      </c>
      <c r="J713" s="8">
        <f>$I$269/$L$269*100</f>
        <v>0</v>
      </c>
      <c r="K713" s="8">
        <f>$I$270/$L$270*100</f>
        <v>11.76470588235294</v>
      </c>
      <c r="L713" s="8">
        <f>$I$271/$L$271*100</f>
        <v>0</v>
      </c>
      <c r="M713" s="8">
        <f>SUM(H713:L713)</f>
        <v>100</v>
      </c>
      <c r="N713" s="8">
        <f>$I$287/$L$287*100</f>
        <v>83.333333333333343</v>
      </c>
      <c r="O713" s="8">
        <f>$I$288/$L$288*100</f>
        <v>1.5151515151515151</v>
      </c>
      <c r="P713" s="8">
        <f>$I$289/$L$289*100</f>
        <v>0</v>
      </c>
      <c r="Q713" s="8">
        <f>$I$290/$L$290*100</f>
        <v>15.151515151515152</v>
      </c>
      <c r="R713" s="8">
        <f>$I$291/$L$291*100</f>
        <v>0</v>
      </c>
      <c r="S713" s="8">
        <f>SUM(N713:R713)</f>
        <v>100.00000000000001</v>
      </c>
      <c r="T713" s="8">
        <f>$I$307/$L$307*100</f>
        <v>100</v>
      </c>
      <c r="U713" s="8">
        <f>$I$308/$L$308*100</f>
        <v>0</v>
      </c>
      <c r="V713" s="8">
        <f>$I$309/$L$309*100</f>
        <v>0</v>
      </c>
      <c r="W713" s="8">
        <f>$I$310/$L$310*100</f>
        <v>0</v>
      </c>
      <c r="X713" s="8">
        <f>$I$311/$L$311*100</f>
        <v>0</v>
      </c>
      <c r="Y713" s="8">
        <f>SUM(T713:X713)</f>
        <v>100</v>
      </c>
    </row>
    <row r="714" spans="1:61" x14ac:dyDescent="0.2">
      <c r="A714" s="5" t="s">
        <v>58</v>
      </c>
      <c r="B714" s="8">
        <f>$I$327/$L$327*100</f>
        <v>78.245614035087712</v>
      </c>
      <c r="C714" s="8">
        <f>$I$328/$L$328*100</f>
        <v>9.4736842105263168</v>
      </c>
      <c r="D714" s="8">
        <f>$I$329/$L$329*100</f>
        <v>3.5087719298245612</v>
      </c>
      <c r="E714" s="8">
        <f>$I$330/$L$330*100</f>
        <v>8.7719298245614024</v>
      </c>
      <c r="F714" s="8">
        <f>$I$331/$L$331*100</f>
        <v>0</v>
      </c>
      <c r="G714" s="8">
        <f>SUM(B714:F714)</f>
        <v>99.999999999999986</v>
      </c>
      <c r="H714" s="8">
        <f>$I$347/$L$347*100</f>
        <v>76.470588235294116</v>
      </c>
      <c r="I714" s="8">
        <f>$I$348/$L$348*100</f>
        <v>17.647058823529413</v>
      </c>
      <c r="J714" s="8">
        <f>$I$349/$L$349*100</f>
        <v>0</v>
      </c>
      <c r="K714" s="8">
        <f>$I$350/$L$350*100</f>
        <v>5.8823529411764701</v>
      </c>
      <c r="L714" s="8">
        <f>$I$351/$L$351*100</f>
        <v>0</v>
      </c>
      <c r="M714" s="8">
        <f>SUM(H714:L714)</f>
        <v>100</v>
      </c>
      <c r="N714" s="8">
        <f>$I$367/$L$367*100</f>
        <v>62.068965517241381</v>
      </c>
      <c r="O714" s="8">
        <f>$I$368/$L$368*100</f>
        <v>17.241379310344829</v>
      </c>
      <c r="P714" s="8">
        <f>$I$369/$L$369*100</f>
        <v>0</v>
      </c>
      <c r="Q714" s="8">
        <f>$I$370/$L$370*100</f>
        <v>20.689655172413794</v>
      </c>
      <c r="R714" s="8">
        <f>$I$371/$L$371*100</f>
        <v>0</v>
      </c>
      <c r="S714" s="8">
        <f>SUM(N714:R714)</f>
        <v>100</v>
      </c>
      <c r="T714" s="8">
        <f>$I$387/$L$387*100</f>
        <v>76.08695652173914</v>
      </c>
      <c r="U714" s="8">
        <f>$I$388/$L$388*100</f>
        <v>8.695652173913043</v>
      </c>
      <c r="V714" s="8">
        <f>$I$389/$L$389*100</f>
        <v>8.695652173913043</v>
      </c>
      <c r="W714" s="8">
        <f>$I$390/$L$390*100</f>
        <v>6.5217391304347823</v>
      </c>
      <c r="X714" s="8">
        <f>$I$391/$L$391*100</f>
        <v>0</v>
      </c>
      <c r="Y714" s="8">
        <f>SUM(T714:X714)</f>
        <v>100.00000000000001</v>
      </c>
    </row>
    <row r="715" spans="1:61" ht="16" thickBot="1" x14ac:dyDescent="0.25">
      <c r="A715" s="9" t="s">
        <v>59</v>
      </c>
      <c r="B715" s="8">
        <f>$I$407/$L$407*100</f>
        <v>22.222222222222221</v>
      </c>
      <c r="C715" s="8">
        <f>$I$408/$L$408*100</f>
        <v>25.925925925925924</v>
      </c>
      <c r="D715" s="8">
        <f>$I$409/$L$409*100</f>
        <v>31.481481481481481</v>
      </c>
      <c r="E715" s="8">
        <f>$I$410/$L$410*100</f>
        <v>20.37037037037037</v>
      </c>
      <c r="F715" s="8">
        <f>$I$411/$L$411*100</f>
        <v>0</v>
      </c>
      <c r="G715" s="8">
        <f>SUM(B715:F715)</f>
        <v>99.999999999999986</v>
      </c>
      <c r="H715" s="8">
        <f>$I$427/$L$427*100</f>
        <v>0</v>
      </c>
      <c r="I715" s="8">
        <f>$I$428/$L$428*100</f>
        <v>50</v>
      </c>
      <c r="J715" s="8">
        <f>$I$429/$L$429*100</f>
        <v>0</v>
      </c>
      <c r="K715" s="8">
        <f>$I$430/$L$430*100</f>
        <v>50</v>
      </c>
      <c r="L715" s="8">
        <f>$I$431/$L$431*100</f>
        <v>0</v>
      </c>
      <c r="M715" s="8">
        <f>SUM(H715:L715)</f>
        <v>100</v>
      </c>
      <c r="N715" s="8">
        <f>$I$447/$L$447*100</f>
        <v>43.478260869565219</v>
      </c>
      <c r="O715" s="8">
        <f>$I$448/$L$448*100</f>
        <v>13.043478260869565</v>
      </c>
      <c r="P715" s="8">
        <f>$I$449/$L$449*100</f>
        <v>26.086956521739129</v>
      </c>
      <c r="Q715" s="8">
        <f>$I$450/$L$450*100</f>
        <v>17.391304347826086</v>
      </c>
      <c r="R715" s="8">
        <f>$I$451/$L$451*100</f>
        <v>0</v>
      </c>
      <c r="S715" s="8">
        <f>SUM(N715:R715)</f>
        <v>100</v>
      </c>
      <c r="T715" s="8">
        <f>$I$467/$L$467*100</f>
        <v>41.17647058823529</v>
      </c>
      <c r="U715" s="8">
        <f>$I$468/$L$468*100</f>
        <v>23.52941176470588</v>
      </c>
      <c r="V715" s="8">
        <f>$I$469/$L$469*100</f>
        <v>29.411764705882355</v>
      </c>
      <c r="W715" s="8">
        <f>$I$470/$L$470*100</f>
        <v>5.8823529411764701</v>
      </c>
      <c r="X715" s="8">
        <f>$I$471/$L$471*100</f>
        <v>0</v>
      </c>
      <c r="Y715" s="8">
        <f>SUM(T715:X715)</f>
        <v>100</v>
      </c>
    </row>
    <row r="716" spans="1:61" x14ac:dyDescent="0.2">
      <c r="A716" s="10" t="s">
        <v>50</v>
      </c>
      <c r="B716" s="12">
        <f>AVERAGE(B713:B715)</f>
        <v>60.621061698173072</v>
      </c>
      <c r="C716" s="12">
        <f>AVERAGE(C713:C715)</f>
        <v>14.513048340057724</v>
      </c>
      <c r="D716" s="11">
        <f>AVERAGE(D713:D715)</f>
        <v>12.438611602218293</v>
      </c>
      <c r="E716" s="11">
        <f>AVERAGE(E713:E715)</f>
        <v>12.427278359550902</v>
      </c>
      <c r="F716" s="11">
        <f>AVERAGE(F713:F715)</f>
        <v>0</v>
      </c>
      <c r="G716" s="12"/>
      <c r="H716" s="11">
        <f>AVERAGE(H713:H715)</f>
        <v>50.980392156862742</v>
      </c>
      <c r="I716" s="13">
        <f>AVERAGE(I713:I715)</f>
        <v>26.470588235294116</v>
      </c>
      <c r="J716" s="14">
        <f>AVERAGE(J713:J715)</f>
        <v>0</v>
      </c>
      <c r="K716" s="14">
        <f>AVERAGE(K713:K715)</f>
        <v>22.549019607843135</v>
      </c>
      <c r="L716" s="14">
        <f>AVERAGE(L713:L715)</f>
        <v>0</v>
      </c>
      <c r="M716" s="12"/>
      <c r="N716" s="14">
        <f>AVERAGE(N713:N715)</f>
        <v>62.960186573379978</v>
      </c>
      <c r="O716" s="12">
        <f>AVERAGE(O713:O715)</f>
        <v>10.600003028788636</v>
      </c>
      <c r="P716" s="11">
        <f>AVERAGE(P713:P715)</f>
        <v>8.695652173913043</v>
      </c>
      <c r="Q716" s="11">
        <f>AVERAGE(Q713:Q715)</f>
        <v>17.744158223918344</v>
      </c>
      <c r="R716" s="11">
        <f>AVERAGE(R713:R715)</f>
        <v>0</v>
      </c>
      <c r="S716" s="15"/>
      <c r="T716" s="14">
        <f>AVERAGE(T713:T715)</f>
        <v>72.421142369991472</v>
      </c>
      <c r="U716" s="12">
        <f>AVERAGE(U713:U715)</f>
        <v>10.741687979539641</v>
      </c>
      <c r="V716" s="11">
        <f>AVERAGE(V713:V715)</f>
        <v>12.702472293265131</v>
      </c>
      <c r="W716" s="11">
        <f>AVERAGE(W713:W715)</f>
        <v>4.1346973572037511</v>
      </c>
      <c r="X716" s="11">
        <f>AVERAGE(X713:X715)</f>
        <v>0</v>
      </c>
      <c r="Y716" s="15"/>
      <c r="Z716" s="8">
        <f>AVERAGE(B716,H716,N716,T716)</f>
        <v>61.745695699601811</v>
      </c>
      <c r="AA716" s="8">
        <f>AVERAGE(C716,I716,O716,U716)</f>
        <v>15.581331895920028</v>
      </c>
      <c r="AB716" s="8">
        <f>AVERAGE(D716,J716,P716,V716)</f>
        <v>8.4591840173491164</v>
      </c>
      <c r="AC716" s="8">
        <f>AVERAGE(E716,K716,Q716,W716)</f>
        <v>14.213788387129032</v>
      </c>
      <c r="AD716" s="8">
        <f>AVERAGE(F716,L716,R716,X716)</f>
        <v>0</v>
      </c>
    </row>
    <row r="717" spans="1:61" ht="48" x14ac:dyDescent="0.2">
      <c r="AF717" s="2" t="s">
        <v>192</v>
      </c>
      <c r="AG717" s="3" t="s">
        <v>53</v>
      </c>
      <c r="AH717" s="3"/>
      <c r="AI717" s="3"/>
      <c r="AJ717" s="3"/>
      <c r="AK717" s="3"/>
      <c r="AL717" s="4" t="s">
        <v>64</v>
      </c>
      <c r="AM717" s="3" t="s">
        <v>54</v>
      </c>
      <c r="AN717" s="3"/>
      <c r="AO717" s="3"/>
      <c r="AP717" s="3"/>
      <c r="AQ717" s="3"/>
      <c r="AR717" s="4" t="s">
        <v>64</v>
      </c>
      <c r="AS717" s="3" t="s">
        <v>55</v>
      </c>
      <c r="AT717" s="3"/>
      <c r="AU717" s="3"/>
      <c r="AV717" s="3"/>
      <c r="AW717" s="3"/>
      <c r="AX717" s="4" t="s">
        <v>64</v>
      </c>
      <c r="AY717" s="3" t="s">
        <v>56</v>
      </c>
      <c r="AZ717" s="3"/>
      <c r="BA717" s="3"/>
      <c r="BB717" s="3"/>
      <c r="BC717" s="3"/>
      <c r="BD717" s="4" t="s">
        <v>64</v>
      </c>
    </row>
    <row r="718" spans="1:61" x14ac:dyDescent="0.2">
      <c r="AF718" s="2"/>
      <c r="AG718" s="4" t="s">
        <v>20</v>
      </c>
      <c r="AH718" s="4" t="s">
        <v>21</v>
      </c>
      <c r="AI718" s="4" t="s">
        <v>60</v>
      </c>
      <c r="AJ718" s="4" t="s">
        <v>61</v>
      </c>
      <c r="AK718" s="4" t="s">
        <v>62</v>
      </c>
      <c r="AL718" s="4"/>
      <c r="AM718" s="4" t="s">
        <v>20</v>
      </c>
      <c r="AN718" s="4" t="s">
        <v>21</v>
      </c>
      <c r="AO718" s="4" t="s">
        <v>60</v>
      </c>
      <c r="AP718" s="4" t="s">
        <v>61</v>
      </c>
      <c r="AQ718" s="4" t="s">
        <v>62</v>
      </c>
      <c r="AR718" s="4"/>
      <c r="AS718" s="4" t="s">
        <v>20</v>
      </c>
      <c r="AT718" s="4" t="s">
        <v>21</v>
      </c>
      <c r="AU718" s="4" t="s">
        <v>60</v>
      </c>
      <c r="AV718" s="4" t="s">
        <v>61</v>
      </c>
      <c r="AW718" s="4" t="s">
        <v>62</v>
      </c>
      <c r="AX718" s="4"/>
      <c r="AY718" s="4" t="s">
        <v>20</v>
      </c>
      <c r="AZ718" s="4" t="s">
        <v>21</v>
      </c>
      <c r="BA718" s="4" t="s">
        <v>60</v>
      </c>
      <c r="BB718" s="4" t="s">
        <v>61</v>
      </c>
      <c r="BC718" s="4" t="s">
        <v>62</v>
      </c>
      <c r="BD718" s="4"/>
    </row>
    <row r="719" spans="1:61" ht="32" x14ac:dyDescent="0.2">
      <c r="A719" s="2" t="s">
        <v>193</v>
      </c>
      <c r="B719" s="3" t="s">
        <v>53</v>
      </c>
      <c r="C719" s="3"/>
      <c r="D719" s="3"/>
      <c r="E719" s="3"/>
      <c r="F719" s="3"/>
      <c r="G719" s="4" t="s">
        <v>64</v>
      </c>
      <c r="H719" s="3" t="s">
        <v>54</v>
      </c>
      <c r="I719" s="3"/>
      <c r="J719" s="3"/>
      <c r="K719" s="3"/>
      <c r="L719" s="3"/>
      <c r="M719" s="4" t="s">
        <v>64</v>
      </c>
      <c r="N719" s="3" t="s">
        <v>55</v>
      </c>
      <c r="O719" s="3"/>
      <c r="P719" s="3"/>
      <c r="Q719" s="3"/>
      <c r="R719" s="3"/>
      <c r="S719" s="4" t="s">
        <v>64</v>
      </c>
      <c r="T719" s="3" t="s">
        <v>56</v>
      </c>
      <c r="U719" s="3"/>
      <c r="V719" s="3"/>
      <c r="W719" s="3"/>
      <c r="X719" s="3"/>
      <c r="Y719" s="4" t="s">
        <v>64</v>
      </c>
      <c r="AF719" s="5" t="s">
        <v>57</v>
      </c>
      <c r="AG719" s="8">
        <f>$I$247/$L$247*100</f>
        <v>81.395348837209298</v>
      </c>
      <c r="AH719" s="8">
        <f>$I$248/$L$248*100</f>
        <v>8.1395348837209305</v>
      </c>
      <c r="AI719" s="8">
        <f>$I$249/$L$249*100</f>
        <v>2.3255813953488373</v>
      </c>
      <c r="AJ719" s="8">
        <f>$I$250/$L$250*100</f>
        <v>8.1395348837209305</v>
      </c>
      <c r="AK719" s="8">
        <f>$I$251/$L$251*100</f>
        <v>0</v>
      </c>
      <c r="AL719" s="8">
        <f>SUM(AG719:AK719)</f>
        <v>99.999999999999986</v>
      </c>
      <c r="AM719" s="8">
        <f>$I$267/$L$267*100</f>
        <v>76.470588235294116</v>
      </c>
      <c r="AN719" s="8">
        <f>$I$268/$L$268*100</f>
        <v>11.76470588235294</v>
      </c>
      <c r="AO719" s="8">
        <f>$I$269/$L$269*100</f>
        <v>0</v>
      </c>
      <c r="AP719" s="8">
        <f>$I$270/$L$270*100</f>
        <v>11.76470588235294</v>
      </c>
      <c r="AQ719" s="8">
        <f>$I$271/$L$271*100</f>
        <v>0</v>
      </c>
      <c r="AR719" s="8">
        <f>SUM(AM719:AQ719)</f>
        <v>100</v>
      </c>
      <c r="AS719" s="8">
        <f>$I$287/$L$287*100</f>
        <v>83.333333333333343</v>
      </c>
      <c r="AT719" s="8">
        <f>$I$288/$L$288*100</f>
        <v>1.5151515151515151</v>
      </c>
      <c r="AU719" s="8">
        <f>$I$289/$L$289*100</f>
        <v>0</v>
      </c>
      <c r="AV719" s="8">
        <f>$I$290/$L$290*100</f>
        <v>15.151515151515152</v>
      </c>
      <c r="AW719" s="8">
        <f>$I$291/$L$291*100</f>
        <v>0</v>
      </c>
      <c r="AX719" s="8">
        <f>SUM(AS719:AW719)</f>
        <v>100.00000000000001</v>
      </c>
      <c r="AY719" s="8">
        <f>$I$307/$L$307*100</f>
        <v>100</v>
      </c>
      <c r="AZ719" s="8">
        <f>$I$308/$L$308*100</f>
        <v>0</v>
      </c>
      <c r="BA719" s="8">
        <f>$I$309/$L$309*100</f>
        <v>0</v>
      </c>
      <c r="BB719" s="8">
        <f>$I$310/$L$310*100</f>
        <v>0</v>
      </c>
      <c r="BC719" s="8">
        <f>$I$311/$L$311*100</f>
        <v>0</v>
      </c>
      <c r="BD719" s="8">
        <f>SUM(AY719:BC719)</f>
        <v>100</v>
      </c>
    </row>
    <row r="720" spans="1:61" x14ac:dyDescent="0.2">
      <c r="A720" s="3"/>
      <c r="B720" s="4" t="s">
        <v>20</v>
      </c>
      <c r="C720" s="4" t="s">
        <v>21</v>
      </c>
      <c r="D720" s="4" t="s">
        <v>60</v>
      </c>
      <c r="E720" s="4" t="s">
        <v>61</v>
      </c>
      <c r="F720" s="4" t="s">
        <v>62</v>
      </c>
      <c r="G720" s="4"/>
      <c r="H720" s="4" t="s">
        <v>20</v>
      </c>
      <c r="I720" s="4" t="s">
        <v>21</v>
      </c>
      <c r="J720" s="4" t="s">
        <v>60</v>
      </c>
      <c r="K720" s="4" t="s">
        <v>61</v>
      </c>
      <c r="L720" s="4" t="s">
        <v>62</v>
      </c>
      <c r="M720" s="4"/>
      <c r="N720" s="4" t="s">
        <v>20</v>
      </c>
      <c r="O720" s="4" t="s">
        <v>21</v>
      </c>
      <c r="P720" s="4" t="s">
        <v>60</v>
      </c>
      <c r="Q720" s="4" t="s">
        <v>61</v>
      </c>
      <c r="R720" s="4" t="s">
        <v>62</v>
      </c>
      <c r="S720" s="4"/>
      <c r="T720" s="4" t="s">
        <v>20</v>
      </c>
      <c r="U720" s="4" t="s">
        <v>21</v>
      </c>
      <c r="V720" s="4" t="s">
        <v>60</v>
      </c>
      <c r="W720" s="4" t="s">
        <v>61</v>
      </c>
      <c r="X720" s="4" t="s">
        <v>62</v>
      </c>
      <c r="Y720" s="4"/>
      <c r="AF720" s="5" t="s">
        <v>58</v>
      </c>
      <c r="AG720" s="8">
        <f>$I$327/$L$327*100</f>
        <v>78.245614035087712</v>
      </c>
      <c r="AH720" s="8">
        <f>$I$328/$L$328*100</f>
        <v>9.4736842105263168</v>
      </c>
      <c r="AI720" s="8">
        <f>$I$329/$L$329*100</f>
        <v>3.5087719298245612</v>
      </c>
      <c r="AJ720" s="8">
        <f>$I$330/$L$330*100</f>
        <v>8.7719298245614024</v>
      </c>
      <c r="AK720" s="8">
        <f>$I$331/$L$331*100</f>
        <v>0</v>
      </c>
      <c r="AL720" s="8">
        <f>SUM(AG720:AK720)</f>
        <v>99.999999999999986</v>
      </c>
      <c r="AM720" s="8">
        <f>$I$347/$L$347*100</f>
        <v>76.470588235294116</v>
      </c>
      <c r="AN720" s="8">
        <f>$I$348/$L$348*100</f>
        <v>17.647058823529413</v>
      </c>
      <c r="AO720" s="8">
        <f>$I$349/$L$349*100</f>
        <v>0</v>
      </c>
      <c r="AP720" s="8">
        <f>$I$350/$L$350*100</f>
        <v>5.8823529411764701</v>
      </c>
      <c r="AQ720" s="8">
        <f>$I$351/$L$351*100</f>
        <v>0</v>
      </c>
      <c r="AR720" s="8">
        <f>SUM(AM720:AQ720)</f>
        <v>100</v>
      </c>
      <c r="AS720" s="8">
        <f>$I$367/$L$367*100</f>
        <v>62.068965517241381</v>
      </c>
      <c r="AT720" s="8">
        <f>$I$368/$L$368*100</f>
        <v>17.241379310344829</v>
      </c>
      <c r="AU720" s="8">
        <f>$I$369/$L$369*100</f>
        <v>0</v>
      </c>
      <c r="AV720" s="8">
        <f>$I$370/$L$370*100</f>
        <v>20.689655172413794</v>
      </c>
      <c r="AW720" s="8">
        <f>$I$371/$L$371*100</f>
        <v>0</v>
      </c>
      <c r="AX720" s="8">
        <f>SUM(AS720:AW720)</f>
        <v>100</v>
      </c>
      <c r="AY720" s="8">
        <f>$I$387/$L$387*100</f>
        <v>76.08695652173914</v>
      </c>
      <c r="AZ720" s="8">
        <f>$I$388/$L$388*100</f>
        <v>8.695652173913043</v>
      </c>
      <c r="BA720" s="8">
        <f>$I$389/$L$389*100</f>
        <v>8.695652173913043</v>
      </c>
      <c r="BB720" s="8">
        <f>$I$390/$L$390*100</f>
        <v>6.5217391304347823</v>
      </c>
      <c r="BC720" s="8">
        <f>$I$391/$L$391*100</f>
        <v>0</v>
      </c>
      <c r="BD720" s="8">
        <f>SUM(AY720:BC720)</f>
        <v>100.00000000000001</v>
      </c>
    </row>
    <row r="721" spans="1:61" x14ac:dyDescent="0.2">
      <c r="A721" s="5" t="s">
        <v>57</v>
      </c>
      <c r="B721" s="8">
        <f>$I$252/$L$252*100</f>
        <v>79.069767441860463</v>
      </c>
      <c r="C721" s="8">
        <f>$I$253/$L$253*100</f>
        <v>6.9767441860465116</v>
      </c>
      <c r="D721" s="8">
        <f>$I$254/$L$254*100</f>
        <v>1.1627906976744187</v>
      </c>
      <c r="E721" s="8">
        <f>$I$255/$L$255*100</f>
        <v>12.790697674418606</v>
      </c>
      <c r="F721" s="8">
        <f>$I$256/$L$256*100</f>
        <v>0</v>
      </c>
      <c r="G721" s="8">
        <f>SUM(B721:F721)</f>
        <v>100.00000000000001</v>
      </c>
      <c r="H721" s="8">
        <f>$I$272/$L$272*100</f>
        <v>81.25</v>
      </c>
      <c r="I721" s="8">
        <f>$I$273/$L$273*100</f>
        <v>0</v>
      </c>
      <c r="J721" s="8">
        <f>$I$274/$L$274*100</f>
        <v>0</v>
      </c>
      <c r="K721" s="8">
        <f t="shared" ref="K721" si="12">$I$275/$L$275*100</f>
        <v>18.75</v>
      </c>
      <c r="L721" s="8">
        <f>$I$276/$L$276*100</f>
        <v>0</v>
      </c>
      <c r="M721" s="8">
        <f>SUM(H721:L721)</f>
        <v>100</v>
      </c>
      <c r="N721" s="8">
        <f>$I$292/$L$292*100</f>
        <v>78.873239436619713</v>
      </c>
      <c r="O721" s="8">
        <f>$I$293/$L$293*100</f>
        <v>1.4084507042253522</v>
      </c>
      <c r="P721" s="8">
        <f>$I$294/$L$294*100</f>
        <v>1.4084507042253522</v>
      </c>
      <c r="Q721" s="8">
        <f>$I$295/$L$295*100</f>
        <v>18.30985915492958</v>
      </c>
      <c r="R721" s="8">
        <f>$I$296/$L$296*100</f>
        <v>0</v>
      </c>
      <c r="S721" s="8">
        <f>SUM(N721:R721)</f>
        <v>100.00000000000001</v>
      </c>
      <c r="T721" s="8">
        <f>$I$312/$L$312*100</f>
        <v>93.75</v>
      </c>
      <c r="U721" s="8">
        <f>$I$313/$L$313*100</f>
        <v>3.125</v>
      </c>
      <c r="V721" s="8">
        <f>$I$314/$L$314*100</f>
        <v>3.125</v>
      </c>
      <c r="W721" s="8">
        <f>$I$315/$L$315*100</f>
        <v>0</v>
      </c>
      <c r="X721" s="8">
        <f>$I$316/$L$316*100</f>
        <v>0</v>
      </c>
      <c r="Y721" s="8">
        <f>SUM(T721:X721)</f>
        <v>100</v>
      </c>
      <c r="AF721" s="5" t="s">
        <v>142</v>
      </c>
      <c r="AG721" s="8">
        <f>$I$567/$L$567*100</f>
        <v>78.260869565217391</v>
      </c>
      <c r="AH721" s="8">
        <f>$I$568/$L$568*100</f>
        <v>13.043478260869565</v>
      </c>
      <c r="AI721" s="8">
        <f>$I$569/$L$569*100</f>
        <v>0</v>
      </c>
      <c r="AJ721" s="8">
        <f>$I$570/$L$570*100</f>
        <v>8.695652173913043</v>
      </c>
      <c r="AK721" s="8">
        <f>$I$571/$L$571*100</f>
        <v>0</v>
      </c>
      <c r="AL721" s="8">
        <f>SUM(AG721:AK721)</f>
        <v>100</v>
      </c>
      <c r="AM721" s="8">
        <f>$I$587/$L$587*100</f>
        <v>33.333333333333329</v>
      </c>
      <c r="AN721" s="8">
        <f>$I$588/$L$588*100</f>
        <v>50</v>
      </c>
      <c r="AO721" s="8">
        <f>$I$589/$L$589*100</f>
        <v>0</v>
      </c>
      <c r="AP721" s="8">
        <f>$I$590/$L$590*100</f>
        <v>16.666666666666664</v>
      </c>
      <c r="AQ721" s="8">
        <f>$I$591/$L$591*100</f>
        <v>0</v>
      </c>
      <c r="AR721" s="8">
        <f>SUM(AM721:AQ721)</f>
        <v>100</v>
      </c>
      <c r="AS721" s="8">
        <f>$I$607/$L$607*100</f>
        <v>76.923076923076934</v>
      </c>
      <c r="AT721" s="8">
        <f>$I$608/$L$608*100</f>
        <v>11.538461538461538</v>
      </c>
      <c r="AU721" s="8">
        <f>$I$609/$L$609*100</f>
        <v>7.6923076923076925</v>
      </c>
      <c r="AV721" s="8">
        <f>$I$610/$L$610*100</f>
        <v>3.8461538461538463</v>
      </c>
      <c r="AW721" s="8">
        <f>$I$611/$L$611*100</f>
        <v>0</v>
      </c>
      <c r="AX721" s="8">
        <f>SUM(AS721:AW721)</f>
        <v>100</v>
      </c>
      <c r="AY721" s="8">
        <f>$I$627/$L$627*100</f>
        <v>92.307692307692307</v>
      </c>
      <c r="AZ721" s="8">
        <f>$I$628/$L$628*100</f>
        <v>7.6923076923076925</v>
      </c>
      <c r="BA721" s="8">
        <f>$I$629/$L$629*100</f>
        <v>0</v>
      </c>
      <c r="BB721" s="8">
        <f>$I$630/$L$630*100</f>
        <v>0</v>
      </c>
      <c r="BC721" s="8">
        <f>$I$631/$L$631*100</f>
        <v>0</v>
      </c>
      <c r="BD721" s="8">
        <f>SUM(AY721:BC721)</f>
        <v>100</v>
      </c>
    </row>
    <row r="722" spans="1:61" ht="16" thickBot="1" x14ac:dyDescent="0.25">
      <c r="A722" s="5" t="s">
        <v>58</v>
      </c>
      <c r="B722" s="8">
        <f>$I$332/$L$332*100</f>
        <v>77.00348432055749</v>
      </c>
      <c r="C722" s="8">
        <f>$I$333/$L$333*100</f>
        <v>9.4076655052264808</v>
      </c>
      <c r="D722" s="8">
        <f>$I$334/$L$334*100</f>
        <v>4.1811846689895473</v>
      </c>
      <c r="E722" s="8">
        <f>$I$335/$L$335*100</f>
        <v>9.4076655052264808</v>
      </c>
      <c r="F722" s="8">
        <f>$I$336/$L$336*100</f>
        <v>0</v>
      </c>
      <c r="G722" s="8">
        <f>SUM(B722:F722)</f>
        <v>99.999999999999986</v>
      </c>
      <c r="H722" s="8">
        <f>$I$352/$L$352*100</f>
        <v>86.666666666666671</v>
      </c>
      <c r="I722" s="8">
        <f>$I$353/$L$353*100</f>
        <v>13.333333333333334</v>
      </c>
      <c r="J722" s="8">
        <f>$I$354/$L$354*100</f>
        <v>0</v>
      </c>
      <c r="K722" s="8">
        <f t="shared" ref="K722" si="13">$I$355/$L$355*100</f>
        <v>0</v>
      </c>
      <c r="L722" s="8">
        <f>$I$356/$L$356*100</f>
        <v>0</v>
      </c>
      <c r="M722" s="8">
        <f>SUM(H722:L722)</f>
        <v>100</v>
      </c>
      <c r="N722" s="8">
        <f>$I$372/$L$372*100</f>
        <v>78.571428571428569</v>
      </c>
      <c r="O722" s="8">
        <f>$I$373/$L$373*100</f>
        <v>7.1428571428571423</v>
      </c>
      <c r="P722" s="8">
        <f>$I$374/$L$374*100</f>
        <v>0</v>
      </c>
      <c r="Q722" s="8">
        <f>$I$375/$L$375*100</f>
        <v>14.285714285714285</v>
      </c>
      <c r="R722" s="8">
        <f>$I$376/$L$376*100</f>
        <v>0</v>
      </c>
      <c r="S722" s="8">
        <f>SUM(N722:R722)</f>
        <v>100</v>
      </c>
      <c r="T722" s="8">
        <f>$I$392/$L$392*100</f>
        <v>90.322580645161281</v>
      </c>
      <c r="U722" s="8">
        <f>$I$393/$L$393*100</f>
        <v>6.4516129032258061</v>
      </c>
      <c r="V722" s="8">
        <f>$I$394/$L$394*100</f>
        <v>3.225806451612903</v>
      </c>
      <c r="W722" s="8">
        <f>$I$395/$L$395*100</f>
        <v>0</v>
      </c>
      <c r="X722" s="8">
        <f>$I$396/$L$396*100</f>
        <v>0</v>
      </c>
      <c r="Y722" s="8">
        <f>SUM(T722:X722)</f>
        <v>99.999999999999986</v>
      </c>
      <c r="AF722" s="9" t="s">
        <v>59</v>
      </c>
      <c r="AG722" s="8">
        <f>$I$407/$L$407*100</f>
        <v>22.222222222222221</v>
      </c>
      <c r="AH722" s="8">
        <f>$I$408/$L$408*100</f>
        <v>25.925925925925924</v>
      </c>
      <c r="AI722" s="8">
        <f>$I$409/$L$409*100</f>
        <v>31.481481481481481</v>
      </c>
      <c r="AJ722" s="8">
        <f>$I$410/$L$410*100</f>
        <v>20.37037037037037</v>
      </c>
      <c r="AK722" s="8">
        <f>$I$411/$L$411*100</f>
        <v>0</v>
      </c>
      <c r="AL722" s="8">
        <f>SUM(AG722:AK722)</f>
        <v>99.999999999999986</v>
      </c>
      <c r="AM722" s="8">
        <f>$I$427/$L$427*100</f>
        <v>0</v>
      </c>
      <c r="AN722" s="8">
        <f>$I$428/$L$428*100</f>
        <v>50</v>
      </c>
      <c r="AO722" s="8">
        <f>$I$429/$L$429*100</f>
        <v>0</v>
      </c>
      <c r="AP722" s="8">
        <f>$I$430/$L$430*100</f>
        <v>50</v>
      </c>
      <c r="AQ722" s="8">
        <f>$I$431/$L$431*100</f>
        <v>0</v>
      </c>
      <c r="AR722" s="8">
        <f>SUM(AM722:AQ722)</f>
        <v>100</v>
      </c>
      <c r="AS722" s="8">
        <f>$I$447/$L$447*100</f>
        <v>43.478260869565219</v>
      </c>
      <c r="AT722" s="8">
        <f>$I$448/$L$448*100</f>
        <v>13.043478260869565</v>
      </c>
      <c r="AU722" s="8">
        <f>$I$449/$L$449*100</f>
        <v>26.086956521739129</v>
      </c>
      <c r="AV722" s="8">
        <f>$I$450/$L$450*100</f>
        <v>17.391304347826086</v>
      </c>
      <c r="AW722" s="8">
        <f>$I$451/$L$451*100</f>
        <v>0</v>
      </c>
      <c r="AX722" s="8">
        <f>SUM(AS722:AW722)</f>
        <v>100</v>
      </c>
      <c r="AY722" s="8">
        <f>$I$467/$L$467*100</f>
        <v>41.17647058823529</v>
      </c>
      <c r="AZ722" s="8">
        <f>$I$468/$L$468*100</f>
        <v>23.52941176470588</v>
      </c>
      <c r="BA722" s="8">
        <f>$I$469/$L$469*100</f>
        <v>29.411764705882355</v>
      </c>
      <c r="BB722" s="8">
        <f>$I$470/$L$470*100</f>
        <v>5.8823529411764701</v>
      </c>
      <c r="BC722" s="8">
        <f>$I$471/$L$471*100</f>
        <v>0</v>
      </c>
      <c r="BD722" s="8">
        <f>SUM(AY722:BC722)</f>
        <v>100</v>
      </c>
    </row>
    <row r="723" spans="1:61" ht="16" thickBot="1" x14ac:dyDescent="0.25">
      <c r="A723" s="9" t="s">
        <v>59</v>
      </c>
      <c r="B723" s="8">
        <f>$I$412/$L$412*100</f>
        <v>37.5</v>
      </c>
      <c r="C723" s="8">
        <f>$I$413/$L$413*100</f>
        <v>20</v>
      </c>
      <c r="D723" s="8">
        <f>$I$414/$L$414*100</f>
        <v>20</v>
      </c>
      <c r="E723" s="8">
        <f>$I$415/$L$415*100</f>
        <v>22.5</v>
      </c>
      <c r="F723" s="8">
        <f>$I$416/$L$416*100</f>
        <v>0</v>
      </c>
      <c r="G723" s="8">
        <f>SUM(B723:F723)</f>
        <v>100</v>
      </c>
      <c r="H723" s="8">
        <f>$I$432/$L$432*100</f>
        <v>66.666666666666657</v>
      </c>
      <c r="I723" s="8">
        <f>$I$433/$L$433*100</f>
        <v>0</v>
      </c>
      <c r="J723" s="8">
        <f>$I$434/$L$434*100</f>
        <v>33.333333333333329</v>
      </c>
      <c r="K723" s="8">
        <f t="shared" ref="K723" si="14">$I$435/$L$435*100</f>
        <v>0</v>
      </c>
      <c r="L723" s="8">
        <f>$I$436/$L$436*100</f>
        <v>0</v>
      </c>
      <c r="M723" s="8">
        <f>SUM(H723:L723)</f>
        <v>99.999999999999986</v>
      </c>
      <c r="N723" s="8">
        <f>$I$452/$L$452*100</f>
        <v>43.75</v>
      </c>
      <c r="O723" s="8">
        <f>$I$453/$L$453*100</f>
        <v>12.5</v>
      </c>
      <c r="P723" s="8">
        <f>$I$454/$L$454*100</f>
        <v>15.625</v>
      </c>
      <c r="Q723" s="8">
        <f>$I$455/$L$455*100</f>
        <v>28.125</v>
      </c>
      <c r="R723" s="8">
        <f>$I$456/$L$456*100</f>
        <v>0</v>
      </c>
      <c r="S723" s="8">
        <f>SUM(N723:R723)</f>
        <v>100</v>
      </c>
      <c r="T723" s="8">
        <f>$I$472/$L$472*100</f>
        <v>50</v>
      </c>
      <c r="U723" s="8">
        <f>$I$473/$L$473*100</f>
        <v>12.5</v>
      </c>
      <c r="V723" s="8">
        <f>$I$474/$L$474*100</f>
        <v>31.25</v>
      </c>
      <c r="W723" s="8">
        <f>$I$475/$L$475*100</f>
        <v>6.25</v>
      </c>
      <c r="X723" s="8">
        <f>$I$476/$L$476*100</f>
        <v>0</v>
      </c>
      <c r="Y723" s="8">
        <f>SUM(T723:X723)</f>
        <v>100</v>
      </c>
      <c r="AF723" s="10" t="s">
        <v>50</v>
      </c>
      <c r="AG723" s="12">
        <f>AVERAGE(AG719:AG722)</f>
        <v>65.03101366493415</v>
      </c>
      <c r="AH723" s="12">
        <f>AVERAGE(AH719:AH722)</f>
        <v>14.145655820260684</v>
      </c>
      <c r="AI723" s="11">
        <f>AVERAGE(AI719:AI722)</f>
        <v>9.3289587016637192</v>
      </c>
      <c r="AJ723" s="11">
        <f>AVERAGE(AJ719:AJ722)</f>
        <v>11.494371813141436</v>
      </c>
      <c r="AK723" s="11">
        <f>AVERAGE(AK719:AK722)</f>
        <v>0</v>
      </c>
      <c r="AL723" s="12"/>
      <c r="AM723" s="11">
        <f>AVERAGE(AM719:AM722)</f>
        <v>46.568627450980387</v>
      </c>
      <c r="AN723" s="13">
        <f>AVERAGE(AN719:AN722)</f>
        <v>32.352941176470587</v>
      </c>
      <c r="AO723" s="14">
        <f>AVERAGE(AO719:AO722)</f>
        <v>0</v>
      </c>
      <c r="AP723" s="14">
        <f>AVERAGE(AP719:AP722)</f>
        <v>21.078431372549019</v>
      </c>
      <c r="AQ723" s="14">
        <f>AVERAGE(AQ719:AQ722)</f>
        <v>0</v>
      </c>
      <c r="AR723" s="12"/>
      <c r="AS723" s="14">
        <f>AVERAGE(AS719:AS722)</f>
        <v>66.450909160804216</v>
      </c>
      <c r="AT723" s="12">
        <f>AVERAGE(AT719:AT722)</f>
        <v>10.834617656206861</v>
      </c>
      <c r="AU723" s="11">
        <f>AVERAGE(AU719:AU722)</f>
        <v>8.4448160535117047</v>
      </c>
      <c r="AV723" s="11">
        <f>AVERAGE(AV719:AV722)</f>
        <v>14.269657129477221</v>
      </c>
      <c r="AW723" s="11">
        <f>AVERAGE(AW719:AW722)</f>
        <v>0</v>
      </c>
      <c r="AX723" s="15"/>
      <c r="AY723" s="14">
        <f>AVERAGE(AY719:AY722)</f>
        <v>77.392779854416688</v>
      </c>
      <c r="AZ723" s="12">
        <f>AVERAGE(AZ719:AZ722)</f>
        <v>9.9793429077316542</v>
      </c>
      <c r="BA723" s="11">
        <f>AVERAGE(BA719:BA722)</f>
        <v>9.5268542199488486</v>
      </c>
      <c r="BB723" s="11">
        <f>AVERAGE(BB719:BB722)</f>
        <v>3.1010230179028131</v>
      </c>
      <c r="BC723" s="11">
        <f>AVERAGE(BC719:BC722)</f>
        <v>0</v>
      </c>
      <c r="BD723" s="15"/>
      <c r="BE723" s="8">
        <f>AVERAGE(AG723,AM723,AS723,AY723)</f>
        <v>63.86083253278386</v>
      </c>
      <c r="BF723" s="8">
        <f>AVERAGE(AH723,AN723,AT723,AZ723)</f>
        <v>16.828139390167447</v>
      </c>
      <c r="BG723" s="8">
        <f>AVERAGE(AI723,AO723,AU723,BA723)</f>
        <v>6.8251572437810681</v>
      </c>
      <c r="BH723" s="8">
        <f>AVERAGE(AJ723,AP723,AV723,BB723)</f>
        <v>12.48587083326762</v>
      </c>
      <c r="BI723" s="8">
        <f>AVERAGE(AK723,AQ723,AW723,BC723)</f>
        <v>0</v>
      </c>
    </row>
    <row r="724" spans="1:61" x14ac:dyDescent="0.2">
      <c r="A724" s="10" t="s">
        <v>50</v>
      </c>
      <c r="B724" s="12">
        <f>AVERAGE(B721:B723)</f>
        <v>64.524417254139323</v>
      </c>
      <c r="C724" s="12">
        <f>AVERAGE(C721:C723)</f>
        <v>12.128136563757664</v>
      </c>
      <c r="D724" s="11">
        <f>AVERAGE(D721:D723)</f>
        <v>8.4479917888879879</v>
      </c>
      <c r="E724" s="11">
        <f>AVERAGE(E721:E723)</f>
        <v>14.899454393215029</v>
      </c>
      <c r="F724" s="11">
        <f>AVERAGE(F721:F723)</f>
        <v>0</v>
      </c>
      <c r="G724" s="12"/>
      <c r="H724" s="11">
        <f>AVERAGE(H721:H723)</f>
        <v>78.194444444444443</v>
      </c>
      <c r="I724" s="13">
        <f>AVERAGE(I721:I723)</f>
        <v>4.4444444444444446</v>
      </c>
      <c r="J724" s="14">
        <f>AVERAGE(J721:J723)</f>
        <v>11.111111111111109</v>
      </c>
      <c r="K724" s="14">
        <f>AVERAGE(K721:K723)</f>
        <v>6.25</v>
      </c>
      <c r="L724" s="14">
        <f>AVERAGE(L721:L723)</f>
        <v>0</v>
      </c>
      <c r="M724" s="12"/>
      <c r="N724" s="14">
        <f>AVERAGE(N721:N723)</f>
        <v>67.064889336016094</v>
      </c>
      <c r="O724" s="12">
        <f>AVERAGE(O721:O723)</f>
        <v>7.0171026156941645</v>
      </c>
      <c r="P724" s="11">
        <f>AVERAGE(P721:P723)</f>
        <v>5.677816901408451</v>
      </c>
      <c r="Q724" s="11">
        <f>AVERAGE(Q721:Q723)</f>
        <v>20.240191146881287</v>
      </c>
      <c r="R724" s="11">
        <f>AVERAGE(R721:R723)</f>
        <v>0</v>
      </c>
      <c r="S724" s="15"/>
      <c r="T724" s="14">
        <f>AVERAGE(T721:T723)</f>
        <v>78.024193548387089</v>
      </c>
      <c r="U724" s="12">
        <f>AVERAGE(U721:U723)</f>
        <v>7.3588709677419359</v>
      </c>
      <c r="V724" s="11">
        <f>AVERAGE(V721:V723)</f>
        <v>12.533602150537634</v>
      </c>
      <c r="W724" s="11">
        <f>AVERAGE(W721:W723)</f>
        <v>2.0833333333333335</v>
      </c>
      <c r="X724" s="11">
        <f>AVERAGE(X721:X723)</f>
        <v>0</v>
      </c>
      <c r="Y724" s="15"/>
      <c r="Z724" s="8">
        <f>AVERAGE(B724,H724,N724,T724)</f>
        <v>71.95198614574673</v>
      </c>
      <c r="AA724" s="8">
        <f>AVERAGE(C724,I724,O724,U724)</f>
        <v>7.7371386479095516</v>
      </c>
      <c r="AB724" s="8">
        <f>AVERAGE(D724,J724,P724,V724)</f>
        <v>9.4426304879862961</v>
      </c>
      <c r="AC724" s="8">
        <f>AVERAGE(E724,K724,Q724,W724)</f>
        <v>10.868244718357413</v>
      </c>
      <c r="AD724" s="8">
        <f>AVERAGE(F724,L724,R724,X724)</f>
        <v>0</v>
      </c>
    </row>
    <row r="726" spans="1:61" ht="48" x14ac:dyDescent="0.2">
      <c r="AF726" s="2" t="s">
        <v>193</v>
      </c>
      <c r="AG726" s="3" t="s">
        <v>53</v>
      </c>
      <c r="AH726" s="3"/>
      <c r="AI726" s="3"/>
      <c r="AJ726" s="3"/>
      <c r="AK726" s="3"/>
      <c r="AL726" s="4" t="s">
        <v>64</v>
      </c>
      <c r="AM726" s="3" t="s">
        <v>54</v>
      </c>
      <c r="AN726" s="3"/>
      <c r="AO726" s="3"/>
      <c r="AP726" s="3"/>
      <c r="AQ726" s="3"/>
      <c r="AR726" s="4" t="s">
        <v>64</v>
      </c>
      <c r="AS726" s="3" t="s">
        <v>55</v>
      </c>
      <c r="AT726" s="3"/>
      <c r="AU726" s="3"/>
      <c r="AV726" s="3"/>
      <c r="AW726" s="3"/>
      <c r="AX726" s="4" t="s">
        <v>64</v>
      </c>
      <c r="AY726" s="3" t="s">
        <v>56</v>
      </c>
      <c r="AZ726" s="3"/>
      <c r="BA726" s="3"/>
      <c r="BB726" s="3"/>
      <c r="BC726" s="3"/>
      <c r="BD726" s="4" t="s">
        <v>64</v>
      </c>
    </row>
    <row r="727" spans="1:61" ht="32" x14ac:dyDescent="0.2">
      <c r="A727" s="2" t="s">
        <v>194</v>
      </c>
      <c r="B727" s="3" t="s">
        <v>53</v>
      </c>
      <c r="C727" s="3"/>
      <c r="D727" s="3"/>
      <c r="E727" s="3"/>
      <c r="F727" s="3"/>
      <c r="G727" s="4" t="s">
        <v>64</v>
      </c>
      <c r="H727" s="3" t="s">
        <v>54</v>
      </c>
      <c r="I727" s="3"/>
      <c r="J727" s="3"/>
      <c r="K727" s="3"/>
      <c r="L727" s="3"/>
      <c r="M727" s="4" t="s">
        <v>64</v>
      </c>
      <c r="N727" s="3" t="s">
        <v>55</v>
      </c>
      <c r="O727" s="3"/>
      <c r="P727" s="3"/>
      <c r="Q727" s="3"/>
      <c r="R727" s="3"/>
      <c r="S727" s="4" t="s">
        <v>64</v>
      </c>
      <c r="T727" s="3" t="s">
        <v>56</v>
      </c>
      <c r="U727" s="3"/>
      <c r="V727" s="3"/>
      <c r="W727" s="3"/>
      <c r="X727" s="3"/>
      <c r="Y727" s="4" t="s">
        <v>64</v>
      </c>
      <c r="AF727" s="3"/>
      <c r="AG727" s="4" t="s">
        <v>20</v>
      </c>
      <c r="AH727" s="4" t="s">
        <v>21</v>
      </c>
      <c r="AI727" s="4" t="s">
        <v>60</v>
      </c>
      <c r="AJ727" s="4" t="s">
        <v>61</v>
      </c>
      <c r="AK727" s="4" t="s">
        <v>62</v>
      </c>
      <c r="AL727" s="4"/>
      <c r="AM727" s="4" t="s">
        <v>20</v>
      </c>
      <c r="AN727" s="4" t="s">
        <v>21</v>
      </c>
      <c r="AO727" s="4" t="s">
        <v>60</v>
      </c>
      <c r="AP727" s="4" t="s">
        <v>61</v>
      </c>
      <c r="AQ727" s="4" t="s">
        <v>62</v>
      </c>
      <c r="AR727" s="4"/>
      <c r="AS727" s="4" t="s">
        <v>20</v>
      </c>
      <c r="AT727" s="4" t="s">
        <v>21</v>
      </c>
      <c r="AU727" s="4" t="s">
        <v>60</v>
      </c>
      <c r="AV727" s="4" t="s">
        <v>61</v>
      </c>
      <c r="AW727" s="4" t="s">
        <v>62</v>
      </c>
      <c r="AX727" s="4"/>
      <c r="AY727" s="4" t="s">
        <v>20</v>
      </c>
      <c r="AZ727" s="4" t="s">
        <v>21</v>
      </c>
      <c r="BA727" s="4" t="s">
        <v>60</v>
      </c>
      <c r="BB727" s="4" t="s">
        <v>61</v>
      </c>
      <c r="BC727" s="4" t="s">
        <v>62</v>
      </c>
      <c r="BD727" s="4"/>
    </row>
    <row r="728" spans="1:61" x14ac:dyDescent="0.2">
      <c r="A728" s="3"/>
      <c r="B728" s="4" t="s">
        <v>20</v>
      </c>
      <c r="C728" s="4" t="s">
        <v>21</v>
      </c>
      <c r="D728" s="4" t="s">
        <v>60</v>
      </c>
      <c r="E728" s="4" t="s">
        <v>61</v>
      </c>
      <c r="F728" s="4" t="s">
        <v>62</v>
      </c>
      <c r="G728" s="4"/>
      <c r="H728" s="4" t="s">
        <v>20</v>
      </c>
      <c r="I728" s="4" t="s">
        <v>21</v>
      </c>
      <c r="J728" s="4" t="s">
        <v>60</v>
      </c>
      <c r="K728" s="4" t="s">
        <v>61</v>
      </c>
      <c r="L728" s="4" t="s">
        <v>62</v>
      </c>
      <c r="M728" s="4"/>
      <c r="N728" s="4" t="s">
        <v>20</v>
      </c>
      <c r="O728" s="4" t="s">
        <v>21</v>
      </c>
      <c r="P728" s="4" t="s">
        <v>60</v>
      </c>
      <c r="Q728" s="4" t="s">
        <v>61</v>
      </c>
      <c r="R728" s="4" t="s">
        <v>62</v>
      </c>
      <c r="S728" s="4"/>
      <c r="T728" s="4" t="s">
        <v>20</v>
      </c>
      <c r="U728" s="4" t="s">
        <v>21</v>
      </c>
      <c r="V728" s="4" t="s">
        <v>60</v>
      </c>
      <c r="W728" s="4" t="s">
        <v>61</v>
      </c>
      <c r="X728" s="4" t="s">
        <v>62</v>
      </c>
      <c r="Y728" s="4"/>
      <c r="AF728" s="5" t="s">
        <v>57</v>
      </c>
      <c r="AG728" s="8">
        <f>$I$252/$L$252*100</f>
        <v>79.069767441860463</v>
      </c>
      <c r="AH728" s="8">
        <f>$I$253/$L$253*100</f>
        <v>6.9767441860465116</v>
      </c>
      <c r="AI728" s="8">
        <f>$I$254/$L$254*100</f>
        <v>1.1627906976744187</v>
      </c>
      <c r="AJ728" s="8">
        <f>$I$255/$L$255*100</f>
        <v>12.790697674418606</v>
      </c>
      <c r="AK728" s="8">
        <f>$I$256/$L$256*100</f>
        <v>0</v>
      </c>
      <c r="AL728" s="8">
        <f>SUM(AG728:AK728)</f>
        <v>100.00000000000001</v>
      </c>
      <c r="AM728" s="8">
        <f>$I$272/$L$272*100</f>
        <v>81.25</v>
      </c>
      <c r="AN728" s="8">
        <f>$I$273/$L$273*100</f>
        <v>0</v>
      </c>
      <c r="AO728" s="8">
        <f>$I$274/$L$274*100</f>
        <v>0</v>
      </c>
      <c r="AP728" s="8">
        <f t="shared" ref="AP728" si="15">$I$275/$L$275*100</f>
        <v>18.75</v>
      </c>
      <c r="AQ728" s="8">
        <f>$I$276/$L$276*100</f>
        <v>0</v>
      </c>
      <c r="AR728" s="8">
        <f>SUM(AM728:AQ728)</f>
        <v>100</v>
      </c>
      <c r="AS728" s="8">
        <f>$I$292/$L$292*100</f>
        <v>78.873239436619713</v>
      </c>
      <c r="AT728" s="8">
        <f>$I$293/$L$293*100</f>
        <v>1.4084507042253522</v>
      </c>
      <c r="AU728" s="8">
        <f>$I$294/$L$294*100</f>
        <v>1.4084507042253522</v>
      </c>
      <c r="AV728" s="8">
        <f>$I$295/$L$295*100</f>
        <v>18.30985915492958</v>
      </c>
      <c r="AW728" s="8">
        <f>$I$296/$L$296*100</f>
        <v>0</v>
      </c>
      <c r="AX728" s="8">
        <f>SUM(AS728:AW728)</f>
        <v>100.00000000000001</v>
      </c>
      <c r="AY728" s="8">
        <f>$I$312/$L$312*100</f>
        <v>93.75</v>
      </c>
      <c r="AZ728" s="8">
        <f>$I$313/$L$313*100</f>
        <v>3.125</v>
      </c>
      <c r="BA728" s="8">
        <f>$I$314/$L$314*100</f>
        <v>3.125</v>
      </c>
      <c r="BB728" s="8">
        <f>$I$315/$L$315*100</f>
        <v>0</v>
      </c>
      <c r="BC728" s="8">
        <f>$I$316/$L$316*100</f>
        <v>0</v>
      </c>
      <c r="BD728" s="8">
        <f>SUM(AY728:BC728)</f>
        <v>100</v>
      </c>
    </row>
    <row r="729" spans="1:61" x14ac:dyDescent="0.2">
      <c r="A729" s="5" t="s">
        <v>57</v>
      </c>
      <c r="B729" s="8">
        <f>$I$257/$L$257*100</f>
        <v>77.011494252873561</v>
      </c>
      <c r="C729" s="8">
        <f>$I$258/$L$258*100</f>
        <v>8.0459770114942533</v>
      </c>
      <c r="D729" s="8">
        <f>$I$259/$L$259*100</f>
        <v>0</v>
      </c>
      <c r="E729" s="8">
        <f>$I$260/$L$260*100</f>
        <v>14.942528735632186</v>
      </c>
      <c r="F729" s="8">
        <f>$I$261/$L$261*100</f>
        <v>0</v>
      </c>
      <c r="G729" s="8">
        <f>SUM(B729:F729)</f>
        <v>100</v>
      </c>
      <c r="H729" s="8">
        <f>$I$277/$L$277*100</f>
        <v>75</v>
      </c>
      <c r="I729" s="8">
        <f>$I$278/$L$278*100</f>
        <v>8.3333333333333321</v>
      </c>
      <c r="J729" s="8">
        <f>$I$279/$L$279*100</f>
        <v>8.3333333333333321</v>
      </c>
      <c r="K729" s="8">
        <f>$I$280/$L$280*100</f>
        <v>8.3333333333333321</v>
      </c>
      <c r="L729" s="8">
        <f>$I$281/$L$281*100</f>
        <v>0</v>
      </c>
      <c r="M729" s="8">
        <f>SUM(H729:L729)</f>
        <v>99.999999999999986</v>
      </c>
      <c r="N729" s="8">
        <f>$I$297/$L$297*100</f>
        <v>72.289156626506028</v>
      </c>
      <c r="O729" s="8">
        <f>$I$298/$L$298*100</f>
        <v>7.2289156626506017</v>
      </c>
      <c r="P729" s="8">
        <f>$I$299/$L$299*100</f>
        <v>1.2048192771084338</v>
      </c>
      <c r="Q729" s="8">
        <f>$I$300/$L$300*100</f>
        <v>19.277108433734941</v>
      </c>
      <c r="R729" s="8">
        <f>$I$311/$L$311*100</f>
        <v>0</v>
      </c>
      <c r="S729" s="8">
        <f>SUM(N729:R729)</f>
        <v>100</v>
      </c>
      <c r="T729" s="8">
        <f>$I$317/$L$317*100</f>
        <v>94.117647058823522</v>
      </c>
      <c r="U729" s="8">
        <f>$I$318/$L$318*100</f>
        <v>2.9411764705882351</v>
      </c>
      <c r="V729" s="8">
        <f>$I$319/$L$319*100</f>
        <v>2.9411764705882351</v>
      </c>
      <c r="W729" s="8">
        <f>$I$320/$L$320*100</f>
        <v>0</v>
      </c>
      <c r="X729" s="8">
        <f>$I$321/$L$321*100</f>
        <v>0</v>
      </c>
      <c r="Y729" s="8">
        <f>SUM(T729:X729)</f>
        <v>99.999999999999986</v>
      </c>
      <c r="AF729" s="5" t="s">
        <v>58</v>
      </c>
      <c r="AG729" s="8">
        <f>$I$332/$L$332*100</f>
        <v>77.00348432055749</v>
      </c>
      <c r="AH729" s="8">
        <f>$I$333/$L$333*100</f>
        <v>9.4076655052264808</v>
      </c>
      <c r="AI729" s="8">
        <f>$I$334/$L$334*100</f>
        <v>4.1811846689895473</v>
      </c>
      <c r="AJ729" s="8">
        <f>$I$335/$L$335*100</f>
        <v>9.4076655052264808</v>
      </c>
      <c r="AK729" s="8">
        <f>$I$336/$L$336*100</f>
        <v>0</v>
      </c>
      <c r="AL729" s="8">
        <f>SUM(AG729:AK729)</f>
        <v>99.999999999999986</v>
      </c>
      <c r="AM729" s="8">
        <f>$I$352/$L$352*100</f>
        <v>86.666666666666671</v>
      </c>
      <c r="AN729" s="8">
        <f>$I$353/$L$353*100</f>
        <v>13.333333333333334</v>
      </c>
      <c r="AO729" s="8">
        <f>$I$354/$L$354*100</f>
        <v>0</v>
      </c>
      <c r="AP729" s="8">
        <f t="shared" ref="AP729" si="16">$I$355/$L$355*100</f>
        <v>0</v>
      </c>
      <c r="AQ729" s="8">
        <f>$I$356/$L$356*100</f>
        <v>0</v>
      </c>
      <c r="AR729" s="8">
        <f>SUM(AM729:AQ729)</f>
        <v>100</v>
      </c>
      <c r="AS729" s="8">
        <f>$I$372/$L$372*100</f>
        <v>78.571428571428569</v>
      </c>
      <c r="AT729" s="8">
        <f>$I$373/$L$373*100</f>
        <v>7.1428571428571423</v>
      </c>
      <c r="AU729" s="8">
        <f>$I$374/$L$374*100</f>
        <v>0</v>
      </c>
      <c r="AV729" s="8">
        <f>$I$375/$L$375*100</f>
        <v>14.285714285714285</v>
      </c>
      <c r="AW729" s="8">
        <f>$I$376/$L$376*100</f>
        <v>0</v>
      </c>
      <c r="AX729" s="8">
        <f>SUM(AS729:AW729)</f>
        <v>100</v>
      </c>
      <c r="AY729" s="8">
        <f>$I$392/$L$392*100</f>
        <v>90.322580645161281</v>
      </c>
      <c r="AZ729" s="8">
        <f>$I$393/$L$393*100</f>
        <v>6.4516129032258061</v>
      </c>
      <c r="BA729" s="8">
        <f>$I$394/$L$394*100</f>
        <v>3.225806451612903</v>
      </c>
      <c r="BB729" s="8">
        <f>$I$395/$L$395*100</f>
        <v>0</v>
      </c>
      <c r="BC729" s="8">
        <f>$I$396/$L$396*100</f>
        <v>0</v>
      </c>
      <c r="BD729" s="8">
        <f>SUM(AY729:BC729)</f>
        <v>99.999999999999986</v>
      </c>
    </row>
    <row r="730" spans="1:61" x14ac:dyDescent="0.2">
      <c r="A730" s="5" t="s">
        <v>58</v>
      </c>
      <c r="B730" s="8">
        <f>$I$337/$L$337*100</f>
        <v>72.563176895306853</v>
      </c>
      <c r="C730" s="8">
        <f>$I$338/$L$338*100</f>
        <v>12.996389891696749</v>
      </c>
      <c r="D730" s="8">
        <f>$I$339/$L$339*100</f>
        <v>3.2490974729241873</v>
      </c>
      <c r="E730" s="8">
        <f>$I$340/$L$340*100</f>
        <v>11.191335740072201</v>
      </c>
      <c r="F730" s="8">
        <f>$I$341/$L$341*100</f>
        <v>0</v>
      </c>
      <c r="G730" s="8">
        <f>SUM(B730:F730)</f>
        <v>100</v>
      </c>
      <c r="H730" s="8">
        <f>$I$357/$L$357*100</f>
        <v>50</v>
      </c>
      <c r="I730" s="8">
        <f>$I$358/$L$358*100</f>
        <v>35</v>
      </c>
      <c r="J730" s="8">
        <f>$I$359/$L$359*100</f>
        <v>5</v>
      </c>
      <c r="K730" s="8">
        <f>$I$360/$L$360*100</f>
        <v>10</v>
      </c>
      <c r="L730" s="8">
        <f>$I$361/$L$361*100</f>
        <v>0</v>
      </c>
      <c r="M730" s="8">
        <f>SUM(H730:L730)</f>
        <v>100</v>
      </c>
      <c r="N730" s="8">
        <f>$I$377/$L$377*100</f>
        <v>72</v>
      </c>
      <c r="O730" s="8">
        <f>$I$378/$L$378*100</f>
        <v>16</v>
      </c>
      <c r="P730" s="8">
        <f>$I$379/$L$379*100</f>
        <v>8</v>
      </c>
      <c r="Q730" s="8">
        <f>$I$380/$L$380*100</f>
        <v>4</v>
      </c>
      <c r="R730" s="8">
        <f>$I$381/$L$381*100</f>
        <v>0</v>
      </c>
      <c r="S730" s="8">
        <f>SUM(N730:R730)</f>
        <v>100</v>
      </c>
      <c r="T730" s="8">
        <f>$I$397/$L$397*100</f>
        <v>70.270270270270274</v>
      </c>
      <c r="U730" s="8">
        <f>$I$398/$L$398*100</f>
        <v>18.918918918918919</v>
      </c>
      <c r="V730" s="8">
        <f>$I$399/$L$399*100</f>
        <v>5.4054054054054053</v>
      </c>
      <c r="W730" s="8">
        <f>$I$400/$L$400*100</f>
        <v>5.4054054054054053</v>
      </c>
      <c r="X730" s="8">
        <f>$I$411/$L$411*100</f>
        <v>0</v>
      </c>
      <c r="Y730" s="8">
        <f>SUM(T730:X730)</f>
        <v>100</v>
      </c>
      <c r="AF730" s="5" t="s">
        <v>142</v>
      </c>
      <c r="AG730" s="8">
        <f>$I$572/$L$572*100</f>
        <v>75</v>
      </c>
      <c r="AH730" s="8">
        <f>$I$573/$L$573*100</f>
        <v>20</v>
      </c>
      <c r="AI730" s="8">
        <f>$I$574/$L$574*100</f>
        <v>5</v>
      </c>
      <c r="AJ730" s="8">
        <f>$I$575/$L$575*100</f>
        <v>0</v>
      </c>
      <c r="AK730" s="8">
        <f>$I$576/$L$576*100</f>
        <v>0</v>
      </c>
      <c r="AL730" s="8">
        <f>SUM(AG730:AK730)</f>
        <v>100</v>
      </c>
      <c r="AM730" s="8">
        <f>$I$592/$L$592*100</f>
        <v>50</v>
      </c>
      <c r="AN730" s="8">
        <f>$I$593/$L$593*100</f>
        <v>25</v>
      </c>
      <c r="AO730" s="8">
        <f>$I$594/$L$594*100</f>
        <v>0</v>
      </c>
      <c r="AP730" s="8">
        <f>$I$595/$L$595*100</f>
        <v>25</v>
      </c>
      <c r="AQ730" s="8">
        <f>$I$596/$L$596*100</f>
        <v>0</v>
      </c>
      <c r="AR730" s="8">
        <f>SUM(AM730:AQ730)</f>
        <v>100</v>
      </c>
      <c r="AS730" s="8">
        <f>$I$612/$L$612*100</f>
        <v>76.923076923076934</v>
      </c>
      <c r="AT730" s="8">
        <f>$I$613/$L$613*100</f>
        <v>3.8461538461538463</v>
      </c>
      <c r="AU730" s="8">
        <f>$I$614/$L$614*100</f>
        <v>7.6923076923076925</v>
      </c>
      <c r="AV730" s="8">
        <f>$I$615/$L$615*100</f>
        <v>11.538461538461538</v>
      </c>
      <c r="AW730" s="8">
        <f>$I$611/$L$611*100</f>
        <v>0</v>
      </c>
      <c r="AX730" s="8">
        <f>SUM(AS730:AW730)</f>
        <v>100</v>
      </c>
      <c r="AY730" s="8">
        <f>$I$632/$L$632*100</f>
        <v>86.666666666666671</v>
      </c>
      <c r="AZ730" s="8">
        <f>$I$633/$L$633*100</f>
        <v>13.333333333333334</v>
      </c>
      <c r="BA730" s="8">
        <f>$I$634/$L$634*100</f>
        <v>0</v>
      </c>
      <c r="BB730" s="8">
        <f>$I$635/$L$635*100</f>
        <v>0</v>
      </c>
      <c r="BC730" s="8">
        <f>$I$636/$L$636*100</f>
        <v>0</v>
      </c>
      <c r="BD730" s="8">
        <f>SUM(AY730:BC730)</f>
        <v>100</v>
      </c>
    </row>
    <row r="731" spans="1:61" ht="16" thickBot="1" x14ac:dyDescent="0.25">
      <c r="A731" s="9" t="s">
        <v>59</v>
      </c>
      <c r="B731" s="8">
        <f>$I$417/$L$417*100</f>
        <v>7.8431372549019605</v>
      </c>
      <c r="C731" s="8">
        <f>$I$418/$L$418*100</f>
        <v>17.647058823529413</v>
      </c>
      <c r="D731" s="8">
        <f>$I$419/$L$419*100</f>
        <v>27.450980392156865</v>
      </c>
      <c r="E731" s="8">
        <f>$I$420/$L$420*100</f>
        <v>47.058823529411761</v>
      </c>
      <c r="F731" s="8">
        <f>$I$421/$L$421*100</f>
        <v>0</v>
      </c>
      <c r="G731" s="8">
        <f>SUM(B731:F731)</f>
        <v>100</v>
      </c>
      <c r="H731" s="8">
        <f>$I$437/$L$437*100</f>
        <v>20</v>
      </c>
      <c r="I731" s="8">
        <f>$I$438/$L$438*100</f>
        <v>40</v>
      </c>
      <c r="J731" s="8">
        <f>$I$439/$L$439*100</f>
        <v>0</v>
      </c>
      <c r="K731" s="8">
        <f>$I$440/$L$440*100</f>
        <v>40</v>
      </c>
      <c r="L731" s="8">
        <f>$I$441/$L$441*100</f>
        <v>0</v>
      </c>
      <c r="M731" s="8">
        <f>SUM(H731:L731)</f>
        <v>100</v>
      </c>
      <c r="N731" s="8">
        <f>$I$457/$L$457*100</f>
        <v>25</v>
      </c>
      <c r="O731" s="8">
        <f>$I$458/$L$458*100</f>
        <v>21.875</v>
      </c>
      <c r="P731" s="8">
        <f>$I$459/$L$459*100</f>
        <v>9.375</v>
      </c>
      <c r="Q731" s="8">
        <f>$I$460/$L$460*100</f>
        <v>43.75</v>
      </c>
      <c r="R731" s="8">
        <f>$I$461/$L$461*100</f>
        <v>0</v>
      </c>
      <c r="S731" s="8">
        <f>SUM(N731:R731)</f>
        <v>100</v>
      </c>
      <c r="T731" s="8">
        <f>$I$477/$L$477*100</f>
        <v>12.5</v>
      </c>
      <c r="U731" s="8">
        <f>$I$478/$L$478*100</f>
        <v>37.5</v>
      </c>
      <c r="V731" s="8">
        <f>$I$479/$L$479*100</f>
        <v>12.5</v>
      </c>
      <c r="W731" s="8">
        <f>$I$480/$L$480*100</f>
        <v>37.5</v>
      </c>
      <c r="X731" s="8">
        <f>$I$481/$L$481*100</f>
        <v>0</v>
      </c>
      <c r="Y731" s="8">
        <f>SUM(T731:X731)</f>
        <v>100</v>
      </c>
      <c r="AF731" s="9" t="s">
        <v>59</v>
      </c>
      <c r="AG731" s="8">
        <f>$I$412/$L$412*100</f>
        <v>37.5</v>
      </c>
      <c r="AH731" s="8">
        <f>$I$413/$L$413*100</f>
        <v>20</v>
      </c>
      <c r="AI731" s="8">
        <f>$I$414/$L$414*100</f>
        <v>20</v>
      </c>
      <c r="AJ731" s="8">
        <f>$I$415/$L$415*100</f>
        <v>22.5</v>
      </c>
      <c r="AK731" s="8">
        <f>$I$416/$L$416*100</f>
        <v>0</v>
      </c>
      <c r="AL731" s="8">
        <f>SUM(AG731:AK731)</f>
        <v>100</v>
      </c>
      <c r="AM731" s="8">
        <f>$I$432/$L$432*100</f>
        <v>66.666666666666657</v>
      </c>
      <c r="AN731" s="8">
        <f>$I$433/$L$433*100</f>
        <v>0</v>
      </c>
      <c r="AO731" s="8">
        <f>$I$434/$L$434*100</f>
        <v>33.333333333333329</v>
      </c>
      <c r="AP731" s="8">
        <f t="shared" ref="AP731" si="17">$I$435/$L$435*100</f>
        <v>0</v>
      </c>
      <c r="AQ731" s="8">
        <f>$I$436/$L$436*100</f>
        <v>0</v>
      </c>
      <c r="AR731" s="8">
        <f>SUM(AM731:AQ731)</f>
        <v>99.999999999999986</v>
      </c>
      <c r="AS731" s="8">
        <f>$I$452/$L$452*100</f>
        <v>43.75</v>
      </c>
      <c r="AT731" s="8">
        <f>$I$453/$L$453*100</f>
        <v>12.5</v>
      </c>
      <c r="AU731" s="8">
        <f>$I$454/$L$454*100</f>
        <v>15.625</v>
      </c>
      <c r="AV731" s="8">
        <f>$I$455/$L$455*100</f>
        <v>28.125</v>
      </c>
      <c r="AW731" s="8">
        <f>$I$456/$L$456*100</f>
        <v>0</v>
      </c>
      <c r="AX731" s="8">
        <f>SUM(AS731:AW731)</f>
        <v>100</v>
      </c>
      <c r="AY731" s="8">
        <f>$I$472/$L$472*100</f>
        <v>50</v>
      </c>
      <c r="AZ731" s="8">
        <f>$I$473/$L$473*100</f>
        <v>12.5</v>
      </c>
      <c r="BA731" s="8">
        <f>$I$474/$L$474*100</f>
        <v>31.25</v>
      </c>
      <c r="BB731" s="8">
        <f>$I$475/$L$475*100</f>
        <v>6.25</v>
      </c>
      <c r="BC731" s="8">
        <f>$I$476/$L$476*100</f>
        <v>0</v>
      </c>
      <c r="BD731" s="8">
        <f>SUM(AY731:BC731)</f>
        <v>100</v>
      </c>
    </row>
    <row r="732" spans="1:61" x14ac:dyDescent="0.2">
      <c r="A732" s="10" t="s">
        <v>50</v>
      </c>
      <c r="B732" s="12">
        <f>AVERAGE(B729:B731)</f>
        <v>52.472602801027456</v>
      </c>
      <c r="C732" s="12">
        <f>AVERAGE(C729:C731)</f>
        <v>12.896475242240138</v>
      </c>
      <c r="D732" s="11">
        <f>AVERAGE(D729:D731)</f>
        <v>10.233359288360351</v>
      </c>
      <c r="E732" s="11">
        <f>AVERAGE(E729:E731)</f>
        <v>24.397562668372046</v>
      </c>
      <c r="F732" s="11">
        <f>AVERAGE(F729:F731)</f>
        <v>0</v>
      </c>
      <c r="G732" s="12"/>
      <c r="H732" s="11">
        <f>AVERAGE(H729:H731)</f>
        <v>48.333333333333336</v>
      </c>
      <c r="I732" s="13">
        <f>AVERAGE(I729:I731)</f>
        <v>27.777777777777775</v>
      </c>
      <c r="J732" s="14">
        <f>AVERAGE(J729:J731)</f>
        <v>4.4444444444444438</v>
      </c>
      <c r="K732" s="14">
        <f>AVERAGE(K729:K731)</f>
        <v>19.444444444444443</v>
      </c>
      <c r="L732" s="14">
        <f>AVERAGE(L729:L731)</f>
        <v>0</v>
      </c>
      <c r="M732" s="12"/>
      <c r="N732" s="14">
        <f>AVERAGE(N729:N731)</f>
        <v>56.429718875502012</v>
      </c>
      <c r="O732" s="12">
        <f>AVERAGE(O729:O731)</f>
        <v>15.034638554216867</v>
      </c>
      <c r="P732" s="11">
        <f>AVERAGE(P729:P731)</f>
        <v>6.1932730923694779</v>
      </c>
      <c r="Q732" s="11">
        <f>AVERAGE(Q729:Q731)</f>
        <v>22.342369477911646</v>
      </c>
      <c r="R732" s="11">
        <f>AVERAGE(R729:R731)</f>
        <v>0</v>
      </c>
      <c r="S732" s="15"/>
      <c r="T732" s="14">
        <f>AVERAGE(T729:T731)</f>
        <v>58.962639109697932</v>
      </c>
      <c r="U732" s="12">
        <f>AVERAGE(U729:U731)</f>
        <v>19.786698463169049</v>
      </c>
      <c r="V732" s="11">
        <f>AVERAGE(V729:V731)</f>
        <v>6.9488606253312142</v>
      </c>
      <c r="W732" s="11">
        <f>AVERAGE(W729:W731)</f>
        <v>14.301801801801801</v>
      </c>
      <c r="X732" s="11">
        <f>AVERAGE(X729:X731)</f>
        <v>0</v>
      </c>
      <c r="Y732" s="15"/>
      <c r="Z732" s="8">
        <f>AVERAGE(B732,H732,N732,T732)</f>
        <v>54.049573529890182</v>
      </c>
      <c r="AA732" s="8">
        <f>AVERAGE(C732,I732,O732,U732)</f>
        <v>18.873897509350957</v>
      </c>
      <c r="AB732" s="8">
        <f>AVERAGE(D732,J732,P732,V732)</f>
        <v>6.9549843626263712</v>
      </c>
      <c r="AC732" s="8">
        <f>AVERAGE(E732,K732,Q732,W732)</f>
        <v>20.121544598132484</v>
      </c>
      <c r="AD732" s="8">
        <f>AVERAGE(F732,L732,R732,X732)</f>
        <v>0</v>
      </c>
      <c r="AF732" s="10" t="s">
        <v>50</v>
      </c>
      <c r="AG732" s="12">
        <f>AVERAGE(AG728:AG731)</f>
        <v>67.143312940604488</v>
      </c>
      <c r="AH732" s="12">
        <f>AVERAGE(AH728:AH731)</f>
        <v>14.096102422818248</v>
      </c>
      <c r="AI732" s="11">
        <f>AVERAGE(AI728:AI731)</f>
        <v>7.5859938416659913</v>
      </c>
      <c r="AJ732" s="11">
        <f>AVERAGE(AJ728:AJ731)</f>
        <v>11.174590794911271</v>
      </c>
      <c r="AK732" s="11">
        <f>AVERAGE(AK728:AK731)</f>
        <v>0</v>
      </c>
      <c r="AL732" s="12"/>
      <c r="AM732" s="11">
        <f>AVERAGE(AM728:AM731)</f>
        <v>71.145833333333343</v>
      </c>
      <c r="AN732" s="13">
        <f>AVERAGE(AN728:AN731)</f>
        <v>9.5833333333333339</v>
      </c>
      <c r="AO732" s="14">
        <f>AVERAGE(AO728:AO731)</f>
        <v>8.3333333333333321</v>
      </c>
      <c r="AP732" s="14">
        <f>AVERAGE(AP728:AP731)</f>
        <v>10.9375</v>
      </c>
      <c r="AQ732" s="14">
        <f>AVERAGE(AQ728:AQ731)</f>
        <v>0</v>
      </c>
      <c r="AR732" s="12"/>
      <c r="AS732" s="14">
        <f>AVERAGE(AS728:AS731)</f>
        <v>69.529436232781308</v>
      </c>
      <c r="AT732" s="12">
        <f>AVERAGE(AT728:AT731)</f>
        <v>6.2243654233090853</v>
      </c>
      <c r="AU732" s="11">
        <f>AVERAGE(AU728:AU731)</f>
        <v>6.1814395991332614</v>
      </c>
      <c r="AV732" s="11">
        <f>AVERAGE(AV728:AV731)</f>
        <v>18.064758744776348</v>
      </c>
      <c r="AW732" s="11">
        <f>AVERAGE(AW728:AW731)</f>
        <v>0</v>
      </c>
      <c r="AX732" s="15"/>
      <c r="AY732" s="14">
        <f>AVERAGE(AY728:AY731)</f>
        <v>80.184811827956992</v>
      </c>
      <c r="AZ732" s="12">
        <f>AVERAGE(AZ728:AZ731)</f>
        <v>8.8524865591397841</v>
      </c>
      <c r="BA732" s="11">
        <f>AVERAGE(BA728:BA731)</f>
        <v>9.400201612903226</v>
      </c>
      <c r="BB732" s="11">
        <f>AVERAGE(BB728:BB731)</f>
        <v>1.5625</v>
      </c>
      <c r="BC732" s="11">
        <f>AVERAGE(BC728:BC731)</f>
        <v>0</v>
      </c>
      <c r="BD732" s="15"/>
      <c r="BE732" s="8">
        <f>AVERAGE(AG732,AM732,AS732,AY732)</f>
        <v>72.00084858366904</v>
      </c>
      <c r="BF732" s="8">
        <f>AVERAGE(AH732,AN732,AT732,AZ732)</f>
        <v>9.6890719346501122</v>
      </c>
      <c r="BG732" s="8">
        <f>AVERAGE(AI732,AO732,AU732,BA732)</f>
        <v>7.8752420967589529</v>
      </c>
      <c r="BH732" s="8">
        <f>AVERAGE(AJ732,AP732,AV732,BB732)</f>
        <v>10.434837384921906</v>
      </c>
      <c r="BI732" s="8">
        <f>AVERAGE(AK732,AQ732,AW732,BC732)</f>
        <v>0</v>
      </c>
    </row>
    <row r="735" spans="1:61" ht="48" x14ac:dyDescent="0.2">
      <c r="A735" s="2" t="s">
        <v>195</v>
      </c>
      <c r="B735" s="3" t="s">
        <v>53</v>
      </c>
      <c r="C735" s="3"/>
      <c r="D735" s="3"/>
      <c r="E735" s="3"/>
      <c r="F735" s="3"/>
      <c r="G735" s="4" t="s">
        <v>64</v>
      </c>
      <c r="H735" s="3" t="s">
        <v>54</v>
      </c>
      <c r="I735" s="3"/>
      <c r="J735" s="3"/>
      <c r="K735" s="3"/>
      <c r="L735" s="3"/>
      <c r="M735" s="4" t="s">
        <v>64</v>
      </c>
      <c r="N735" s="3" t="s">
        <v>55</v>
      </c>
      <c r="O735" s="3"/>
      <c r="P735" s="3"/>
      <c r="Q735" s="3"/>
      <c r="R735" s="3"/>
      <c r="S735" s="4" t="s">
        <v>64</v>
      </c>
      <c r="T735" s="3" t="s">
        <v>56</v>
      </c>
      <c r="U735" s="3"/>
      <c r="V735" s="3"/>
      <c r="W735" s="3"/>
      <c r="X735" s="3"/>
      <c r="Y735" s="4" t="s">
        <v>64</v>
      </c>
      <c r="AF735" s="2" t="s">
        <v>194</v>
      </c>
      <c r="AG735" s="3" t="s">
        <v>53</v>
      </c>
      <c r="AH735" s="3"/>
      <c r="AI735" s="3"/>
      <c r="AJ735" s="3"/>
      <c r="AK735" s="3"/>
      <c r="AL735" s="4" t="s">
        <v>64</v>
      </c>
      <c r="AM735" s="3" t="s">
        <v>54</v>
      </c>
      <c r="AN735" s="3"/>
      <c r="AO735" s="3"/>
      <c r="AP735" s="3"/>
      <c r="AQ735" s="3"/>
      <c r="AR735" s="4" t="s">
        <v>64</v>
      </c>
      <c r="AS735" s="3" t="s">
        <v>55</v>
      </c>
      <c r="AT735" s="3"/>
      <c r="AU735" s="3"/>
      <c r="AV735" s="3"/>
      <c r="AW735" s="3"/>
      <c r="AX735" s="4" t="s">
        <v>64</v>
      </c>
      <c r="AY735" s="3" t="s">
        <v>56</v>
      </c>
      <c r="AZ735" s="3"/>
      <c r="BA735" s="3"/>
      <c r="BB735" s="3"/>
      <c r="BC735" s="3"/>
      <c r="BD735" s="4" t="s">
        <v>64</v>
      </c>
    </row>
    <row r="736" spans="1:61" x14ac:dyDescent="0.2">
      <c r="A736" s="3"/>
      <c r="B736" s="4" t="s">
        <v>20</v>
      </c>
      <c r="C736" s="4" t="s">
        <v>21</v>
      </c>
      <c r="D736" s="4" t="s">
        <v>60</v>
      </c>
      <c r="E736" s="4" t="s">
        <v>61</v>
      </c>
      <c r="F736" s="4" t="s">
        <v>62</v>
      </c>
      <c r="G736" s="4"/>
      <c r="H736" s="4" t="s">
        <v>20</v>
      </c>
      <c r="I736" s="4" t="s">
        <v>21</v>
      </c>
      <c r="J736" s="4" t="s">
        <v>60</v>
      </c>
      <c r="K736" s="4" t="s">
        <v>61</v>
      </c>
      <c r="L736" s="4" t="s">
        <v>62</v>
      </c>
      <c r="M736" s="4"/>
      <c r="N736" s="4" t="s">
        <v>20</v>
      </c>
      <c r="O736" s="4" t="s">
        <v>21</v>
      </c>
      <c r="P736" s="4" t="s">
        <v>60</v>
      </c>
      <c r="Q736" s="4" t="s">
        <v>61</v>
      </c>
      <c r="R736" s="4" t="s">
        <v>62</v>
      </c>
      <c r="S736" s="4"/>
      <c r="T736" s="4" t="s">
        <v>20</v>
      </c>
      <c r="U736" s="4" t="s">
        <v>21</v>
      </c>
      <c r="V736" s="4" t="s">
        <v>60</v>
      </c>
      <c r="W736" s="4" t="s">
        <v>61</v>
      </c>
      <c r="X736" s="4" t="s">
        <v>62</v>
      </c>
      <c r="Y736" s="4"/>
      <c r="AF736" s="3"/>
      <c r="AG736" s="4" t="s">
        <v>20</v>
      </c>
      <c r="AH736" s="4" t="s">
        <v>21</v>
      </c>
      <c r="AI736" s="4" t="s">
        <v>60</v>
      </c>
      <c r="AJ736" s="4" t="s">
        <v>61</v>
      </c>
      <c r="AK736" s="4" t="s">
        <v>62</v>
      </c>
      <c r="AL736" s="4"/>
      <c r="AM736" s="4" t="s">
        <v>20</v>
      </c>
      <c r="AN736" s="4" t="s">
        <v>21</v>
      </c>
      <c r="AO736" s="4" t="s">
        <v>60</v>
      </c>
      <c r="AP736" s="4" t="s">
        <v>61</v>
      </c>
      <c r="AQ736" s="4" t="s">
        <v>62</v>
      </c>
      <c r="AR736" s="4"/>
      <c r="AS736" s="4" t="s">
        <v>20</v>
      </c>
      <c r="AT736" s="4" t="s">
        <v>21</v>
      </c>
      <c r="AU736" s="4" t="s">
        <v>60</v>
      </c>
      <c r="AV736" s="4" t="s">
        <v>61</v>
      </c>
      <c r="AW736" s="4" t="s">
        <v>62</v>
      </c>
      <c r="AX736" s="4"/>
      <c r="AY736" s="4" t="s">
        <v>20</v>
      </c>
      <c r="AZ736" s="4" t="s">
        <v>21</v>
      </c>
      <c r="BA736" s="4" t="s">
        <v>60</v>
      </c>
      <c r="BB736" s="4" t="s">
        <v>61</v>
      </c>
      <c r="BC736" s="4" t="s">
        <v>62</v>
      </c>
      <c r="BD736" s="4"/>
    </row>
    <row r="737" spans="1:61" x14ac:dyDescent="0.2">
      <c r="A737" s="5" t="s">
        <v>57</v>
      </c>
      <c r="B737" s="8">
        <f>$J$247/$M$247*100</f>
        <v>78.260869565217391</v>
      </c>
      <c r="C737" s="8">
        <f>$J$248/$M$248*100</f>
        <v>6.5217391304347823</v>
      </c>
      <c r="D737" s="8">
        <f>$J$249/$M$249*100</f>
        <v>4.3478260869565215</v>
      </c>
      <c r="E737" s="8">
        <f>$J$250/$M$250*100</f>
        <v>10.869565217391305</v>
      </c>
      <c r="F737" s="8">
        <f>$J$251/$M$251*100</f>
        <v>0</v>
      </c>
      <c r="G737" s="8">
        <f>SUM(B737:F737)</f>
        <v>100</v>
      </c>
      <c r="H737" s="8">
        <f>$J$267/$M$267*100</f>
        <v>87.5</v>
      </c>
      <c r="I737" s="8">
        <f>$J$268/$M$268*100</f>
        <v>0</v>
      </c>
      <c r="J737" s="8">
        <f>$J$269/$M$269*100</f>
        <v>0</v>
      </c>
      <c r="K737" s="8">
        <f>$J$270/$M$270*100</f>
        <v>12.5</v>
      </c>
      <c r="L737" s="8">
        <f>$J$271/$M$271*100</f>
        <v>0</v>
      </c>
      <c r="M737" s="8">
        <f>SUM(H737:L737)</f>
        <v>100</v>
      </c>
      <c r="N737" s="8">
        <f>$J$287/$M$287*100</f>
        <v>93.069306930693074</v>
      </c>
      <c r="O737" s="8">
        <f>$J$288/$M$288*100</f>
        <v>0.99009900990099009</v>
      </c>
      <c r="P737" s="8">
        <f>$J$289/$M$289*100</f>
        <v>0.99009900990099009</v>
      </c>
      <c r="Q737" s="8">
        <f>$J$290/$M$290*100</f>
        <v>4.9504950495049505</v>
      </c>
      <c r="R737" s="8">
        <f>$J$291/$M$291*100</f>
        <v>0</v>
      </c>
      <c r="S737" s="8">
        <f>SUM(N737:R737)</f>
        <v>100</v>
      </c>
      <c r="T737" s="8">
        <f>$J$307/$M$307*100</f>
        <v>73.68421052631578</v>
      </c>
      <c r="U737" s="8">
        <f>$J$308/$M$308*100</f>
        <v>0</v>
      </c>
      <c r="V737" s="8">
        <f>$J$309/$M$309*100</f>
        <v>0</v>
      </c>
      <c r="W737" s="8">
        <f>$J$310/$M$310*100</f>
        <v>26.315789473684209</v>
      </c>
      <c r="X737" s="8">
        <f>$J$311/$M$311*100</f>
        <v>0</v>
      </c>
      <c r="Y737" s="8">
        <f>SUM(T737:X737)</f>
        <v>99.999999999999986</v>
      </c>
      <c r="AF737" s="5" t="s">
        <v>57</v>
      </c>
      <c r="AG737" s="8">
        <f>$I$257/$L$257*100</f>
        <v>77.011494252873561</v>
      </c>
      <c r="AH737" s="8">
        <f>$I$258/$L$258*100</f>
        <v>8.0459770114942533</v>
      </c>
      <c r="AI737" s="8">
        <f>$I$259/$L$259*100</f>
        <v>0</v>
      </c>
      <c r="AJ737" s="8">
        <f>$I$260/$L$260*100</f>
        <v>14.942528735632186</v>
      </c>
      <c r="AK737" s="8">
        <f>$I$261/$L$261*100</f>
        <v>0</v>
      </c>
      <c r="AL737" s="8">
        <f>SUM(AG737:AK737)</f>
        <v>100</v>
      </c>
      <c r="AM737" s="8">
        <f>$I$277/$L$277*100</f>
        <v>75</v>
      </c>
      <c r="AN737" s="8">
        <f>$I$278/$L$278*100</f>
        <v>8.3333333333333321</v>
      </c>
      <c r="AO737" s="8">
        <f>$I$279/$L$279*100</f>
        <v>8.3333333333333321</v>
      </c>
      <c r="AP737" s="8">
        <f>$I$280/$L$280*100</f>
        <v>8.3333333333333321</v>
      </c>
      <c r="AQ737" s="8">
        <f>$I$281/$L$281*100</f>
        <v>0</v>
      </c>
      <c r="AR737" s="8">
        <f>SUM(AM737:AQ737)</f>
        <v>99.999999999999986</v>
      </c>
      <c r="AS737" s="8">
        <f>$I$297/$L$297*100</f>
        <v>72.289156626506028</v>
      </c>
      <c r="AT737" s="8">
        <f>$I$298/$L$298*100</f>
        <v>7.2289156626506017</v>
      </c>
      <c r="AU737" s="8">
        <f>$I$299/$L$299*100</f>
        <v>1.2048192771084338</v>
      </c>
      <c r="AV737" s="8">
        <f>$I$300/$L$300*100</f>
        <v>19.277108433734941</v>
      </c>
      <c r="AW737" s="8">
        <f>$I$311/$L$311*100</f>
        <v>0</v>
      </c>
      <c r="AX737" s="8">
        <f>SUM(AS737:AW737)</f>
        <v>100</v>
      </c>
      <c r="AY737" s="8">
        <f>$I$317/$L$317*100</f>
        <v>94.117647058823522</v>
      </c>
      <c r="AZ737" s="8">
        <f>$I$318/$L$318*100</f>
        <v>2.9411764705882351</v>
      </c>
      <c r="BA737" s="8">
        <f>$I$319/$L$319*100</f>
        <v>2.9411764705882351</v>
      </c>
      <c r="BB737" s="8">
        <f>$I$320/$L$320*100</f>
        <v>0</v>
      </c>
      <c r="BC737" s="8">
        <f>$I$321/$L$321*100</f>
        <v>0</v>
      </c>
      <c r="BD737" s="8">
        <f>SUM(AY737:BC737)</f>
        <v>99.999999999999986</v>
      </c>
    </row>
    <row r="738" spans="1:61" x14ac:dyDescent="0.2">
      <c r="A738" s="5" t="s">
        <v>58</v>
      </c>
      <c r="B738" s="8">
        <f>$J$327/$M$327*100</f>
        <v>63.333333333333329</v>
      </c>
      <c r="C738" s="8">
        <f>$J$328/$M$328*100</f>
        <v>13.333333333333334</v>
      </c>
      <c r="D738" s="8">
        <f>$J$329/$M$329*100</f>
        <v>0</v>
      </c>
      <c r="E738" s="8">
        <f>$J$330/$M$330*100</f>
        <v>23.333333333333332</v>
      </c>
      <c r="F738" s="8">
        <f>$J$331/$M$331*100</f>
        <v>0</v>
      </c>
      <c r="G738" s="8">
        <f>SUM(B738:F738)</f>
        <v>99.999999999999986</v>
      </c>
      <c r="H738" s="8">
        <f>$J$347/$M$347*100</f>
        <v>83.333333333333343</v>
      </c>
      <c r="I738" s="8">
        <f>$J$348/$M$348*100</f>
        <v>0</v>
      </c>
      <c r="J738" s="8">
        <f>$J$349/$M$349*100</f>
        <v>0</v>
      </c>
      <c r="K738" s="8">
        <f>$J$350/$M$350*100</f>
        <v>16.666666666666664</v>
      </c>
      <c r="L738" s="8">
        <f>$J$351/$M$351*100</f>
        <v>0</v>
      </c>
      <c r="M738" s="8">
        <f t="shared" ref="M738:M739" si="18">SUM(H738:L738)</f>
        <v>100</v>
      </c>
      <c r="N738" s="8">
        <f>$J$367/$M$367*100</f>
        <v>21.052631578947366</v>
      </c>
      <c r="O738" s="8">
        <f>$J$368/$M$368*100</f>
        <v>5.2631578947368416</v>
      </c>
      <c r="P738" s="8">
        <f>$J$369/$M$369*100</f>
        <v>1.7543859649122806</v>
      </c>
      <c r="Q738" s="8">
        <f>$J$370/$M$370*100</f>
        <v>71.929824561403507</v>
      </c>
      <c r="R738" s="8">
        <f>$J$371/$M$371*100</f>
        <v>0</v>
      </c>
      <c r="S738" s="8">
        <f>SUM(N738:R738)</f>
        <v>100</v>
      </c>
      <c r="T738" s="8">
        <f>$J$387/$M$387*100</f>
        <v>54.54545454545454</v>
      </c>
      <c r="U738" s="8">
        <f>$J$388/$M$388*100</f>
        <v>0</v>
      </c>
      <c r="V738" s="8">
        <f>$J$389/$M$389*100</f>
        <v>0</v>
      </c>
      <c r="W738" s="8">
        <f>$J$390/$M$390*100</f>
        <v>45.454545454545453</v>
      </c>
      <c r="X738" s="8">
        <f>$J$391/$M$391*100</f>
        <v>0</v>
      </c>
      <c r="Y738" s="8">
        <f>SUM(T738:X738)</f>
        <v>100</v>
      </c>
      <c r="AF738" s="5" t="s">
        <v>58</v>
      </c>
      <c r="AG738" s="8">
        <f>$I$337/$L$337*100</f>
        <v>72.563176895306853</v>
      </c>
      <c r="AH738" s="8">
        <f>$I$338/$L$338*100</f>
        <v>12.996389891696749</v>
      </c>
      <c r="AI738" s="8">
        <f>$I$339/$L$339*100</f>
        <v>3.2490974729241873</v>
      </c>
      <c r="AJ738" s="8">
        <f>$I$340/$L$340*100</f>
        <v>11.191335740072201</v>
      </c>
      <c r="AK738" s="8">
        <f>$I$341/$L$341*100</f>
        <v>0</v>
      </c>
      <c r="AL738" s="8">
        <f>SUM(AG738:AK738)</f>
        <v>100</v>
      </c>
      <c r="AM738" s="8">
        <f>$I$357/$L$357*100</f>
        <v>50</v>
      </c>
      <c r="AN738" s="8">
        <f>$I$358/$L$358*100</f>
        <v>35</v>
      </c>
      <c r="AO738" s="8">
        <f>$I$359/$L$359*100</f>
        <v>5</v>
      </c>
      <c r="AP738" s="8">
        <f>$I$360/$L$360*100</f>
        <v>10</v>
      </c>
      <c r="AQ738" s="8">
        <f>$I$361/$L$361*100</f>
        <v>0</v>
      </c>
      <c r="AR738" s="8">
        <f>SUM(AM738:AQ738)</f>
        <v>100</v>
      </c>
      <c r="AS738" s="8">
        <f>$I$377/$L$377*100</f>
        <v>72</v>
      </c>
      <c r="AT738" s="8">
        <f>$I$378/$L$378*100</f>
        <v>16</v>
      </c>
      <c r="AU738" s="8">
        <f>$I$379/$L$379*100</f>
        <v>8</v>
      </c>
      <c r="AV738" s="8">
        <f>$I$380/$L$380*100</f>
        <v>4</v>
      </c>
      <c r="AW738" s="8">
        <f>$I$381/$L$381*100</f>
        <v>0</v>
      </c>
      <c r="AX738" s="8">
        <f>SUM(AS738:AW738)</f>
        <v>100</v>
      </c>
      <c r="AY738" s="8">
        <f>$I$397/$L$397*100</f>
        <v>70.270270270270274</v>
      </c>
      <c r="AZ738" s="8">
        <f>$I$398/$L$398*100</f>
        <v>18.918918918918919</v>
      </c>
      <c r="BA738" s="8">
        <f>$I$399/$L$399*100</f>
        <v>5.4054054054054053</v>
      </c>
      <c r="BB738" s="8">
        <f>$I$400/$L$400*100</f>
        <v>5.4054054054054053</v>
      </c>
      <c r="BC738" s="8">
        <f>$I$411/$L$411*100</f>
        <v>0</v>
      </c>
      <c r="BD738" s="8">
        <f>SUM(AY738:BC738)</f>
        <v>100</v>
      </c>
    </row>
    <row r="739" spans="1:61" ht="16" thickBot="1" x14ac:dyDescent="0.25">
      <c r="A739" s="9" t="s">
        <v>59</v>
      </c>
      <c r="B739" s="8">
        <f>$J$407/$M$407*100</f>
        <v>46.296296296296298</v>
      </c>
      <c r="C739" s="8">
        <f>$J$408/$M$408*100</f>
        <v>24.074074074074073</v>
      </c>
      <c r="D739" s="8">
        <f>$J$409/$M$409*100</f>
        <v>22.222222222222221</v>
      </c>
      <c r="E739" s="8">
        <f>$J$410/$M$410*100</f>
        <v>7.4074074074074066</v>
      </c>
      <c r="F739" s="8">
        <f>$J$411/$M$411*100</f>
        <v>0</v>
      </c>
      <c r="G739" s="8">
        <f>SUM(B739:F739)</f>
        <v>99.999999999999986</v>
      </c>
      <c r="H739" s="8">
        <f>$J$427/$M$427*100</f>
        <v>33.333333333333329</v>
      </c>
      <c r="I739" s="8">
        <f>$J$428/$M$428*100</f>
        <v>50</v>
      </c>
      <c r="J739" s="8">
        <f>$J$429/$M$429*100</f>
        <v>16.666666666666664</v>
      </c>
      <c r="K739" s="8">
        <f>$J$430/$M$430*100</f>
        <v>0</v>
      </c>
      <c r="L739" s="8">
        <f>$J$431/$M$431*100</f>
        <v>0</v>
      </c>
      <c r="M739" s="8">
        <f t="shared" si="18"/>
        <v>100</v>
      </c>
      <c r="N739" s="8">
        <f>$J$447/$M$447*100</f>
        <v>25.714285714285712</v>
      </c>
      <c r="O739" s="8">
        <f>$J$448/$M$448*100</f>
        <v>37.142857142857146</v>
      </c>
      <c r="P739" s="8">
        <f>$J$449/$M$449*100</f>
        <v>17.142857142857142</v>
      </c>
      <c r="Q739" s="8">
        <f>$J$450/$M$450*100</f>
        <v>20</v>
      </c>
      <c r="R739" s="8">
        <f>$J$451/$M$451*100</f>
        <v>0</v>
      </c>
      <c r="S739" s="8">
        <f>SUM(N739:R739)</f>
        <v>100</v>
      </c>
      <c r="T739" s="8">
        <f>$J$467/$M$467*100</f>
        <v>54.54545454545454</v>
      </c>
      <c r="U739" s="8">
        <f>$J$468/$M$468*100</f>
        <v>27.27272727272727</v>
      </c>
      <c r="V739" s="8">
        <f>$J$469/$M$469*100</f>
        <v>18.181818181818183</v>
      </c>
      <c r="W739" s="8">
        <f>$J$470/$M$470*100</f>
        <v>0</v>
      </c>
      <c r="X739" s="8">
        <f>$J$471/$M$471*100</f>
        <v>0</v>
      </c>
      <c r="Y739" s="8">
        <f>SUM(T739:X739)</f>
        <v>100</v>
      </c>
      <c r="AF739" s="5" t="s">
        <v>142</v>
      </c>
      <c r="AG739" s="8">
        <f>$I$577/$L$577*100</f>
        <v>47.368421052631575</v>
      </c>
      <c r="AH739" s="8">
        <f>$I$578/$L$578*100</f>
        <v>42.105263157894733</v>
      </c>
      <c r="AI739" s="8">
        <f>$I$579/$L$579*100</f>
        <v>10.526315789473683</v>
      </c>
      <c r="AJ739" s="8">
        <f>$I$580/$L$580*100</f>
        <v>0</v>
      </c>
      <c r="AK739" s="8">
        <f>$I$581/$L$581*100</f>
        <v>0</v>
      </c>
      <c r="AL739" s="8">
        <f>SUM(AG739:AK739)</f>
        <v>99.999999999999986</v>
      </c>
      <c r="AM739" s="8">
        <f>$I$597/$L$597*100</f>
        <v>33.333333333333329</v>
      </c>
      <c r="AN739" s="8">
        <f>$I$598/$L$598*100</f>
        <v>16.666666666666664</v>
      </c>
      <c r="AO739" s="8">
        <f>$I$599/$L$599*100</f>
        <v>16.666666666666664</v>
      </c>
      <c r="AP739" s="8">
        <f>$I$600/$L$600*100</f>
        <v>33.333333333333329</v>
      </c>
      <c r="AQ739" s="8">
        <f>$I$601/$L$601*100</f>
        <v>0</v>
      </c>
      <c r="AR739" s="8">
        <f>SUM(AM739:AQ739)</f>
        <v>99.999999999999986</v>
      </c>
      <c r="AS739" s="8">
        <f>$I$617/$L$617*100</f>
        <v>69.230769230769226</v>
      </c>
      <c r="AT739" s="8">
        <f>$I$618/$L$618*100</f>
        <v>7.6923076923076925</v>
      </c>
      <c r="AU739" s="8">
        <f>$I$619/$L$619*100</f>
        <v>15.384615384615385</v>
      </c>
      <c r="AV739" s="8">
        <f>$I$620/$L$620*100</f>
        <v>7.6923076923076925</v>
      </c>
      <c r="AW739" s="8">
        <f>$I$611/$L$611*100</f>
        <v>0</v>
      </c>
      <c r="AX739" s="8">
        <f>SUM(AS739:AW739)</f>
        <v>100</v>
      </c>
      <c r="AY739" s="8">
        <f>$I$637/$L$637*100</f>
        <v>76.470588235294116</v>
      </c>
      <c r="AZ739" s="8">
        <f>$I$638/$L$638*100</f>
        <v>23.52941176470588</v>
      </c>
      <c r="BA739" s="8">
        <f>$I$639/$L$639*100</f>
        <v>0</v>
      </c>
      <c r="BB739" s="8">
        <f>$I$640/$L$640*100</f>
        <v>0</v>
      </c>
      <c r="BC739" s="8">
        <f>$I$641/$L$641*100</f>
        <v>0</v>
      </c>
      <c r="BD739" s="8">
        <f>SUM(AY739:BC739)</f>
        <v>100</v>
      </c>
    </row>
    <row r="740" spans="1:61" ht="16" thickBot="1" x14ac:dyDescent="0.25">
      <c r="A740" s="10" t="s">
        <v>50</v>
      </c>
      <c r="B740" s="12">
        <f>AVERAGE(B737:B739)</f>
        <v>62.630166398282341</v>
      </c>
      <c r="C740" s="12">
        <f>AVERAGE(C737:C739)</f>
        <v>14.643048845947396</v>
      </c>
      <c r="D740" s="11">
        <f>AVERAGE(D737:D739)</f>
        <v>8.8566827697262482</v>
      </c>
      <c r="E740" s="11">
        <f>AVERAGE(E737:E739)</f>
        <v>13.870101986044014</v>
      </c>
      <c r="F740" s="11">
        <f>AVERAGE(F737:F739)</f>
        <v>0</v>
      </c>
      <c r="G740" s="12"/>
      <c r="H740" s="11">
        <f>AVERAGE(H737:H739)</f>
        <v>68.055555555555557</v>
      </c>
      <c r="I740" s="13">
        <f>AVERAGE(I737:I739)</f>
        <v>16.666666666666668</v>
      </c>
      <c r="J740" s="14">
        <f>AVERAGE(J737:J739)</f>
        <v>5.5555555555555545</v>
      </c>
      <c r="K740" s="14">
        <f>AVERAGE(K737:K739)</f>
        <v>9.7222222222222214</v>
      </c>
      <c r="L740" s="14">
        <f>AVERAGE(L737:L739)</f>
        <v>0</v>
      </c>
      <c r="M740" s="12"/>
      <c r="N740" s="14">
        <f>AVERAGE(N737:N739)</f>
        <v>46.612074741308724</v>
      </c>
      <c r="O740" s="12">
        <f>AVERAGE(O737:O739)</f>
        <v>14.465371349164991</v>
      </c>
      <c r="P740" s="11">
        <f>AVERAGE(P737:P739)</f>
        <v>6.6291140392234711</v>
      </c>
      <c r="Q740" s="11">
        <f>AVERAGE(Q737:Q739)</f>
        <v>32.293439870302819</v>
      </c>
      <c r="R740" s="11">
        <f>AVERAGE(R737:R739)</f>
        <v>0</v>
      </c>
      <c r="S740" s="15"/>
      <c r="T740" s="14">
        <f>AVERAGE(T737:T739)</f>
        <v>60.925039872408284</v>
      </c>
      <c r="U740" s="12">
        <f>AVERAGE(U737:U739)</f>
        <v>9.0909090909090899</v>
      </c>
      <c r="V740" s="11">
        <f>AVERAGE(V737:V739)</f>
        <v>6.0606060606060614</v>
      </c>
      <c r="W740" s="11">
        <f>AVERAGE(W737:W739)</f>
        <v>23.923444976076553</v>
      </c>
      <c r="X740" s="11">
        <f>AVERAGE(X737:X739)</f>
        <v>0</v>
      </c>
      <c r="Y740" s="15"/>
      <c r="Z740" s="8">
        <f>AVERAGE(B740,H740,N740,T740)</f>
        <v>59.555709141888734</v>
      </c>
      <c r="AA740" s="8">
        <f>AVERAGE(C740,I740,O740,U740)</f>
        <v>13.716498988172035</v>
      </c>
      <c r="AB740" s="8">
        <f>AVERAGE(D740,J740,P740,V740)</f>
        <v>6.7754896062778336</v>
      </c>
      <c r="AC740" s="8">
        <f>AVERAGE(E740,K740,Q740,W740)</f>
        <v>19.952302263661402</v>
      </c>
      <c r="AD740" s="8">
        <f>AVERAGE(F740,L740,R740,X740)</f>
        <v>0</v>
      </c>
      <c r="AF740" s="9" t="s">
        <v>59</v>
      </c>
      <c r="AG740" s="8">
        <f>$I$417/$L$417*100</f>
        <v>7.8431372549019605</v>
      </c>
      <c r="AH740" s="8">
        <f>$I$418/$L$418*100</f>
        <v>17.647058823529413</v>
      </c>
      <c r="AI740" s="8">
        <f>$I$419/$L$419*100</f>
        <v>27.450980392156865</v>
      </c>
      <c r="AJ740" s="8">
        <f>$I$420/$L$420*100</f>
        <v>47.058823529411761</v>
      </c>
      <c r="AK740" s="8">
        <f>$I$421/$L$421*100</f>
        <v>0</v>
      </c>
      <c r="AL740" s="8">
        <f>SUM(AG740:AK740)</f>
        <v>100</v>
      </c>
      <c r="AM740" s="8">
        <f>$I$437/$L$437*100</f>
        <v>20</v>
      </c>
      <c r="AN740" s="8">
        <f>$I$438/$L$438*100</f>
        <v>40</v>
      </c>
      <c r="AO740" s="8">
        <f>$I$439/$L$439*100</f>
        <v>0</v>
      </c>
      <c r="AP740" s="8">
        <f>$I$440/$L$440*100</f>
        <v>40</v>
      </c>
      <c r="AQ740" s="8">
        <f>$I$441/$L$441*100</f>
        <v>0</v>
      </c>
      <c r="AR740" s="8">
        <f>SUM(AM740:AQ740)</f>
        <v>100</v>
      </c>
      <c r="AS740" s="8">
        <f>$I$457/$L$457*100</f>
        <v>25</v>
      </c>
      <c r="AT740" s="8">
        <f>$I$458/$L$458*100</f>
        <v>21.875</v>
      </c>
      <c r="AU740" s="8">
        <f>$I$459/$L$459*100</f>
        <v>9.375</v>
      </c>
      <c r="AV740" s="8">
        <f>$I$460/$L$460*100</f>
        <v>43.75</v>
      </c>
      <c r="AW740" s="8">
        <f>$I$461/$L$461*100</f>
        <v>0</v>
      </c>
      <c r="AX740" s="8">
        <f>SUM(AS740:AW740)</f>
        <v>100</v>
      </c>
      <c r="AY740" s="8">
        <f>$I$477/$L$477*100</f>
        <v>12.5</v>
      </c>
      <c r="AZ740" s="8">
        <f>$I$478/$L$478*100</f>
        <v>37.5</v>
      </c>
      <c r="BA740" s="8">
        <f>$I$479/$L$479*100</f>
        <v>12.5</v>
      </c>
      <c r="BB740" s="8">
        <f>$I$480/$L$480*100</f>
        <v>37.5</v>
      </c>
      <c r="BC740" s="8">
        <f>$I$481/$L$481*100</f>
        <v>0</v>
      </c>
      <c r="BD740" s="8">
        <f>SUM(AY740:BC740)</f>
        <v>100</v>
      </c>
    </row>
    <row r="741" spans="1:61" x14ac:dyDescent="0.2">
      <c r="AF741" s="10" t="s">
        <v>50</v>
      </c>
      <c r="AG741" s="12">
        <f>AVERAGE(AG737:AG740)</f>
        <v>51.196557363928484</v>
      </c>
      <c r="AH741" s="12">
        <f>AVERAGE(AH737:AH740)</f>
        <v>20.198672221153785</v>
      </c>
      <c r="AI741" s="11">
        <f>AVERAGE(AI737:AI740)</f>
        <v>10.306598413638683</v>
      </c>
      <c r="AJ741" s="11">
        <f>AVERAGE(AJ737:AJ740)</f>
        <v>18.298172001279035</v>
      </c>
      <c r="AK741" s="11">
        <f>AVERAGE(AK737:AK740)</f>
        <v>0</v>
      </c>
      <c r="AL741" s="12"/>
      <c r="AM741" s="11">
        <f>AVERAGE(AM737:AM740)</f>
        <v>44.583333333333329</v>
      </c>
      <c r="AN741" s="13">
        <f>AVERAGE(AN737:AN740)</f>
        <v>25</v>
      </c>
      <c r="AO741" s="14">
        <f>AVERAGE(AO737:AO740)</f>
        <v>7.4999999999999991</v>
      </c>
      <c r="AP741" s="14">
        <f>AVERAGE(AP737:AP740)</f>
        <v>22.916666666666664</v>
      </c>
      <c r="AQ741" s="14">
        <f>AVERAGE(AQ737:AQ740)</f>
        <v>0</v>
      </c>
      <c r="AR741" s="12"/>
      <c r="AS741" s="14">
        <f>AVERAGE(AS737:AS740)</f>
        <v>59.629981464318817</v>
      </c>
      <c r="AT741" s="12">
        <f>AVERAGE(AT737:AT740)</f>
        <v>13.199055838739573</v>
      </c>
      <c r="AU741" s="11">
        <f>AVERAGE(AU737:AU740)</f>
        <v>8.4911086654309553</v>
      </c>
      <c r="AV741" s="11">
        <f>AVERAGE(AV737:AV740)</f>
        <v>18.679854031510658</v>
      </c>
      <c r="AW741" s="11">
        <f>AVERAGE(AW737:AW740)</f>
        <v>0</v>
      </c>
      <c r="AX741" s="15"/>
      <c r="AY741" s="14">
        <f>AVERAGE(AY737:AY740)</f>
        <v>63.339626391096978</v>
      </c>
      <c r="AZ741" s="12">
        <f>AVERAGE(AZ737:AZ740)</f>
        <v>20.722376788553259</v>
      </c>
      <c r="BA741" s="11">
        <f>AVERAGE(BA737:BA740)</f>
        <v>5.2116454689984106</v>
      </c>
      <c r="BB741" s="11">
        <f>AVERAGE(BB737:BB740)</f>
        <v>10.726351351351351</v>
      </c>
      <c r="BC741" s="11">
        <f>AVERAGE(BC737:BC740)</f>
        <v>0</v>
      </c>
      <c r="BD741" s="15"/>
      <c r="BE741" s="8">
        <f>AVERAGE(AG741,AM741,AS741,AY741)</f>
        <v>54.687374638169395</v>
      </c>
      <c r="BF741" s="8">
        <f>AVERAGE(AH741,AN741,AT741,AZ741)</f>
        <v>19.780026212111654</v>
      </c>
      <c r="BG741" s="8">
        <f>AVERAGE(AI741,AO741,AU741,BA741)</f>
        <v>7.8773381370170128</v>
      </c>
      <c r="BH741" s="8">
        <f>AVERAGE(AJ741,AP741,AV741,BB741)</f>
        <v>17.655261012701928</v>
      </c>
      <c r="BI741" s="8">
        <f>AVERAGE(AK741,AQ741,AW741,BC741)</f>
        <v>0</v>
      </c>
    </row>
    <row r="743" spans="1:61" ht="32" x14ac:dyDescent="0.2">
      <c r="A743" s="2" t="s">
        <v>196</v>
      </c>
      <c r="B743" s="3" t="s">
        <v>53</v>
      </c>
      <c r="C743" s="3"/>
      <c r="D743" s="3"/>
      <c r="E743" s="3"/>
      <c r="F743" s="3"/>
      <c r="G743" s="4" t="s">
        <v>64</v>
      </c>
      <c r="H743" s="3" t="s">
        <v>54</v>
      </c>
      <c r="I743" s="3"/>
      <c r="J743" s="3"/>
      <c r="K743" s="3"/>
      <c r="L743" s="3"/>
      <c r="M743" s="4" t="s">
        <v>64</v>
      </c>
      <c r="N743" s="3" t="s">
        <v>55</v>
      </c>
      <c r="O743" s="3"/>
      <c r="P743" s="3"/>
      <c r="Q743" s="3"/>
      <c r="R743" s="3"/>
      <c r="S743" s="4" t="s">
        <v>64</v>
      </c>
      <c r="T743" s="3" t="s">
        <v>56</v>
      </c>
      <c r="U743" s="3"/>
      <c r="V743" s="3"/>
      <c r="W743" s="3"/>
      <c r="X743" s="3"/>
      <c r="Y743" s="4" t="s">
        <v>64</v>
      </c>
    </row>
    <row r="744" spans="1:61" ht="48" x14ac:dyDescent="0.2">
      <c r="A744" s="3"/>
      <c r="B744" s="4" t="s">
        <v>20</v>
      </c>
      <c r="C744" s="4" t="s">
        <v>21</v>
      </c>
      <c r="D744" s="4" t="s">
        <v>60</v>
      </c>
      <c r="E744" s="4" t="s">
        <v>61</v>
      </c>
      <c r="F744" s="4" t="s">
        <v>62</v>
      </c>
      <c r="G744" s="4"/>
      <c r="H744" s="4" t="s">
        <v>20</v>
      </c>
      <c r="I744" s="4" t="s">
        <v>21</v>
      </c>
      <c r="J744" s="4" t="s">
        <v>60</v>
      </c>
      <c r="K744" s="4" t="s">
        <v>61</v>
      </c>
      <c r="L744" s="4" t="s">
        <v>62</v>
      </c>
      <c r="M744" s="4"/>
      <c r="N744" s="4" t="s">
        <v>20</v>
      </c>
      <c r="O744" s="4" t="s">
        <v>21</v>
      </c>
      <c r="P744" s="4" t="s">
        <v>60</v>
      </c>
      <c r="Q744" s="4" t="s">
        <v>61</v>
      </c>
      <c r="R744" s="4" t="s">
        <v>62</v>
      </c>
      <c r="S744" s="4"/>
      <c r="T744" s="4" t="s">
        <v>20</v>
      </c>
      <c r="U744" s="4" t="s">
        <v>21</v>
      </c>
      <c r="V744" s="4" t="s">
        <v>60</v>
      </c>
      <c r="W744" s="4" t="s">
        <v>61</v>
      </c>
      <c r="X744" s="4" t="s">
        <v>62</v>
      </c>
      <c r="Y744" s="4"/>
      <c r="AF744" s="2" t="s">
        <v>195</v>
      </c>
      <c r="AG744" s="3" t="s">
        <v>53</v>
      </c>
      <c r="AH744" s="3"/>
      <c r="AI744" s="3"/>
      <c r="AJ744" s="3"/>
      <c r="AK744" s="3"/>
      <c r="AL744" s="4" t="s">
        <v>64</v>
      </c>
      <c r="AM744" s="3" t="s">
        <v>54</v>
      </c>
      <c r="AN744" s="3"/>
      <c r="AO744" s="3"/>
      <c r="AP744" s="3"/>
      <c r="AQ744" s="3"/>
      <c r="AR744" s="4" t="s">
        <v>64</v>
      </c>
      <c r="AS744" s="3" t="s">
        <v>55</v>
      </c>
      <c r="AT744" s="3"/>
      <c r="AU744" s="3"/>
      <c r="AV744" s="3"/>
      <c r="AW744" s="3"/>
      <c r="AX744" s="4" t="s">
        <v>64</v>
      </c>
      <c r="AY744" s="3" t="s">
        <v>56</v>
      </c>
      <c r="AZ744" s="3"/>
      <c r="BA744" s="3"/>
      <c r="BB744" s="3"/>
      <c r="BC744" s="3"/>
      <c r="BD744" s="4" t="s">
        <v>64</v>
      </c>
    </row>
    <row r="745" spans="1:61" x14ac:dyDescent="0.2">
      <c r="A745" s="5" t="s">
        <v>57</v>
      </c>
      <c r="B745" s="8">
        <f>$J$252/$M$252*100</f>
        <v>79.069767441860463</v>
      </c>
      <c r="C745" s="8">
        <f>$J$253/$M$253*100</f>
        <v>11.627906976744185</v>
      </c>
      <c r="D745" s="8">
        <f>$J$254/$M$254*100</f>
        <v>2.3255813953488373</v>
      </c>
      <c r="E745" s="8">
        <f>$J$255/$M$255*100</f>
        <v>6.9767441860465116</v>
      </c>
      <c r="F745" s="8">
        <f>$J$256/$M$256*100</f>
        <v>0</v>
      </c>
      <c r="G745" s="8">
        <f>SUM(B745:F745)</f>
        <v>100</v>
      </c>
      <c r="H745" s="8">
        <f>$J$272/$M$272*100</f>
        <v>66.666666666666657</v>
      </c>
      <c r="I745" s="8">
        <f>$J$273/$M$273*100</f>
        <v>22.222222222222221</v>
      </c>
      <c r="J745" s="8">
        <f>$J$274/$M$274*100</f>
        <v>0</v>
      </c>
      <c r="K745" s="8">
        <f>$J$275/$M$275*100</f>
        <v>11.111111111111111</v>
      </c>
      <c r="L745" s="8">
        <f>$J$276/$M$276*100</f>
        <v>0</v>
      </c>
      <c r="M745" s="8">
        <f>SUM(H745:L745)</f>
        <v>100</v>
      </c>
      <c r="N745" s="8">
        <f>$J$292/$M$292*100</f>
        <v>94.565217391304344</v>
      </c>
      <c r="O745" s="8">
        <f>$J$293/$M$293*100</f>
        <v>2.1739130434782608</v>
      </c>
      <c r="P745" s="8">
        <f>$J$294/$M$294*100</f>
        <v>0</v>
      </c>
      <c r="Q745" s="8">
        <f>$J$295/$M$295*100</f>
        <v>3.2608695652173911</v>
      </c>
      <c r="R745" s="8">
        <f>$J$296/$M$296*100</f>
        <v>0</v>
      </c>
      <c r="S745" s="8">
        <f>SUM(N745:R745)</f>
        <v>100</v>
      </c>
      <c r="T745" s="8">
        <f>$J$312/$M$312*100</f>
        <v>84.210526315789465</v>
      </c>
      <c r="U745" s="8">
        <f>$J$313/$M$313*100</f>
        <v>0</v>
      </c>
      <c r="V745" s="8">
        <f>$J$314/$M$314*100</f>
        <v>0</v>
      </c>
      <c r="W745" s="8">
        <f>$J$315/$M$315*100</f>
        <v>15.789473684210526</v>
      </c>
      <c r="X745" s="8">
        <f>$J$316/$M$316*100</f>
        <v>0</v>
      </c>
      <c r="Y745" s="8">
        <f>SUM(T745:X745)</f>
        <v>99.999999999999986</v>
      </c>
      <c r="AF745" s="3"/>
      <c r="AG745" s="4" t="s">
        <v>20</v>
      </c>
      <c r="AH745" s="4" t="s">
        <v>21</v>
      </c>
      <c r="AI745" s="4" t="s">
        <v>60</v>
      </c>
      <c r="AJ745" s="4" t="s">
        <v>61</v>
      </c>
      <c r="AK745" s="4" t="s">
        <v>62</v>
      </c>
      <c r="AL745" s="4"/>
      <c r="AM745" s="4" t="s">
        <v>20</v>
      </c>
      <c r="AN745" s="4" t="s">
        <v>21</v>
      </c>
      <c r="AO745" s="4" t="s">
        <v>60</v>
      </c>
      <c r="AP745" s="4" t="s">
        <v>61</v>
      </c>
      <c r="AQ745" s="4" t="s">
        <v>62</v>
      </c>
      <c r="AR745" s="4"/>
      <c r="AS745" s="4" t="s">
        <v>20</v>
      </c>
      <c r="AT745" s="4" t="s">
        <v>21</v>
      </c>
      <c r="AU745" s="4" t="s">
        <v>60</v>
      </c>
      <c r="AV745" s="4" t="s">
        <v>61</v>
      </c>
      <c r="AW745" s="4" t="s">
        <v>62</v>
      </c>
      <c r="AX745" s="4"/>
      <c r="AY745" s="4" t="s">
        <v>20</v>
      </c>
      <c r="AZ745" s="4" t="s">
        <v>21</v>
      </c>
      <c r="BA745" s="4" t="s">
        <v>60</v>
      </c>
      <c r="BB745" s="4" t="s">
        <v>61</v>
      </c>
      <c r="BC745" s="4" t="s">
        <v>62</v>
      </c>
      <c r="BD745" s="4"/>
    </row>
    <row r="746" spans="1:61" x14ac:dyDescent="0.2">
      <c r="A746" s="5" t="s">
        <v>58</v>
      </c>
      <c r="B746" s="8">
        <f>$J$332/$M$332*100</f>
        <v>52</v>
      </c>
      <c r="C746" s="8">
        <f>$J$333/$M$333*100</f>
        <v>12</v>
      </c>
      <c r="D746" s="8">
        <f>$J$334/$M$334*100</f>
        <v>8</v>
      </c>
      <c r="E746" s="8">
        <f>$J$335/$M$335*100</f>
        <v>28.000000000000004</v>
      </c>
      <c r="F746" s="8">
        <f>$J$336/$M$336*100</f>
        <v>0</v>
      </c>
      <c r="G746" s="8">
        <f>SUM(B746:F746)</f>
        <v>100</v>
      </c>
      <c r="H746" s="8">
        <f>$J$352/$M$352*100</f>
        <v>85.714285714285708</v>
      </c>
      <c r="I746" s="8">
        <f>$J$353/$M$353*100</f>
        <v>0</v>
      </c>
      <c r="J746" s="8">
        <f>$J$354/$M$354*100</f>
        <v>0</v>
      </c>
      <c r="K746" s="8">
        <f>$J$355/$M$355*100</f>
        <v>14.285714285714285</v>
      </c>
      <c r="L746" s="8">
        <f>$J$356/$M$356*100</f>
        <v>0</v>
      </c>
      <c r="M746" s="8">
        <f t="shared" ref="M746:M747" si="19">SUM(H746:L746)</f>
        <v>100</v>
      </c>
      <c r="N746" s="8">
        <f>$J$372/$M$372*100</f>
        <v>23.4375</v>
      </c>
      <c r="O746" s="8">
        <f>$J$373/$M$373*100</f>
        <v>3.125</v>
      </c>
      <c r="P746" s="8">
        <f>$J$374/$M$374*100</f>
        <v>0</v>
      </c>
      <c r="Q746" s="8">
        <f>$J$375/$M$375*100</f>
        <v>73.4375</v>
      </c>
      <c r="R746" s="8">
        <f>$J$376/$M$376*100</f>
        <v>0</v>
      </c>
      <c r="S746" s="8">
        <f>SUM(N746:R746)</f>
        <v>100</v>
      </c>
      <c r="T746" s="8">
        <f>$J$392/$M$392*100</f>
        <v>80</v>
      </c>
      <c r="U746" s="8">
        <f>$J$393/$M$393*100</f>
        <v>0</v>
      </c>
      <c r="V746" s="8">
        <f>$J$394/$M$394*100</f>
        <v>0</v>
      </c>
      <c r="W746" s="8">
        <f>$J$395/$M$395*100</f>
        <v>20</v>
      </c>
      <c r="X746" s="8">
        <f>$J$396/$M$396*100</f>
        <v>0</v>
      </c>
      <c r="Y746" s="8">
        <f>SUM(T746:X746)</f>
        <v>100</v>
      </c>
      <c r="AF746" s="5" t="s">
        <v>57</v>
      </c>
      <c r="AG746" s="8">
        <f>$J$247/$M$247*100</f>
        <v>78.260869565217391</v>
      </c>
      <c r="AH746" s="8">
        <f>$J$248/$M$248*100</f>
        <v>6.5217391304347823</v>
      </c>
      <c r="AI746" s="8">
        <f>$J$249/$M$249*100</f>
        <v>4.3478260869565215</v>
      </c>
      <c r="AJ746" s="8">
        <f>$J$250/$M$250*100</f>
        <v>10.869565217391305</v>
      </c>
      <c r="AK746" s="8">
        <f>$J$251/$M$251*100</f>
        <v>0</v>
      </c>
      <c r="AL746" s="8">
        <f>SUM(AG746:AK746)</f>
        <v>100</v>
      </c>
      <c r="AM746" s="8">
        <f>$J$267/$M$267*100</f>
        <v>87.5</v>
      </c>
      <c r="AN746" s="8">
        <f>$J$268/$M$268*100</f>
        <v>0</v>
      </c>
      <c r="AO746" s="8">
        <f>$J$269/$M$269*100</f>
        <v>0</v>
      </c>
      <c r="AP746" s="8">
        <f>$J$270/$M$270*100</f>
        <v>12.5</v>
      </c>
      <c r="AQ746" s="8">
        <f>$J$271/$M$271*100</f>
        <v>0</v>
      </c>
      <c r="AR746" s="8">
        <f>SUM(AM746:AQ746)</f>
        <v>100</v>
      </c>
      <c r="AS746" s="8">
        <f>$J$287/$M$287*100</f>
        <v>93.069306930693074</v>
      </c>
      <c r="AT746" s="8">
        <f>$J$288/$M$288*100</f>
        <v>0.99009900990099009</v>
      </c>
      <c r="AU746" s="8">
        <f>$J$289/$M$289*100</f>
        <v>0.99009900990099009</v>
      </c>
      <c r="AV746" s="8">
        <f>$J$290/$M$290*100</f>
        <v>4.9504950495049505</v>
      </c>
      <c r="AW746" s="8">
        <f>$J$291/$M$291*100</f>
        <v>0</v>
      </c>
      <c r="AX746" s="8">
        <f>SUM(AS746:AW746)</f>
        <v>100</v>
      </c>
      <c r="AY746" s="8">
        <f>$J$307/$M$307*100</f>
        <v>73.68421052631578</v>
      </c>
      <c r="AZ746" s="8">
        <f>$J$308/$M$308*100</f>
        <v>0</v>
      </c>
      <c r="BA746" s="8">
        <f>$J$309/$M$309*100</f>
        <v>0</v>
      </c>
      <c r="BB746" s="8">
        <f>$J$310/$M$310*100</f>
        <v>26.315789473684209</v>
      </c>
      <c r="BC746" s="8">
        <f>$J$311/$M$311*100</f>
        <v>0</v>
      </c>
      <c r="BD746" s="8">
        <f>SUM(AY746:BC746)</f>
        <v>99.999999999999986</v>
      </c>
    </row>
    <row r="747" spans="1:61" ht="16" thickBot="1" x14ac:dyDescent="0.25">
      <c r="A747" s="9" t="s">
        <v>59</v>
      </c>
      <c r="B747" s="8">
        <f>$J$412/$M$412*100</f>
        <v>47.272727272727273</v>
      </c>
      <c r="C747" s="8">
        <f>$J$413/$M$413*100</f>
        <v>16.363636363636363</v>
      </c>
      <c r="D747" s="8">
        <f>$J$414/$M$414*100</f>
        <v>29.09090909090909</v>
      </c>
      <c r="E747" s="8">
        <f>$J$415/$M$415*100</f>
        <v>7.2727272727272725</v>
      </c>
      <c r="F747" s="8">
        <f>$J$416/$M$416*100</f>
        <v>0</v>
      </c>
      <c r="G747" s="8">
        <f>SUM(B747:F747)</f>
        <v>100</v>
      </c>
      <c r="H747" s="8">
        <f>$J$432/$M$432*100</f>
        <v>20</v>
      </c>
      <c r="I747" s="8">
        <f>$J$433/$M$433*100</f>
        <v>60</v>
      </c>
      <c r="J747" s="8">
        <f>$J$434/$M$434*100</f>
        <v>0</v>
      </c>
      <c r="K747" s="8">
        <f>$J$435/$M$435*100</f>
        <v>20</v>
      </c>
      <c r="L747" s="8">
        <f>$J$436/$M$436*100</f>
        <v>0</v>
      </c>
      <c r="M747" s="8">
        <f t="shared" si="19"/>
        <v>100</v>
      </c>
      <c r="N747" s="8">
        <f>$J$452/$M$452*100</f>
        <v>35.294117647058826</v>
      </c>
      <c r="O747" s="8">
        <f>$J$453/$M$453*100</f>
        <v>32.352941176470587</v>
      </c>
      <c r="P747" s="8">
        <f>$J$454/$M$454*100</f>
        <v>5.8823529411764701</v>
      </c>
      <c r="Q747" s="8">
        <f>$J$455/$M$455*100</f>
        <v>26.47058823529412</v>
      </c>
      <c r="R747" s="8">
        <f>$J$456/$M$456*100</f>
        <v>0</v>
      </c>
      <c r="S747" s="8">
        <f>SUM(N747:R747)</f>
        <v>100</v>
      </c>
      <c r="T747" s="8">
        <f>$J$472/$M$472*100</f>
        <v>80</v>
      </c>
      <c r="U747" s="8">
        <f>$J$473/$M$473*100</f>
        <v>0</v>
      </c>
      <c r="V747" s="8">
        <f>$J$474/$M$474*100</f>
        <v>13.333333333333334</v>
      </c>
      <c r="W747" s="8">
        <f>$J$475/$M$475*100</f>
        <v>6.666666666666667</v>
      </c>
      <c r="X747" s="8">
        <f>$J$476/$M$476*100</f>
        <v>0</v>
      </c>
      <c r="Y747" s="8">
        <f>SUM(T747:X747)</f>
        <v>100</v>
      </c>
      <c r="AF747" s="5" t="s">
        <v>58</v>
      </c>
      <c r="AG747" s="8">
        <f>$J$327/$M$327*100</f>
        <v>63.333333333333329</v>
      </c>
      <c r="AH747" s="8">
        <f>$J$328/$M$328*100</f>
        <v>13.333333333333334</v>
      </c>
      <c r="AI747" s="8">
        <f>$J$329/$M$329*100</f>
        <v>0</v>
      </c>
      <c r="AJ747" s="8">
        <f>$J$330/$M$330*100</f>
        <v>23.333333333333332</v>
      </c>
      <c r="AK747" s="8">
        <f>$J$331/$M$331*100</f>
        <v>0</v>
      </c>
      <c r="AL747" s="8">
        <f>SUM(AG747:AK747)</f>
        <v>99.999999999999986</v>
      </c>
      <c r="AM747" s="8">
        <f>$J$347/$M$347*100</f>
        <v>83.333333333333343</v>
      </c>
      <c r="AN747" s="8">
        <f>$J$348/$M$348*100</f>
        <v>0</v>
      </c>
      <c r="AO747" s="8">
        <f>$J$349/$M$349*100</f>
        <v>0</v>
      </c>
      <c r="AP747" s="8">
        <f>$J$350/$M$350*100</f>
        <v>16.666666666666664</v>
      </c>
      <c r="AQ747" s="8">
        <f>$J$351/$M$351*100</f>
        <v>0</v>
      </c>
      <c r="AR747" s="8">
        <f>SUM(AM747:AQ747)</f>
        <v>100</v>
      </c>
      <c r="AS747" s="8">
        <f>$J$367/$M$367*100</f>
        <v>21.052631578947366</v>
      </c>
      <c r="AT747" s="8">
        <f>$J$368/$M$368*100</f>
        <v>5.2631578947368416</v>
      </c>
      <c r="AU747" s="8">
        <f>$J$369/$M$369*100</f>
        <v>1.7543859649122806</v>
      </c>
      <c r="AV747" s="8">
        <f>$J$370/$M$370*100</f>
        <v>71.929824561403507</v>
      </c>
      <c r="AW747" s="8">
        <f>$J$371/$M$371*100</f>
        <v>0</v>
      </c>
      <c r="AX747" s="8">
        <f>SUM(AS747:AW747)</f>
        <v>100</v>
      </c>
      <c r="AY747" s="8">
        <f>$J$387/$M$387*100</f>
        <v>54.54545454545454</v>
      </c>
      <c r="AZ747" s="8">
        <f>$J$388/$M$388*100</f>
        <v>0</v>
      </c>
      <c r="BA747" s="8">
        <f>$J$389/$M$389*100</f>
        <v>0</v>
      </c>
      <c r="BB747" s="8">
        <f>$J$390/$M$390*100</f>
        <v>45.454545454545453</v>
      </c>
      <c r="BC747" s="8">
        <f>$J$391/$M$391*100</f>
        <v>0</v>
      </c>
      <c r="BD747" s="8">
        <f>SUM(AY747:BC747)</f>
        <v>100</v>
      </c>
    </row>
    <row r="748" spans="1:61" x14ac:dyDescent="0.2">
      <c r="A748" s="10" t="s">
        <v>50</v>
      </c>
      <c r="B748" s="12">
        <f>AVERAGE(B745:B747)</f>
        <v>59.447498238195912</v>
      </c>
      <c r="C748" s="12">
        <f>AVERAGE(C745:C747)</f>
        <v>13.330514446793515</v>
      </c>
      <c r="D748" s="11">
        <f>AVERAGE(D745:D747)</f>
        <v>13.138830162085975</v>
      </c>
      <c r="E748" s="11">
        <f>AVERAGE(E745:E747)</f>
        <v>14.083157152924597</v>
      </c>
      <c r="F748" s="11">
        <f>AVERAGE(F745:F747)</f>
        <v>0</v>
      </c>
      <c r="G748" s="12"/>
      <c r="H748" s="11">
        <f>AVERAGE(H745:H747)</f>
        <v>57.460317460317448</v>
      </c>
      <c r="I748" s="13">
        <f>AVERAGE(I745:I747)</f>
        <v>27.407407407407408</v>
      </c>
      <c r="J748" s="14">
        <f>AVERAGE(J745:J747)</f>
        <v>0</v>
      </c>
      <c r="K748" s="14">
        <f>AVERAGE(K745:K747)</f>
        <v>15.132275132275131</v>
      </c>
      <c r="L748" s="14">
        <f>AVERAGE(L745:L747)</f>
        <v>0</v>
      </c>
      <c r="M748" s="12"/>
      <c r="N748" s="14">
        <f>AVERAGE(N745:N747)</f>
        <v>51.098945012787716</v>
      </c>
      <c r="O748" s="12">
        <f>AVERAGE(O745:O747)</f>
        <v>12.550618073316281</v>
      </c>
      <c r="P748" s="11">
        <f>AVERAGE(P745:P747)</f>
        <v>1.9607843137254901</v>
      </c>
      <c r="Q748" s="11">
        <f>AVERAGE(Q745:Q747)</f>
        <v>34.3896526001705</v>
      </c>
      <c r="R748" s="11">
        <f>AVERAGE(R745:R747)</f>
        <v>0</v>
      </c>
      <c r="S748" s="15"/>
      <c r="T748" s="14">
        <f>AVERAGE(T745:T747)</f>
        <v>81.403508771929822</v>
      </c>
      <c r="U748" s="12">
        <f>AVERAGE(U745:U747)</f>
        <v>0</v>
      </c>
      <c r="V748" s="11">
        <f>AVERAGE(V745:V747)</f>
        <v>4.4444444444444446</v>
      </c>
      <c r="W748" s="11">
        <f>AVERAGE(W745:W747)</f>
        <v>14.15204678362573</v>
      </c>
      <c r="X748" s="11">
        <f>AVERAGE(X745:X747)</f>
        <v>0</v>
      </c>
      <c r="Y748" s="15"/>
      <c r="Z748" s="8">
        <f>AVERAGE(B748,H748,N748,T748)</f>
        <v>62.352567370807719</v>
      </c>
      <c r="AA748" s="8">
        <f>AVERAGE(C748,I748,O748,U748)</f>
        <v>13.3221349818793</v>
      </c>
      <c r="AB748" s="8">
        <f>AVERAGE(D748,J748,P748,V748)</f>
        <v>4.8860147300639776</v>
      </c>
      <c r="AC748" s="8">
        <f>AVERAGE(E748,K748,Q748,W748)</f>
        <v>19.439282917248992</v>
      </c>
      <c r="AD748" s="8">
        <f>AVERAGE(F748,L748,R748,X748)</f>
        <v>0</v>
      </c>
      <c r="AF748" s="5" t="s">
        <v>142</v>
      </c>
      <c r="AG748" s="8">
        <f>$J$567/$M$567*100</f>
        <v>47.619047619047613</v>
      </c>
      <c r="AH748" s="8">
        <f>$J$568/$M$568*100</f>
        <v>4.7619047619047619</v>
      </c>
      <c r="AI748" s="8">
        <f>$J$569/$M$569*100</f>
        <v>4.7619047619047619</v>
      </c>
      <c r="AJ748" s="8">
        <f>$J$570/$M$570*100</f>
        <v>40.476190476190474</v>
      </c>
      <c r="AK748" s="8">
        <f>$J$571/$M$571*100</f>
        <v>2.3809523809523809</v>
      </c>
      <c r="AL748" s="8">
        <f>SUM(AG748:AK748)</f>
        <v>99.999999999999986</v>
      </c>
      <c r="AM748" s="8">
        <f>$J$587/$M$587*100</f>
        <v>25</v>
      </c>
      <c r="AN748" s="8">
        <f>$J$588/$M$588*100</f>
        <v>0</v>
      </c>
      <c r="AO748" s="8">
        <f>$J$589/$M$589*100</f>
        <v>0</v>
      </c>
      <c r="AP748" s="8">
        <f>$J$590/$M$590*100</f>
        <v>75</v>
      </c>
      <c r="AQ748" s="8">
        <f>$J$591/$M$591*100</f>
        <v>0</v>
      </c>
      <c r="AR748" s="8">
        <f>SUM(AM748:AQ748)</f>
        <v>100</v>
      </c>
      <c r="AS748" s="8">
        <f>$J$607/$M$607*100</f>
        <v>41.666666666666671</v>
      </c>
      <c r="AT748" s="8">
        <f>$J$608/$M$608*100</f>
        <v>0</v>
      </c>
      <c r="AU748" s="8">
        <f>$J$609/$M$609*100</f>
        <v>8.3333333333333321</v>
      </c>
      <c r="AV748" s="8">
        <f>$J$610/$M$610*100</f>
        <v>50</v>
      </c>
      <c r="AW748" s="8">
        <f>$J$611/$M$611*100</f>
        <v>0</v>
      </c>
      <c r="AX748" s="8">
        <f>SUM(AS748:AW748)</f>
        <v>100</v>
      </c>
      <c r="AY748" s="8">
        <f>$J$627/$M$627*100</f>
        <v>100</v>
      </c>
      <c r="AZ748" s="8">
        <f>$J$628/$M$628*100</f>
        <v>0</v>
      </c>
      <c r="BA748" s="8">
        <f>$J$629/$M$629*100</f>
        <v>0</v>
      </c>
      <c r="BB748" s="8">
        <f>$J$630/$M$630*100</f>
        <v>0</v>
      </c>
      <c r="BC748" s="8">
        <f>$J$631/$M$631*100</f>
        <v>0</v>
      </c>
      <c r="BD748" s="8">
        <f>SUM(AY748:BC748)</f>
        <v>100</v>
      </c>
    </row>
    <row r="749" spans="1:61" ht="16" thickBot="1" x14ac:dyDescent="0.25">
      <c r="AF749" s="9" t="s">
        <v>59</v>
      </c>
      <c r="AG749" s="8">
        <f>$J$407/$M$407*100</f>
        <v>46.296296296296298</v>
      </c>
      <c r="AH749" s="8">
        <f>$J$408/$M$408*100</f>
        <v>24.074074074074073</v>
      </c>
      <c r="AI749" s="8">
        <f>$J$409/$M$409*100</f>
        <v>22.222222222222221</v>
      </c>
      <c r="AJ749" s="8">
        <f>$J$410/$M$410*100</f>
        <v>7.4074074074074066</v>
      </c>
      <c r="AK749" s="8">
        <f>$J$411/$M$411*100</f>
        <v>0</v>
      </c>
      <c r="AL749" s="8">
        <f>SUM(AG749:AK749)</f>
        <v>99.999999999999986</v>
      </c>
      <c r="AM749" s="8">
        <f>$J$427/$M$427*100</f>
        <v>33.333333333333329</v>
      </c>
      <c r="AN749" s="8">
        <f>$J$428/$M$428*100</f>
        <v>50</v>
      </c>
      <c r="AO749" s="8">
        <f>$J$429/$M$429*100</f>
        <v>16.666666666666664</v>
      </c>
      <c r="AP749" s="8">
        <f>$J$430/$M$430*100</f>
        <v>0</v>
      </c>
      <c r="AQ749" s="8">
        <f>$J$431/$M$431*100</f>
        <v>0</v>
      </c>
      <c r="AR749" s="8">
        <f>SUM(AM749:AQ749)</f>
        <v>100</v>
      </c>
      <c r="AS749" s="8">
        <f>$J$447/$M$447*100</f>
        <v>25.714285714285712</v>
      </c>
      <c r="AT749" s="8">
        <f>$J$448/$M$448*100</f>
        <v>37.142857142857146</v>
      </c>
      <c r="AU749" s="8">
        <f>$J$449/$M$449*100</f>
        <v>17.142857142857142</v>
      </c>
      <c r="AV749" s="8">
        <f>$J$450/$M$450*100</f>
        <v>20</v>
      </c>
      <c r="AW749" s="8">
        <f>$J$451/$M$451*100</f>
        <v>0</v>
      </c>
      <c r="AX749" s="8">
        <f>SUM(AS749:AW749)</f>
        <v>100</v>
      </c>
      <c r="AY749" s="8">
        <f>$J$467/$M$467*100</f>
        <v>54.54545454545454</v>
      </c>
      <c r="AZ749" s="8">
        <f>$J$468/$M$468*100</f>
        <v>27.27272727272727</v>
      </c>
      <c r="BA749" s="8">
        <f>$J$469/$M$469*100</f>
        <v>18.181818181818183</v>
      </c>
      <c r="BB749" s="8">
        <f>$J$470/$M$470*100</f>
        <v>0</v>
      </c>
      <c r="BC749" s="8">
        <f>$J$471/$M$471*100</f>
        <v>0</v>
      </c>
      <c r="BD749" s="8">
        <f>SUM(AY749:BC749)</f>
        <v>100</v>
      </c>
    </row>
    <row r="750" spans="1:61" x14ac:dyDescent="0.2">
      <c r="AF750" s="10" t="s">
        <v>50</v>
      </c>
      <c r="AG750" s="12">
        <f>AVERAGE(AG746:AG749)</f>
        <v>58.877386703473661</v>
      </c>
      <c r="AH750" s="12">
        <f>AVERAGE(AH746:AH749)</f>
        <v>12.172762824936738</v>
      </c>
      <c r="AI750" s="11">
        <f>AVERAGE(AI746:AI749)</f>
        <v>7.832988267770876</v>
      </c>
      <c r="AJ750" s="11">
        <f>AVERAGE(AJ746:AJ749)</f>
        <v>20.521624108580628</v>
      </c>
      <c r="AK750" s="11">
        <f>AVERAGE(AK746:AK749)</f>
        <v>0.59523809523809523</v>
      </c>
      <c r="AL750" s="12"/>
      <c r="AM750" s="11">
        <f>AVERAGE(AM746:AM749)</f>
        <v>57.291666666666671</v>
      </c>
      <c r="AN750" s="13">
        <f>AVERAGE(AN746:AN749)</f>
        <v>12.5</v>
      </c>
      <c r="AO750" s="14">
        <f>AVERAGE(AO746:AO749)</f>
        <v>4.1666666666666661</v>
      </c>
      <c r="AP750" s="14">
        <f>AVERAGE(AP746:AP749)</f>
        <v>26.041666666666664</v>
      </c>
      <c r="AQ750" s="14">
        <f>AVERAGE(AQ746:AQ749)</f>
        <v>0</v>
      </c>
      <c r="AR750" s="12"/>
      <c r="AS750" s="14">
        <f>AVERAGE(AS746:AS749)</f>
        <v>45.375722722648206</v>
      </c>
      <c r="AT750" s="12">
        <f>AVERAGE(AT746:AT749)</f>
        <v>10.849028511873744</v>
      </c>
      <c r="AU750" s="11">
        <f>AVERAGE(AU746:AU749)</f>
        <v>7.0551688627509366</v>
      </c>
      <c r="AV750" s="11">
        <f>AVERAGE(AV746:AV749)</f>
        <v>36.720079902727115</v>
      </c>
      <c r="AW750" s="11">
        <f>AVERAGE(AW746:AW749)</f>
        <v>0</v>
      </c>
      <c r="AX750" s="15"/>
      <c r="AY750" s="14">
        <f>AVERAGE(AY746:AY749)</f>
        <v>70.693779904306211</v>
      </c>
      <c r="AZ750" s="12">
        <f>AVERAGE(AZ746:AZ749)</f>
        <v>6.8181818181818175</v>
      </c>
      <c r="BA750" s="11">
        <f>AVERAGE(BA746:BA749)</f>
        <v>4.5454545454545459</v>
      </c>
      <c r="BB750" s="11">
        <f>AVERAGE(BB746:BB749)</f>
        <v>17.942583732057415</v>
      </c>
      <c r="BC750" s="11">
        <f>AVERAGE(BC746:BC749)</f>
        <v>0</v>
      </c>
      <c r="BD750" s="15"/>
      <c r="BE750" s="8">
        <f>AVERAGE(AG750,AM750,AS750,AY750)</f>
        <v>58.059638999273687</v>
      </c>
      <c r="BF750" s="8">
        <f>AVERAGE(AH750,AN750,AT750,AZ750)</f>
        <v>10.584993288748075</v>
      </c>
      <c r="BG750" s="8">
        <f>AVERAGE(AI750,AO750,AU750,BA750)</f>
        <v>5.9000695856607566</v>
      </c>
      <c r="BH750" s="8">
        <f>AVERAGE(AJ750,AP750,AV750,BB750)</f>
        <v>25.306488602507955</v>
      </c>
      <c r="BI750" s="8">
        <f>AVERAGE(AK750,AQ750,AW750,BC750)</f>
        <v>0.14880952380952381</v>
      </c>
    </row>
    <row r="751" spans="1:61" ht="32" x14ac:dyDescent="0.2">
      <c r="A751" s="2" t="s">
        <v>197</v>
      </c>
      <c r="B751" s="3" t="s">
        <v>53</v>
      </c>
      <c r="C751" s="3"/>
      <c r="D751" s="3"/>
      <c r="E751" s="3"/>
      <c r="F751" s="3"/>
      <c r="G751" s="4" t="s">
        <v>64</v>
      </c>
      <c r="H751" s="3" t="s">
        <v>54</v>
      </c>
      <c r="I751" s="3"/>
      <c r="J751" s="3"/>
      <c r="K751" s="3"/>
      <c r="L751" s="3"/>
      <c r="M751" s="4" t="s">
        <v>64</v>
      </c>
      <c r="N751" s="3" t="s">
        <v>55</v>
      </c>
      <c r="O751" s="3"/>
      <c r="P751" s="3"/>
      <c r="Q751" s="3"/>
      <c r="R751" s="3"/>
      <c r="S751" s="4" t="s">
        <v>64</v>
      </c>
      <c r="T751" s="3" t="s">
        <v>56</v>
      </c>
      <c r="U751" s="3"/>
      <c r="V751" s="3"/>
      <c r="W751" s="3"/>
      <c r="X751" s="3"/>
      <c r="Y751" s="4" t="s">
        <v>64</v>
      </c>
    </row>
    <row r="752" spans="1:61" x14ac:dyDescent="0.2">
      <c r="A752" s="3"/>
      <c r="B752" s="4" t="s">
        <v>20</v>
      </c>
      <c r="C752" s="4" t="s">
        <v>21</v>
      </c>
      <c r="D752" s="4" t="s">
        <v>60</v>
      </c>
      <c r="E752" s="4" t="s">
        <v>61</v>
      </c>
      <c r="F752" s="4" t="s">
        <v>62</v>
      </c>
      <c r="G752" s="4"/>
      <c r="H752" s="4" t="s">
        <v>20</v>
      </c>
      <c r="I752" s="4" t="s">
        <v>21</v>
      </c>
      <c r="J752" s="4" t="s">
        <v>60</v>
      </c>
      <c r="K752" s="4" t="s">
        <v>61</v>
      </c>
      <c r="L752" s="4" t="s">
        <v>62</v>
      </c>
      <c r="M752" s="4"/>
      <c r="N752" s="4" t="s">
        <v>20</v>
      </c>
      <c r="O752" s="4" t="s">
        <v>21</v>
      </c>
      <c r="P752" s="4" t="s">
        <v>60</v>
      </c>
      <c r="Q752" s="4" t="s">
        <v>61</v>
      </c>
      <c r="R752" s="4" t="s">
        <v>62</v>
      </c>
      <c r="S752" s="4"/>
      <c r="T752" s="4" t="s">
        <v>20</v>
      </c>
      <c r="U752" s="4" t="s">
        <v>21</v>
      </c>
      <c r="V752" s="4" t="s">
        <v>60</v>
      </c>
      <c r="W752" s="4" t="s">
        <v>61</v>
      </c>
      <c r="X752" s="4" t="s">
        <v>62</v>
      </c>
      <c r="Y752" s="4"/>
    </row>
    <row r="753" spans="1:61" ht="48" x14ac:dyDescent="0.2">
      <c r="A753" s="5" t="s">
        <v>57</v>
      </c>
      <c r="B753" s="8">
        <f>$J$257/$M$257*100</f>
        <v>85.714285714285708</v>
      </c>
      <c r="C753" s="8">
        <f>$J$258/$M$258*100</f>
        <v>11.428571428571429</v>
      </c>
      <c r="D753" s="8">
        <f>$J$259/$M$259*100</f>
        <v>0</v>
      </c>
      <c r="E753" s="8">
        <f>$J$260/$M$260*100</f>
        <v>2.8571428571428572</v>
      </c>
      <c r="F753" s="8">
        <f>$J$261/$M$261*100</f>
        <v>0</v>
      </c>
      <c r="G753" s="8">
        <f>SUM(B753:F753)</f>
        <v>100</v>
      </c>
      <c r="H753" s="8">
        <f>$J$277/$M$277*100</f>
        <v>100</v>
      </c>
      <c r="I753" s="8">
        <f>$J$278/$M$278*100</f>
        <v>0</v>
      </c>
      <c r="J753" s="8">
        <f>$J$279/$M$279*100</f>
        <v>0</v>
      </c>
      <c r="K753" s="8">
        <f>$J$280/$M$280*100</f>
        <v>0</v>
      </c>
      <c r="L753" s="8">
        <f>$J$281/$M$281*100</f>
        <v>0</v>
      </c>
      <c r="M753" s="8">
        <f>SUM(H753:L753)</f>
        <v>100</v>
      </c>
      <c r="N753" s="8">
        <f>$J$297/$M$297*100</f>
        <v>93.181818181818173</v>
      </c>
      <c r="O753" s="8">
        <f>$J$298/$M$298*100</f>
        <v>4.5454545454545459</v>
      </c>
      <c r="P753" s="8">
        <f>$J$299/$M$299*100</f>
        <v>0</v>
      </c>
      <c r="Q753" s="8">
        <f>$J$300/$M$300*100</f>
        <v>2.2727272727272729</v>
      </c>
      <c r="R753" s="8">
        <f>$J$311/$M$311*100</f>
        <v>0</v>
      </c>
      <c r="S753" s="8">
        <f>SUM(N753:R753)</f>
        <v>99.999999999999986</v>
      </c>
      <c r="T753" s="8">
        <f>$J$317/$M$317*100</f>
        <v>88.888888888888886</v>
      </c>
      <c r="U753" s="8">
        <f>$J$318/$M$318*100</f>
        <v>0</v>
      </c>
      <c r="V753" s="8">
        <f>$J$319/$M$319*100</f>
        <v>0</v>
      </c>
      <c r="W753" s="8">
        <f>$J$320/$M$320*100</f>
        <v>11.111111111111111</v>
      </c>
      <c r="X753" s="8">
        <f>$J$321/$M$321*100</f>
        <v>0</v>
      </c>
      <c r="Y753" s="8">
        <f>SUM(T753:X753)</f>
        <v>100</v>
      </c>
      <c r="AF753" s="2" t="s">
        <v>196</v>
      </c>
      <c r="AG753" s="3" t="s">
        <v>53</v>
      </c>
      <c r="AH753" s="3"/>
      <c r="AI753" s="3"/>
      <c r="AJ753" s="3"/>
      <c r="AK753" s="3"/>
      <c r="AL753" s="4" t="s">
        <v>64</v>
      </c>
      <c r="AM753" s="3" t="s">
        <v>54</v>
      </c>
      <c r="AN753" s="3"/>
      <c r="AO753" s="3"/>
      <c r="AP753" s="3"/>
      <c r="AQ753" s="3"/>
      <c r="AR753" s="4" t="s">
        <v>64</v>
      </c>
      <c r="AS753" s="3" t="s">
        <v>55</v>
      </c>
      <c r="AT753" s="3"/>
      <c r="AU753" s="3"/>
      <c r="AV753" s="3"/>
      <c r="AW753" s="3"/>
      <c r="AX753" s="4" t="s">
        <v>64</v>
      </c>
      <c r="AY753" s="3" t="s">
        <v>56</v>
      </c>
      <c r="AZ753" s="3"/>
      <c r="BA753" s="3"/>
      <c r="BB753" s="3"/>
      <c r="BC753" s="3"/>
      <c r="BD753" s="4" t="s">
        <v>64</v>
      </c>
    </row>
    <row r="754" spans="1:61" x14ac:dyDescent="0.2">
      <c r="A754" s="5" t="s">
        <v>58</v>
      </c>
      <c r="B754" s="8">
        <f>$J$337/$M$337*100</f>
        <v>48.275862068965516</v>
      </c>
      <c r="C754" s="8">
        <f>$J$338/$M$338*100</f>
        <v>13.793103448275861</v>
      </c>
      <c r="D754" s="8">
        <f>$J$339/$M$339*100</f>
        <v>6.8965517241379306</v>
      </c>
      <c r="E754" s="8">
        <f>$J$340/$M$340*100</f>
        <v>31.03448275862069</v>
      </c>
      <c r="F754" s="8">
        <f>$J$341/$M$341*100</f>
        <v>0</v>
      </c>
      <c r="G754" s="8">
        <f>SUM(B754:F754)</f>
        <v>100</v>
      </c>
      <c r="H754" s="8">
        <f>$J$357/$M$357*100</f>
        <v>83.333333333333343</v>
      </c>
      <c r="I754" s="8">
        <f>$J$358/$M$358*100</f>
        <v>0</v>
      </c>
      <c r="J754" s="8">
        <f>$J$359/$M$359*100</f>
        <v>0</v>
      </c>
      <c r="K754" s="8">
        <f>$J$360/$M$360*100</f>
        <v>16.666666666666664</v>
      </c>
      <c r="L754" s="8">
        <f>$J$361/$M$361*100</f>
        <v>0</v>
      </c>
      <c r="M754" s="8">
        <f t="shared" ref="M754:M755" si="20">SUM(H754:L754)</f>
        <v>100</v>
      </c>
      <c r="N754" s="8">
        <f>$J$377/$M$377*100</f>
        <v>21.666666666666668</v>
      </c>
      <c r="O754" s="8">
        <f>$J$378/$M$378*100</f>
        <v>5</v>
      </c>
      <c r="P754" s="8">
        <f>$J$379/$M$379*100</f>
        <v>0</v>
      </c>
      <c r="Q754" s="8">
        <f>$J$380/$M$380*100</f>
        <v>73.333333333333329</v>
      </c>
      <c r="R754" s="8">
        <f>$J$381/$M$381*100</f>
        <v>0</v>
      </c>
      <c r="S754" s="8">
        <f>SUM(N754:R754)</f>
        <v>100</v>
      </c>
      <c r="T754" s="8">
        <f>$J$397/$M$397*100</f>
        <v>42.857142857142854</v>
      </c>
      <c r="U754" s="8">
        <f>$J$398/$M$398*100</f>
        <v>28.571428571428569</v>
      </c>
      <c r="V754" s="8">
        <f>$J$399/$M$399*100</f>
        <v>0</v>
      </c>
      <c r="W754" s="8">
        <f>$J$400/$M$400*100</f>
        <v>28.571428571428569</v>
      </c>
      <c r="X754" s="8">
        <f>$J$411/$M$411*100</f>
        <v>0</v>
      </c>
      <c r="Y754" s="8">
        <f>SUM(T754:X754)</f>
        <v>99.999999999999986</v>
      </c>
      <c r="AF754" s="3"/>
      <c r="AG754" s="4" t="s">
        <v>20</v>
      </c>
      <c r="AH754" s="4" t="s">
        <v>21</v>
      </c>
      <c r="AI754" s="4" t="s">
        <v>60</v>
      </c>
      <c r="AJ754" s="4" t="s">
        <v>61</v>
      </c>
      <c r="AK754" s="4" t="s">
        <v>62</v>
      </c>
      <c r="AL754" s="4"/>
      <c r="AM754" s="4" t="s">
        <v>20</v>
      </c>
      <c r="AN754" s="4" t="s">
        <v>21</v>
      </c>
      <c r="AO754" s="4" t="s">
        <v>60</v>
      </c>
      <c r="AP754" s="4" t="s">
        <v>61</v>
      </c>
      <c r="AQ754" s="4" t="s">
        <v>62</v>
      </c>
      <c r="AR754" s="4"/>
      <c r="AS754" s="4" t="s">
        <v>20</v>
      </c>
      <c r="AT754" s="4" t="s">
        <v>21</v>
      </c>
      <c r="AU754" s="4" t="s">
        <v>60</v>
      </c>
      <c r="AV754" s="4" t="s">
        <v>61</v>
      </c>
      <c r="AW754" s="4" t="s">
        <v>62</v>
      </c>
      <c r="AX754" s="4"/>
      <c r="AY754" s="4" t="s">
        <v>20</v>
      </c>
      <c r="AZ754" s="4" t="s">
        <v>21</v>
      </c>
      <c r="BA754" s="4" t="s">
        <v>60</v>
      </c>
      <c r="BB754" s="4" t="s">
        <v>61</v>
      </c>
      <c r="BC754" s="4" t="s">
        <v>62</v>
      </c>
      <c r="BD754" s="4"/>
    </row>
    <row r="755" spans="1:61" ht="16" thickBot="1" x14ac:dyDescent="0.25">
      <c r="A755" s="9" t="s">
        <v>59</v>
      </c>
      <c r="B755" s="8">
        <f>$J$417/$M$417*100</f>
        <v>40.677966101694921</v>
      </c>
      <c r="C755" s="8">
        <f>$J$418/$M$418*100</f>
        <v>25.423728813559322</v>
      </c>
      <c r="D755" s="8">
        <f>$J$419/$M$419*100</f>
        <v>15.254237288135593</v>
      </c>
      <c r="E755" s="8">
        <f>$J$420/$M$420*100</f>
        <v>18.64406779661017</v>
      </c>
      <c r="F755" s="8">
        <f>$J$421/$M$421*100</f>
        <v>0</v>
      </c>
      <c r="G755" s="8">
        <f>SUM(B755:F755)</f>
        <v>100.00000000000001</v>
      </c>
      <c r="H755" s="8">
        <f>$J$437/$M$437*100</f>
        <v>0</v>
      </c>
      <c r="I755" s="8">
        <f>$J$438/$M$438*100</f>
        <v>50</v>
      </c>
      <c r="J755" s="8">
        <f>$J$439/$M$439*100</f>
        <v>50</v>
      </c>
      <c r="K755" s="8">
        <f>$J$440/$M$440*100</f>
        <v>0</v>
      </c>
      <c r="L755" s="8">
        <f>$J$441/$M$441*100</f>
        <v>0</v>
      </c>
      <c r="M755" s="8">
        <f t="shared" si="20"/>
        <v>100</v>
      </c>
      <c r="N755" s="8">
        <f>$J$457/$M$457*100</f>
        <v>42.857142857142854</v>
      </c>
      <c r="O755" s="8">
        <f>$J$458/$M$458*100</f>
        <v>25.714285714285712</v>
      </c>
      <c r="P755" s="8">
        <f>$J$459/$M$459*100</f>
        <v>8.5714285714285712</v>
      </c>
      <c r="Q755" s="8">
        <f>$J$460/$M$460*100</f>
        <v>22.857142857142858</v>
      </c>
      <c r="R755" s="8">
        <f>$J$461/$M$461*100</f>
        <v>0</v>
      </c>
      <c r="S755" s="8">
        <f>SUM(N755:R755)</f>
        <v>100</v>
      </c>
      <c r="T755" s="8">
        <f>$J$477/$M$477*100</f>
        <v>50</v>
      </c>
      <c r="U755" s="8">
        <f>$J$478/$M$478*100</f>
        <v>14.285714285714285</v>
      </c>
      <c r="V755" s="8">
        <f>$J$479/$M$479*100</f>
        <v>21.428571428571427</v>
      </c>
      <c r="W755" s="8">
        <f>$J$480/$M$480*100</f>
        <v>14.285714285714285</v>
      </c>
      <c r="X755" s="8">
        <f>$J$481/$M$481*100</f>
        <v>0</v>
      </c>
      <c r="Y755" s="8">
        <f>SUM(T755:X755)</f>
        <v>100</v>
      </c>
      <c r="AF755" s="5" t="s">
        <v>57</v>
      </c>
      <c r="AG755" s="8">
        <f>$J$252/$M$252*100</f>
        <v>79.069767441860463</v>
      </c>
      <c r="AH755" s="8">
        <f>$J$253/$M$253*100</f>
        <v>11.627906976744185</v>
      </c>
      <c r="AI755" s="8">
        <f>$J$254/$M$254*100</f>
        <v>2.3255813953488373</v>
      </c>
      <c r="AJ755" s="8">
        <f>$J$255/$M$255*100</f>
        <v>6.9767441860465116</v>
      </c>
      <c r="AK755" s="8">
        <f>$J$256/$M$256*100</f>
        <v>0</v>
      </c>
      <c r="AL755" s="8">
        <f>SUM(AG755:AK755)</f>
        <v>100</v>
      </c>
      <c r="AM755" s="8">
        <f>$J$272/$M$272*100</f>
        <v>66.666666666666657</v>
      </c>
      <c r="AN755" s="8">
        <f>$J$273/$M$273*100</f>
        <v>22.222222222222221</v>
      </c>
      <c r="AO755" s="8">
        <f>$J$274/$M$274*100</f>
        <v>0</v>
      </c>
      <c r="AP755" s="8">
        <f>$J$275/$M$275*100</f>
        <v>11.111111111111111</v>
      </c>
      <c r="AQ755" s="8">
        <f>$J$276/$M$276*100</f>
        <v>0</v>
      </c>
      <c r="AR755" s="8">
        <f>SUM(AM755:AQ755)</f>
        <v>100</v>
      </c>
      <c r="AS755" s="8">
        <f>$J$292/$M$292*100</f>
        <v>94.565217391304344</v>
      </c>
      <c r="AT755" s="8">
        <f>$J$293/$M$293*100</f>
        <v>2.1739130434782608</v>
      </c>
      <c r="AU755" s="8">
        <f>$J$294/$M$294*100</f>
        <v>0</v>
      </c>
      <c r="AV755" s="8">
        <f>$J$295/$M$295*100</f>
        <v>3.2608695652173911</v>
      </c>
      <c r="AW755" s="8">
        <f>$J$296/$M$296*100</f>
        <v>0</v>
      </c>
      <c r="AX755" s="8">
        <f>SUM(AS755:AW755)</f>
        <v>100</v>
      </c>
      <c r="AY755" s="8">
        <f>$J$312/$M$312*100</f>
        <v>84.210526315789465</v>
      </c>
      <c r="AZ755" s="8">
        <f>$J$313/$M$313*100</f>
        <v>0</v>
      </c>
      <c r="BA755" s="8">
        <f>$J$314/$M$314*100</f>
        <v>0</v>
      </c>
      <c r="BB755" s="8">
        <f>$J$315/$M$315*100</f>
        <v>15.789473684210526</v>
      </c>
      <c r="BC755" s="8">
        <f>$J$316/$M$316*100</f>
        <v>0</v>
      </c>
      <c r="BD755" s="8">
        <f>SUM(AY755:BC755)</f>
        <v>99.999999999999986</v>
      </c>
    </row>
    <row r="756" spans="1:61" x14ac:dyDescent="0.2">
      <c r="A756" s="10" t="s">
        <v>50</v>
      </c>
      <c r="B756" s="12">
        <f>AVERAGE(B753:B755)</f>
        <v>58.222704628315377</v>
      </c>
      <c r="C756" s="12">
        <f>AVERAGE(C753:C755)</f>
        <v>16.881801230135537</v>
      </c>
      <c r="D756" s="11">
        <f>AVERAGE(D753:D755)</f>
        <v>7.3835963374245077</v>
      </c>
      <c r="E756" s="11">
        <f>AVERAGE(E753:E755)</f>
        <v>17.511897804124573</v>
      </c>
      <c r="F756" s="11">
        <f>AVERAGE(F753:F755)</f>
        <v>0</v>
      </c>
      <c r="G756" s="12"/>
      <c r="H756" s="11">
        <f>AVERAGE(H753:H755)</f>
        <v>61.111111111111114</v>
      </c>
      <c r="I756" s="13">
        <f>AVERAGE(I753:I755)</f>
        <v>16.666666666666668</v>
      </c>
      <c r="J756" s="14">
        <f>AVERAGE(J753:J755)</f>
        <v>16.666666666666668</v>
      </c>
      <c r="K756" s="14">
        <f>AVERAGE(K753:K755)</f>
        <v>5.5555555555555545</v>
      </c>
      <c r="L756" s="14">
        <f>AVERAGE(L753:L755)</f>
        <v>0</v>
      </c>
      <c r="M756" s="12"/>
      <c r="N756" s="14">
        <f>AVERAGE(N753:N755)</f>
        <v>52.568542568542568</v>
      </c>
      <c r="O756" s="12">
        <f>AVERAGE(O753:O755)</f>
        <v>11.753246753246751</v>
      </c>
      <c r="P756" s="11">
        <f>AVERAGE(P753:P755)</f>
        <v>2.8571428571428572</v>
      </c>
      <c r="Q756" s="11">
        <f>AVERAGE(Q753:Q755)</f>
        <v>32.821067821067821</v>
      </c>
      <c r="R756" s="11">
        <f>AVERAGE(R753:R755)</f>
        <v>0</v>
      </c>
      <c r="S756" s="15"/>
      <c r="T756" s="14">
        <f>AVERAGE(T753:T755)</f>
        <v>60.582010582010582</v>
      </c>
      <c r="U756" s="12">
        <f>AVERAGE(U753:U755)</f>
        <v>14.285714285714285</v>
      </c>
      <c r="V756" s="11">
        <f>AVERAGE(V753:V755)</f>
        <v>7.1428571428571423</v>
      </c>
      <c r="W756" s="11">
        <f>AVERAGE(W753:W755)</f>
        <v>17.989417989417991</v>
      </c>
      <c r="X756" s="11">
        <f>AVERAGE(X753:X755)</f>
        <v>0</v>
      </c>
      <c r="Y756" s="15"/>
      <c r="Z756" s="8">
        <f>AVERAGE(B756,H756,N756,T756)</f>
        <v>58.121092222494909</v>
      </c>
      <c r="AA756" s="8">
        <f>AVERAGE(C756,I756,O756,U756)</f>
        <v>14.896857233940811</v>
      </c>
      <c r="AB756" s="8">
        <f>AVERAGE(D756,J756,P756,V756)</f>
        <v>8.5125657510227946</v>
      </c>
      <c r="AC756" s="8">
        <f>AVERAGE(E756,K756,Q756,W756)</f>
        <v>18.469484792541483</v>
      </c>
      <c r="AD756" s="8">
        <f>AVERAGE(F756,L756,R756,X756)</f>
        <v>0</v>
      </c>
      <c r="AF756" s="5" t="s">
        <v>58</v>
      </c>
      <c r="AG756" s="8">
        <f>$J$332/$M$332*100</f>
        <v>52</v>
      </c>
      <c r="AH756" s="8">
        <f>$J$333/$M$333*100</f>
        <v>12</v>
      </c>
      <c r="AI756" s="8">
        <f>$J$334/$M$334*100</f>
        <v>8</v>
      </c>
      <c r="AJ756" s="8">
        <f>$J$335/$M$335*100</f>
        <v>28.000000000000004</v>
      </c>
      <c r="AK756" s="8">
        <f>$J$336/$M$336*100</f>
        <v>0</v>
      </c>
      <c r="AL756" s="8">
        <f>SUM(AG756:AK756)</f>
        <v>100</v>
      </c>
      <c r="AM756" s="8">
        <f>$J$352/$M$352*100</f>
        <v>85.714285714285708</v>
      </c>
      <c r="AN756" s="8">
        <f>$J$353/$M$353*100</f>
        <v>0</v>
      </c>
      <c r="AO756" s="8">
        <f>$J$354/$M$354*100</f>
        <v>0</v>
      </c>
      <c r="AP756" s="8">
        <f>$J$355/$M$355*100</f>
        <v>14.285714285714285</v>
      </c>
      <c r="AQ756" s="8">
        <f>$J$356/$M$356*100</f>
        <v>0</v>
      </c>
      <c r="AR756" s="8">
        <f>SUM(AM756:AQ756)</f>
        <v>100</v>
      </c>
      <c r="AS756" s="8">
        <f>$J$372/$M$372*100</f>
        <v>23.4375</v>
      </c>
      <c r="AT756" s="8">
        <f>$J$373/$M$373*100</f>
        <v>3.125</v>
      </c>
      <c r="AU756" s="8">
        <f>$J$374/$M$374*100</f>
        <v>0</v>
      </c>
      <c r="AV756" s="8">
        <f>$J$375/$M$375*100</f>
        <v>73.4375</v>
      </c>
      <c r="AW756" s="8">
        <f>$J$376/$M$376*100</f>
        <v>0</v>
      </c>
      <c r="AX756" s="8">
        <f>SUM(AS756:AW756)</f>
        <v>100</v>
      </c>
      <c r="AY756" s="8">
        <f>$J$392/$M$392*100</f>
        <v>80</v>
      </c>
      <c r="AZ756" s="8">
        <f>$J$393/$M$393*100</f>
        <v>0</v>
      </c>
      <c r="BA756" s="8">
        <f>$J$394/$M$394*100</f>
        <v>0</v>
      </c>
      <c r="BB756" s="8">
        <f>$J$395/$M$395*100</f>
        <v>20</v>
      </c>
      <c r="BC756" s="8">
        <f>$J$396/$M$396*100</f>
        <v>0</v>
      </c>
      <c r="BD756" s="8">
        <f>SUM(AY756:BC756)</f>
        <v>100</v>
      </c>
    </row>
    <row r="757" spans="1:61" x14ac:dyDescent="0.2">
      <c r="AF757" s="5" t="s">
        <v>142</v>
      </c>
      <c r="AG757" s="8">
        <f>$J$572/$M$572*100</f>
        <v>57.142857142857139</v>
      </c>
      <c r="AH757" s="8">
        <f>$J$573/$M$573*100</f>
        <v>11.428571428571429</v>
      </c>
      <c r="AI757" s="8">
        <f>$J$574/$M$574*100</f>
        <v>0</v>
      </c>
      <c r="AJ757" s="8">
        <f>$J$575/$M$575*100</f>
        <v>31.428571428571427</v>
      </c>
      <c r="AK757" s="8">
        <f>$J$576/$M$576*100</f>
        <v>0</v>
      </c>
      <c r="AL757" s="8">
        <f>SUM(AG757:AK757)</f>
        <v>100</v>
      </c>
      <c r="AM757" s="8">
        <f>$J$592/$M$592*100</f>
        <v>0</v>
      </c>
      <c r="AN757" s="8">
        <f>$J$593/$M$593*100</f>
        <v>66.666666666666657</v>
      </c>
      <c r="AO757" s="8">
        <f>$J$594/$M$594*100</f>
        <v>33.333333333333329</v>
      </c>
      <c r="AP757" s="8">
        <f>$J$595/$M$595*100</f>
        <v>0</v>
      </c>
      <c r="AQ757" s="8">
        <f>$J$596/$M$596*100</f>
        <v>0</v>
      </c>
      <c r="AR757" s="8">
        <f>SUM(AM757:AQ757)</f>
        <v>99.999999999999986</v>
      </c>
      <c r="AS757" s="8">
        <f>$J$612/$M$612*100</f>
        <v>45.454545454545453</v>
      </c>
      <c r="AT757" s="8">
        <f>$J$613/$M$613*100</f>
        <v>9.0909090909090917</v>
      </c>
      <c r="AU757" s="8">
        <f>$J$614/$M$614*100</f>
        <v>18.181818181818183</v>
      </c>
      <c r="AV757" s="8">
        <f>$J$615/$M$615*100</f>
        <v>27.27272727272727</v>
      </c>
      <c r="AW757" s="8">
        <f>$J$611/$M$611*100</f>
        <v>0</v>
      </c>
      <c r="AX757" s="8">
        <f>SUM(AS757:AW757)</f>
        <v>100</v>
      </c>
      <c r="AY757" s="8">
        <f>$J$632/$M$632*100</f>
        <v>90.909090909090907</v>
      </c>
      <c r="AZ757" s="8">
        <f>$J$633/$M$633*100</f>
        <v>9.0909090909090917</v>
      </c>
      <c r="BA757" s="8">
        <f>$J$634/$M$634*100</f>
        <v>0</v>
      </c>
      <c r="BB757" s="8">
        <f>$J$635/$M$635*100</f>
        <v>0</v>
      </c>
      <c r="BC757" s="8">
        <f>$J$636/$M$636*100</f>
        <v>0</v>
      </c>
      <c r="BD757" s="8">
        <f>SUM(AY757:BC757)</f>
        <v>100</v>
      </c>
    </row>
    <row r="758" spans="1:61" ht="16" thickBot="1" x14ac:dyDescent="0.25">
      <c r="AF758" s="9" t="s">
        <v>59</v>
      </c>
      <c r="AG758" s="8">
        <f>$J$412/$M$412*100</f>
        <v>47.272727272727273</v>
      </c>
      <c r="AH758" s="8">
        <f>$J$413/$M$413*100</f>
        <v>16.363636363636363</v>
      </c>
      <c r="AI758" s="8">
        <f>$J$414/$M$414*100</f>
        <v>29.09090909090909</v>
      </c>
      <c r="AJ758" s="8">
        <f>$J$415/$M$415*100</f>
        <v>7.2727272727272725</v>
      </c>
      <c r="AK758" s="8">
        <f>$J$416/$M$416*100</f>
        <v>0</v>
      </c>
      <c r="AL758" s="8">
        <f>SUM(AG758:AK758)</f>
        <v>100</v>
      </c>
      <c r="AM758" s="8">
        <f>$J$432/$M$432*100</f>
        <v>20</v>
      </c>
      <c r="AN758" s="8">
        <f>$J$433/$M$433*100</f>
        <v>60</v>
      </c>
      <c r="AO758" s="8">
        <f>$J$434/$M$434*100</f>
        <v>0</v>
      </c>
      <c r="AP758" s="8">
        <f>$J$435/$M$435*100</f>
        <v>20</v>
      </c>
      <c r="AQ758" s="8">
        <f>$J$436/$M$436*100</f>
        <v>0</v>
      </c>
      <c r="AR758" s="8">
        <f>SUM(AM758:AQ758)</f>
        <v>100</v>
      </c>
      <c r="AS758" s="8">
        <f>$J$452/$M$452*100</f>
        <v>35.294117647058826</v>
      </c>
      <c r="AT758" s="8">
        <f>$J$453/$M$453*100</f>
        <v>32.352941176470587</v>
      </c>
      <c r="AU758" s="8">
        <f>$J$454/$M$454*100</f>
        <v>5.8823529411764701</v>
      </c>
      <c r="AV758" s="8">
        <f>$J$455/$M$455*100</f>
        <v>26.47058823529412</v>
      </c>
      <c r="AW758" s="8">
        <f>$J$456/$M$456*100</f>
        <v>0</v>
      </c>
      <c r="AX758" s="8">
        <f>SUM(AS758:AW758)</f>
        <v>100</v>
      </c>
      <c r="AY758" s="8">
        <f>$J$472/$M$472*100</f>
        <v>80</v>
      </c>
      <c r="AZ758" s="8">
        <f>$J$473/$M$473*100</f>
        <v>0</v>
      </c>
      <c r="BA758" s="8">
        <f>$J$474/$M$474*100</f>
        <v>13.333333333333334</v>
      </c>
      <c r="BB758" s="8">
        <f>$J$475/$M$475*100</f>
        <v>6.666666666666667</v>
      </c>
      <c r="BC758" s="8">
        <f>$J$476/$M$476*100</f>
        <v>0</v>
      </c>
      <c r="BD758" s="8">
        <f>SUM(AY758:BC758)</f>
        <v>100</v>
      </c>
    </row>
    <row r="759" spans="1:61" x14ac:dyDescent="0.2">
      <c r="AF759" s="10" t="s">
        <v>50</v>
      </c>
      <c r="AG759" s="12">
        <f>AVERAGE(AG755:AG758)</f>
        <v>58.871337964361217</v>
      </c>
      <c r="AH759" s="12">
        <f>AVERAGE(AH755:AH758)</f>
        <v>12.855028692237994</v>
      </c>
      <c r="AI759" s="11">
        <f>AVERAGE(AI755:AI758)</f>
        <v>9.8541226215644819</v>
      </c>
      <c r="AJ759" s="11">
        <f>AVERAGE(AJ755:AJ758)</f>
        <v>18.419510721836303</v>
      </c>
      <c r="AK759" s="11">
        <f>AVERAGE(AK755:AK758)</f>
        <v>0</v>
      </c>
      <c r="AL759" s="12"/>
      <c r="AM759" s="11">
        <f>AVERAGE(AM755:AM758)</f>
        <v>43.095238095238088</v>
      </c>
      <c r="AN759" s="13">
        <f>AVERAGE(AN755:AN758)</f>
        <v>37.222222222222221</v>
      </c>
      <c r="AO759" s="14">
        <f>AVERAGE(AO755:AO758)</f>
        <v>8.3333333333333321</v>
      </c>
      <c r="AP759" s="14">
        <f>AVERAGE(AP755:AP758)</f>
        <v>11.349206349206348</v>
      </c>
      <c r="AQ759" s="14">
        <f>AVERAGE(AQ755:AQ758)</f>
        <v>0</v>
      </c>
      <c r="AR759" s="12"/>
      <c r="AS759" s="14">
        <f>AVERAGE(AS755:AS758)</f>
        <v>49.687845123227163</v>
      </c>
      <c r="AT759" s="12">
        <f>AVERAGE(AT755:AT758)</f>
        <v>11.685690827714485</v>
      </c>
      <c r="AU759" s="11">
        <f>AVERAGE(AU755:AU758)</f>
        <v>6.0160427807486636</v>
      </c>
      <c r="AV759" s="11">
        <f>AVERAGE(AV755:AV758)</f>
        <v>32.610421268309693</v>
      </c>
      <c r="AW759" s="11">
        <f>AVERAGE(AW755:AW758)</f>
        <v>0</v>
      </c>
      <c r="AX759" s="15"/>
      <c r="AY759" s="14">
        <f>AVERAGE(AY755:AY758)</f>
        <v>83.779904306220089</v>
      </c>
      <c r="AZ759" s="12">
        <f>AVERAGE(AZ755:AZ758)</f>
        <v>2.2727272727272729</v>
      </c>
      <c r="BA759" s="11">
        <f>AVERAGE(BA755:BA758)</f>
        <v>3.3333333333333335</v>
      </c>
      <c r="BB759" s="11">
        <f>AVERAGE(BB755:BB758)</f>
        <v>10.614035087719298</v>
      </c>
      <c r="BC759" s="11">
        <f>AVERAGE(BC755:BC758)</f>
        <v>0</v>
      </c>
      <c r="BD759" s="15"/>
      <c r="BE759" s="8">
        <f>AVERAGE(AG759,AM759,AS759,AY759)</f>
        <v>58.858581372261639</v>
      </c>
      <c r="BF759" s="8">
        <f>AVERAGE(AH759,AN759,AT759,AZ759)</f>
        <v>16.008917253725492</v>
      </c>
      <c r="BG759" s="8">
        <f>AVERAGE(AI759,AO759,AU759,BA759)</f>
        <v>6.8842080172449522</v>
      </c>
      <c r="BH759" s="8">
        <f>AVERAGE(AJ759,AP759,AV759,BB759)</f>
        <v>18.24829335676791</v>
      </c>
      <c r="BI759" s="8">
        <f>AVERAGE(AK759,AQ759,AW759,BC759)</f>
        <v>0</v>
      </c>
    </row>
    <row r="762" spans="1:61" ht="48" x14ac:dyDescent="0.2">
      <c r="AF762" s="2" t="s">
        <v>197</v>
      </c>
      <c r="AG762" s="3" t="s">
        <v>53</v>
      </c>
      <c r="AH762" s="3"/>
      <c r="AI762" s="3"/>
      <c r="AJ762" s="3"/>
      <c r="AK762" s="3"/>
      <c r="AL762" s="4" t="s">
        <v>64</v>
      </c>
      <c r="AM762" s="3" t="s">
        <v>54</v>
      </c>
      <c r="AN762" s="3"/>
      <c r="AO762" s="3"/>
      <c r="AP762" s="3"/>
      <c r="AQ762" s="3"/>
      <c r="AR762" s="4" t="s">
        <v>64</v>
      </c>
      <c r="AS762" s="3" t="s">
        <v>55</v>
      </c>
      <c r="AT762" s="3"/>
      <c r="AU762" s="3"/>
      <c r="AV762" s="3"/>
      <c r="AW762" s="3"/>
      <c r="AX762" s="4" t="s">
        <v>64</v>
      </c>
      <c r="AY762" s="3" t="s">
        <v>56</v>
      </c>
      <c r="AZ762" s="3"/>
      <c r="BA762" s="3"/>
      <c r="BB762" s="3"/>
      <c r="BC762" s="3"/>
      <c r="BD762" s="4" t="s">
        <v>64</v>
      </c>
    </row>
    <row r="763" spans="1:61" x14ac:dyDescent="0.2">
      <c r="AF763" s="3"/>
      <c r="AG763" s="4" t="s">
        <v>20</v>
      </c>
      <c r="AH763" s="4" t="s">
        <v>21</v>
      </c>
      <c r="AI763" s="4" t="s">
        <v>60</v>
      </c>
      <c r="AJ763" s="4" t="s">
        <v>61</v>
      </c>
      <c r="AK763" s="4" t="s">
        <v>62</v>
      </c>
      <c r="AL763" s="4"/>
      <c r="AM763" s="4" t="s">
        <v>20</v>
      </c>
      <c r="AN763" s="4" t="s">
        <v>21</v>
      </c>
      <c r="AO763" s="4" t="s">
        <v>60</v>
      </c>
      <c r="AP763" s="4" t="s">
        <v>61</v>
      </c>
      <c r="AQ763" s="4" t="s">
        <v>62</v>
      </c>
      <c r="AR763" s="4"/>
      <c r="AS763" s="4" t="s">
        <v>20</v>
      </c>
      <c r="AT763" s="4" t="s">
        <v>21</v>
      </c>
      <c r="AU763" s="4" t="s">
        <v>60</v>
      </c>
      <c r="AV763" s="4" t="s">
        <v>61</v>
      </c>
      <c r="AW763" s="4" t="s">
        <v>62</v>
      </c>
      <c r="AX763" s="4"/>
      <c r="AY763" s="4" t="s">
        <v>20</v>
      </c>
      <c r="AZ763" s="4" t="s">
        <v>21</v>
      </c>
      <c r="BA763" s="4" t="s">
        <v>60</v>
      </c>
      <c r="BB763" s="4" t="s">
        <v>61</v>
      </c>
      <c r="BC763" s="4" t="s">
        <v>62</v>
      </c>
      <c r="BD763" s="4"/>
    </row>
    <row r="764" spans="1:61" x14ac:dyDescent="0.2">
      <c r="AF764" s="5" t="s">
        <v>57</v>
      </c>
      <c r="AG764" s="8">
        <f>$J$257/$M$257*100</f>
        <v>85.714285714285708</v>
      </c>
      <c r="AH764" s="8">
        <f>$J$258/$M$258*100</f>
        <v>11.428571428571429</v>
      </c>
      <c r="AI764" s="8">
        <f>$J$259/$M$259*100</f>
        <v>0</v>
      </c>
      <c r="AJ764" s="8">
        <f>$J$260/$M$260*100</f>
        <v>2.8571428571428572</v>
      </c>
      <c r="AK764" s="8">
        <f>$J$261/$M$261*100</f>
        <v>0</v>
      </c>
      <c r="AL764" s="8">
        <f>SUM(AG764:AK764)</f>
        <v>100</v>
      </c>
      <c r="AM764" s="8">
        <f>$J$277/$M$277*100</f>
        <v>100</v>
      </c>
      <c r="AN764" s="8">
        <f>$J$278/$M$278*100</f>
        <v>0</v>
      </c>
      <c r="AO764" s="8">
        <f>$J$279/$M$279*100</f>
        <v>0</v>
      </c>
      <c r="AP764" s="8">
        <f>$J$280/$M$280*100</f>
        <v>0</v>
      </c>
      <c r="AQ764" s="8">
        <f>$J$281/$M$281*100</f>
        <v>0</v>
      </c>
      <c r="AR764" s="8">
        <f>SUM(AM764:AQ764)</f>
        <v>100</v>
      </c>
      <c r="AS764" s="8">
        <f>$J$297/$M$297*100</f>
        <v>93.181818181818173</v>
      </c>
      <c r="AT764" s="8">
        <f>$J$298/$M$298*100</f>
        <v>4.5454545454545459</v>
      </c>
      <c r="AU764" s="8">
        <f>$J$299/$M$299*100</f>
        <v>0</v>
      </c>
      <c r="AV764" s="8">
        <f>$J$300/$M$300*100</f>
        <v>2.2727272727272729</v>
      </c>
      <c r="AW764" s="8">
        <f>$J$311/$M$311*100</f>
        <v>0</v>
      </c>
      <c r="AX764" s="8">
        <f>SUM(AS764:AW764)</f>
        <v>99.999999999999986</v>
      </c>
      <c r="AY764" s="8">
        <f>$J$317/$M$317*100</f>
        <v>88.888888888888886</v>
      </c>
      <c r="AZ764" s="8">
        <f>$J$318/$M$318*100</f>
        <v>0</v>
      </c>
      <c r="BA764" s="8">
        <f>$J$319/$M$319*100</f>
        <v>0</v>
      </c>
      <c r="BB764" s="8">
        <f>$J$320/$M$320*100</f>
        <v>11.111111111111111</v>
      </c>
      <c r="BC764" s="8">
        <f>$J$321/$M$321*100</f>
        <v>0</v>
      </c>
      <c r="BD764" s="8">
        <f>SUM(AY764:BC764)</f>
        <v>100</v>
      </c>
    </row>
    <row r="765" spans="1:61" x14ac:dyDescent="0.2">
      <c r="AF765" s="5" t="s">
        <v>58</v>
      </c>
      <c r="AG765" s="8">
        <f>$J$337/$M$337*100</f>
        <v>48.275862068965516</v>
      </c>
      <c r="AH765" s="8">
        <f>$J$338/$M$338*100</f>
        <v>13.793103448275861</v>
      </c>
      <c r="AI765" s="8">
        <f>$J$339/$M$339*100</f>
        <v>6.8965517241379306</v>
      </c>
      <c r="AJ765" s="8">
        <f>$J$340/$M$340*100</f>
        <v>31.03448275862069</v>
      </c>
      <c r="AK765" s="8">
        <f>$J$341/$M$341*100</f>
        <v>0</v>
      </c>
      <c r="AL765" s="8">
        <f>SUM(AG765:AK765)</f>
        <v>100</v>
      </c>
      <c r="AM765" s="8">
        <f>$J$357/$M$357*100</f>
        <v>83.333333333333343</v>
      </c>
      <c r="AN765" s="8">
        <f>$J$358/$M$358*100</f>
        <v>0</v>
      </c>
      <c r="AO765" s="8">
        <f>$J$359/$M$359*100</f>
        <v>0</v>
      </c>
      <c r="AP765" s="8">
        <f>$J$360/$M$360*100</f>
        <v>16.666666666666664</v>
      </c>
      <c r="AQ765" s="8">
        <f>$J$361/$M$361*100</f>
        <v>0</v>
      </c>
      <c r="AR765" s="8">
        <f>SUM(AM765:AQ765)</f>
        <v>100</v>
      </c>
      <c r="AS765" s="8">
        <f>$J$377/$M$377*100</f>
        <v>21.666666666666668</v>
      </c>
      <c r="AT765" s="8">
        <f>$J$378/$M$378*100</f>
        <v>5</v>
      </c>
      <c r="AU765" s="8">
        <f>$J$379/$M$379*100</f>
        <v>0</v>
      </c>
      <c r="AV765" s="8">
        <f>$J$380/$M$380*100</f>
        <v>73.333333333333329</v>
      </c>
      <c r="AW765" s="8">
        <f>$J$381/$M$381*100</f>
        <v>0</v>
      </c>
      <c r="AX765" s="8">
        <f>SUM(AS765:AW765)</f>
        <v>100</v>
      </c>
      <c r="AY765" s="8">
        <f>$J$397/$M$397*100</f>
        <v>42.857142857142854</v>
      </c>
      <c r="AZ765" s="8">
        <f>$J$398/$M$398*100</f>
        <v>28.571428571428569</v>
      </c>
      <c r="BA765" s="8">
        <f>$J$399/$M$399*100</f>
        <v>0</v>
      </c>
      <c r="BB765" s="8">
        <f>$J$400/$M$400*100</f>
        <v>28.571428571428569</v>
      </c>
      <c r="BC765" s="8">
        <f>$J$411/$M$411*100</f>
        <v>0</v>
      </c>
      <c r="BD765" s="8">
        <f>SUM(AY765:BC765)</f>
        <v>99.999999999999986</v>
      </c>
    </row>
    <row r="766" spans="1:61" x14ac:dyDescent="0.2">
      <c r="AF766" s="5" t="s">
        <v>142</v>
      </c>
      <c r="AG766" s="8">
        <f>$J$577/$M$577*100</f>
        <v>37.5</v>
      </c>
      <c r="AH766" s="8">
        <f>$J$578/$M$578*100</f>
        <v>18.75</v>
      </c>
      <c r="AI766" s="8">
        <f>$J$579/$M$579*100</f>
        <v>9.375</v>
      </c>
      <c r="AJ766" s="8">
        <f>$J$580/$M$580*100</f>
        <v>34.375</v>
      </c>
      <c r="AK766" s="8">
        <f>$J$581/$M$581*100</f>
        <v>0</v>
      </c>
      <c r="AL766" s="8">
        <f>SUM(AG766:AK766)</f>
        <v>100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f>SUM(AM766:AQ766)</f>
        <v>0</v>
      </c>
      <c r="AS766" s="8">
        <f>$J$617/$M$617*100</f>
        <v>33.333333333333329</v>
      </c>
      <c r="AT766" s="8">
        <f>$J$618/$M$618*100</f>
        <v>16.666666666666664</v>
      </c>
      <c r="AU766" s="8">
        <f>$J$619/$M$619*100</f>
        <v>8.3333333333333321</v>
      </c>
      <c r="AV766" s="8">
        <f>$J$620/$M$620*100</f>
        <v>41.666666666666671</v>
      </c>
      <c r="AW766" s="8">
        <f>$J$611/$M$611*100</f>
        <v>0</v>
      </c>
      <c r="AX766" s="8">
        <f>SUM(AS766:AW766)</f>
        <v>100</v>
      </c>
      <c r="AY766" s="8">
        <f>$J$637/$M$637*100</f>
        <v>71.428571428571431</v>
      </c>
      <c r="AZ766" s="8">
        <f>$J$638/$M$638*100</f>
        <v>0</v>
      </c>
      <c r="BA766" s="8">
        <f>$J$639/$M$639*100</f>
        <v>21.428571428571427</v>
      </c>
      <c r="BB766" s="8">
        <f>$J$640/$M$640*100</f>
        <v>7.1428571428571423</v>
      </c>
      <c r="BC766" s="8">
        <f>$J$641/$M$641*100</f>
        <v>0</v>
      </c>
      <c r="BD766" s="8">
        <f>SUM(AY766:BC766)</f>
        <v>100</v>
      </c>
    </row>
    <row r="767" spans="1:61" ht="16" thickBot="1" x14ac:dyDescent="0.25">
      <c r="AF767" s="9" t="s">
        <v>59</v>
      </c>
      <c r="AG767" s="8">
        <f>$J$417/$M$417*100</f>
        <v>40.677966101694921</v>
      </c>
      <c r="AH767" s="8">
        <f>$J$418/$M$418*100</f>
        <v>25.423728813559322</v>
      </c>
      <c r="AI767" s="8">
        <f>$J$419/$M$419*100</f>
        <v>15.254237288135593</v>
      </c>
      <c r="AJ767" s="8">
        <f>$J$420/$M$420*100</f>
        <v>18.64406779661017</v>
      </c>
      <c r="AK767" s="8">
        <f>$J$421/$M$421*100</f>
        <v>0</v>
      </c>
      <c r="AL767" s="8">
        <f>SUM(AG767:AK767)</f>
        <v>100.00000000000001</v>
      </c>
      <c r="AM767" s="8">
        <f>$J$437/$M$437*100</f>
        <v>0</v>
      </c>
      <c r="AN767" s="8">
        <f>$J$438/$M$438*100</f>
        <v>50</v>
      </c>
      <c r="AO767" s="8">
        <f>$J$439/$M$439*100</f>
        <v>50</v>
      </c>
      <c r="AP767" s="8">
        <f>$J$440/$M$440*100</f>
        <v>0</v>
      </c>
      <c r="AQ767" s="8">
        <f>$J$441/$M$441*100</f>
        <v>0</v>
      </c>
      <c r="AR767" s="8">
        <f>SUM(AM767:AQ767)</f>
        <v>100</v>
      </c>
      <c r="AS767" s="8">
        <f>$J$457/$M$457*100</f>
        <v>42.857142857142854</v>
      </c>
      <c r="AT767" s="8">
        <f>$J$458/$M$458*100</f>
        <v>25.714285714285712</v>
      </c>
      <c r="AU767" s="8">
        <f>$J$459/$M$459*100</f>
        <v>8.5714285714285712</v>
      </c>
      <c r="AV767" s="8">
        <f>$J$460/$M$460*100</f>
        <v>22.857142857142858</v>
      </c>
      <c r="AW767" s="8">
        <f>$J$461/$M$461*100</f>
        <v>0</v>
      </c>
      <c r="AX767" s="8">
        <f>SUM(AS767:AW767)</f>
        <v>100</v>
      </c>
      <c r="AY767" s="8">
        <f>$J$477/$M$477*100</f>
        <v>50</v>
      </c>
      <c r="AZ767" s="8">
        <f>$J$478/$M$478*100</f>
        <v>14.285714285714285</v>
      </c>
      <c r="BA767" s="8">
        <f>$J$479/$M$479*100</f>
        <v>21.428571428571427</v>
      </c>
      <c r="BB767" s="8">
        <f>$J$480/$M$480*100</f>
        <v>14.285714285714285</v>
      </c>
      <c r="BC767" s="8">
        <f>$J$481/$M$481*100</f>
        <v>0</v>
      </c>
      <c r="BD767" s="8">
        <f>SUM(AY767:BC767)</f>
        <v>100</v>
      </c>
    </row>
    <row r="768" spans="1:61" x14ac:dyDescent="0.2">
      <c r="AF768" s="10" t="s">
        <v>50</v>
      </c>
      <c r="AG768" s="12">
        <f>AVERAGE(AG764:AG767)</f>
        <v>53.042028471236534</v>
      </c>
      <c r="AH768" s="12">
        <f>AVERAGE(AH764:AH767)</f>
        <v>17.348850922601653</v>
      </c>
      <c r="AI768" s="11">
        <f>AVERAGE(AI764:AI767)</f>
        <v>7.8814472530683801</v>
      </c>
      <c r="AJ768" s="11">
        <f>AVERAGE(AJ764:AJ767)</f>
        <v>21.727673353093429</v>
      </c>
      <c r="AK768" s="11">
        <f>AVERAGE(AK764:AK767)</f>
        <v>0</v>
      </c>
      <c r="AL768" s="12"/>
      <c r="AM768" s="11">
        <f>AVERAGE(AM764:AM767)</f>
        <v>45.833333333333336</v>
      </c>
      <c r="AN768" s="13">
        <f>AVERAGE(AN764:AN767)</f>
        <v>12.5</v>
      </c>
      <c r="AO768" s="14">
        <f>AVERAGE(AO764:AO767)</f>
        <v>12.5</v>
      </c>
      <c r="AP768" s="14">
        <f>AVERAGE(AP764:AP767)</f>
        <v>4.1666666666666661</v>
      </c>
      <c r="AQ768" s="14">
        <f>AVERAGE(AQ764:AQ767)</f>
        <v>0</v>
      </c>
      <c r="AR768" s="12"/>
      <c r="AS768" s="14">
        <f>AVERAGE(AS764:AS767)</f>
        <v>47.759740259740262</v>
      </c>
      <c r="AT768" s="12">
        <f>AVERAGE(AT764:AT767)</f>
        <v>12.981601731601732</v>
      </c>
      <c r="AU768" s="11">
        <f>AVERAGE(AU764:AU767)</f>
        <v>4.2261904761904763</v>
      </c>
      <c r="AV768" s="11">
        <f>AVERAGE(AV764:AV767)</f>
        <v>35.032467532467528</v>
      </c>
      <c r="AW768" s="11">
        <f>AVERAGE(AW764:AW767)</f>
        <v>0</v>
      </c>
      <c r="AX768" s="15"/>
      <c r="AY768" s="14">
        <f>AVERAGE(AY764:AY767)</f>
        <v>63.293650793650798</v>
      </c>
      <c r="AZ768" s="12">
        <f>AVERAGE(AZ764:AZ767)</f>
        <v>10.714285714285714</v>
      </c>
      <c r="BA768" s="11">
        <f>AVERAGE(BA764:BA767)</f>
        <v>10.714285714285714</v>
      </c>
      <c r="BB768" s="11">
        <f>AVERAGE(BB764:BB767)</f>
        <v>15.277777777777777</v>
      </c>
      <c r="BC768" s="11">
        <f>AVERAGE(BC764:BC767)</f>
        <v>0</v>
      </c>
      <c r="BD768" s="15"/>
      <c r="BE768" s="8">
        <f>AVERAGE(AG768,AM768,AS768,AY768)</f>
        <v>52.482188214490236</v>
      </c>
      <c r="BF768" s="8">
        <f>AVERAGE(AH768,AN768,AT768,AZ768)</f>
        <v>13.386184592122275</v>
      </c>
      <c r="BG768" s="8">
        <f>AVERAGE(AI768,AO768,AU768,BA768)</f>
        <v>8.8304808608861425</v>
      </c>
      <c r="BH768" s="8">
        <f>AVERAGE(AJ768,AP768,AV768,BB768)</f>
        <v>19.05114633250135</v>
      </c>
      <c r="BI768" s="8">
        <f>AVERAGE(AK768,AQ768,AW768,BC768)</f>
        <v>0</v>
      </c>
    </row>
  </sheetData>
  <mergeCells count="10">
    <mergeCell ref="AF660:AF661"/>
    <mergeCell ref="AG660:AK660"/>
    <mergeCell ref="AM660:AQ660"/>
    <mergeCell ref="AS660:AW660"/>
    <mergeCell ref="AY660:BC660"/>
    <mergeCell ref="A660:A661"/>
    <mergeCell ref="B660:F660"/>
    <mergeCell ref="H660:L660"/>
    <mergeCell ref="N660:R660"/>
    <mergeCell ref="T660:X66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BF18-1A66-A34C-B388-6C2A130B7DF6}">
  <dimension ref="A1:AN589"/>
  <sheetViews>
    <sheetView topLeftCell="P1" zoomScale="109" zoomScaleNormal="60" workbookViewId="0">
      <pane ySplit="1" topLeftCell="A450" activePane="bottomLeft" state="frozen"/>
      <selection pane="bottomLeft" activeCell="AG582" sqref="AG582"/>
    </sheetView>
  </sheetViews>
  <sheetFormatPr baseColWidth="10" defaultColWidth="8.83203125" defaultRowHeight="15" x14ac:dyDescent="0.2"/>
  <cols>
    <col min="1" max="2" width="20" customWidth="1"/>
    <col min="3" max="3" width="8" customWidth="1"/>
    <col min="4" max="4" width="12" customWidth="1"/>
    <col min="5" max="5" width="30" bestFit="1" customWidth="1"/>
    <col min="6" max="6" width="12" customWidth="1"/>
    <col min="7" max="7" width="18" customWidth="1"/>
    <col min="8" max="8" width="14" customWidth="1"/>
    <col min="9" max="14" width="20" customWidth="1"/>
    <col min="15" max="15" width="13" customWidth="1"/>
    <col min="28" max="28" width="13.83203125" bestFit="1" customWidth="1"/>
    <col min="29" max="29" width="15.1640625" bestFit="1" customWidth="1"/>
    <col min="32" max="32" width="12.5" customWidth="1"/>
    <col min="38" max="38" width="13.83203125" bestFit="1" customWidth="1"/>
    <col min="39" max="39" width="15.1640625" bestFit="1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103</v>
      </c>
      <c r="B2" t="s">
        <v>16</v>
      </c>
      <c r="C2" t="s">
        <v>17</v>
      </c>
      <c r="D2" t="s">
        <v>75</v>
      </c>
      <c r="E2" t="s">
        <v>106</v>
      </c>
      <c r="F2">
        <v>3</v>
      </c>
      <c r="G2" t="s">
        <v>19</v>
      </c>
      <c r="H2" t="s">
        <v>20</v>
      </c>
      <c r="I2">
        <v>212</v>
      </c>
      <c r="J2">
        <v>85</v>
      </c>
      <c r="K2">
        <v>0</v>
      </c>
      <c r="L2">
        <v>261</v>
      </c>
      <c r="M2">
        <v>98</v>
      </c>
      <c r="N2">
        <v>0</v>
      </c>
      <c r="O2">
        <v>997</v>
      </c>
    </row>
    <row r="3" spans="1:15" x14ac:dyDescent="0.2">
      <c r="A3" t="s">
        <v>103</v>
      </c>
      <c r="B3" t="s">
        <v>16</v>
      </c>
      <c r="C3" t="s">
        <v>17</v>
      </c>
      <c r="D3" t="s">
        <v>75</v>
      </c>
      <c r="E3" t="s">
        <v>106</v>
      </c>
      <c r="F3">
        <v>3</v>
      </c>
      <c r="G3" t="s">
        <v>19</v>
      </c>
      <c r="H3" t="s">
        <v>21</v>
      </c>
      <c r="I3">
        <v>17</v>
      </c>
      <c r="J3">
        <v>9</v>
      </c>
      <c r="K3">
        <v>0</v>
      </c>
      <c r="L3">
        <v>261</v>
      </c>
      <c r="M3">
        <v>98</v>
      </c>
      <c r="N3">
        <v>0</v>
      </c>
      <c r="O3">
        <v>997</v>
      </c>
    </row>
    <row r="4" spans="1:15" x14ac:dyDescent="0.2">
      <c r="A4" t="s">
        <v>103</v>
      </c>
      <c r="B4" t="s">
        <v>16</v>
      </c>
      <c r="C4" t="s">
        <v>17</v>
      </c>
      <c r="D4" t="s">
        <v>75</v>
      </c>
      <c r="E4" t="s">
        <v>106</v>
      </c>
      <c r="F4">
        <v>3</v>
      </c>
      <c r="G4" t="s">
        <v>19</v>
      </c>
      <c r="H4" t="s">
        <v>22</v>
      </c>
      <c r="I4">
        <v>2</v>
      </c>
      <c r="J4">
        <v>0</v>
      </c>
      <c r="K4">
        <v>0</v>
      </c>
      <c r="L4">
        <v>261</v>
      </c>
      <c r="M4">
        <v>98</v>
      </c>
      <c r="N4">
        <v>0</v>
      </c>
      <c r="O4">
        <v>997</v>
      </c>
    </row>
    <row r="5" spans="1:15" x14ac:dyDescent="0.2">
      <c r="A5" t="s">
        <v>103</v>
      </c>
      <c r="B5" t="s">
        <v>16</v>
      </c>
      <c r="C5" t="s">
        <v>17</v>
      </c>
      <c r="D5" t="s">
        <v>75</v>
      </c>
      <c r="E5" t="s">
        <v>106</v>
      </c>
      <c r="F5">
        <v>3</v>
      </c>
      <c r="G5" t="s">
        <v>19</v>
      </c>
      <c r="H5" t="s">
        <v>23</v>
      </c>
      <c r="I5">
        <v>30</v>
      </c>
      <c r="J5">
        <v>4</v>
      </c>
      <c r="K5">
        <v>0</v>
      </c>
      <c r="L5">
        <v>261</v>
      </c>
      <c r="M5">
        <v>98</v>
      </c>
      <c r="N5">
        <v>0</v>
      </c>
      <c r="O5">
        <v>997</v>
      </c>
    </row>
    <row r="6" spans="1:15" x14ac:dyDescent="0.2">
      <c r="A6" t="s">
        <v>103</v>
      </c>
      <c r="B6" t="s">
        <v>16</v>
      </c>
      <c r="C6" t="s">
        <v>17</v>
      </c>
      <c r="D6" t="s">
        <v>75</v>
      </c>
      <c r="E6" t="s">
        <v>106</v>
      </c>
      <c r="F6">
        <v>3</v>
      </c>
      <c r="G6" t="s">
        <v>19</v>
      </c>
      <c r="H6" t="s">
        <v>24</v>
      </c>
      <c r="I6">
        <v>0</v>
      </c>
      <c r="J6">
        <v>0</v>
      </c>
      <c r="K6">
        <v>0</v>
      </c>
      <c r="L6">
        <v>261</v>
      </c>
      <c r="M6">
        <v>98</v>
      </c>
      <c r="N6">
        <v>0</v>
      </c>
      <c r="O6">
        <v>997</v>
      </c>
    </row>
    <row r="7" spans="1:15" x14ac:dyDescent="0.2">
      <c r="A7" t="s">
        <v>103</v>
      </c>
      <c r="B7" t="s">
        <v>16</v>
      </c>
      <c r="C7" t="s">
        <v>17</v>
      </c>
      <c r="D7" t="s">
        <v>75</v>
      </c>
      <c r="E7" t="s">
        <v>185</v>
      </c>
      <c r="F7">
        <v>3</v>
      </c>
      <c r="G7" t="s">
        <v>130</v>
      </c>
      <c r="H7" t="s">
        <v>20</v>
      </c>
      <c r="I7">
        <v>233</v>
      </c>
      <c r="J7">
        <v>103</v>
      </c>
      <c r="K7">
        <v>0</v>
      </c>
      <c r="L7">
        <v>274</v>
      </c>
      <c r="M7">
        <v>338</v>
      </c>
      <c r="N7">
        <v>0</v>
      </c>
      <c r="O7">
        <v>995</v>
      </c>
    </row>
    <row r="8" spans="1:15" x14ac:dyDescent="0.2">
      <c r="A8" t="s">
        <v>103</v>
      </c>
      <c r="B8" t="s">
        <v>16</v>
      </c>
      <c r="C8" t="s">
        <v>17</v>
      </c>
      <c r="D8" t="s">
        <v>75</v>
      </c>
      <c r="E8" t="s">
        <v>185</v>
      </c>
      <c r="F8">
        <v>3</v>
      </c>
      <c r="G8" t="s">
        <v>130</v>
      </c>
      <c r="H8" t="s">
        <v>21</v>
      </c>
      <c r="I8">
        <v>21</v>
      </c>
      <c r="J8">
        <v>170</v>
      </c>
      <c r="K8">
        <v>0</v>
      </c>
      <c r="L8">
        <v>274</v>
      </c>
      <c r="M8">
        <v>338</v>
      </c>
      <c r="N8">
        <v>0</v>
      </c>
      <c r="O8">
        <v>995</v>
      </c>
    </row>
    <row r="9" spans="1:15" x14ac:dyDescent="0.2">
      <c r="A9" t="s">
        <v>103</v>
      </c>
      <c r="B9" t="s">
        <v>16</v>
      </c>
      <c r="C9" t="s">
        <v>17</v>
      </c>
      <c r="D9" t="s">
        <v>75</v>
      </c>
      <c r="E9" t="s">
        <v>185</v>
      </c>
      <c r="F9">
        <v>3</v>
      </c>
      <c r="G9" t="s">
        <v>130</v>
      </c>
      <c r="H9" t="s">
        <v>22</v>
      </c>
      <c r="I9">
        <v>6</v>
      </c>
      <c r="J9">
        <v>57</v>
      </c>
      <c r="K9">
        <v>0</v>
      </c>
      <c r="L9">
        <v>274</v>
      </c>
      <c r="M9">
        <v>338</v>
      </c>
      <c r="N9">
        <v>0</v>
      </c>
      <c r="O9">
        <v>995</v>
      </c>
    </row>
    <row r="10" spans="1:15" x14ac:dyDescent="0.2">
      <c r="A10" t="s">
        <v>103</v>
      </c>
      <c r="B10" t="s">
        <v>16</v>
      </c>
      <c r="C10" t="s">
        <v>17</v>
      </c>
      <c r="D10" t="s">
        <v>75</v>
      </c>
      <c r="E10" t="s">
        <v>185</v>
      </c>
      <c r="F10">
        <v>3</v>
      </c>
      <c r="G10" t="s">
        <v>130</v>
      </c>
      <c r="H10" t="s">
        <v>23</v>
      </c>
      <c r="I10">
        <v>14</v>
      </c>
      <c r="J10">
        <v>8</v>
      </c>
      <c r="K10">
        <v>0</v>
      </c>
      <c r="L10">
        <v>274</v>
      </c>
      <c r="M10">
        <v>338</v>
      </c>
      <c r="N10">
        <v>0</v>
      </c>
      <c r="O10">
        <v>995</v>
      </c>
    </row>
    <row r="11" spans="1:15" x14ac:dyDescent="0.2">
      <c r="A11" t="s">
        <v>103</v>
      </c>
      <c r="B11" t="s">
        <v>16</v>
      </c>
      <c r="C11" t="s">
        <v>17</v>
      </c>
      <c r="D11" t="s">
        <v>75</v>
      </c>
      <c r="E11" t="s">
        <v>185</v>
      </c>
      <c r="F11">
        <v>3</v>
      </c>
      <c r="G11" t="s">
        <v>130</v>
      </c>
      <c r="H11" t="s">
        <v>24</v>
      </c>
      <c r="I11">
        <v>0</v>
      </c>
      <c r="J11">
        <v>0</v>
      </c>
      <c r="K11">
        <v>0</v>
      </c>
      <c r="L11">
        <v>274</v>
      </c>
      <c r="M11">
        <v>338</v>
      </c>
      <c r="N11">
        <v>0</v>
      </c>
      <c r="O11">
        <v>995</v>
      </c>
    </row>
    <row r="12" spans="1:15" x14ac:dyDescent="0.2">
      <c r="A12" t="s">
        <v>103</v>
      </c>
      <c r="B12" t="s">
        <v>16</v>
      </c>
      <c r="C12" t="s">
        <v>17</v>
      </c>
      <c r="D12" t="s">
        <v>75</v>
      </c>
      <c r="E12" t="s">
        <v>184</v>
      </c>
      <c r="F12">
        <v>3</v>
      </c>
      <c r="G12" t="s">
        <v>128</v>
      </c>
      <c r="H12" t="s">
        <v>20</v>
      </c>
      <c r="I12">
        <v>149</v>
      </c>
      <c r="J12">
        <v>139</v>
      </c>
      <c r="K12">
        <v>0</v>
      </c>
      <c r="L12">
        <v>255</v>
      </c>
      <c r="M12">
        <v>312</v>
      </c>
      <c r="N12">
        <v>0</v>
      </c>
      <c r="O12">
        <v>992</v>
      </c>
    </row>
    <row r="13" spans="1:15" x14ac:dyDescent="0.2">
      <c r="A13" t="s">
        <v>103</v>
      </c>
      <c r="B13" t="s">
        <v>16</v>
      </c>
      <c r="C13" t="s">
        <v>17</v>
      </c>
      <c r="D13" t="s">
        <v>75</v>
      </c>
      <c r="E13" t="s">
        <v>184</v>
      </c>
      <c r="F13">
        <v>3</v>
      </c>
      <c r="G13" t="s">
        <v>128</v>
      </c>
      <c r="H13" t="s">
        <v>21</v>
      </c>
      <c r="I13">
        <v>52</v>
      </c>
      <c r="J13">
        <v>107</v>
      </c>
      <c r="K13">
        <v>0</v>
      </c>
      <c r="L13">
        <v>255</v>
      </c>
      <c r="M13">
        <v>312</v>
      </c>
      <c r="N13">
        <v>0</v>
      </c>
      <c r="O13">
        <v>992</v>
      </c>
    </row>
    <row r="14" spans="1:15" x14ac:dyDescent="0.2">
      <c r="A14" t="s">
        <v>103</v>
      </c>
      <c r="B14" t="s">
        <v>16</v>
      </c>
      <c r="C14" t="s">
        <v>17</v>
      </c>
      <c r="D14" t="s">
        <v>75</v>
      </c>
      <c r="E14" t="s">
        <v>184</v>
      </c>
      <c r="F14">
        <v>3</v>
      </c>
      <c r="G14" t="s">
        <v>128</v>
      </c>
      <c r="H14" t="s">
        <v>22</v>
      </c>
      <c r="I14">
        <v>14</v>
      </c>
      <c r="J14">
        <v>48</v>
      </c>
      <c r="K14">
        <v>0</v>
      </c>
      <c r="L14">
        <v>255</v>
      </c>
      <c r="M14">
        <v>312</v>
      </c>
      <c r="N14">
        <v>0</v>
      </c>
      <c r="O14">
        <v>992</v>
      </c>
    </row>
    <row r="15" spans="1:15" x14ac:dyDescent="0.2">
      <c r="A15" t="s">
        <v>103</v>
      </c>
      <c r="B15" t="s">
        <v>16</v>
      </c>
      <c r="C15" t="s">
        <v>17</v>
      </c>
      <c r="D15" t="s">
        <v>75</v>
      </c>
      <c r="E15" t="s">
        <v>184</v>
      </c>
      <c r="F15">
        <v>3</v>
      </c>
      <c r="G15" t="s">
        <v>128</v>
      </c>
      <c r="H15" t="s">
        <v>23</v>
      </c>
      <c r="I15">
        <v>40</v>
      </c>
      <c r="J15">
        <v>18</v>
      </c>
      <c r="K15">
        <v>0</v>
      </c>
      <c r="L15">
        <v>255</v>
      </c>
      <c r="M15">
        <v>312</v>
      </c>
      <c r="N15">
        <v>0</v>
      </c>
      <c r="O15">
        <v>992</v>
      </c>
    </row>
    <row r="16" spans="1:15" x14ac:dyDescent="0.2">
      <c r="A16" t="s">
        <v>103</v>
      </c>
      <c r="B16" t="s">
        <v>16</v>
      </c>
      <c r="C16" t="s">
        <v>17</v>
      </c>
      <c r="D16" t="s">
        <v>75</v>
      </c>
      <c r="E16" t="s">
        <v>184</v>
      </c>
      <c r="F16">
        <v>3</v>
      </c>
      <c r="G16" t="s">
        <v>128</v>
      </c>
      <c r="H16" t="s">
        <v>24</v>
      </c>
      <c r="I16">
        <v>0</v>
      </c>
      <c r="J16">
        <v>0</v>
      </c>
      <c r="K16">
        <v>0</v>
      </c>
      <c r="L16">
        <v>255</v>
      </c>
      <c r="M16">
        <v>312</v>
      </c>
      <c r="N16">
        <v>0</v>
      </c>
      <c r="O16">
        <v>992</v>
      </c>
    </row>
    <row r="17" spans="1:15" x14ac:dyDescent="0.2">
      <c r="A17" t="s">
        <v>103</v>
      </c>
      <c r="B17" t="s">
        <v>16</v>
      </c>
      <c r="C17" t="s">
        <v>17</v>
      </c>
      <c r="D17" t="s">
        <v>75</v>
      </c>
      <c r="E17" t="s">
        <v>183</v>
      </c>
      <c r="F17">
        <v>3</v>
      </c>
      <c r="G17" t="s">
        <v>126</v>
      </c>
      <c r="H17" t="s">
        <v>20</v>
      </c>
      <c r="I17">
        <v>107</v>
      </c>
      <c r="J17">
        <v>83</v>
      </c>
      <c r="K17">
        <v>0</v>
      </c>
      <c r="L17">
        <v>250</v>
      </c>
      <c r="M17">
        <v>333</v>
      </c>
      <c r="N17">
        <v>0</v>
      </c>
      <c r="O17">
        <v>988</v>
      </c>
    </row>
    <row r="18" spans="1:15" x14ac:dyDescent="0.2">
      <c r="A18" t="s">
        <v>103</v>
      </c>
      <c r="B18" t="s">
        <v>16</v>
      </c>
      <c r="C18" t="s">
        <v>17</v>
      </c>
      <c r="D18" t="s">
        <v>75</v>
      </c>
      <c r="E18" t="s">
        <v>183</v>
      </c>
      <c r="F18">
        <v>3</v>
      </c>
      <c r="G18" t="s">
        <v>126</v>
      </c>
      <c r="H18" t="s">
        <v>21</v>
      </c>
      <c r="I18">
        <v>70</v>
      </c>
      <c r="J18">
        <v>154</v>
      </c>
      <c r="K18">
        <v>0</v>
      </c>
      <c r="L18">
        <v>250</v>
      </c>
      <c r="M18">
        <v>333</v>
      </c>
      <c r="N18">
        <v>0</v>
      </c>
      <c r="O18">
        <v>988</v>
      </c>
    </row>
    <row r="19" spans="1:15" x14ac:dyDescent="0.2">
      <c r="A19" t="s">
        <v>103</v>
      </c>
      <c r="B19" t="s">
        <v>16</v>
      </c>
      <c r="C19" t="s">
        <v>17</v>
      </c>
      <c r="D19" t="s">
        <v>75</v>
      </c>
      <c r="E19" t="s">
        <v>183</v>
      </c>
      <c r="F19">
        <v>3</v>
      </c>
      <c r="G19" t="s">
        <v>126</v>
      </c>
      <c r="H19" t="s">
        <v>22</v>
      </c>
      <c r="I19">
        <v>18</v>
      </c>
      <c r="J19">
        <v>51</v>
      </c>
      <c r="K19">
        <v>0</v>
      </c>
      <c r="L19">
        <v>250</v>
      </c>
      <c r="M19">
        <v>333</v>
      </c>
      <c r="N19">
        <v>0</v>
      </c>
      <c r="O19">
        <v>988</v>
      </c>
    </row>
    <row r="20" spans="1:15" x14ac:dyDescent="0.2">
      <c r="A20" t="s">
        <v>103</v>
      </c>
      <c r="B20" t="s">
        <v>16</v>
      </c>
      <c r="C20" t="s">
        <v>17</v>
      </c>
      <c r="D20" t="s">
        <v>75</v>
      </c>
      <c r="E20" t="s">
        <v>183</v>
      </c>
      <c r="F20">
        <v>3</v>
      </c>
      <c r="G20" t="s">
        <v>126</v>
      </c>
      <c r="H20" t="s">
        <v>23</v>
      </c>
      <c r="I20">
        <v>55</v>
      </c>
      <c r="J20">
        <v>45</v>
      </c>
      <c r="K20">
        <v>0</v>
      </c>
      <c r="L20">
        <v>250</v>
      </c>
      <c r="M20">
        <v>333</v>
      </c>
      <c r="N20">
        <v>0</v>
      </c>
      <c r="O20">
        <v>988</v>
      </c>
    </row>
    <row r="21" spans="1:15" x14ac:dyDescent="0.2">
      <c r="A21" t="s">
        <v>103</v>
      </c>
      <c r="B21" t="s">
        <v>16</v>
      </c>
      <c r="C21" t="s">
        <v>17</v>
      </c>
      <c r="D21" t="s">
        <v>75</v>
      </c>
      <c r="E21" t="s">
        <v>183</v>
      </c>
      <c r="F21">
        <v>3</v>
      </c>
      <c r="G21" t="s">
        <v>126</v>
      </c>
      <c r="H21" t="s">
        <v>24</v>
      </c>
      <c r="I21">
        <v>0</v>
      </c>
      <c r="J21">
        <v>0</v>
      </c>
      <c r="K21">
        <v>0</v>
      </c>
      <c r="L21">
        <v>250</v>
      </c>
      <c r="M21">
        <v>333</v>
      </c>
      <c r="N21">
        <v>0</v>
      </c>
      <c r="O21">
        <v>988</v>
      </c>
    </row>
    <row r="22" spans="1:15" x14ac:dyDescent="0.2">
      <c r="A22" t="s">
        <v>91</v>
      </c>
      <c r="B22" t="s">
        <v>16</v>
      </c>
      <c r="C22" t="s">
        <v>17</v>
      </c>
      <c r="D22" t="s">
        <v>75</v>
      </c>
      <c r="E22" t="s">
        <v>94</v>
      </c>
      <c r="F22">
        <v>3</v>
      </c>
      <c r="G22" t="s">
        <v>19</v>
      </c>
      <c r="H22" t="s">
        <v>20</v>
      </c>
      <c r="I22">
        <v>38</v>
      </c>
      <c r="J22">
        <v>15</v>
      </c>
      <c r="K22">
        <v>0</v>
      </c>
      <c r="L22">
        <v>46</v>
      </c>
      <c r="M22">
        <v>18</v>
      </c>
      <c r="N22">
        <v>0</v>
      </c>
      <c r="O22">
        <v>996</v>
      </c>
    </row>
    <row r="23" spans="1:15" x14ac:dyDescent="0.2">
      <c r="A23" t="s">
        <v>91</v>
      </c>
      <c r="B23" t="s">
        <v>16</v>
      </c>
      <c r="C23" t="s">
        <v>17</v>
      </c>
      <c r="D23" t="s">
        <v>75</v>
      </c>
      <c r="E23" t="s">
        <v>94</v>
      </c>
      <c r="F23">
        <v>3</v>
      </c>
      <c r="G23" t="s">
        <v>19</v>
      </c>
      <c r="H23" t="s">
        <v>21</v>
      </c>
      <c r="I23">
        <v>4</v>
      </c>
      <c r="J23">
        <v>0</v>
      </c>
      <c r="K23">
        <v>0</v>
      </c>
      <c r="L23">
        <v>46</v>
      </c>
      <c r="M23">
        <v>18</v>
      </c>
      <c r="N23">
        <v>0</v>
      </c>
      <c r="O23">
        <v>996</v>
      </c>
    </row>
    <row r="24" spans="1:15" x14ac:dyDescent="0.2">
      <c r="A24" t="s">
        <v>91</v>
      </c>
      <c r="B24" t="s">
        <v>16</v>
      </c>
      <c r="C24" t="s">
        <v>17</v>
      </c>
      <c r="D24" t="s">
        <v>75</v>
      </c>
      <c r="E24" t="s">
        <v>94</v>
      </c>
      <c r="F24">
        <v>3</v>
      </c>
      <c r="G24" t="s">
        <v>19</v>
      </c>
      <c r="H24" t="s">
        <v>22</v>
      </c>
      <c r="I24">
        <v>2</v>
      </c>
      <c r="J24">
        <v>0</v>
      </c>
      <c r="K24">
        <v>0</v>
      </c>
      <c r="L24">
        <v>46</v>
      </c>
      <c r="M24">
        <v>18</v>
      </c>
      <c r="N24">
        <v>0</v>
      </c>
      <c r="O24">
        <v>996</v>
      </c>
    </row>
    <row r="25" spans="1:15" x14ac:dyDescent="0.2">
      <c r="A25" t="s">
        <v>91</v>
      </c>
      <c r="B25" t="s">
        <v>16</v>
      </c>
      <c r="C25" t="s">
        <v>17</v>
      </c>
      <c r="D25" t="s">
        <v>75</v>
      </c>
      <c r="E25" t="s">
        <v>94</v>
      </c>
      <c r="F25">
        <v>3</v>
      </c>
      <c r="G25" t="s">
        <v>19</v>
      </c>
      <c r="H25" t="s">
        <v>23</v>
      </c>
      <c r="I25">
        <v>2</v>
      </c>
      <c r="J25">
        <v>3</v>
      </c>
      <c r="K25">
        <v>0</v>
      </c>
      <c r="L25">
        <v>46</v>
      </c>
      <c r="M25">
        <v>18</v>
      </c>
      <c r="N25">
        <v>0</v>
      </c>
      <c r="O25">
        <v>996</v>
      </c>
    </row>
    <row r="26" spans="1:15" x14ac:dyDescent="0.2">
      <c r="A26" t="s">
        <v>91</v>
      </c>
      <c r="B26" t="s">
        <v>16</v>
      </c>
      <c r="C26" t="s">
        <v>17</v>
      </c>
      <c r="D26" t="s">
        <v>75</v>
      </c>
      <c r="E26" t="s">
        <v>94</v>
      </c>
      <c r="F26">
        <v>3</v>
      </c>
      <c r="G26" t="s">
        <v>19</v>
      </c>
      <c r="H26" t="s">
        <v>24</v>
      </c>
      <c r="I26">
        <v>0</v>
      </c>
      <c r="J26">
        <v>0</v>
      </c>
      <c r="K26">
        <v>0</v>
      </c>
      <c r="L26">
        <v>46</v>
      </c>
      <c r="M26">
        <v>18</v>
      </c>
      <c r="N26">
        <v>0</v>
      </c>
      <c r="O26">
        <v>996</v>
      </c>
    </row>
    <row r="27" spans="1:15" x14ac:dyDescent="0.2">
      <c r="A27" t="s">
        <v>91</v>
      </c>
      <c r="B27" t="s">
        <v>16</v>
      </c>
      <c r="C27" t="s">
        <v>17</v>
      </c>
      <c r="D27" t="s">
        <v>75</v>
      </c>
      <c r="E27" t="s">
        <v>182</v>
      </c>
      <c r="F27">
        <v>3</v>
      </c>
      <c r="G27" t="s">
        <v>130</v>
      </c>
      <c r="H27" t="s">
        <v>20</v>
      </c>
      <c r="I27">
        <v>334</v>
      </c>
      <c r="J27">
        <v>27</v>
      </c>
      <c r="K27">
        <v>0</v>
      </c>
      <c r="L27">
        <v>381</v>
      </c>
      <c r="M27">
        <v>59</v>
      </c>
      <c r="N27">
        <v>0</v>
      </c>
      <c r="O27">
        <v>989</v>
      </c>
    </row>
    <row r="28" spans="1:15" x14ac:dyDescent="0.2">
      <c r="A28" t="s">
        <v>91</v>
      </c>
      <c r="B28" t="s">
        <v>16</v>
      </c>
      <c r="C28" t="s">
        <v>17</v>
      </c>
      <c r="D28" t="s">
        <v>75</v>
      </c>
      <c r="E28" t="s">
        <v>182</v>
      </c>
      <c r="F28">
        <v>3</v>
      </c>
      <c r="G28" t="s">
        <v>130</v>
      </c>
      <c r="H28" t="s">
        <v>21</v>
      </c>
      <c r="I28">
        <v>25</v>
      </c>
      <c r="J28">
        <v>23</v>
      </c>
      <c r="K28">
        <v>0</v>
      </c>
      <c r="L28">
        <v>381</v>
      </c>
      <c r="M28">
        <v>59</v>
      </c>
      <c r="N28">
        <v>0</v>
      </c>
      <c r="O28">
        <v>989</v>
      </c>
    </row>
    <row r="29" spans="1:15" x14ac:dyDescent="0.2">
      <c r="A29" t="s">
        <v>91</v>
      </c>
      <c r="B29" t="s">
        <v>16</v>
      </c>
      <c r="C29" t="s">
        <v>17</v>
      </c>
      <c r="D29" t="s">
        <v>75</v>
      </c>
      <c r="E29" t="s">
        <v>182</v>
      </c>
      <c r="F29">
        <v>3</v>
      </c>
      <c r="G29" t="s">
        <v>130</v>
      </c>
      <c r="H29" t="s">
        <v>22</v>
      </c>
      <c r="I29">
        <v>12</v>
      </c>
      <c r="J29">
        <v>5</v>
      </c>
      <c r="K29">
        <v>0</v>
      </c>
      <c r="L29">
        <v>381</v>
      </c>
      <c r="M29">
        <v>59</v>
      </c>
      <c r="N29">
        <v>0</v>
      </c>
      <c r="O29">
        <v>989</v>
      </c>
    </row>
    <row r="30" spans="1:15" x14ac:dyDescent="0.2">
      <c r="A30" t="s">
        <v>91</v>
      </c>
      <c r="B30" t="s">
        <v>16</v>
      </c>
      <c r="C30" t="s">
        <v>17</v>
      </c>
      <c r="D30" t="s">
        <v>75</v>
      </c>
      <c r="E30" t="s">
        <v>182</v>
      </c>
      <c r="F30">
        <v>3</v>
      </c>
      <c r="G30" t="s">
        <v>130</v>
      </c>
      <c r="H30" t="s">
        <v>23</v>
      </c>
      <c r="I30">
        <v>10</v>
      </c>
      <c r="J30">
        <v>4</v>
      </c>
      <c r="K30">
        <v>0</v>
      </c>
      <c r="L30">
        <v>381</v>
      </c>
      <c r="M30">
        <v>59</v>
      </c>
      <c r="N30">
        <v>0</v>
      </c>
      <c r="O30">
        <v>989</v>
      </c>
    </row>
    <row r="31" spans="1:15" x14ac:dyDescent="0.2">
      <c r="A31" t="s">
        <v>91</v>
      </c>
      <c r="B31" t="s">
        <v>16</v>
      </c>
      <c r="C31" t="s">
        <v>17</v>
      </c>
      <c r="D31" t="s">
        <v>75</v>
      </c>
      <c r="E31" t="s">
        <v>182</v>
      </c>
      <c r="F31">
        <v>3</v>
      </c>
      <c r="G31" t="s">
        <v>130</v>
      </c>
      <c r="H31" t="s">
        <v>24</v>
      </c>
      <c r="I31">
        <v>0</v>
      </c>
      <c r="J31">
        <v>0</v>
      </c>
      <c r="K31">
        <v>0</v>
      </c>
      <c r="L31">
        <v>381</v>
      </c>
      <c r="M31">
        <v>59</v>
      </c>
      <c r="N31">
        <v>0</v>
      </c>
      <c r="O31">
        <v>989</v>
      </c>
    </row>
    <row r="32" spans="1:15" x14ac:dyDescent="0.2">
      <c r="A32" t="s">
        <v>91</v>
      </c>
      <c r="B32" t="s">
        <v>16</v>
      </c>
      <c r="C32" t="s">
        <v>17</v>
      </c>
      <c r="D32" t="s">
        <v>75</v>
      </c>
      <c r="E32" t="s">
        <v>181</v>
      </c>
      <c r="F32">
        <v>3</v>
      </c>
      <c r="G32" t="s">
        <v>128</v>
      </c>
      <c r="H32" t="s">
        <v>20</v>
      </c>
      <c r="I32">
        <v>126</v>
      </c>
      <c r="J32">
        <v>13</v>
      </c>
      <c r="K32">
        <v>0</v>
      </c>
      <c r="L32">
        <v>332</v>
      </c>
      <c r="M32">
        <v>42</v>
      </c>
      <c r="N32">
        <v>0</v>
      </c>
      <c r="O32">
        <v>988</v>
      </c>
    </row>
    <row r="33" spans="1:15" x14ac:dyDescent="0.2">
      <c r="A33" t="s">
        <v>91</v>
      </c>
      <c r="B33" t="s">
        <v>16</v>
      </c>
      <c r="C33" t="s">
        <v>17</v>
      </c>
      <c r="D33" t="s">
        <v>75</v>
      </c>
      <c r="E33" t="s">
        <v>181</v>
      </c>
      <c r="F33">
        <v>3</v>
      </c>
      <c r="G33" t="s">
        <v>128</v>
      </c>
      <c r="H33" t="s">
        <v>21</v>
      </c>
      <c r="I33">
        <v>140</v>
      </c>
      <c r="J33">
        <v>14</v>
      </c>
      <c r="K33">
        <v>0</v>
      </c>
      <c r="L33">
        <v>332</v>
      </c>
      <c r="M33">
        <v>42</v>
      </c>
      <c r="N33">
        <v>0</v>
      </c>
      <c r="O33">
        <v>988</v>
      </c>
    </row>
    <row r="34" spans="1:15" x14ac:dyDescent="0.2">
      <c r="A34" t="s">
        <v>91</v>
      </c>
      <c r="B34" t="s">
        <v>16</v>
      </c>
      <c r="C34" t="s">
        <v>17</v>
      </c>
      <c r="D34" t="s">
        <v>75</v>
      </c>
      <c r="E34" t="s">
        <v>181</v>
      </c>
      <c r="F34">
        <v>3</v>
      </c>
      <c r="G34" t="s">
        <v>128</v>
      </c>
      <c r="H34" t="s">
        <v>22</v>
      </c>
      <c r="I34">
        <v>37</v>
      </c>
      <c r="J34">
        <v>10</v>
      </c>
      <c r="K34">
        <v>0</v>
      </c>
      <c r="L34">
        <v>332</v>
      </c>
      <c r="M34">
        <v>42</v>
      </c>
      <c r="N34">
        <v>0</v>
      </c>
      <c r="O34">
        <v>988</v>
      </c>
    </row>
    <row r="35" spans="1:15" x14ac:dyDescent="0.2">
      <c r="A35" t="s">
        <v>91</v>
      </c>
      <c r="B35" t="s">
        <v>16</v>
      </c>
      <c r="C35" t="s">
        <v>17</v>
      </c>
      <c r="D35" t="s">
        <v>75</v>
      </c>
      <c r="E35" t="s">
        <v>181</v>
      </c>
      <c r="F35">
        <v>3</v>
      </c>
      <c r="G35" t="s">
        <v>128</v>
      </c>
      <c r="H35" t="s">
        <v>23</v>
      </c>
      <c r="I35">
        <v>29</v>
      </c>
      <c r="J35">
        <v>5</v>
      </c>
      <c r="K35">
        <v>0</v>
      </c>
      <c r="L35">
        <v>332</v>
      </c>
      <c r="M35">
        <v>42</v>
      </c>
      <c r="N35">
        <v>0</v>
      </c>
      <c r="O35">
        <v>988</v>
      </c>
    </row>
    <row r="36" spans="1:15" x14ac:dyDescent="0.2">
      <c r="A36" t="s">
        <v>91</v>
      </c>
      <c r="B36" t="s">
        <v>16</v>
      </c>
      <c r="C36" t="s">
        <v>17</v>
      </c>
      <c r="D36" t="s">
        <v>75</v>
      </c>
      <c r="E36" t="s">
        <v>181</v>
      </c>
      <c r="F36">
        <v>3</v>
      </c>
      <c r="G36" t="s">
        <v>128</v>
      </c>
      <c r="H36" t="s">
        <v>24</v>
      </c>
      <c r="I36">
        <v>0</v>
      </c>
      <c r="J36">
        <v>0</v>
      </c>
      <c r="K36">
        <v>0</v>
      </c>
      <c r="L36">
        <v>332</v>
      </c>
      <c r="M36">
        <v>42</v>
      </c>
      <c r="N36">
        <v>0</v>
      </c>
      <c r="O36">
        <v>988</v>
      </c>
    </row>
    <row r="37" spans="1:15" x14ac:dyDescent="0.2">
      <c r="A37" t="s">
        <v>91</v>
      </c>
      <c r="B37" t="s">
        <v>16</v>
      </c>
      <c r="C37" t="s">
        <v>17</v>
      </c>
      <c r="D37" t="s">
        <v>75</v>
      </c>
      <c r="E37" t="s">
        <v>180</v>
      </c>
      <c r="F37">
        <v>3</v>
      </c>
      <c r="G37" t="s">
        <v>126</v>
      </c>
      <c r="H37" t="s">
        <v>20</v>
      </c>
      <c r="I37">
        <v>19</v>
      </c>
      <c r="J37">
        <v>7</v>
      </c>
      <c r="K37">
        <v>0</v>
      </c>
      <c r="L37">
        <v>427</v>
      </c>
      <c r="M37">
        <v>36</v>
      </c>
      <c r="N37">
        <v>0</v>
      </c>
      <c r="O37">
        <v>989</v>
      </c>
    </row>
    <row r="38" spans="1:15" x14ac:dyDescent="0.2">
      <c r="A38" t="s">
        <v>91</v>
      </c>
      <c r="B38" t="s">
        <v>16</v>
      </c>
      <c r="C38" t="s">
        <v>17</v>
      </c>
      <c r="D38" t="s">
        <v>75</v>
      </c>
      <c r="E38" t="s">
        <v>180</v>
      </c>
      <c r="F38">
        <v>3</v>
      </c>
      <c r="G38" t="s">
        <v>126</v>
      </c>
      <c r="H38" t="s">
        <v>21</v>
      </c>
      <c r="I38">
        <v>257</v>
      </c>
      <c r="J38">
        <v>14</v>
      </c>
      <c r="K38">
        <v>0</v>
      </c>
      <c r="L38">
        <v>427</v>
      </c>
      <c r="M38">
        <v>36</v>
      </c>
      <c r="N38">
        <v>0</v>
      </c>
      <c r="O38">
        <v>989</v>
      </c>
    </row>
    <row r="39" spans="1:15" x14ac:dyDescent="0.2">
      <c r="A39" t="s">
        <v>91</v>
      </c>
      <c r="B39" t="s">
        <v>16</v>
      </c>
      <c r="C39" t="s">
        <v>17</v>
      </c>
      <c r="D39" t="s">
        <v>75</v>
      </c>
      <c r="E39" t="s">
        <v>180</v>
      </c>
      <c r="F39">
        <v>3</v>
      </c>
      <c r="G39" t="s">
        <v>126</v>
      </c>
      <c r="H39" t="s">
        <v>22</v>
      </c>
      <c r="I39">
        <v>78</v>
      </c>
      <c r="J39">
        <v>5</v>
      </c>
      <c r="K39">
        <v>0</v>
      </c>
      <c r="L39">
        <v>427</v>
      </c>
      <c r="M39">
        <v>36</v>
      </c>
      <c r="N39">
        <v>0</v>
      </c>
      <c r="O39">
        <v>989</v>
      </c>
    </row>
    <row r="40" spans="1:15" x14ac:dyDescent="0.2">
      <c r="A40" t="s">
        <v>91</v>
      </c>
      <c r="B40" t="s">
        <v>16</v>
      </c>
      <c r="C40" t="s">
        <v>17</v>
      </c>
      <c r="D40" t="s">
        <v>75</v>
      </c>
      <c r="E40" t="s">
        <v>180</v>
      </c>
      <c r="F40">
        <v>3</v>
      </c>
      <c r="G40" t="s">
        <v>126</v>
      </c>
      <c r="H40" t="s">
        <v>23</v>
      </c>
      <c r="I40">
        <v>73</v>
      </c>
      <c r="J40">
        <v>10</v>
      </c>
      <c r="K40">
        <v>0</v>
      </c>
      <c r="L40">
        <v>427</v>
      </c>
      <c r="M40">
        <v>36</v>
      </c>
      <c r="N40">
        <v>0</v>
      </c>
      <c r="O40">
        <v>989</v>
      </c>
    </row>
    <row r="41" spans="1:15" x14ac:dyDescent="0.2">
      <c r="A41" t="s">
        <v>91</v>
      </c>
      <c r="B41" t="s">
        <v>16</v>
      </c>
      <c r="C41" t="s">
        <v>17</v>
      </c>
      <c r="D41" t="s">
        <v>75</v>
      </c>
      <c r="E41" t="s">
        <v>180</v>
      </c>
      <c r="F41">
        <v>3</v>
      </c>
      <c r="G41" t="s">
        <v>126</v>
      </c>
      <c r="H41" t="s">
        <v>24</v>
      </c>
      <c r="I41">
        <v>0</v>
      </c>
      <c r="J41">
        <v>0</v>
      </c>
      <c r="K41">
        <v>0</v>
      </c>
      <c r="L41">
        <v>427</v>
      </c>
      <c r="M41">
        <v>36</v>
      </c>
      <c r="N41">
        <v>0</v>
      </c>
      <c r="O41">
        <v>989</v>
      </c>
    </row>
    <row r="42" spans="1:15" x14ac:dyDescent="0.2">
      <c r="A42" t="s">
        <v>76</v>
      </c>
      <c r="B42" t="s">
        <v>16</v>
      </c>
      <c r="C42" t="s">
        <v>17</v>
      </c>
      <c r="D42" t="s">
        <v>75</v>
      </c>
      <c r="E42" t="s">
        <v>81</v>
      </c>
      <c r="F42">
        <v>3</v>
      </c>
      <c r="G42" t="s">
        <v>19</v>
      </c>
      <c r="H42" t="s">
        <v>20</v>
      </c>
      <c r="I42">
        <v>199</v>
      </c>
      <c r="J42">
        <v>258</v>
      </c>
      <c r="K42">
        <v>0</v>
      </c>
      <c r="L42">
        <v>253</v>
      </c>
      <c r="M42">
        <v>273</v>
      </c>
      <c r="N42">
        <v>0</v>
      </c>
      <c r="O42">
        <v>685</v>
      </c>
    </row>
    <row r="43" spans="1:15" x14ac:dyDescent="0.2">
      <c r="A43" t="s">
        <v>76</v>
      </c>
      <c r="B43" t="s">
        <v>16</v>
      </c>
      <c r="C43" t="s">
        <v>17</v>
      </c>
      <c r="D43" t="s">
        <v>75</v>
      </c>
      <c r="E43" t="s">
        <v>81</v>
      </c>
      <c r="F43">
        <v>3</v>
      </c>
      <c r="G43" t="s">
        <v>19</v>
      </c>
      <c r="H43" t="s">
        <v>21</v>
      </c>
      <c r="I43">
        <v>12</v>
      </c>
      <c r="J43">
        <v>6</v>
      </c>
      <c r="K43">
        <v>0</v>
      </c>
      <c r="L43">
        <v>253</v>
      </c>
      <c r="M43">
        <v>273</v>
      </c>
      <c r="N43">
        <v>0</v>
      </c>
      <c r="O43">
        <v>685</v>
      </c>
    </row>
    <row r="44" spans="1:15" x14ac:dyDescent="0.2">
      <c r="A44" t="s">
        <v>76</v>
      </c>
      <c r="B44" t="s">
        <v>16</v>
      </c>
      <c r="C44" t="s">
        <v>17</v>
      </c>
      <c r="D44" t="s">
        <v>75</v>
      </c>
      <c r="E44" t="s">
        <v>81</v>
      </c>
      <c r="F44">
        <v>3</v>
      </c>
      <c r="G44" t="s">
        <v>19</v>
      </c>
      <c r="H44" t="s">
        <v>22</v>
      </c>
      <c r="I44">
        <v>2</v>
      </c>
      <c r="J44">
        <v>3</v>
      </c>
      <c r="K44">
        <v>0</v>
      </c>
      <c r="L44">
        <v>253</v>
      </c>
      <c r="M44">
        <v>273</v>
      </c>
      <c r="N44">
        <v>0</v>
      </c>
      <c r="O44">
        <v>685</v>
      </c>
    </row>
    <row r="45" spans="1:15" x14ac:dyDescent="0.2">
      <c r="A45" t="s">
        <v>76</v>
      </c>
      <c r="B45" t="s">
        <v>16</v>
      </c>
      <c r="C45" t="s">
        <v>17</v>
      </c>
      <c r="D45" t="s">
        <v>75</v>
      </c>
      <c r="E45" t="s">
        <v>81</v>
      </c>
      <c r="F45">
        <v>3</v>
      </c>
      <c r="G45" t="s">
        <v>19</v>
      </c>
      <c r="H45" t="s">
        <v>23</v>
      </c>
      <c r="I45">
        <v>40</v>
      </c>
      <c r="J45">
        <v>6</v>
      </c>
      <c r="K45">
        <v>0</v>
      </c>
      <c r="L45">
        <v>253</v>
      </c>
      <c r="M45">
        <v>273</v>
      </c>
      <c r="N45">
        <v>0</v>
      </c>
      <c r="O45">
        <v>685</v>
      </c>
    </row>
    <row r="46" spans="1:15" x14ac:dyDescent="0.2">
      <c r="A46" t="s">
        <v>76</v>
      </c>
      <c r="B46" t="s">
        <v>16</v>
      </c>
      <c r="C46" t="s">
        <v>17</v>
      </c>
      <c r="D46" t="s">
        <v>75</v>
      </c>
      <c r="E46" t="s">
        <v>81</v>
      </c>
      <c r="F46">
        <v>3</v>
      </c>
      <c r="G46" t="s">
        <v>19</v>
      </c>
      <c r="H46" t="s">
        <v>24</v>
      </c>
      <c r="I46">
        <v>0</v>
      </c>
      <c r="J46">
        <v>0</v>
      </c>
      <c r="K46">
        <v>0</v>
      </c>
      <c r="L46">
        <v>253</v>
      </c>
      <c r="M46">
        <v>273</v>
      </c>
      <c r="N46">
        <v>0</v>
      </c>
      <c r="O46">
        <v>685</v>
      </c>
    </row>
    <row r="47" spans="1:15" x14ac:dyDescent="0.2">
      <c r="A47" t="s">
        <v>76</v>
      </c>
      <c r="B47" t="s">
        <v>16</v>
      </c>
      <c r="C47" t="s">
        <v>17</v>
      </c>
      <c r="D47" t="s">
        <v>75</v>
      </c>
      <c r="E47" t="s">
        <v>179</v>
      </c>
      <c r="F47">
        <v>3</v>
      </c>
      <c r="G47" t="s">
        <v>130</v>
      </c>
      <c r="H47" t="s">
        <v>20</v>
      </c>
      <c r="I47">
        <v>333</v>
      </c>
      <c r="J47">
        <v>125</v>
      </c>
      <c r="K47">
        <v>0</v>
      </c>
      <c r="L47">
        <v>403</v>
      </c>
      <c r="M47">
        <v>176</v>
      </c>
      <c r="N47">
        <v>0</v>
      </c>
      <c r="O47">
        <v>673</v>
      </c>
    </row>
    <row r="48" spans="1:15" x14ac:dyDescent="0.2">
      <c r="A48" t="s">
        <v>76</v>
      </c>
      <c r="B48" t="s">
        <v>16</v>
      </c>
      <c r="C48" t="s">
        <v>17</v>
      </c>
      <c r="D48" t="s">
        <v>75</v>
      </c>
      <c r="E48" t="s">
        <v>179</v>
      </c>
      <c r="F48">
        <v>3</v>
      </c>
      <c r="G48" t="s">
        <v>130</v>
      </c>
      <c r="H48" t="s">
        <v>21</v>
      </c>
      <c r="I48">
        <v>44</v>
      </c>
      <c r="J48">
        <v>28</v>
      </c>
      <c r="K48">
        <v>0</v>
      </c>
      <c r="L48">
        <v>403</v>
      </c>
      <c r="M48">
        <v>176</v>
      </c>
      <c r="N48">
        <v>0</v>
      </c>
      <c r="O48">
        <v>673</v>
      </c>
    </row>
    <row r="49" spans="1:15" x14ac:dyDescent="0.2">
      <c r="A49" t="s">
        <v>76</v>
      </c>
      <c r="B49" t="s">
        <v>16</v>
      </c>
      <c r="C49" t="s">
        <v>17</v>
      </c>
      <c r="D49" t="s">
        <v>75</v>
      </c>
      <c r="E49" t="s">
        <v>179</v>
      </c>
      <c r="F49">
        <v>3</v>
      </c>
      <c r="G49" t="s">
        <v>130</v>
      </c>
      <c r="H49" t="s">
        <v>22</v>
      </c>
      <c r="I49">
        <v>14</v>
      </c>
      <c r="J49">
        <v>15</v>
      </c>
      <c r="K49">
        <v>0</v>
      </c>
      <c r="L49">
        <v>403</v>
      </c>
      <c r="M49">
        <v>176</v>
      </c>
      <c r="N49">
        <v>0</v>
      </c>
      <c r="O49">
        <v>673</v>
      </c>
    </row>
    <row r="50" spans="1:15" x14ac:dyDescent="0.2">
      <c r="A50" t="s">
        <v>76</v>
      </c>
      <c r="B50" t="s">
        <v>16</v>
      </c>
      <c r="C50" t="s">
        <v>17</v>
      </c>
      <c r="D50" t="s">
        <v>75</v>
      </c>
      <c r="E50" t="s">
        <v>179</v>
      </c>
      <c r="F50">
        <v>3</v>
      </c>
      <c r="G50" t="s">
        <v>130</v>
      </c>
      <c r="H50" t="s">
        <v>23</v>
      </c>
      <c r="I50">
        <v>12</v>
      </c>
      <c r="J50">
        <v>8</v>
      </c>
      <c r="K50">
        <v>0</v>
      </c>
      <c r="L50">
        <v>403</v>
      </c>
      <c r="M50">
        <v>176</v>
      </c>
      <c r="N50">
        <v>0</v>
      </c>
      <c r="O50">
        <v>673</v>
      </c>
    </row>
    <row r="51" spans="1:15" x14ac:dyDescent="0.2">
      <c r="A51" t="s">
        <v>76</v>
      </c>
      <c r="B51" t="s">
        <v>16</v>
      </c>
      <c r="C51" t="s">
        <v>17</v>
      </c>
      <c r="D51" t="s">
        <v>75</v>
      </c>
      <c r="E51" t="s">
        <v>179</v>
      </c>
      <c r="F51">
        <v>3</v>
      </c>
      <c r="G51" t="s">
        <v>130</v>
      </c>
      <c r="H51" t="s">
        <v>24</v>
      </c>
      <c r="I51">
        <v>0</v>
      </c>
      <c r="J51">
        <v>0</v>
      </c>
      <c r="K51">
        <v>0</v>
      </c>
      <c r="L51">
        <v>403</v>
      </c>
      <c r="M51">
        <v>176</v>
      </c>
      <c r="N51">
        <v>0</v>
      </c>
      <c r="O51">
        <v>673</v>
      </c>
    </row>
    <row r="52" spans="1:15" x14ac:dyDescent="0.2">
      <c r="A52" t="s">
        <v>76</v>
      </c>
      <c r="B52" t="s">
        <v>16</v>
      </c>
      <c r="C52" t="s">
        <v>17</v>
      </c>
      <c r="D52" t="s">
        <v>75</v>
      </c>
      <c r="E52" t="s">
        <v>178</v>
      </c>
      <c r="F52">
        <v>3</v>
      </c>
      <c r="G52" t="s">
        <v>128</v>
      </c>
      <c r="H52" t="s">
        <v>20</v>
      </c>
      <c r="I52">
        <v>193</v>
      </c>
      <c r="J52">
        <v>139</v>
      </c>
      <c r="K52">
        <v>0</v>
      </c>
      <c r="L52">
        <v>354</v>
      </c>
      <c r="M52">
        <v>162</v>
      </c>
      <c r="N52">
        <v>0</v>
      </c>
      <c r="O52">
        <v>676</v>
      </c>
    </row>
    <row r="53" spans="1:15" x14ac:dyDescent="0.2">
      <c r="A53" t="s">
        <v>76</v>
      </c>
      <c r="B53" t="s">
        <v>16</v>
      </c>
      <c r="C53" t="s">
        <v>17</v>
      </c>
      <c r="D53" t="s">
        <v>75</v>
      </c>
      <c r="E53" t="s">
        <v>178</v>
      </c>
      <c r="F53">
        <v>3</v>
      </c>
      <c r="G53" t="s">
        <v>128</v>
      </c>
      <c r="H53" t="s">
        <v>21</v>
      </c>
      <c r="I53">
        <v>110</v>
      </c>
      <c r="J53">
        <v>14</v>
      </c>
      <c r="K53">
        <v>0</v>
      </c>
      <c r="L53">
        <v>354</v>
      </c>
      <c r="M53">
        <v>162</v>
      </c>
      <c r="N53">
        <v>0</v>
      </c>
      <c r="O53">
        <v>676</v>
      </c>
    </row>
    <row r="54" spans="1:15" x14ac:dyDescent="0.2">
      <c r="A54" t="s">
        <v>76</v>
      </c>
      <c r="B54" t="s">
        <v>16</v>
      </c>
      <c r="C54" t="s">
        <v>17</v>
      </c>
      <c r="D54" t="s">
        <v>75</v>
      </c>
      <c r="E54" t="s">
        <v>178</v>
      </c>
      <c r="F54">
        <v>3</v>
      </c>
      <c r="G54" t="s">
        <v>128</v>
      </c>
      <c r="H54" t="s">
        <v>22</v>
      </c>
      <c r="I54">
        <v>18</v>
      </c>
      <c r="J54">
        <v>5</v>
      </c>
      <c r="K54">
        <v>0</v>
      </c>
      <c r="L54">
        <v>354</v>
      </c>
      <c r="M54">
        <v>162</v>
      </c>
      <c r="N54">
        <v>0</v>
      </c>
      <c r="O54">
        <v>676</v>
      </c>
    </row>
    <row r="55" spans="1:15" x14ac:dyDescent="0.2">
      <c r="A55" t="s">
        <v>76</v>
      </c>
      <c r="B55" t="s">
        <v>16</v>
      </c>
      <c r="C55" t="s">
        <v>17</v>
      </c>
      <c r="D55" t="s">
        <v>75</v>
      </c>
      <c r="E55" t="s">
        <v>178</v>
      </c>
      <c r="F55">
        <v>3</v>
      </c>
      <c r="G55" t="s">
        <v>128</v>
      </c>
      <c r="H55" t="s">
        <v>23</v>
      </c>
      <c r="I55">
        <v>33</v>
      </c>
      <c r="J55">
        <v>4</v>
      </c>
      <c r="K55">
        <v>0</v>
      </c>
      <c r="L55">
        <v>354</v>
      </c>
      <c r="M55">
        <v>162</v>
      </c>
      <c r="N55">
        <v>0</v>
      </c>
      <c r="O55">
        <v>676</v>
      </c>
    </row>
    <row r="56" spans="1:15" x14ac:dyDescent="0.2">
      <c r="A56" t="s">
        <v>76</v>
      </c>
      <c r="B56" t="s">
        <v>16</v>
      </c>
      <c r="C56" t="s">
        <v>17</v>
      </c>
      <c r="D56" t="s">
        <v>75</v>
      </c>
      <c r="E56" t="s">
        <v>178</v>
      </c>
      <c r="F56">
        <v>3</v>
      </c>
      <c r="G56" t="s">
        <v>128</v>
      </c>
      <c r="H56" t="s">
        <v>24</v>
      </c>
      <c r="I56">
        <v>0</v>
      </c>
      <c r="J56">
        <v>0</v>
      </c>
      <c r="K56">
        <v>0</v>
      </c>
      <c r="L56">
        <v>354</v>
      </c>
      <c r="M56">
        <v>162</v>
      </c>
      <c r="N56">
        <v>0</v>
      </c>
      <c r="O56">
        <v>676</v>
      </c>
    </row>
    <row r="57" spans="1:15" x14ac:dyDescent="0.2">
      <c r="A57" t="s">
        <v>76</v>
      </c>
      <c r="B57" t="s">
        <v>16</v>
      </c>
      <c r="C57" t="s">
        <v>17</v>
      </c>
      <c r="D57" t="s">
        <v>75</v>
      </c>
      <c r="E57" t="s">
        <v>177</v>
      </c>
      <c r="F57">
        <v>3</v>
      </c>
      <c r="G57" t="s">
        <v>126</v>
      </c>
      <c r="H57" t="s">
        <v>20</v>
      </c>
      <c r="I57">
        <v>115</v>
      </c>
      <c r="J57">
        <v>98</v>
      </c>
      <c r="K57">
        <v>0</v>
      </c>
      <c r="L57">
        <v>405</v>
      </c>
      <c r="M57">
        <v>109</v>
      </c>
      <c r="N57">
        <v>0</v>
      </c>
      <c r="O57">
        <v>675</v>
      </c>
    </row>
    <row r="58" spans="1:15" x14ac:dyDescent="0.2">
      <c r="A58" t="s">
        <v>76</v>
      </c>
      <c r="B58" t="s">
        <v>16</v>
      </c>
      <c r="C58" t="s">
        <v>17</v>
      </c>
      <c r="D58" t="s">
        <v>75</v>
      </c>
      <c r="E58" t="s">
        <v>177</v>
      </c>
      <c r="F58">
        <v>3</v>
      </c>
      <c r="G58" t="s">
        <v>126</v>
      </c>
      <c r="H58" t="s">
        <v>21</v>
      </c>
      <c r="I58">
        <v>179</v>
      </c>
      <c r="J58">
        <v>3</v>
      </c>
      <c r="K58">
        <v>0</v>
      </c>
      <c r="L58">
        <v>405</v>
      </c>
      <c r="M58">
        <v>109</v>
      </c>
      <c r="N58">
        <v>0</v>
      </c>
      <c r="O58">
        <v>675</v>
      </c>
    </row>
    <row r="59" spans="1:15" x14ac:dyDescent="0.2">
      <c r="A59" t="s">
        <v>76</v>
      </c>
      <c r="B59" t="s">
        <v>16</v>
      </c>
      <c r="C59" t="s">
        <v>17</v>
      </c>
      <c r="D59" t="s">
        <v>75</v>
      </c>
      <c r="E59" t="s">
        <v>177</v>
      </c>
      <c r="F59">
        <v>3</v>
      </c>
      <c r="G59" t="s">
        <v>126</v>
      </c>
      <c r="H59" t="s">
        <v>22</v>
      </c>
      <c r="I59">
        <v>38</v>
      </c>
      <c r="J59">
        <v>1</v>
      </c>
      <c r="K59">
        <v>0</v>
      </c>
      <c r="L59">
        <v>405</v>
      </c>
      <c r="M59">
        <v>109</v>
      </c>
      <c r="N59">
        <v>0</v>
      </c>
      <c r="O59">
        <v>675</v>
      </c>
    </row>
    <row r="60" spans="1:15" x14ac:dyDescent="0.2">
      <c r="A60" t="s">
        <v>76</v>
      </c>
      <c r="B60" t="s">
        <v>16</v>
      </c>
      <c r="C60" t="s">
        <v>17</v>
      </c>
      <c r="D60" t="s">
        <v>75</v>
      </c>
      <c r="E60" t="s">
        <v>177</v>
      </c>
      <c r="F60">
        <v>3</v>
      </c>
      <c r="G60" t="s">
        <v>126</v>
      </c>
      <c r="H60" t="s">
        <v>23</v>
      </c>
      <c r="I60">
        <v>73</v>
      </c>
      <c r="J60">
        <v>7</v>
      </c>
      <c r="K60">
        <v>0</v>
      </c>
      <c r="L60">
        <v>405</v>
      </c>
      <c r="M60">
        <v>109</v>
      </c>
      <c r="N60">
        <v>0</v>
      </c>
      <c r="O60">
        <v>675</v>
      </c>
    </row>
    <row r="61" spans="1:15" x14ac:dyDescent="0.2">
      <c r="A61" t="s">
        <v>76</v>
      </c>
      <c r="B61" t="s">
        <v>16</v>
      </c>
      <c r="C61" t="s">
        <v>17</v>
      </c>
      <c r="D61" t="s">
        <v>75</v>
      </c>
      <c r="E61" t="s">
        <v>177</v>
      </c>
      <c r="F61">
        <v>3</v>
      </c>
      <c r="G61" t="s">
        <v>126</v>
      </c>
      <c r="H61" t="s">
        <v>24</v>
      </c>
      <c r="I61">
        <v>0</v>
      </c>
      <c r="J61">
        <v>0</v>
      </c>
      <c r="K61">
        <v>0</v>
      </c>
      <c r="L61">
        <v>405</v>
      </c>
      <c r="M61">
        <v>109</v>
      </c>
      <c r="N61">
        <v>0</v>
      </c>
      <c r="O61">
        <v>675</v>
      </c>
    </row>
    <row r="62" spans="1:15" x14ac:dyDescent="0.2">
      <c r="A62" t="s">
        <v>115</v>
      </c>
      <c r="B62" t="s">
        <v>16</v>
      </c>
      <c r="C62" t="s">
        <v>17</v>
      </c>
      <c r="D62" t="s">
        <v>75</v>
      </c>
      <c r="E62" t="s">
        <v>118</v>
      </c>
      <c r="F62">
        <v>3</v>
      </c>
      <c r="G62" t="s">
        <v>19</v>
      </c>
      <c r="H62" t="s">
        <v>20</v>
      </c>
      <c r="I62">
        <v>80</v>
      </c>
      <c r="J62">
        <v>48</v>
      </c>
      <c r="K62">
        <v>0</v>
      </c>
      <c r="L62">
        <v>81</v>
      </c>
      <c r="M62">
        <v>49</v>
      </c>
      <c r="N62">
        <v>0</v>
      </c>
      <c r="O62">
        <v>196</v>
      </c>
    </row>
    <row r="63" spans="1:15" x14ac:dyDescent="0.2">
      <c r="A63" t="s">
        <v>115</v>
      </c>
      <c r="B63" t="s">
        <v>16</v>
      </c>
      <c r="C63" t="s">
        <v>17</v>
      </c>
      <c r="D63" t="s">
        <v>75</v>
      </c>
      <c r="E63" t="s">
        <v>118</v>
      </c>
      <c r="F63">
        <v>3</v>
      </c>
      <c r="G63" t="s">
        <v>19</v>
      </c>
      <c r="H63" t="s">
        <v>21</v>
      </c>
      <c r="I63">
        <v>1</v>
      </c>
      <c r="J63">
        <v>0</v>
      </c>
      <c r="K63">
        <v>0</v>
      </c>
      <c r="L63">
        <v>81</v>
      </c>
      <c r="M63">
        <v>49</v>
      </c>
      <c r="N63">
        <v>0</v>
      </c>
      <c r="O63">
        <v>196</v>
      </c>
    </row>
    <row r="64" spans="1:15" x14ac:dyDescent="0.2">
      <c r="A64" t="s">
        <v>115</v>
      </c>
      <c r="B64" t="s">
        <v>16</v>
      </c>
      <c r="C64" t="s">
        <v>17</v>
      </c>
      <c r="D64" t="s">
        <v>75</v>
      </c>
      <c r="E64" t="s">
        <v>118</v>
      </c>
      <c r="F64">
        <v>3</v>
      </c>
      <c r="G64" t="s">
        <v>19</v>
      </c>
      <c r="H64" t="s">
        <v>22</v>
      </c>
      <c r="I64">
        <v>0</v>
      </c>
      <c r="J64">
        <v>0</v>
      </c>
      <c r="K64">
        <v>0</v>
      </c>
      <c r="L64">
        <v>81</v>
      </c>
      <c r="M64">
        <v>49</v>
      </c>
      <c r="N64">
        <v>0</v>
      </c>
      <c r="O64">
        <v>196</v>
      </c>
    </row>
    <row r="65" spans="1:15" x14ac:dyDescent="0.2">
      <c r="A65" t="s">
        <v>115</v>
      </c>
      <c r="B65" t="s">
        <v>16</v>
      </c>
      <c r="C65" t="s">
        <v>17</v>
      </c>
      <c r="D65" t="s">
        <v>75</v>
      </c>
      <c r="E65" t="s">
        <v>118</v>
      </c>
      <c r="F65">
        <v>3</v>
      </c>
      <c r="G65" t="s">
        <v>19</v>
      </c>
      <c r="H65" t="s">
        <v>23</v>
      </c>
      <c r="I65">
        <v>0</v>
      </c>
      <c r="J65">
        <v>1</v>
      </c>
      <c r="K65">
        <v>0</v>
      </c>
      <c r="L65">
        <v>81</v>
      </c>
      <c r="M65">
        <v>49</v>
      </c>
      <c r="N65">
        <v>0</v>
      </c>
      <c r="O65">
        <v>196</v>
      </c>
    </row>
    <row r="66" spans="1:15" x14ac:dyDescent="0.2">
      <c r="A66" t="s">
        <v>115</v>
      </c>
      <c r="B66" t="s">
        <v>16</v>
      </c>
      <c r="C66" t="s">
        <v>17</v>
      </c>
      <c r="D66" t="s">
        <v>75</v>
      </c>
      <c r="E66" t="s">
        <v>118</v>
      </c>
      <c r="F66">
        <v>3</v>
      </c>
      <c r="G66" t="s">
        <v>19</v>
      </c>
      <c r="H66" t="s">
        <v>24</v>
      </c>
      <c r="I66">
        <v>0</v>
      </c>
      <c r="J66">
        <v>0</v>
      </c>
      <c r="K66">
        <v>0</v>
      </c>
      <c r="L66">
        <v>81</v>
      </c>
      <c r="M66">
        <v>49</v>
      </c>
      <c r="N66">
        <v>0</v>
      </c>
      <c r="O66">
        <v>196</v>
      </c>
    </row>
    <row r="67" spans="1:15" x14ac:dyDescent="0.2">
      <c r="A67" t="s">
        <v>115</v>
      </c>
      <c r="B67" t="s">
        <v>16</v>
      </c>
      <c r="C67" t="s">
        <v>17</v>
      </c>
      <c r="D67" t="s">
        <v>75</v>
      </c>
      <c r="E67" t="s">
        <v>176</v>
      </c>
      <c r="F67">
        <v>3</v>
      </c>
      <c r="G67" t="s">
        <v>130</v>
      </c>
      <c r="H67" t="s">
        <v>20</v>
      </c>
      <c r="I67">
        <v>63</v>
      </c>
      <c r="J67">
        <v>8</v>
      </c>
      <c r="K67">
        <v>0</v>
      </c>
      <c r="L67">
        <v>78</v>
      </c>
      <c r="M67">
        <v>24</v>
      </c>
      <c r="N67">
        <v>0</v>
      </c>
      <c r="O67">
        <v>197</v>
      </c>
    </row>
    <row r="68" spans="1:15" x14ac:dyDescent="0.2">
      <c r="A68" t="s">
        <v>115</v>
      </c>
      <c r="B68" t="s">
        <v>16</v>
      </c>
      <c r="C68" t="s">
        <v>17</v>
      </c>
      <c r="D68" t="s">
        <v>75</v>
      </c>
      <c r="E68" t="s">
        <v>176</v>
      </c>
      <c r="F68">
        <v>3</v>
      </c>
      <c r="G68" t="s">
        <v>130</v>
      </c>
      <c r="H68" t="s">
        <v>21</v>
      </c>
      <c r="I68">
        <v>13</v>
      </c>
      <c r="J68">
        <v>6</v>
      </c>
      <c r="K68">
        <v>0</v>
      </c>
      <c r="L68">
        <v>78</v>
      </c>
      <c r="M68">
        <v>24</v>
      </c>
      <c r="N68">
        <v>0</v>
      </c>
      <c r="O68">
        <v>197</v>
      </c>
    </row>
    <row r="69" spans="1:15" x14ac:dyDescent="0.2">
      <c r="A69" t="s">
        <v>115</v>
      </c>
      <c r="B69" t="s">
        <v>16</v>
      </c>
      <c r="C69" t="s">
        <v>17</v>
      </c>
      <c r="D69" t="s">
        <v>75</v>
      </c>
      <c r="E69" t="s">
        <v>176</v>
      </c>
      <c r="F69">
        <v>3</v>
      </c>
      <c r="G69" t="s">
        <v>130</v>
      </c>
      <c r="H69" t="s">
        <v>22</v>
      </c>
      <c r="I69">
        <v>1</v>
      </c>
      <c r="J69">
        <v>7</v>
      </c>
      <c r="K69">
        <v>0</v>
      </c>
      <c r="L69">
        <v>78</v>
      </c>
      <c r="M69">
        <v>24</v>
      </c>
      <c r="N69">
        <v>0</v>
      </c>
      <c r="O69">
        <v>197</v>
      </c>
    </row>
    <row r="70" spans="1:15" x14ac:dyDescent="0.2">
      <c r="A70" t="s">
        <v>115</v>
      </c>
      <c r="B70" t="s">
        <v>16</v>
      </c>
      <c r="C70" t="s">
        <v>17</v>
      </c>
      <c r="D70" t="s">
        <v>75</v>
      </c>
      <c r="E70" t="s">
        <v>176</v>
      </c>
      <c r="F70">
        <v>3</v>
      </c>
      <c r="G70" t="s">
        <v>130</v>
      </c>
      <c r="H70" t="s">
        <v>23</v>
      </c>
      <c r="I70">
        <v>1</v>
      </c>
      <c r="J70">
        <v>3</v>
      </c>
      <c r="K70">
        <v>0</v>
      </c>
      <c r="L70">
        <v>78</v>
      </c>
      <c r="M70">
        <v>24</v>
      </c>
      <c r="N70">
        <v>0</v>
      </c>
      <c r="O70">
        <v>197</v>
      </c>
    </row>
    <row r="71" spans="1:15" x14ac:dyDescent="0.2">
      <c r="A71" t="s">
        <v>115</v>
      </c>
      <c r="B71" t="s">
        <v>16</v>
      </c>
      <c r="C71" t="s">
        <v>17</v>
      </c>
      <c r="D71" t="s">
        <v>75</v>
      </c>
      <c r="E71" t="s">
        <v>176</v>
      </c>
      <c r="F71">
        <v>3</v>
      </c>
      <c r="G71" t="s">
        <v>130</v>
      </c>
      <c r="H71" t="s">
        <v>24</v>
      </c>
      <c r="I71">
        <v>0</v>
      </c>
      <c r="J71">
        <v>0</v>
      </c>
      <c r="K71">
        <v>0</v>
      </c>
      <c r="L71">
        <v>78</v>
      </c>
      <c r="M71">
        <v>24</v>
      </c>
      <c r="N71">
        <v>0</v>
      </c>
      <c r="O71">
        <v>197</v>
      </c>
    </row>
    <row r="72" spans="1:15" x14ac:dyDescent="0.2">
      <c r="A72" t="s">
        <v>115</v>
      </c>
      <c r="B72" t="s">
        <v>16</v>
      </c>
      <c r="C72" t="s">
        <v>17</v>
      </c>
      <c r="D72" t="s">
        <v>75</v>
      </c>
      <c r="E72" t="s">
        <v>175</v>
      </c>
      <c r="F72">
        <v>3</v>
      </c>
      <c r="G72" t="s">
        <v>128</v>
      </c>
      <c r="H72" t="s">
        <v>20</v>
      </c>
      <c r="I72">
        <v>34</v>
      </c>
      <c r="J72">
        <v>7</v>
      </c>
      <c r="K72">
        <v>0</v>
      </c>
      <c r="L72">
        <v>53</v>
      </c>
      <c r="M72">
        <v>22</v>
      </c>
      <c r="N72">
        <v>0</v>
      </c>
      <c r="O72">
        <v>196</v>
      </c>
    </row>
    <row r="73" spans="1:15" x14ac:dyDescent="0.2">
      <c r="A73" t="s">
        <v>115</v>
      </c>
      <c r="B73" t="s">
        <v>16</v>
      </c>
      <c r="C73" t="s">
        <v>17</v>
      </c>
      <c r="D73" t="s">
        <v>75</v>
      </c>
      <c r="E73" t="s">
        <v>175</v>
      </c>
      <c r="F73">
        <v>3</v>
      </c>
      <c r="G73" t="s">
        <v>128</v>
      </c>
      <c r="H73" t="s">
        <v>21</v>
      </c>
      <c r="I73">
        <v>17</v>
      </c>
      <c r="J73">
        <v>4</v>
      </c>
      <c r="K73">
        <v>0</v>
      </c>
      <c r="L73">
        <v>53</v>
      </c>
      <c r="M73">
        <v>22</v>
      </c>
      <c r="N73">
        <v>0</v>
      </c>
      <c r="O73">
        <v>196</v>
      </c>
    </row>
    <row r="74" spans="1:15" x14ac:dyDescent="0.2">
      <c r="A74" t="s">
        <v>115</v>
      </c>
      <c r="B74" t="s">
        <v>16</v>
      </c>
      <c r="C74" t="s">
        <v>17</v>
      </c>
      <c r="D74" t="s">
        <v>75</v>
      </c>
      <c r="E74" t="s">
        <v>175</v>
      </c>
      <c r="F74">
        <v>3</v>
      </c>
      <c r="G74" t="s">
        <v>128</v>
      </c>
      <c r="H74" t="s">
        <v>22</v>
      </c>
      <c r="I74">
        <v>2</v>
      </c>
      <c r="J74">
        <v>6</v>
      </c>
      <c r="K74">
        <v>0</v>
      </c>
      <c r="L74">
        <v>53</v>
      </c>
      <c r="M74">
        <v>22</v>
      </c>
      <c r="N74">
        <v>0</v>
      </c>
      <c r="O74">
        <v>196</v>
      </c>
    </row>
    <row r="75" spans="1:15" x14ac:dyDescent="0.2">
      <c r="A75" t="s">
        <v>115</v>
      </c>
      <c r="B75" t="s">
        <v>16</v>
      </c>
      <c r="C75" t="s">
        <v>17</v>
      </c>
      <c r="D75" t="s">
        <v>75</v>
      </c>
      <c r="E75" t="s">
        <v>175</v>
      </c>
      <c r="F75">
        <v>3</v>
      </c>
      <c r="G75" t="s">
        <v>128</v>
      </c>
      <c r="H75" t="s">
        <v>23</v>
      </c>
      <c r="I75">
        <v>0</v>
      </c>
      <c r="J75">
        <v>5</v>
      </c>
      <c r="K75">
        <v>0</v>
      </c>
      <c r="L75">
        <v>53</v>
      </c>
      <c r="M75">
        <v>22</v>
      </c>
      <c r="N75">
        <v>0</v>
      </c>
      <c r="O75">
        <v>196</v>
      </c>
    </row>
    <row r="76" spans="1:15" x14ac:dyDescent="0.2">
      <c r="A76" t="s">
        <v>115</v>
      </c>
      <c r="B76" t="s">
        <v>16</v>
      </c>
      <c r="C76" t="s">
        <v>17</v>
      </c>
      <c r="D76" t="s">
        <v>75</v>
      </c>
      <c r="E76" t="s">
        <v>175</v>
      </c>
      <c r="F76">
        <v>3</v>
      </c>
      <c r="G76" t="s">
        <v>128</v>
      </c>
      <c r="H76" t="s">
        <v>24</v>
      </c>
      <c r="I76">
        <v>0</v>
      </c>
      <c r="J76">
        <v>0</v>
      </c>
      <c r="K76">
        <v>0</v>
      </c>
      <c r="L76">
        <v>53</v>
      </c>
      <c r="M76">
        <v>22</v>
      </c>
      <c r="N76">
        <v>0</v>
      </c>
      <c r="O76">
        <v>196</v>
      </c>
    </row>
    <row r="77" spans="1:15" x14ac:dyDescent="0.2">
      <c r="A77" t="s">
        <v>115</v>
      </c>
      <c r="B77" t="s">
        <v>16</v>
      </c>
      <c r="C77" t="s">
        <v>17</v>
      </c>
      <c r="D77" t="s">
        <v>75</v>
      </c>
      <c r="E77" t="s">
        <v>174</v>
      </c>
      <c r="F77">
        <v>3</v>
      </c>
      <c r="G77" t="s">
        <v>126</v>
      </c>
      <c r="H77" t="s">
        <v>20</v>
      </c>
      <c r="I77">
        <v>42</v>
      </c>
      <c r="J77">
        <v>13</v>
      </c>
      <c r="K77">
        <v>0</v>
      </c>
      <c r="L77">
        <v>82</v>
      </c>
      <c r="M77">
        <v>32</v>
      </c>
      <c r="N77">
        <v>0</v>
      </c>
      <c r="O77">
        <v>196</v>
      </c>
    </row>
    <row r="78" spans="1:15" x14ac:dyDescent="0.2">
      <c r="A78" t="s">
        <v>115</v>
      </c>
      <c r="B78" t="s">
        <v>16</v>
      </c>
      <c r="C78" t="s">
        <v>17</v>
      </c>
      <c r="D78" t="s">
        <v>75</v>
      </c>
      <c r="E78" t="s">
        <v>174</v>
      </c>
      <c r="F78">
        <v>3</v>
      </c>
      <c r="G78" t="s">
        <v>126</v>
      </c>
      <c r="H78" t="s">
        <v>21</v>
      </c>
      <c r="I78">
        <v>26</v>
      </c>
      <c r="J78">
        <v>8</v>
      </c>
      <c r="K78">
        <v>0</v>
      </c>
      <c r="L78">
        <v>82</v>
      </c>
      <c r="M78">
        <v>32</v>
      </c>
      <c r="N78">
        <v>0</v>
      </c>
      <c r="O78">
        <v>196</v>
      </c>
    </row>
    <row r="79" spans="1:15" x14ac:dyDescent="0.2">
      <c r="A79" t="s">
        <v>115</v>
      </c>
      <c r="B79" t="s">
        <v>16</v>
      </c>
      <c r="C79" t="s">
        <v>17</v>
      </c>
      <c r="D79" t="s">
        <v>75</v>
      </c>
      <c r="E79" t="s">
        <v>174</v>
      </c>
      <c r="F79">
        <v>3</v>
      </c>
      <c r="G79" t="s">
        <v>126</v>
      </c>
      <c r="H79" t="s">
        <v>22</v>
      </c>
      <c r="I79">
        <v>8</v>
      </c>
      <c r="J79">
        <v>4</v>
      </c>
      <c r="K79">
        <v>0</v>
      </c>
      <c r="L79">
        <v>82</v>
      </c>
      <c r="M79">
        <v>32</v>
      </c>
      <c r="N79">
        <v>0</v>
      </c>
      <c r="O79">
        <v>196</v>
      </c>
    </row>
    <row r="80" spans="1:15" x14ac:dyDescent="0.2">
      <c r="A80" t="s">
        <v>115</v>
      </c>
      <c r="B80" t="s">
        <v>16</v>
      </c>
      <c r="C80" t="s">
        <v>17</v>
      </c>
      <c r="D80" t="s">
        <v>75</v>
      </c>
      <c r="E80" t="s">
        <v>174</v>
      </c>
      <c r="F80">
        <v>3</v>
      </c>
      <c r="G80" t="s">
        <v>126</v>
      </c>
      <c r="H80" t="s">
        <v>23</v>
      </c>
      <c r="I80">
        <v>6</v>
      </c>
      <c r="J80">
        <v>7</v>
      </c>
      <c r="K80">
        <v>0</v>
      </c>
      <c r="L80">
        <v>82</v>
      </c>
      <c r="M80">
        <v>32</v>
      </c>
      <c r="N80">
        <v>0</v>
      </c>
      <c r="O80">
        <v>196</v>
      </c>
    </row>
    <row r="81" spans="1:15" x14ac:dyDescent="0.2">
      <c r="A81" t="s">
        <v>115</v>
      </c>
      <c r="B81" t="s">
        <v>16</v>
      </c>
      <c r="C81" t="s">
        <v>17</v>
      </c>
      <c r="D81" t="s">
        <v>75</v>
      </c>
      <c r="E81" t="s">
        <v>174</v>
      </c>
      <c r="F81">
        <v>3</v>
      </c>
      <c r="G81" t="s">
        <v>126</v>
      </c>
      <c r="H81" t="s">
        <v>24</v>
      </c>
      <c r="I81">
        <v>0</v>
      </c>
      <c r="J81">
        <v>0</v>
      </c>
      <c r="K81">
        <v>0</v>
      </c>
      <c r="L81">
        <v>82</v>
      </c>
      <c r="M81">
        <v>32</v>
      </c>
      <c r="N81">
        <v>0</v>
      </c>
      <c r="O81">
        <v>196</v>
      </c>
    </row>
    <row r="82" spans="1:15" x14ac:dyDescent="0.2">
      <c r="A82" t="s">
        <v>112</v>
      </c>
      <c r="B82" t="s">
        <v>37</v>
      </c>
      <c r="C82" t="s">
        <v>17</v>
      </c>
      <c r="D82" t="s">
        <v>75</v>
      </c>
      <c r="E82" t="s">
        <v>106</v>
      </c>
      <c r="F82">
        <v>3</v>
      </c>
      <c r="G82" t="s">
        <v>19</v>
      </c>
      <c r="H82" t="s">
        <v>20</v>
      </c>
      <c r="I82">
        <v>668</v>
      </c>
      <c r="J82">
        <v>43</v>
      </c>
      <c r="K82">
        <v>0</v>
      </c>
      <c r="L82">
        <v>879</v>
      </c>
      <c r="M82">
        <v>79</v>
      </c>
      <c r="N82">
        <v>0</v>
      </c>
      <c r="O82">
        <v>995</v>
      </c>
    </row>
    <row r="83" spans="1:15" x14ac:dyDescent="0.2">
      <c r="A83" t="s">
        <v>112</v>
      </c>
      <c r="B83" t="s">
        <v>37</v>
      </c>
      <c r="C83" t="s">
        <v>17</v>
      </c>
      <c r="D83" t="s">
        <v>75</v>
      </c>
      <c r="E83" t="s">
        <v>106</v>
      </c>
      <c r="F83">
        <v>3</v>
      </c>
      <c r="G83" t="s">
        <v>19</v>
      </c>
      <c r="H83" t="s">
        <v>21</v>
      </c>
      <c r="I83">
        <v>104</v>
      </c>
      <c r="J83">
        <v>12</v>
      </c>
      <c r="K83">
        <v>0</v>
      </c>
      <c r="L83">
        <v>879</v>
      </c>
      <c r="M83">
        <v>79</v>
      </c>
      <c r="N83">
        <v>0</v>
      </c>
      <c r="O83">
        <v>995</v>
      </c>
    </row>
    <row r="84" spans="1:15" x14ac:dyDescent="0.2">
      <c r="A84" t="s">
        <v>112</v>
      </c>
      <c r="B84" t="s">
        <v>37</v>
      </c>
      <c r="C84" t="s">
        <v>17</v>
      </c>
      <c r="D84" t="s">
        <v>75</v>
      </c>
      <c r="E84" t="s">
        <v>106</v>
      </c>
      <c r="F84">
        <v>3</v>
      </c>
      <c r="G84" t="s">
        <v>19</v>
      </c>
      <c r="H84" t="s">
        <v>22</v>
      </c>
      <c r="I84">
        <v>33</v>
      </c>
      <c r="J84">
        <v>7</v>
      </c>
      <c r="K84">
        <v>0</v>
      </c>
      <c r="L84">
        <v>879</v>
      </c>
      <c r="M84">
        <v>79</v>
      </c>
      <c r="N84">
        <v>0</v>
      </c>
      <c r="O84">
        <v>995</v>
      </c>
    </row>
    <row r="85" spans="1:15" x14ac:dyDescent="0.2">
      <c r="A85" t="s">
        <v>112</v>
      </c>
      <c r="B85" t="s">
        <v>37</v>
      </c>
      <c r="C85" t="s">
        <v>17</v>
      </c>
      <c r="D85" t="s">
        <v>75</v>
      </c>
      <c r="E85" t="s">
        <v>106</v>
      </c>
      <c r="F85">
        <v>3</v>
      </c>
      <c r="G85" t="s">
        <v>19</v>
      </c>
      <c r="H85" t="s">
        <v>23</v>
      </c>
      <c r="I85">
        <v>74</v>
      </c>
      <c r="J85">
        <v>17</v>
      </c>
      <c r="K85">
        <v>0</v>
      </c>
      <c r="L85">
        <v>879</v>
      </c>
      <c r="M85">
        <v>79</v>
      </c>
      <c r="N85">
        <v>0</v>
      </c>
      <c r="O85">
        <v>995</v>
      </c>
    </row>
    <row r="86" spans="1:15" x14ac:dyDescent="0.2">
      <c r="A86" t="s">
        <v>112</v>
      </c>
      <c r="B86" t="s">
        <v>37</v>
      </c>
      <c r="C86" t="s">
        <v>17</v>
      </c>
      <c r="D86" t="s">
        <v>75</v>
      </c>
      <c r="E86" t="s">
        <v>106</v>
      </c>
      <c r="F86">
        <v>3</v>
      </c>
      <c r="G86" t="s">
        <v>19</v>
      </c>
      <c r="H86" t="s">
        <v>24</v>
      </c>
      <c r="I86">
        <v>0</v>
      </c>
      <c r="J86">
        <v>0</v>
      </c>
      <c r="K86">
        <v>0</v>
      </c>
      <c r="L86">
        <v>879</v>
      </c>
      <c r="M86">
        <v>79</v>
      </c>
      <c r="N86">
        <v>0</v>
      </c>
      <c r="O86">
        <v>995</v>
      </c>
    </row>
    <row r="87" spans="1:15" x14ac:dyDescent="0.2">
      <c r="A87" t="s">
        <v>112</v>
      </c>
      <c r="B87" t="s">
        <v>37</v>
      </c>
      <c r="C87" t="s">
        <v>17</v>
      </c>
      <c r="D87" t="s">
        <v>75</v>
      </c>
      <c r="E87" t="s">
        <v>185</v>
      </c>
      <c r="F87">
        <v>3</v>
      </c>
      <c r="G87" t="s">
        <v>130</v>
      </c>
      <c r="H87" t="s">
        <v>20</v>
      </c>
      <c r="I87">
        <v>568</v>
      </c>
      <c r="J87">
        <v>38</v>
      </c>
      <c r="K87">
        <v>0</v>
      </c>
      <c r="L87">
        <v>660</v>
      </c>
      <c r="M87">
        <v>81</v>
      </c>
      <c r="N87">
        <v>0</v>
      </c>
      <c r="O87">
        <v>961</v>
      </c>
    </row>
    <row r="88" spans="1:15" x14ac:dyDescent="0.2">
      <c r="A88" t="s">
        <v>112</v>
      </c>
      <c r="B88" t="s">
        <v>37</v>
      </c>
      <c r="C88" t="s">
        <v>17</v>
      </c>
      <c r="D88" t="s">
        <v>75</v>
      </c>
      <c r="E88" t="s">
        <v>185</v>
      </c>
      <c r="F88">
        <v>3</v>
      </c>
      <c r="G88" t="s">
        <v>130</v>
      </c>
      <c r="H88" t="s">
        <v>21</v>
      </c>
      <c r="I88">
        <v>55</v>
      </c>
      <c r="J88">
        <v>19</v>
      </c>
      <c r="K88">
        <v>0</v>
      </c>
      <c r="L88">
        <v>660</v>
      </c>
      <c r="M88">
        <v>81</v>
      </c>
      <c r="N88">
        <v>0</v>
      </c>
      <c r="O88">
        <v>961</v>
      </c>
    </row>
    <row r="89" spans="1:15" x14ac:dyDescent="0.2">
      <c r="A89" t="s">
        <v>112</v>
      </c>
      <c r="B89" t="s">
        <v>37</v>
      </c>
      <c r="C89" t="s">
        <v>17</v>
      </c>
      <c r="D89" t="s">
        <v>75</v>
      </c>
      <c r="E89" t="s">
        <v>185</v>
      </c>
      <c r="F89">
        <v>3</v>
      </c>
      <c r="G89" t="s">
        <v>130</v>
      </c>
      <c r="H89" t="s">
        <v>22</v>
      </c>
      <c r="I89">
        <v>6</v>
      </c>
      <c r="J89">
        <v>5</v>
      </c>
      <c r="K89">
        <v>0</v>
      </c>
      <c r="L89">
        <v>660</v>
      </c>
      <c r="M89">
        <v>81</v>
      </c>
      <c r="N89">
        <v>0</v>
      </c>
      <c r="O89">
        <v>961</v>
      </c>
    </row>
    <row r="90" spans="1:15" x14ac:dyDescent="0.2">
      <c r="A90" t="s">
        <v>112</v>
      </c>
      <c r="B90" t="s">
        <v>37</v>
      </c>
      <c r="C90" t="s">
        <v>17</v>
      </c>
      <c r="D90" t="s">
        <v>75</v>
      </c>
      <c r="E90" t="s">
        <v>185</v>
      </c>
      <c r="F90">
        <v>3</v>
      </c>
      <c r="G90" t="s">
        <v>130</v>
      </c>
      <c r="H90" t="s">
        <v>23</v>
      </c>
      <c r="I90">
        <v>31</v>
      </c>
      <c r="J90">
        <v>19</v>
      </c>
      <c r="K90">
        <v>0</v>
      </c>
      <c r="L90">
        <v>660</v>
      </c>
      <c r="M90">
        <v>81</v>
      </c>
      <c r="N90">
        <v>0</v>
      </c>
      <c r="O90">
        <v>961</v>
      </c>
    </row>
    <row r="91" spans="1:15" x14ac:dyDescent="0.2">
      <c r="A91" t="s">
        <v>112</v>
      </c>
      <c r="B91" t="s">
        <v>37</v>
      </c>
      <c r="C91" t="s">
        <v>17</v>
      </c>
      <c r="D91" t="s">
        <v>75</v>
      </c>
      <c r="E91" t="s">
        <v>185</v>
      </c>
      <c r="F91">
        <v>3</v>
      </c>
      <c r="G91" t="s">
        <v>130</v>
      </c>
      <c r="H91" t="s">
        <v>24</v>
      </c>
      <c r="I91">
        <v>0</v>
      </c>
      <c r="J91">
        <v>0</v>
      </c>
      <c r="K91">
        <v>0</v>
      </c>
      <c r="L91">
        <v>660</v>
      </c>
      <c r="M91">
        <v>81</v>
      </c>
      <c r="N91">
        <v>0</v>
      </c>
      <c r="O91">
        <v>961</v>
      </c>
    </row>
    <row r="92" spans="1:15" x14ac:dyDescent="0.2">
      <c r="A92" t="s">
        <v>112</v>
      </c>
      <c r="B92" t="s">
        <v>37</v>
      </c>
      <c r="C92" t="s">
        <v>17</v>
      </c>
      <c r="D92" t="s">
        <v>75</v>
      </c>
      <c r="E92" t="s">
        <v>184</v>
      </c>
      <c r="F92">
        <v>3</v>
      </c>
      <c r="G92" t="s">
        <v>128</v>
      </c>
      <c r="H92" t="s">
        <v>20</v>
      </c>
      <c r="I92">
        <v>448</v>
      </c>
      <c r="J92">
        <v>38</v>
      </c>
      <c r="K92">
        <v>0</v>
      </c>
      <c r="L92">
        <v>618</v>
      </c>
      <c r="M92">
        <v>82</v>
      </c>
      <c r="N92">
        <v>0</v>
      </c>
      <c r="O92">
        <v>964</v>
      </c>
    </row>
    <row r="93" spans="1:15" x14ac:dyDescent="0.2">
      <c r="A93" t="s">
        <v>112</v>
      </c>
      <c r="B93" t="s">
        <v>37</v>
      </c>
      <c r="C93" t="s">
        <v>17</v>
      </c>
      <c r="D93" t="s">
        <v>75</v>
      </c>
      <c r="E93" t="s">
        <v>184</v>
      </c>
      <c r="F93">
        <v>3</v>
      </c>
      <c r="G93" t="s">
        <v>128</v>
      </c>
      <c r="H93" t="s">
        <v>21</v>
      </c>
      <c r="I93">
        <v>104</v>
      </c>
      <c r="J93">
        <v>19</v>
      </c>
      <c r="K93">
        <v>0</v>
      </c>
      <c r="L93">
        <v>618</v>
      </c>
      <c r="M93">
        <v>82</v>
      </c>
      <c r="N93">
        <v>0</v>
      </c>
      <c r="O93">
        <v>964</v>
      </c>
    </row>
    <row r="94" spans="1:15" x14ac:dyDescent="0.2">
      <c r="A94" t="s">
        <v>112</v>
      </c>
      <c r="B94" t="s">
        <v>37</v>
      </c>
      <c r="C94" t="s">
        <v>17</v>
      </c>
      <c r="D94" t="s">
        <v>75</v>
      </c>
      <c r="E94" t="s">
        <v>184</v>
      </c>
      <c r="F94">
        <v>3</v>
      </c>
      <c r="G94" t="s">
        <v>128</v>
      </c>
      <c r="H94" t="s">
        <v>22</v>
      </c>
      <c r="I94">
        <v>18</v>
      </c>
      <c r="J94">
        <v>11</v>
      </c>
      <c r="K94">
        <v>0</v>
      </c>
      <c r="L94">
        <v>618</v>
      </c>
      <c r="M94">
        <v>82</v>
      </c>
      <c r="N94">
        <v>0</v>
      </c>
      <c r="O94">
        <v>964</v>
      </c>
    </row>
    <row r="95" spans="1:15" x14ac:dyDescent="0.2">
      <c r="A95" t="s">
        <v>112</v>
      </c>
      <c r="B95" t="s">
        <v>37</v>
      </c>
      <c r="C95" t="s">
        <v>17</v>
      </c>
      <c r="D95" t="s">
        <v>75</v>
      </c>
      <c r="E95" t="s">
        <v>184</v>
      </c>
      <c r="F95">
        <v>3</v>
      </c>
      <c r="G95" t="s">
        <v>128</v>
      </c>
      <c r="H95" t="s">
        <v>23</v>
      </c>
      <c r="I95">
        <v>48</v>
      </c>
      <c r="J95">
        <v>14</v>
      </c>
      <c r="K95">
        <v>0</v>
      </c>
      <c r="L95">
        <v>618</v>
      </c>
      <c r="M95">
        <v>82</v>
      </c>
      <c r="N95">
        <v>0</v>
      </c>
      <c r="O95">
        <v>964</v>
      </c>
    </row>
    <row r="96" spans="1:15" x14ac:dyDescent="0.2">
      <c r="A96" t="s">
        <v>112</v>
      </c>
      <c r="B96" t="s">
        <v>37</v>
      </c>
      <c r="C96" t="s">
        <v>17</v>
      </c>
      <c r="D96" t="s">
        <v>75</v>
      </c>
      <c r="E96" t="s">
        <v>184</v>
      </c>
      <c r="F96">
        <v>3</v>
      </c>
      <c r="G96" t="s">
        <v>128</v>
      </c>
      <c r="H96" t="s">
        <v>24</v>
      </c>
      <c r="I96">
        <v>0</v>
      </c>
      <c r="J96">
        <v>0</v>
      </c>
      <c r="K96">
        <v>0</v>
      </c>
      <c r="L96">
        <v>618</v>
      </c>
      <c r="M96">
        <v>82</v>
      </c>
      <c r="N96">
        <v>0</v>
      </c>
      <c r="O96">
        <v>964</v>
      </c>
    </row>
    <row r="97" spans="1:15" x14ac:dyDescent="0.2">
      <c r="A97" t="s">
        <v>112</v>
      </c>
      <c r="B97" t="s">
        <v>37</v>
      </c>
      <c r="C97" t="s">
        <v>17</v>
      </c>
      <c r="D97" t="s">
        <v>75</v>
      </c>
      <c r="E97" t="s">
        <v>183</v>
      </c>
      <c r="F97">
        <v>3</v>
      </c>
      <c r="G97" t="s">
        <v>126</v>
      </c>
      <c r="H97" t="s">
        <v>20</v>
      </c>
      <c r="I97">
        <v>419</v>
      </c>
      <c r="J97">
        <v>19</v>
      </c>
      <c r="K97">
        <v>0</v>
      </c>
      <c r="L97">
        <v>633</v>
      </c>
      <c r="M97">
        <v>48</v>
      </c>
      <c r="N97">
        <v>0</v>
      </c>
      <c r="O97">
        <v>969</v>
      </c>
    </row>
    <row r="98" spans="1:15" x14ac:dyDescent="0.2">
      <c r="A98" t="s">
        <v>112</v>
      </c>
      <c r="B98" t="s">
        <v>37</v>
      </c>
      <c r="C98" t="s">
        <v>17</v>
      </c>
      <c r="D98" t="s">
        <v>75</v>
      </c>
      <c r="E98" t="s">
        <v>183</v>
      </c>
      <c r="F98">
        <v>3</v>
      </c>
      <c r="G98" t="s">
        <v>126</v>
      </c>
      <c r="H98" t="s">
        <v>21</v>
      </c>
      <c r="I98">
        <v>133</v>
      </c>
      <c r="J98">
        <v>16</v>
      </c>
      <c r="K98">
        <v>0</v>
      </c>
      <c r="L98">
        <v>633</v>
      </c>
      <c r="M98">
        <v>48</v>
      </c>
      <c r="N98">
        <v>0</v>
      </c>
      <c r="O98">
        <v>969</v>
      </c>
    </row>
    <row r="99" spans="1:15" x14ac:dyDescent="0.2">
      <c r="A99" t="s">
        <v>112</v>
      </c>
      <c r="B99" t="s">
        <v>37</v>
      </c>
      <c r="C99" t="s">
        <v>17</v>
      </c>
      <c r="D99" t="s">
        <v>75</v>
      </c>
      <c r="E99" t="s">
        <v>183</v>
      </c>
      <c r="F99">
        <v>3</v>
      </c>
      <c r="G99" t="s">
        <v>126</v>
      </c>
      <c r="H99" t="s">
        <v>22</v>
      </c>
      <c r="I99">
        <v>25</v>
      </c>
      <c r="J99">
        <v>7</v>
      </c>
      <c r="K99">
        <v>0</v>
      </c>
      <c r="L99">
        <v>633</v>
      </c>
      <c r="M99">
        <v>48</v>
      </c>
      <c r="N99">
        <v>0</v>
      </c>
      <c r="O99">
        <v>969</v>
      </c>
    </row>
    <row r="100" spans="1:15" x14ac:dyDescent="0.2">
      <c r="A100" t="s">
        <v>112</v>
      </c>
      <c r="B100" t="s">
        <v>37</v>
      </c>
      <c r="C100" t="s">
        <v>17</v>
      </c>
      <c r="D100" t="s">
        <v>75</v>
      </c>
      <c r="E100" t="s">
        <v>183</v>
      </c>
      <c r="F100">
        <v>3</v>
      </c>
      <c r="G100" t="s">
        <v>126</v>
      </c>
      <c r="H100" t="s">
        <v>23</v>
      </c>
      <c r="I100">
        <v>56</v>
      </c>
      <c r="J100">
        <v>6</v>
      </c>
      <c r="K100">
        <v>0</v>
      </c>
      <c r="L100">
        <v>633</v>
      </c>
      <c r="M100">
        <v>48</v>
      </c>
      <c r="N100">
        <v>0</v>
      </c>
      <c r="O100">
        <v>969</v>
      </c>
    </row>
    <row r="101" spans="1:15" x14ac:dyDescent="0.2">
      <c r="A101" t="s">
        <v>112</v>
      </c>
      <c r="B101" t="s">
        <v>37</v>
      </c>
      <c r="C101" t="s">
        <v>17</v>
      </c>
      <c r="D101" t="s">
        <v>75</v>
      </c>
      <c r="E101" t="s">
        <v>183</v>
      </c>
      <c r="F101">
        <v>3</v>
      </c>
      <c r="G101" t="s">
        <v>126</v>
      </c>
      <c r="H101" t="s">
        <v>24</v>
      </c>
      <c r="I101">
        <v>0</v>
      </c>
      <c r="J101">
        <v>0</v>
      </c>
      <c r="K101">
        <v>0</v>
      </c>
      <c r="L101">
        <v>633</v>
      </c>
      <c r="M101">
        <v>48</v>
      </c>
      <c r="N101">
        <v>0</v>
      </c>
      <c r="O101">
        <v>969</v>
      </c>
    </row>
    <row r="102" spans="1:15" x14ac:dyDescent="0.2">
      <c r="A102" t="s">
        <v>100</v>
      </c>
      <c r="B102" t="s">
        <v>37</v>
      </c>
      <c r="C102" t="s">
        <v>17</v>
      </c>
      <c r="D102" t="s">
        <v>75</v>
      </c>
      <c r="E102" t="s">
        <v>94</v>
      </c>
      <c r="F102">
        <v>3</v>
      </c>
      <c r="G102" t="s">
        <v>19</v>
      </c>
      <c r="H102" t="s">
        <v>20</v>
      </c>
      <c r="I102">
        <v>40</v>
      </c>
      <c r="J102">
        <v>16</v>
      </c>
      <c r="K102">
        <v>0</v>
      </c>
      <c r="L102">
        <v>60</v>
      </c>
      <c r="M102">
        <v>19</v>
      </c>
      <c r="N102">
        <v>0</v>
      </c>
      <c r="O102">
        <v>994</v>
      </c>
    </row>
    <row r="103" spans="1:15" x14ac:dyDescent="0.2">
      <c r="A103" t="s">
        <v>100</v>
      </c>
      <c r="B103" t="s">
        <v>37</v>
      </c>
      <c r="C103" t="s">
        <v>17</v>
      </c>
      <c r="D103" t="s">
        <v>75</v>
      </c>
      <c r="E103" t="s">
        <v>94</v>
      </c>
      <c r="F103">
        <v>3</v>
      </c>
      <c r="G103" t="s">
        <v>19</v>
      </c>
      <c r="H103" t="s">
        <v>21</v>
      </c>
      <c r="I103">
        <v>8</v>
      </c>
      <c r="J103">
        <v>1</v>
      </c>
      <c r="K103">
        <v>0</v>
      </c>
      <c r="L103">
        <v>60</v>
      </c>
      <c r="M103">
        <v>19</v>
      </c>
      <c r="N103">
        <v>0</v>
      </c>
      <c r="O103">
        <v>994</v>
      </c>
    </row>
    <row r="104" spans="1:15" x14ac:dyDescent="0.2">
      <c r="A104" t="s">
        <v>100</v>
      </c>
      <c r="B104" t="s">
        <v>37</v>
      </c>
      <c r="C104" t="s">
        <v>17</v>
      </c>
      <c r="D104" t="s">
        <v>75</v>
      </c>
      <c r="E104" t="s">
        <v>94</v>
      </c>
      <c r="F104">
        <v>3</v>
      </c>
      <c r="G104" t="s">
        <v>19</v>
      </c>
      <c r="H104" t="s">
        <v>22</v>
      </c>
      <c r="I104">
        <v>5</v>
      </c>
      <c r="J104">
        <v>1</v>
      </c>
      <c r="K104">
        <v>0</v>
      </c>
      <c r="L104">
        <v>60</v>
      </c>
      <c r="M104">
        <v>19</v>
      </c>
      <c r="N104">
        <v>0</v>
      </c>
      <c r="O104">
        <v>994</v>
      </c>
    </row>
    <row r="105" spans="1:15" x14ac:dyDescent="0.2">
      <c r="A105" t="s">
        <v>100</v>
      </c>
      <c r="B105" t="s">
        <v>37</v>
      </c>
      <c r="C105" t="s">
        <v>17</v>
      </c>
      <c r="D105" t="s">
        <v>75</v>
      </c>
      <c r="E105" t="s">
        <v>94</v>
      </c>
      <c r="F105">
        <v>3</v>
      </c>
      <c r="G105" t="s">
        <v>19</v>
      </c>
      <c r="H105" t="s">
        <v>23</v>
      </c>
      <c r="I105">
        <v>7</v>
      </c>
      <c r="J105">
        <v>1</v>
      </c>
      <c r="K105">
        <v>0</v>
      </c>
      <c r="L105">
        <v>60</v>
      </c>
      <c r="M105">
        <v>19</v>
      </c>
      <c r="N105">
        <v>0</v>
      </c>
      <c r="O105">
        <v>994</v>
      </c>
    </row>
    <row r="106" spans="1:15" x14ac:dyDescent="0.2">
      <c r="A106" t="s">
        <v>100</v>
      </c>
      <c r="B106" t="s">
        <v>37</v>
      </c>
      <c r="C106" t="s">
        <v>17</v>
      </c>
      <c r="D106" t="s">
        <v>75</v>
      </c>
      <c r="E106" t="s">
        <v>94</v>
      </c>
      <c r="F106">
        <v>3</v>
      </c>
      <c r="G106" t="s">
        <v>19</v>
      </c>
      <c r="H106" t="s">
        <v>24</v>
      </c>
      <c r="I106">
        <v>0</v>
      </c>
      <c r="J106">
        <v>0</v>
      </c>
      <c r="K106">
        <v>0</v>
      </c>
      <c r="L106">
        <v>60</v>
      </c>
      <c r="M106">
        <v>19</v>
      </c>
      <c r="N106">
        <v>0</v>
      </c>
      <c r="O106">
        <v>994</v>
      </c>
    </row>
    <row r="107" spans="1:15" x14ac:dyDescent="0.2">
      <c r="A107" t="s">
        <v>100</v>
      </c>
      <c r="B107" t="s">
        <v>37</v>
      </c>
      <c r="C107" t="s">
        <v>17</v>
      </c>
      <c r="D107" t="s">
        <v>75</v>
      </c>
      <c r="E107" t="s">
        <v>182</v>
      </c>
      <c r="F107">
        <v>3</v>
      </c>
      <c r="G107" t="s">
        <v>130</v>
      </c>
      <c r="H107" t="s">
        <v>20</v>
      </c>
      <c r="I107">
        <v>341</v>
      </c>
      <c r="J107">
        <v>0</v>
      </c>
      <c r="K107">
        <v>0</v>
      </c>
      <c r="L107">
        <v>413</v>
      </c>
      <c r="M107">
        <v>8</v>
      </c>
      <c r="N107">
        <v>0</v>
      </c>
      <c r="O107">
        <v>972</v>
      </c>
    </row>
    <row r="108" spans="1:15" x14ac:dyDescent="0.2">
      <c r="A108" t="s">
        <v>100</v>
      </c>
      <c r="B108" t="s">
        <v>37</v>
      </c>
      <c r="C108" t="s">
        <v>17</v>
      </c>
      <c r="D108" t="s">
        <v>75</v>
      </c>
      <c r="E108" t="s">
        <v>182</v>
      </c>
      <c r="F108">
        <v>3</v>
      </c>
      <c r="G108" t="s">
        <v>130</v>
      </c>
      <c r="H108" t="s">
        <v>21</v>
      </c>
      <c r="I108">
        <v>38</v>
      </c>
      <c r="J108">
        <v>3</v>
      </c>
      <c r="K108">
        <v>0</v>
      </c>
      <c r="L108">
        <v>413</v>
      </c>
      <c r="M108">
        <v>8</v>
      </c>
      <c r="N108">
        <v>0</v>
      </c>
      <c r="O108">
        <v>972</v>
      </c>
    </row>
    <row r="109" spans="1:15" x14ac:dyDescent="0.2">
      <c r="A109" t="s">
        <v>100</v>
      </c>
      <c r="B109" t="s">
        <v>37</v>
      </c>
      <c r="C109" t="s">
        <v>17</v>
      </c>
      <c r="D109" t="s">
        <v>75</v>
      </c>
      <c r="E109" t="s">
        <v>182</v>
      </c>
      <c r="F109">
        <v>3</v>
      </c>
      <c r="G109" t="s">
        <v>130</v>
      </c>
      <c r="H109" t="s">
        <v>22</v>
      </c>
      <c r="I109">
        <v>8</v>
      </c>
      <c r="J109">
        <v>3</v>
      </c>
      <c r="K109">
        <v>0</v>
      </c>
      <c r="L109">
        <v>413</v>
      </c>
      <c r="M109">
        <v>8</v>
      </c>
      <c r="N109">
        <v>0</v>
      </c>
      <c r="O109">
        <v>972</v>
      </c>
    </row>
    <row r="110" spans="1:15" x14ac:dyDescent="0.2">
      <c r="A110" t="s">
        <v>100</v>
      </c>
      <c r="B110" t="s">
        <v>37</v>
      </c>
      <c r="C110" t="s">
        <v>17</v>
      </c>
      <c r="D110" t="s">
        <v>75</v>
      </c>
      <c r="E110" t="s">
        <v>182</v>
      </c>
      <c r="F110">
        <v>3</v>
      </c>
      <c r="G110" t="s">
        <v>130</v>
      </c>
      <c r="H110" t="s">
        <v>23</v>
      </c>
      <c r="I110">
        <v>26</v>
      </c>
      <c r="J110">
        <v>2</v>
      </c>
      <c r="K110">
        <v>0</v>
      </c>
      <c r="L110">
        <v>413</v>
      </c>
      <c r="M110">
        <v>8</v>
      </c>
      <c r="N110">
        <v>0</v>
      </c>
      <c r="O110">
        <v>972</v>
      </c>
    </row>
    <row r="111" spans="1:15" x14ac:dyDescent="0.2">
      <c r="A111" t="s">
        <v>100</v>
      </c>
      <c r="B111" t="s">
        <v>37</v>
      </c>
      <c r="C111" t="s">
        <v>17</v>
      </c>
      <c r="D111" t="s">
        <v>75</v>
      </c>
      <c r="E111" t="s">
        <v>182</v>
      </c>
      <c r="F111">
        <v>3</v>
      </c>
      <c r="G111" t="s">
        <v>130</v>
      </c>
      <c r="H111" t="s">
        <v>24</v>
      </c>
      <c r="I111">
        <v>0</v>
      </c>
      <c r="J111">
        <v>0</v>
      </c>
      <c r="K111">
        <v>0</v>
      </c>
      <c r="L111">
        <v>413</v>
      </c>
      <c r="M111">
        <v>8</v>
      </c>
      <c r="N111">
        <v>0</v>
      </c>
      <c r="O111">
        <v>972</v>
      </c>
    </row>
    <row r="112" spans="1:15" x14ac:dyDescent="0.2">
      <c r="A112" t="s">
        <v>100</v>
      </c>
      <c r="B112" t="s">
        <v>37</v>
      </c>
      <c r="C112" t="s">
        <v>17</v>
      </c>
      <c r="D112" t="s">
        <v>75</v>
      </c>
      <c r="E112" t="s">
        <v>181</v>
      </c>
      <c r="F112">
        <v>3</v>
      </c>
      <c r="G112" t="s">
        <v>128</v>
      </c>
      <c r="H112" t="s">
        <v>20</v>
      </c>
      <c r="I112">
        <v>81</v>
      </c>
      <c r="J112">
        <v>9</v>
      </c>
      <c r="K112">
        <v>0</v>
      </c>
      <c r="L112">
        <v>217</v>
      </c>
      <c r="M112">
        <v>13</v>
      </c>
      <c r="N112">
        <v>0</v>
      </c>
      <c r="O112">
        <v>965</v>
      </c>
    </row>
    <row r="113" spans="1:15" x14ac:dyDescent="0.2">
      <c r="A113" t="s">
        <v>100</v>
      </c>
      <c r="B113" t="s">
        <v>37</v>
      </c>
      <c r="C113" t="s">
        <v>17</v>
      </c>
      <c r="D113" t="s">
        <v>75</v>
      </c>
      <c r="E113" t="s">
        <v>181</v>
      </c>
      <c r="F113">
        <v>3</v>
      </c>
      <c r="G113" t="s">
        <v>128</v>
      </c>
      <c r="H113" t="s">
        <v>21</v>
      </c>
      <c r="I113">
        <v>91</v>
      </c>
      <c r="J113">
        <v>3</v>
      </c>
      <c r="K113">
        <v>0</v>
      </c>
      <c r="L113">
        <v>217</v>
      </c>
      <c r="M113">
        <v>13</v>
      </c>
      <c r="N113">
        <v>0</v>
      </c>
      <c r="O113">
        <v>965</v>
      </c>
    </row>
    <row r="114" spans="1:15" x14ac:dyDescent="0.2">
      <c r="A114" t="s">
        <v>100</v>
      </c>
      <c r="B114" t="s">
        <v>37</v>
      </c>
      <c r="C114" t="s">
        <v>17</v>
      </c>
      <c r="D114" t="s">
        <v>75</v>
      </c>
      <c r="E114" t="s">
        <v>181</v>
      </c>
      <c r="F114">
        <v>3</v>
      </c>
      <c r="G114" t="s">
        <v>128</v>
      </c>
      <c r="H114" t="s">
        <v>22</v>
      </c>
      <c r="I114">
        <v>23</v>
      </c>
      <c r="J114">
        <v>1</v>
      </c>
      <c r="K114">
        <v>0</v>
      </c>
      <c r="L114">
        <v>217</v>
      </c>
      <c r="M114">
        <v>13</v>
      </c>
      <c r="N114">
        <v>0</v>
      </c>
      <c r="O114">
        <v>965</v>
      </c>
    </row>
    <row r="115" spans="1:15" x14ac:dyDescent="0.2">
      <c r="A115" t="s">
        <v>100</v>
      </c>
      <c r="B115" t="s">
        <v>37</v>
      </c>
      <c r="C115" t="s">
        <v>17</v>
      </c>
      <c r="D115" t="s">
        <v>75</v>
      </c>
      <c r="E115" t="s">
        <v>181</v>
      </c>
      <c r="F115">
        <v>3</v>
      </c>
      <c r="G115" t="s">
        <v>128</v>
      </c>
      <c r="H115" t="s">
        <v>23</v>
      </c>
      <c r="I115">
        <v>22</v>
      </c>
      <c r="J115">
        <v>0</v>
      </c>
      <c r="K115">
        <v>0</v>
      </c>
      <c r="L115">
        <v>217</v>
      </c>
      <c r="M115">
        <v>13</v>
      </c>
      <c r="N115">
        <v>0</v>
      </c>
      <c r="O115">
        <v>965</v>
      </c>
    </row>
    <row r="116" spans="1:15" x14ac:dyDescent="0.2">
      <c r="A116" t="s">
        <v>100</v>
      </c>
      <c r="B116" t="s">
        <v>37</v>
      </c>
      <c r="C116" t="s">
        <v>17</v>
      </c>
      <c r="D116" t="s">
        <v>75</v>
      </c>
      <c r="E116" t="s">
        <v>181</v>
      </c>
      <c r="F116">
        <v>3</v>
      </c>
      <c r="G116" t="s">
        <v>128</v>
      </c>
      <c r="H116" t="s">
        <v>24</v>
      </c>
      <c r="I116">
        <v>0</v>
      </c>
      <c r="J116">
        <v>0</v>
      </c>
      <c r="K116">
        <v>0</v>
      </c>
      <c r="L116">
        <v>217</v>
      </c>
      <c r="M116">
        <v>13</v>
      </c>
      <c r="N116">
        <v>0</v>
      </c>
      <c r="O116">
        <v>965</v>
      </c>
    </row>
    <row r="117" spans="1:15" x14ac:dyDescent="0.2">
      <c r="A117" t="s">
        <v>100</v>
      </c>
      <c r="B117" t="s">
        <v>37</v>
      </c>
      <c r="C117" t="s">
        <v>17</v>
      </c>
      <c r="D117" t="s">
        <v>75</v>
      </c>
      <c r="E117" t="s">
        <v>180</v>
      </c>
      <c r="F117">
        <v>3</v>
      </c>
      <c r="G117" t="s">
        <v>126</v>
      </c>
      <c r="H117" t="s">
        <v>20</v>
      </c>
      <c r="I117">
        <v>25</v>
      </c>
      <c r="J117">
        <v>7</v>
      </c>
      <c r="K117">
        <v>0</v>
      </c>
      <c r="L117">
        <v>167</v>
      </c>
      <c r="M117">
        <v>10</v>
      </c>
      <c r="N117">
        <v>0</v>
      </c>
      <c r="O117">
        <v>964</v>
      </c>
    </row>
    <row r="118" spans="1:15" x14ac:dyDescent="0.2">
      <c r="A118" t="s">
        <v>100</v>
      </c>
      <c r="B118" t="s">
        <v>37</v>
      </c>
      <c r="C118" t="s">
        <v>17</v>
      </c>
      <c r="D118" t="s">
        <v>75</v>
      </c>
      <c r="E118" t="s">
        <v>180</v>
      </c>
      <c r="F118">
        <v>3</v>
      </c>
      <c r="G118" t="s">
        <v>126</v>
      </c>
      <c r="H118" t="s">
        <v>21</v>
      </c>
      <c r="I118">
        <v>94</v>
      </c>
      <c r="J118">
        <v>0</v>
      </c>
      <c r="K118">
        <v>0</v>
      </c>
      <c r="L118">
        <v>167</v>
      </c>
      <c r="M118">
        <v>10</v>
      </c>
      <c r="N118">
        <v>0</v>
      </c>
      <c r="O118">
        <v>964</v>
      </c>
    </row>
    <row r="119" spans="1:15" x14ac:dyDescent="0.2">
      <c r="A119" t="s">
        <v>100</v>
      </c>
      <c r="B119" t="s">
        <v>37</v>
      </c>
      <c r="C119" t="s">
        <v>17</v>
      </c>
      <c r="D119" t="s">
        <v>75</v>
      </c>
      <c r="E119" t="s">
        <v>180</v>
      </c>
      <c r="F119">
        <v>3</v>
      </c>
      <c r="G119" t="s">
        <v>126</v>
      </c>
      <c r="H119" t="s">
        <v>22</v>
      </c>
      <c r="I119">
        <v>22</v>
      </c>
      <c r="J119">
        <v>0</v>
      </c>
      <c r="K119">
        <v>0</v>
      </c>
      <c r="L119">
        <v>167</v>
      </c>
      <c r="M119">
        <v>10</v>
      </c>
      <c r="N119">
        <v>0</v>
      </c>
      <c r="O119">
        <v>964</v>
      </c>
    </row>
    <row r="120" spans="1:15" x14ac:dyDescent="0.2">
      <c r="A120" t="s">
        <v>100</v>
      </c>
      <c r="B120" t="s">
        <v>37</v>
      </c>
      <c r="C120" t="s">
        <v>17</v>
      </c>
      <c r="D120" t="s">
        <v>75</v>
      </c>
      <c r="E120" t="s">
        <v>180</v>
      </c>
      <c r="F120">
        <v>3</v>
      </c>
      <c r="G120" t="s">
        <v>126</v>
      </c>
      <c r="H120" t="s">
        <v>23</v>
      </c>
      <c r="I120">
        <v>26</v>
      </c>
      <c r="J120">
        <v>3</v>
      </c>
      <c r="K120">
        <v>0</v>
      </c>
      <c r="L120">
        <v>167</v>
      </c>
      <c r="M120">
        <v>10</v>
      </c>
      <c r="N120">
        <v>0</v>
      </c>
      <c r="O120">
        <v>964</v>
      </c>
    </row>
    <row r="121" spans="1:15" x14ac:dyDescent="0.2">
      <c r="A121" t="s">
        <v>100</v>
      </c>
      <c r="B121" t="s">
        <v>37</v>
      </c>
      <c r="C121" t="s">
        <v>17</v>
      </c>
      <c r="D121" t="s">
        <v>75</v>
      </c>
      <c r="E121" t="s">
        <v>180</v>
      </c>
      <c r="F121">
        <v>3</v>
      </c>
      <c r="G121" t="s">
        <v>126</v>
      </c>
      <c r="H121" t="s">
        <v>24</v>
      </c>
      <c r="I121">
        <v>0</v>
      </c>
      <c r="J121">
        <v>0</v>
      </c>
      <c r="K121">
        <v>0</v>
      </c>
      <c r="L121">
        <v>167</v>
      </c>
      <c r="M121">
        <v>10</v>
      </c>
      <c r="N121">
        <v>0</v>
      </c>
      <c r="O121">
        <v>964</v>
      </c>
    </row>
    <row r="122" spans="1:15" x14ac:dyDescent="0.2">
      <c r="A122" t="s">
        <v>88</v>
      </c>
      <c r="B122" t="s">
        <v>37</v>
      </c>
      <c r="C122" t="s">
        <v>17</v>
      </c>
      <c r="D122" t="s">
        <v>75</v>
      </c>
      <c r="E122" t="s">
        <v>81</v>
      </c>
      <c r="F122">
        <v>3</v>
      </c>
      <c r="G122" t="s">
        <v>19</v>
      </c>
      <c r="H122" t="s">
        <v>20</v>
      </c>
      <c r="I122">
        <v>74</v>
      </c>
      <c r="J122">
        <v>53</v>
      </c>
      <c r="K122">
        <v>0</v>
      </c>
      <c r="L122">
        <v>89</v>
      </c>
      <c r="M122">
        <v>177</v>
      </c>
      <c r="N122">
        <v>0</v>
      </c>
      <c r="O122">
        <v>681</v>
      </c>
    </row>
    <row r="123" spans="1:15" x14ac:dyDescent="0.2">
      <c r="A123" t="s">
        <v>88</v>
      </c>
      <c r="B123" t="s">
        <v>37</v>
      </c>
      <c r="C123" t="s">
        <v>17</v>
      </c>
      <c r="D123" t="s">
        <v>75</v>
      </c>
      <c r="E123" t="s">
        <v>81</v>
      </c>
      <c r="F123">
        <v>3</v>
      </c>
      <c r="G123" t="s">
        <v>19</v>
      </c>
      <c r="H123" t="s">
        <v>21</v>
      </c>
      <c r="I123">
        <v>6</v>
      </c>
      <c r="J123">
        <v>15</v>
      </c>
      <c r="K123">
        <v>0</v>
      </c>
      <c r="L123">
        <v>89</v>
      </c>
      <c r="M123">
        <v>177</v>
      </c>
      <c r="N123">
        <v>0</v>
      </c>
      <c r="O123">
        <v>681</v>
      </c>
    </row>
    <row r="124" spans="1:15" x14ac:dyDescent="0.2">
      <c r="A124" t="s">
        <v>88</v>
      </c>
      <c r="B124" t="s">
        <v>37</v>
      </c>
      <c r="C124" t="s">
        <v>17</v>
      </c>
      <c r="D124" t="s">
        <v>75</v>
      </c>
      <c r="E124" t="s">
        <v>81</v>
      </c>
      <c r="F124">
        <v>3</v>
      </c>
      <c r="G124" t="s">
        <v>19</v>
      </c>
      <c r="H124" t="s">
        <v>22</v>
      </c>
      <c r="I124">
        <v>0</v>
      </c>
      <c r="J124">
        <v>8</v>
      </c>
      <c r="K124">
        <v>0</v>
      </c>
      <c r="L124">
        <v>89</v>
      </c>
      <c r="M124">
        <v>177</v>
      </c>
      <c r="N124">
        <v>0</v>
      </c>
      <c r="O124">
        <v>681</v>
      </c>
    </row>
    <row r="125" spans="1:15" x14ac:dyDescent="0.2">
      <c r="A125" t="s">
        <v>88</v>
      </c>
      <c r="B125" t="s">
        <v>37</v>
      </c>
      <c r="C125" t="s">
        <v>17</v>
      </c>
      <c r="D125" t="s">
        <v>75</v>
      </c>
      <c r="E125" t="s">
        <v>81</v>
      </c>
      <c r="F125">
        <v>3</v>
      </c>
      <c r="G125" t="s">
        <v>19</v>
      </c>
      <c r="H125" t="s">
        <v>23</v>
      </c>
      <c r="I125">
        <v>9</v>
      </c>
      <c r="J125">
        <v>100</v>
      </c>
      <c r="K125">
        <v>0</v>
      </c>
      <c r="L125">
        <v>89</v>
      </c>
      <c r="M125">
        <v>177</v>
      </c>
      <c r="N125">
        <v>0</v>
      </c>
      <c r="O125">
        <v>681</v>
      </c>
    </row>
    <row r="126" spans="1:15" x14ac:dyDescent="0.2">
      <c r="A126" t="s">
        <v>88</v>
      </c>
      <c r="B126" t="s">
        <v>37</v>
      </c>
      <c r="C126" t="s">
        <v>17</v>
      </c>
      <c r="D126" t="s">
        <v>75</v>
      </c>
      <c r="E126" t="s">
        <v>81</v>
      </c>
      <c r="F126">
        <v>3</v>
      </c>
      <c r="G126" t="s">
        <v>19</v>
      </c>
      <c r="H126" t="s">
        <v>24</v>
      </c>
      <c r="I126">
        <v>0</v>
      </c>
      <c r="J126">
        <v>1</v>
      </c>
      <c r="K126">
        <v>0</v>
      </c>
      <c r="L126">
        <v>89</v>
      </c>
      <c r="M126">
        <v>177</v>
      </c>
      <c r="N126">
        <v>0</v>
      </c>
      <c r="O126">
        <v>681</v>
      </c>
    </row>
    <row r="127" spans="1:15" x14ac:dyDescent="0.2">
      <c r="A127" t="s">
        <v>88</v>
      </c>
      <c r="B127" t="s">
        <v>37</v>
      </c>
      <c r="C127" t="s">
        <v>17</v>
      </c>
      <c r="D127" t="s">
        <v>75</v>
      </c>
      <c r="E127" t="s">
        <v>179</v>
      </c>
      <c r="F127">
        <v>3</v>
      </c>
      <c r="G127" t="s">
        <v>130</v>
      </c>
      <c r="H127" t="s">
        <v>20</v>
      </c>
      <c r="I127">
        <v>167</v>
      </c>
      <c r="J127">
        <v>19</v>
      </c>
      <c r="K127">
        <v>0</v>
      </c>
      <c r="L127">
        <v>191</v>
      </c>
      <c r="M127">
        <v>139</v>
      </c>
      <c r="N127">
        <v>0</v>
      </c>
      <c r="O127">
        <v>664</v>
      </c>
    </row>
    <row r="128" spans="1:15" x14ac:dyDescent="0.2">
      <c r="A128" t="s">
        <v>88</v>
      </c>
      <c r="B128" t="s">
        <v>37</v>
      </c>
      <c r="C128" t="s">
        <v>17</v>
      </c>
      <c r="D128" t="s">
        <v>75</v>
      </c>
      <c r="E128" t="s">
        <v>179</v>
      </c>
      <c r="F128">
        <v>3</v>
      </c>
      <c r="G128" t="s">
        <v>130</v>
      </c>
      <c r="H128" t="s">
        <v>21</v>
      </c>
      <c r="I128">
        <v>13</v>
      </c>
      <c r="J128">
        <v>30</v>
      </c>
      <c r="K128">
        <v>0</v>
      </c>
      <c r="L128">
        <v>191</v>
      </c>
      <c r="M128">
        <v>139</v>
      </c>
      <c r="N128">
        <v>0</v>
      </c>
      <c r="O128">
        <v>664</v>
      </c>
    </row>
    <row r="129" spans="1:15" x14ac:dyDescent="0.2">
      <c r="A129" t="s">
        <v>88</v>
      </c>
      <c r="B129" t="s">
        <v>37</v>
      </c>
      <c r="C129" t="s">
        <v>17</v>
      </c>
      <c r="D129" t="s">
        <v>75</v>
      </c>
      <c r="E129" t="s">
        <v>179</v>
      </c>
      <c r="F129">
        <v>3</v>
      </c>
      <c r="G129" t="s">
        <v>130</v>
      </c>
      <c r="H129" t="s">
        <v>22</v>
      </c>
      <c r="I129">
        <v>4</v>
      </c>
      <c r="J129">
        <v>7</v>
      </c>
      <c r="K129">
        <v>0</v>
      </c>
      <c r="L129">
        <v>191</v>
      </c>
      <c r="M129">
        <v>139</v>
      </c>
      <c r="N129">
        <v>0</v>
      </c>
      <c r="O129">
        <v>664</v>
      </c>
    </row>
    <row r="130" spans="1:15" x14ac:dyDescent="0.2">
      <c r="A130" t="s">
        <v>88</v>
      </c>
      <c r="B130" t="s">
        <v>37</v>
      </c>
      <c r="C130" t="s">
        <v>17</v>
      </c>
      <c r="D130" t="s">
        <v>75</v>
      </c>
      <c r="E130" t="s">
        <v>179</v>
      </c>
      <c r="F130">
        <v>3</v>
      </c>
      <c r="G130" t="s">
        <v>130</v>
      </c>
      <c r="H130" t="s">
        <v>23</v>
      </c>
      <c r="I130">
        <v>7</v>
      </c>
      <c r="J130">
        <v>83</v>
      </c>
      <c r="K130">
        <v>0</v>
      </c>
      <c r="L130">
        <v>191</v>
      </c>
      <c r="M130">
        <v>139</v>
      </c>
      <c r="N130">
        <v>0</v>
      </c>
      <c r="O130">
        <v>664</v>
      </c>
    </row>
    <row r="131" spans="1:15" x14ac:dyDescent="0.2">
      <c r="A131" t="s">
        <v>88</v>
      </c>
      <c r="B131" t="s">
        <v>37</v>
      </c>
      <c r="C131" t="s">
        <v>17</v>
      </c>
      <c r="D131" t="s">
        <v>75</v>
      </c>
      <c r="E131" t="s">
        <v>179</v>
      </c>
      <c r="F131">
        <v>3</v>
      </c>
      <c r="G131" t="s">
        <v>130</v>
      </c>
      <c r="H131" t="s">
        <v>24</v>
      </c>
      <c r="I131">
        <v>0</v>
      </c>
      <c r="J131">
        <v>0</v>
      </c>
      <c r="K131">
        <v>0</v>
      </c>
      <c r="L131">
        <v>191</v>
      </c>
      <c r="M131">
        <v>139</v>
      </c>
      <c r="N131">
        <v>0</v>
      </c>
      <c r="O131">
        <v>664</v>
      </c>
    </row>
    <row r="132" spans="1:15" x14ac:dyDescent="0.2">
      <c r="A132" t="s">
        <v>88</v>
      </c>
      <c r="B132" t="s">
        <v>37</v>
      </c>
      <c r="C132" t="s">
        <v>17</v>
      </c>
      <c r="D132" t="s">
        <v>75</v>
      </c>
      <c r="E132" t="s">
        <v>178</v>
      </c>
      <c r="F132">
        <v>3</v>
      </c>
      <c r="G132" t="s">
        <v>128</v>
      </c>
      <c r="H132" t="s">
        <v>20</v>
      </c>
      <c r="I132">
        <v>76</v>
      </c>
      <c r="J132">
        <v>25</v>
      </c>
      <c r="K132">
        <v>0</v>
      </c>
      <c r="L132">
        <v>141</v>
      </c>
      <c r="M132">
        <v>139</v>
      </c>
      <c r="N132">
        <v>0</v>
      </c>
      <c r="O132">
        <v>666</v>
      </c>
    </row>
    <row r="133" spans="1:15" x14ac:dyDescent="0.2">
      <c r="A133" t="s">
        <v>88</v>
      </c>
      <c r="B133" t="s">
        <v>37</v>
      </c>
      <c r="C133" t="s">
        <v>17</v>
      </c>
      <c r="D133" t="s">
        <v>75</v>
      </c>
      <c r="E133" t="s">
        <v>178</v>
      </c>
      <c r="F133">
        <v>3</v>
      </c>
      <c r="G133" t="s">
        <v>128</v>
      </c>
      <c r="H133" t="s">
        <v>21</v>
      </c>
      <c r="I133">
        <v>39</v>
      </c>
      <c r="J133">
        <v>21</v>
      </c>
      <c r="K133">
        <v>0</v>
      </c>
      <c r="L133">
        <v>141</v>
      </c>
      <c r="M133">
        <v>139</v>
      </c>
      <c r="N133">
        <v>0</v>
      </c>
      <c r="O133">
        <v>666</v>
      </c>
    </row>
    <row r="134" spans="1:15" x14ac:dyDescent="0.2">
      <c r="A134" t="s">
        <v>88</v>
      </c>
      <c r="B134" t="s">
        <v>37</v>
      </c>
      <c r="C134" t="s">
        <v>17</v>
      </c>
      <c r="D134" t="s">
        <v>75</v>
      </c>
      <c r="E134" t="s">
        <v>178</v>
      </c>
      <c r="F134">
        <v>3</v>
      </c>
      <c r="G134" t="s">
        <v>128</v>
      </c>
      <c r="H134" t="s">
        <v>22</v>
      </c>
      <c r="I134">
        <v>12</v>
      </c>
      <c r="J134">
        <v>8</v>
      </c>
      <c r="K134">
        <v>0</v>
      </c>
      <c r="L134">
        <v>141</v>
      </c>
      <c r="M134">
        <v>139</v>
      </c>
      <c r="N134">
        <v>0</v>
      </c>
      <c r="O134">
        <v>666</v>
      </c>
    </row>
    <row r="135" spans="1:15" x14ac:dyDescent="0.2">
      <c r="A135" t="s">
        <v>88</v>
      </c>
      <c r="B135" t="s">
        <v>37</v>
      </c>
      <c r="C135" t="s">
        <v>17</v>
      </c>
      <c r="D135" t="s">
        <v>75</v>
      </c>
      <c r="E135" t="s">
        <v>178</v>
      </c>
      <c r="F135">
        <v>3</v>
      </c>
      <c r="G135" t="s">
        <v>128</v>
      </c>
      <c r="H135" t="s">
        <v>23</v>
      </c>
      <c r="I135">
        <v>14</v>
      </c>
      <c r="J135">
        <v>85</v>
      </c>
      <c r="K135">
        <v>0</v>
      </c>
      <c r="L135">
        <v>141</v>
      </c>
      <c r="M135">
        <v>139</v>
      </c>
      <c r="N135">
        <v>0</v>
      </c>
      <c r="O135">
        <v>666</v>
      </c>
    </row>
    <row r="136" spans="1:15" x14ac:dyDescent="0.2">
      <c r="A136" t="s">
        <v>88</v>
      </c>
      <c r="B136" t="s">
        <v>37</v>
      </c>
      <c r="C136" t="s">
        <v>17</v>
      </c>
      <c r="D136" t="s">
        <v>75</v>
      </c>
      <c r="E136" t="s">
        <v>178</v>
      </c>
      <c r="F136">
        <v>3</v>
      </c>
      <c r="G136" t="s">
        <v>128</v>
      </c>
      <c r="H136" t="s">
        <v>24</v>
      </c>
      <c r="I136">
        <v>0</v>
      </c>
      <c r="J136">
        <v>0</v>
      </c>
      <c r="K136">
        <v>0</v>
      </c>
      <c r="L136">
        <v>141</v>
      </c>
      <c r="M136">
        <v>139</v>
      </c>
      <c r="N136">
        <v>0</v>
      </c>
      <c r="O136">
        <v>666</v>
      </c>
    </row>
    <row r="137" spans="1:15" x14ac:dyDescent="0.2">
      <c r="A137" t="s">
        <v>88</v>
      </c>
      <c r="B137" t="s">
        <v>37</v>
      </c>
      <c r="C137" t="s">
        <v>17</v>
      </c>
      <c r="D137" t="s">
        <v>75</v>
      </c>
      <c r="E137" t="s">
        <v>177</v>
      </c>
      <c r="F137">
        <v>3</v>
      </c>
      <c r="G137" t="s">
        <v>126</v>
      </c>
      <c r="H137" t="s">
        <v>20</v>
      </c>
      <c r="I137">
        <v>46</v>
      </c>
      <c r="J137">
        <v>15</v>
      </c>
      <c r="K137">
        <v>0</v>
      </c>
      <c r="L137">
        <v>135</v>
      </c>
      <c r="M137">
        <v>133</v>
      </c>
      <c r="N137">
        <v>0</v>
      </c>
      <c r="O137">
        <v>662</v>
      </c>
    </row>
    <row r="138" spans="1:15" x14ac:dyDescent="0.2">
      <c r="A138" t="s">
        <v>88</v>
      </c>
      <c r="B138" t="s">
        <v>37</v>
      </c>
      <c r="C138" t="s">
        <v>17</v>
      </c>
      <c r="D138" t="s">
        <v>75</v>
      </c>
      <c r="E138" t="s">
        <v>177</v>
      </c>
      <c r="F138">
        <v>3</v>
      </c>
      <c r="G138" t="s">
        <v>126</v>
      </c>
      <c r="H138" t="s">
        <v>21</v>
      </c>
      <c r="I138">
        <v>36</v>
      </c>
      <c r="J138">
        <v>27</v>
      </c>
      <c r="K138">
        <v>0</v>
      </c>
      <c r="L138">
        <v>135</v>
      </c>
      <c r="M138">
        <v>133</v>
      </c>
      <c r="N138">
        <v>0</v>
      </c>
      <c r="O138">
        <v>662</v>
      </c>
    </row>
    <row r="139" spans="1:15" x14ac:dyDescent="0.2">
      <c r="A139" t="s">
        <v>88</v>
      </c>
      <c r="B139" t="s">
        <v>37</v>
      </c>
      <c r="C139" t="s">
        <v>17</v>
      </c>
      <c r="D139" t="s">
        <v>75</v>
      </c>
      <c r="E139" t="s">
        <v>177</v>
      </c>
      <c r="F139">
        <v>3</v>
      </c>
      <c r="G139" t="s">
        <v>126</v>
      </c>
      <c r="H139" t="s">
        <v>22</v>
      </c>
      <c r="I139">
        <v>12</v>
      </c>
      <c r="J139">
        <v>15</v>
      </c>
      <c r="K139">
        <v>0</v>
      </c>
      <c r="L139">
        <v>135</v>
      </c>
      <c r="M139">
        <v>133</v>
      </c>
      <c r="N139">
        <v>0</v>
      </c>
      <c r="O139">
        <v>662</v>
      </c>
    </row>
    <row r="140" spans="1:15" x14ac:dyDescent="0.2">
      <c r="A140" t="s">
        <v>88</v>
      </c>
      <c r="B140" t="s">
        <v>37</v>
      </c>
      <c r="C140" t="s">
        <v>17</v>
      </c>
      <c r="D140" t="s">
        <v>75</v>
      </c>
      <c r="E140" t="s">
        <v>177</v>
      </c>
      <c r="F140">
        <v>3</v>
      </c>
      <c r="G140" t="s">
        <v>126</v>
      </c>
      <c r="H140" t="s">
        <v>23</v>
      </c>
      <c r="I140">
        <v>41</v>
      </c>
      <c r="J140">
        <v>76</v>
      </c>
      <c r="K140">
        <v>0</v>
      </c>
      <c r="L140">
        <v>135</v>
      </c>
      <c r="M140">
        <v>133</v>
      </c>
      <c r="N140">
        <v>0</v>
      </c>
      <c r="O140">
        <v>662</v>
      </c>
    </row>
    <row r="141" spans="1:15" x14ac:dyDescent="0.2">
      <c r="A141" t="s">
        <v>88</v>
      </c>
      <c r="B141" t="s">
        <v>37</v>
      </c>
      <c r="C141" t="s">
        <v>17</v>
      </c>
      <c r="D141" t="s">
        <v>75</v>
      </c>
      <c r="E141" t="s">
        <v>177</v>
      </c>
      <c r="F141">
        <v>3</v>
      </c>
      <c r="G141" t="s">
        <v>126</v>
      </c>
      <c r="H141" t="s">
        <v>24</v>
      </c>
      <c r="I141">
        <v>0</v>
      </c>
      <c r="J141">
        <v>0</v>
      </c>
      <c r="K141">
        <v>0</v>
      </c>
      <c r="L141">
        <v>135</v>
      </c>
      <c r="M141">
        <v>133</v>
      </c>
      <c r="N141">
        <v>0</v>
      </c>
      <c r="O141">
        <v>662</v>
      </c>
    </row>
    <row r="142" spans="1:15" x14ac:dyDescent="0.2">
      <c r="A142" t="s">
        <v>124</v>
      </c>
      <c r="B142" t="s">
        <v>37</v>
      </c>
      <c r="C142" t="s">
        <v>17</v>
      </c>
      <c r="D142" t="s">
        <v>75</v>
      </c>
      <c r="E142" t="s">
        <v>118</v>
      </c>
      <c r="F142">
        <v>3</v>
      </c>
      <c r="G142" t="s">
        <v>19</v>
      </c>
      <c r="H142" t="s">
        <v>20</v>
      </c>
      <c r="I142">
        <v>85</v>
      </c>
      <c r="J142">
        <v>9</v>
      </c>
      <c r="K142">
        <v>0</v>
      </c>
      <c r="L142">
        <v>109</v>
      </c>
      <c r="M142">
        <v>34</v>
      </c>
      <c r="N142">
        <v>0</v>
      </c>
      <c r="O142">
        <v>196</v>
      </c>
    </row>
    <row r="143" spans="1:15" x14ac:dyDescent="0.2">
      <c r="A143" t="s">
        <v>124</v>
      </c>
      <c r="B143" t="s">
        <v>37</v>
      </c>
      <c r="C143" t="s">
        <v>17</v>
      </c>
      <c r="D143" t="s">
        <v>75</v>
      </c>
      <c r="E143" t="s">
        <v>118</v>
      </c>
      <c r="F143">
        <v>3</v>
      </c>
      <c r="G143" t="s">
        <v>19</v>
      </c>
      <c r="H143" t="s">
        <v>21</v>
      </c>
      <c r="I143">
        <v>17</v>
      </c>
      <c r="J143">
        <v>8</v>
      </c>
      <c r="K143">
        <v>0</v>
      </c>
      <c r="L143">
        <v>109</v>
      </c>
      <c r="M143">
        <v>34</v>
      </c>
      <c r="N143">
        <v>0</v>
      </c>
      <c r="O143">
        <v>196</v>
      </c>
    </row>
    <row r="144" spans="1:15" x14ac:dyDescent="0.2">
      <c r="A144" t="s">
        <v>124</v>
      </c>
      <c r="B144" t="s">
        <v>37</v>
      </c>
      <c r="C144" t="s">
        <v>17</v>
      </c>
      <c r="D144" t="s">
        <v>75</v>
      </c>
      <c r="E144" t="s">
        <v>118</v>
      </c>
      <c r="F144">
        <v>3</v>
      </c>
      <c r="G144" t="s">
        <v>19</v>
      </c>
      <c r="H144" t="s">
        <v>22</v>
      </c>
      <c r="I144">
        <v>4</v>
      </c>
      <c r="J144">
        <v>3</v>
      </c>
      <c r="K144">
        <v>0</v>
      </c>
      <c r="L144">
        <v>109</v>
      </c>
      <c r="M144">
        <v>34</v>
      </c>
      <c r="N144">
        <v>0</v>
      </c>
      <c r="O144">
        <v>196</v>
      </c>
    </row>
    <row r="145" spans="1:15" x14ac:dyDescent="0.2">
      <c r="A145" t="s">
        <v>124</v>
      </c>
      <c r="B145" t="s">
        <v>37</v>
      </c>
      <c r="C145" t="s">
        <v>17</v>
      </c>
      <c r="D145" t="s">
        <v>75</v>
      </c>
      <c r="E145" t="s">
        <v>118</v>
      </c>
      <c r="F145">
        <v>3</v>
      </c>
      <c r="G145" t="s">
        <v>19</v>
      </c>
      <c r="H145" t="s">
        <v>23</v>
      </c>
      <c r="I145">
        <v>3</v>
      </c>
      <c r="J145">
        <v>14</v>
      </c>
      <c r="K145">
        <v>0</v>
      </c>
      <c r="L145">
        <v>109</v>
      </c>
      <c r="M145">
        <v>34</v>
      </c>
      <c r="N145">
        <v>0</v>
      </c>
      <c r="O145">
        <v>196</v>
      </c>
    </row>
    <row r="146" spans="1:15" x14ac:dyDescent="0.2">
      <c r="A146" t="s">
        <v>124</v>
      </c>
      <c r="B146" t="s">
        <v>37</v>
      </c>
      <c r="C146" t="s">
        <v>17</v>
      </c>
      <c r="D146" t="s">
        <v>75</v>
      </c>
      <c r="E146" t="s">
        <v>118</v>
      </c>
      <c r="F146">
        <v>3</v>
      </c>
      <c r="G146" t="s">
        <v>19</v>
      </c>
      <c r="H146" t="s">
        <v>24</v>
      </c>
      <c r="I146">
        <v>0</v>
      </c>
      <c r="J146">
        <v>0</v>
      </c>
      <c r="K146">
        <v>0</v>
      </c>
      <c r="L146">
        <v>109</v>
      </c>
      <c r="M146">
        <v>34</v>
      </c>
      <c r="N146">
        <v>0</v>
      </c>
      <c r="O146">
        <v>196</v>
      </c>
    </row>
    <row r="147" spans="1:15" x14ac:dyDescent="0.2">
      <c r="A147" t="s">
        <v>124</v>
      </c>
      <c r="B147" t="s">
        <v>37</v>
      </c>
      <c r="C147" t="s">
        <v>17</v>
      </c>
      <c r="D147" t="s">
        <v>75</v>
      </c>
      <c r="E147" t="s">
        <v>176</v>
      </c>
      <c r="F147">
        <v>3</v>
      </c>
      <c r="G147" t="s">
        <v>130</v>
      </c>
      <c r="H147" t="s">
        <v>20</v>
      </c>
      <c r="I147">
        <v>166</v>
      </c>
      <c r="J147">
        <v>1</v>
      </c>
      <c r="K147">
        <v>0</v>
      </c>
      <c r="L147">
        <v>180</v>
      </c>
      <c r="M147">
        <v>18</v>
      </c>
      <c r="N147">
        <v>0</v>
      </c>
      <c r="O147">
        <v>191</v>
      </c>
    </row>
    <row r="148" spans="1:15" x14ac:dyDescent="0.2">
      <c r="A148" t="s">
        <v>124</v>
      </c>
      <c r="B148" t="s">
        <v>37</v>
      </c>
      <c r="C148" t="s">
        <v>17</v>
      </c>
      <c r="D148" t="s">
        <v>75</v>
      </c>
      <c r="E148" t="s">
        <v>176</v>
      </c>
      <c r="F148">
        <v>3</v>
      </c>
      <c r="G148" t="s">
        <v>130</v>
      </c>
      <c r="H148" t="s">
        <v>21</v>
      </c>
      <c r="I148">
        <v>8</v>
      </c>
      <c r="J148">
        <v>6</v>
      </c>
      <c r="K148">
        <v>0</v>
      </c>
      <c r="L148">
        <v>180</v>
      </c>
      <c r="M148">
        <v>18</v>
      </c>
      <c r="N148">
        <v>0</v>
      </c>
      <c r="O148">
        <v>191</v>
      </c>
    </row>
    <row r="149" spans="1:15" x14ac:dyDescent="0.2">
      <c r="A149" t="s">
        <v>124</v>
      </c>
      <c r="B149" t="s">
        <v>37</v>
      </c>
      <c r="C149" t="s">
        <v>17</v>
      </c>
      <c r="D149" t="s">
        <v>75</v>
      </c>
      <c r="E149" t="s">
        <v>176</v>
      </c>
      <c r="F149">
        <v>3</v>
      </c>
      <c r="G149" t="s">
        <v>130</v>
      </c>
      <c r="H149" t="s">
        <v>22</v>
      </c>
      <c r="I149">
        <v>6</v>
      </c>
      <c r="J149">
        <v>0</v>
      </c>
      <c r="K149">
        <v>0</v>
      </c>
      <c r="L149">
        <v>180</v>
      </c>
      <c r="M149">
        <v>18</v>
      </c>
      <c r="N149">
        <v>0</v>
      </c>
      <c r="O149">
        <v>191</v>
      </c>
    </row>
    <row r="150" spans="1:15" x14ac:dyDescent="0.2">
      <c r="A150" t="s">
        <v>124</v>
      </c>
      <c r="B150" t="s">
        <v>37</v>
      </c>
      <c r="C150" t="s">
        <v>17</v>
      </c>
      <c r="D150" t="s">
        <v>75</v>
      </c>
      <c r="E150" t="s">
        <v>176</v>
      </c>
      <c r="F150">
        <v>3</v>
      </c>
      <c r="G150" t="s">
        <v>130</v>
      </c>
      <c r="H150" t="s">
        <v>23</v>
      </c>
      <c r="I150">
        <v>0</v>
      </c>
      <c r="J150">
        <v>11</v>
      </c>
      <c r="K150">
        <v>0</v>
      </c>
      <c r="L150">
        <v>180</v>
      </c>
      <c r="M150">
        <v>18</v>
      </c>
      <c r="N150">
        <v>0</v>
      </c>
      <c r="O150">
        <v>191</v>
      </c>
    </row>
    <row r="151" spans="1:15" x14ac:dyDescent="0.2">
      <c r="A151" t="s">
        <v>124</v>
      </c>
      <c r="B151" t="s">
        <v>37</v>
      </c>
      <c r="C151" t="s">
        <v>17</v>
      </c>
      <c r="D151" t="s">
        <v>75</v>
      </c>
      <c r="E151" t="s">
        <v>176</v>
      </c>
      <c r="F151">
        <v>3</v>
      </c>
      <c r="G151" t="s">
        <v>130</v>
      </c>
      <c r="H151" t="s">
        <v>24</v>
      </c>
      <c r="I151">
        <v>0</v>
      </c>
      <c r="J151">
        <v>0</v>
      </c>
      <c r="K151">
        <v>0</v>
      </c>
      <c r="L151">
        <v>180</v>
      </c>
      <c r="M151">
        <v>18</v>
      </c>
      <c r="N151">
        <v>0</v>
      </c>
      <c r="O151">
        <v>191</v>
      </c>
    </row>
    <row r="152" spans="1:15" x14ac:dyDescent="0.2">
      <c r="A152" t="s">
        <v>124</v>
      </c>
      <c r="B152" t="s">
        <v>37</v>
      </c>
      <c r="C152" t="s">
        <v>17</v>
      </c>
      <c r="D152" t="s">
        <v>75</v>
      </c>
      <c r="E152" t="s">
        <v>175</v>
      </c>
      <c r="F152">
        <v>3</v>
      </c>
      <c r="G152" t="s">
        <v>128</v>
      </c>
      <c r="H152" t="s">
        <v>20</v>
      </c>
      <c r="I152">
        <v>83</v>
      </c>
      <c r="J152">
        <v>5</v>
      </c>
      <c r="K152">
        <v>0</v>
      </c>
      <c r="L152">
        <v>136</v>
      </c>
      <c r="M152">
        <v>14</v>
      </c>
      <c r="N152">
        <v>0</v>
      </c>
      <c r="O152">
        <v>190</v>
      </c>
    </row>
    <row r="153" spans="1:15" x14ac:dyDescent="0.2">
      <c r="A153" t="s">
        <v>124</v>
      </c>
      <c r="B153" t="s">
        <v>37</v>
      </c>
      <c r="C153" t="s">
        <v>17</v>
      </c>
      <c r="D153" t="s">
        <v>75</v>
      </c>
      <c r="E153" t="s">
        <v>175</v>
      </c>
      <c r="F153">
        <v>3</v>
      </c>
      <c r="G153" t="s">
        <v>128</v>
      </c>
      <c r="H153" t="s">
        <v>21</v>
      </c>
      <c r="I153">
        <v>38</v>
      </c>
      <c r="J153">
        <v>5</v>
      </c>
      <c r="K153">
        <v>0</v>
      </c>
      <c r="L153">
        <v>136</v>
      </c>
      <c r="M153">
        <v>14</v>
      </c>
      <c r="N153">
        <v>0</v>
      </c>
      <c r="O153">
        <v>190</v>
      </c>
    </row>
    <row r="154" spans="1:15" x14ac:dyDescent="0.2">
      <c r="A154" t="s">
        <v>124</v>
      </c>
      <c r="B154" t="s">
        <v>37</v>
      </c>
      <c r="C154" t="s">
        <v>17</v>
      </c>
      <c r="D154" t="s">
        <v>75</v>
      </c>
      <c r="E154" t="s">
        <v>175</v>
      </c>
      <c r="F154">
        <v>3</v>
      </c>
      <c r="G154" t="s">
        <v>128</v>
      </c>
      <c r="H154" t="s">
        <v>22</v>
      </c>
      <c r="I154">
        <v>9</v>
      </c>
      <c r="J154">
        <v>2</v>
      </c>
      <c r="K154">
        <v>0</v>
      </c>
      <c r="L154">
        <v>136</v>
      </c>
      <c r="M154">
        <v>14</v>
      </c>
      <c r="N154">
        <v>0</v>
      </c>
      <c r="O154">
        <v>190</v>
      </c>
    </row>
    <row r="155" spans="1:15" x14ac:dyDescent="0.2">
      <c r="A155" t="s">
        <v>124</v>
      </c>
      <c r="B155" t="s">
        <v>37</v>
      </c>
      <c r="C155" t="s">
        <v>17</v>
      </c>
      <c r="D155" t="s">
        <v>75</v>
      </c>
      <c r="E155" t="s">
        <v>175</v>
      </c>
      <c r="F155">
        <v>3</v>
      </c>
      <c r="G155" t="s">
        <v>128</v>
      </c>
      <c r="H155" t="s">
        <v>23</v>
      </c>
      <c r="I155">
        <v>6</v>
      </c>
      <c r="J155">
        <v>2</v>
      </c>
      <c r="K155">
        <v>0</v>
      </c>
      <c r="L155">
        <v>136</v>
      </c>
      <c r="M155">
        <v>14</v>
      </c>
      <c r="N155">
        <v>0</v>
      </c>
      <c r="O155">
        <v>190</v>
      </c>
    </row>
    <row r="156" spans="1:15" x14ac:dyDescent="0.2">
      <c r="A156" t="s">
        <v>124</v>
      </c>
      <c r="B156" t="s">
        <v>37</v>
      </c>
      <c r="C156" t="s">
        <v>17</v>
      </c>
      <c r="D156" t="s">
        <v>75</v>
      </c>
      <c r="E156" t="s">
        <v>175</v>
      </c>
      <c r="F156">
        <v>3</v>
      </c>
      <c r="G156" t="s">
        <v>128</v>
      </c>
      <c r="H156" t="s">
        <v>24</v>
      </c>
      <c r="I156">
        <v>0</v>
      </c>
      <c r="J156">
        <v>0</v>
      </c>
      <c r="K156">
        <v>0</v>
      </c>
      <c r="L156">
        <v>136</v>
      </c>
      <c r="M156">
        <v>14</v>
      </c>
      <c r="N156">
        <v>0</v>
      </c>
      <c r="O156">
        <v>190</v>
      </c>
    </row>
    <row r="157" spans="1:15" x14ac:dyDescent="0.2">
      <c r="A157" t="s">
        <v>124</v>
      </c>
      <c r="B157" t="s">
        <v>37</v>
      </c>
      <c r="C157" t="s">
        <v>17</v>
      </c>
      <c r="D157" t="s">
        <v>75</v>
      </c>
      <c r="E157" t="s">
        <v>174</v>
      </c>
      <c r="F157">
        <v>3</v>
      </c>
      <c r="G157" t="s">
        <v>126</v>
      </c>
      <c r="H157" t="s">
        <v>20</v>
      </c>
      <c r="I157">
        <v>54</v>
      </c>
      <c r="J157">
        <v>0</v>
      </c>
      <c r="K157">
        <v>0</v>
      </c>
      <c r="L157">
        <v>127</v>
      </c>
      <c r="M157">
        <v>14</v>
      </c>
      <c r="N157">
        <v>0</v>
      </c>
      <c r="O157">
        <v>189</v>
      </c>
    </row>
    <row r="158" spans="1:15" x14ac:dyDescent="0.2">
      <c r="A158" t="s">
        <v>124</v>
      </c>
      <c r="B158" t="s">
        <v>37</v>
      </c>
      <c r="C158" t="s">
        <v>17</v>
      </c>
      <c r="D158" t="s">
        <v>75</v>
      </c>
      <c r="E158" t="s">
        <v>174</v>
      </c>
      <c r="F158">
        <v>3</v>
      </c>
      <c r="G158" t="s">
        <v>126</v>
      </c>
      <c r="H158" t="s">
        <v>21</v>
      </c>
      <c r="I158">
        <v>46</v>
      </c>
      <c r="J158">
        <v>6</v>
      </c>
      <c r="K158">
        <v>0</v>
      </c>
      <c r="L158">
        <v>127</v>
      </c>
      <c r="M158">
        <v>14</v>
      </c>
      <c r="N158">
        <v>0</v>
      </c>
      <c r="O158">
        <v>189</v>
      </c>
    </row>
    <row r="159" spans="1:15" x14ac:dyDescent="0.2">
      <c r="A159" t="s">
        <v>124</v>
      </c>
      <c r="B159" t="s">
        <v>37</v>
      </c>
      <c r="C159" t="s">
        <v>17</v>
      </c>
      <c r="D159" t="s">
        <v>75</v>
      </c>
      <c r="E159" t="s">
        <v>174</v>
      </c>
      <c r="F159">
        <v>3</v>
      </c>
      <c r="G159" t="s">
        <v>126</v>
      </c>
      <c r="H159" t="s">
        <v>22</v>
      </c>
      <c r="I159">
        <v>6</v>
      </c>
      <c r="J159">
        <v>1</v>
      </c>
      <c r="K159">
        <v>0</v>
      </c>
      <c r="L159">
        <v>127</v>
      </c>
      <c r="M159">
        <v>14</v>
      </c>
      <c r="N159">
        <v>0</v>
      </c>
      <c r="O159">
        <v>189</v>
      </c>
    </row>
    <row r="160" spans="1:15" x14ac:dyDescent="0.2">
      <c r="A160" t="s">
        <v>124</v>
      </c>
      <c r="B160" t="s">
        <v>37</v>
      </c>
      <c r="C160" t="s">
        <v>17</v>
      </c>
      <c r="D160" t="s">
        <v>75</v>
      </c>
      <c r="E160" t="s">
        <v>174</v>
      </c>
      <c r="F160">
        <v>3</v>
      </c>
      <c r="G160" t="s">
        <v>126</v>
      </c>
      <c r="H160" t="s">
        <v>23</v>
      </c>
      <c r="I160">
        <v>21</v>
      </c>
      <c r="J160">
        <v>6</v>
      </c>
      <c r="K160">
        <v>0</v>
      </c>
      <c r="L160">
        <v>127</v>
      </c>
      <c r="M160">
        <v>14</v>
      </c>
      <c r="N160">
        <v>0</v>
      </c>
      <c r="O160">
        <v>189</v>
      </c>
    </row>
    <row r="161" spans="1:15" x14ac:dyDescent="0.2">
      <c r="A161" t="s">
        <v>124</v>
      </c>
      <c r="B161" t="s">
        <v>37</v>
      </c>
      <c r="C161" t="s">
        <v>17</v>
      </c>
      <c r="D161" t="s">
        <v>75</v>
      </c>
      <c r="E161" t="s">
        <v>174</v>
      </c>
      <c r="F161">
        <v>3</v>
      </c>
      <c r="G161" t="s">
        <v>126</v>
      </c>
      <c r="H161" t="s">
        <v>24</v>
      </c>
      <c r="I161">
        <v>0</v>
      </c>
      <c r="J161">
        <v>1</v>
      </c>
      <c r="K161">
        <v>0</v>
      </c>
      <c r="L161">
        <v>127</v>
      </c>
      <c r="M161">
        <v>14</v>
      </c>
      <c r="N161">
        <v>0</v>
      </c>
      <c r="O161">
        <v>189</v>
      </c>
    </row>
    <row r="162" spans="1:15" x14ac:dyDescent="0.2">
      <c r="A162" t="s">
        <v>113</v>
      </c>
      <c r="B162" t="s">
        <v>45</v>
      </c>
      <c r="C162" t="s">
        <v>17</v>
      </c>
      <c r="D162" t="s">
        <v>75</v>
      </c>
      <c r="E162" t="s">
        <v>106</v>
      </c>
      <c r="F162">
        <v>3</v>
      </c>
      <c r="G162" t="s">
        <v>19</v>
      </c>
      <c r="H162" t="s">
        <v>20</v>
      </c>
      <c r="I162">
        <v>54</v>
      </c>
      <c r="J162">
        <v>82</v>
      </c>
      <c r="K162">
        <v>0</v>
      </c>
      <c r="L162">
        <v>162</v>
      </c>
      <c r="M162">
        <v>209</v>
      </c>
      <c r="N162">
        <v>0</v>
      </c>
      <c r="O162">
        <v>869</v>
      </c>
    </row>
    <row r="163" spans="1:15" x14ac:dyDescent="0.2">
      <c r="A163" t="s">
        <v>113</v>
      </c>
      <c r="B163" t="s">
        <v>45</v>
      </c>
      <c r="C163" t="s">
        <v>17</v>
      </c>
      <c r="D163" t="s">
        <v>75</v>
      </c>
      <c r="E163" t="s">
        <v>106</v>
      </c>
      <c r="F163">
        <v>3</v>
      </c>
      <c r="G163" t="s">
        <v>19</v>
      </c>
      <c r="H163" t="s">
        <v>21</v>
      </c>
      <c r="I163">
        <v>54</v>
      </c>
      <c r="J163">
        <v>72</v>
      </c>
      <c r="K163">
        <v>0</v>
      </c>
      <c r="L163">
        <v>162</v>
      </c>
      <c r="M163">
        <v>209</v>
      </c>
      <c r="N163">
        <v>0</v>
      </c>
      <c r="O163">
        <v>869</v>
      </c>
    </row>
    <row r="164" spans="1:15" x14ac:dyDescent="0.2">
      <c r="A164" t="s">
        <v>113</v>
      </c>
      <c r="B164" t="s">
        <v>45</v>
      </c>
      <c r="C164" t="s">
        <v>17</v>
      </c>
      <c r="D164" t="s">
        <v>75</v>
      </c>
      <c r="E164" t="s">
        <v>106</v>
      </c>
      <c r="F164">
        <v>3</v>
      </c>
      <c r="G164" t="s">
        <v>19</v>
      </c>
      <c r="H164" t="s">
        <v>22</v>
      </c>
      <c r="I164">
        <v>24</v>
      </c>
      <c r="J164">
        <v>40</v>
      </c>
      <c r="K164">
        <v>0</v>
      </c>
      <c r="L164">
        <v>162</v>
      </c>
      <c r="M164">
        <v>209</v>
      </c>
      <c r="N164">
        <v>0</v>
      </c>
      <c r="O164">
        <v>869</v>
      </c>
    </row>
    <row r="165" spans="1:15" x14ac:dyDescent="0.2">
      <c r="A165" t="s">
        <v>113</v>
      </c>
      <c r="B165" t="s">
        <v>45</v>
      </c>
      <c r="C165" t="s">
        <v>17</v>
      </c>
      <c r="D165" t="s">
        <v>75</v>
      </c>
      <c r="E165" t="s">
        <v>106</v>
      </c>
      <c r="F165">
        <v>3</v>
      </c>
      <c r="G165" t="s">
        <v>19</v>
      </c>
      <c r="H165" t="s">
        <v>23</v>
      </c>
      <c r="I165">
        <v>30</v>
      </c>
      <c r="J165">
        <v>15</v>
      </c>
      <c r="K165">
        <v>0</v>
      </c>
      <c r="L165">
        <v>162</v>
      </c>
      <c r="M165">
        <v>209</v>
      </c>
      <c r="N165">
        <v>0</v>
      </c>
      <c r="O165">
        <v>869</v>
      </c>
    </row>
    <row r="166" spans="1:15" x14ac:dyDescent="0.2">
      <c r="A166" t="s">
        <v>113</v>
      </c>
      <c r="B166" t="s">
        <v>45</v>
      </c>
      <c r="C166" t="s">
        <v>17</v>
      </c>
      <c r="D166" t="s">
        <v>75</v>
      </c>
      <c r="E166" t="s">
        <v>106</v>
      </c>
      <c r="F166">
        <v>3</v>
      </c>
      <c r="G166" t="s">
        <v>19</v>
      </c>
      <c r="H166" t="s">
        <v>24</v>
      </c>
      <c r="I166">
        <v>0</v>
      </c>
      <c r="J166">
        <v>0</v>
      </c>
      <c r="K166">
        <v>0</v>
      </c>
      <c r="L166">
        <v>162</v>
      </c>
      <c r="M166">
        <v>209</v>
      </c>
      <c r="N166">
        <v>0</v>
      </c>
      <c r="O166">
        <v>869</v>
      </c>
    </row>
    <row r="167" spans="1:15" x14ac:dyDescent="0.2">
      <c r="A167" t="s">
        <v>113</v>
      </c>
      <c r="B167" t="s">
        <v>45</v>
      </c>
      <c r="C167" t="s">
        <v>17</v>
      </c>
      <c r="D167" t="s">
        <v>75</v>
      </c>
      <c r="E167" t="s">
        <v>185</v>
      </c>
      <c r="F167">
        <v>3</v>
      </c>
      <c r="G167" t="s">
        <v>130</v>
      </c>
      <c r="H167" t="s">
        <v>20</v>
      </c>
      <c r="I167">
        <v>58</v>
      </c>
      <c r="J167">
        <v>189</v>
      </c>
      <c r="K167">
        <v>0</v>
      </c>
      <c r="L167">
        <v>107</v>
      </c>
      <c r="M167">
        <v>333</v>
      </c>
      <c r="N167">
        <v>0</v>
      </c>
      <c r="O167">
        <v>704</v>
      </c>
    </row>
    <row r="168" spans="1:15" x14ac:dyDescent="0.2">
      <c r="A168" t="s">
        <v>113</v>
      </c>
      <c r="B168" t="s">
        <v>45</v>
      </c>
      <c r="C168" t="s">
        <v>17</v>
      </c>
      <c r="D168" t="s">
        <v>75</v>
      </c>
      <c r="E168" t="s">
        <v>185</v>
      </c>
      <c r="F168">
        <v>3</v>
      </c>
      <c r="G168" t="s">
        <v>130</v>
      </c>
      <c r="H168" t="s">
        <v>21</v>
      </c>
      <c r="I168">
        <v>19</v>
      </c>
      <c r="J168">
        <v>84</v>
      </c>
      <c r="K168">
        <v>0</v>
      </c>
      <c r="L168">
        <v>107</v>
      </c>
      <c r="M168">
        <v>333</v>
      </c>
      <c r="N168">
        <v>0</v>
      </c>
      <c r="O168">
        <v>704</v>
      </c>
    </row>
    <row r="169" spans="1:15" x14ac:dyDescent="0.2">
      <c r="A169" t="s">
        <v>113</v>
      </c>
      <c r="B169" t="s">
        <v>45</v>
      </c>
      <c r="C169" t="s">
        <v>17</v>
      </c>
      <c r="D169" t="s">
        <v>75</v>
      </c>
      <c r="E169" t="s">
        <v>185</v>
      </c>
      <c r="F169">
        <v>3</v>
      </c>
      <c r="G169" t="s">
        <v>130</v>
      </c>
      <c r="H169" t="s">
        <v>22</v>
      </c>
      <c r="I169">
        <v>24</v>
      </c>
      <c r="J169">
        <v>39</v>
      </c>
      <c r="K169">
        <v>0</v>
      </c>
      <c r="L169">
        <v>107</v>
      </c>
      <c r="M169">
        <v>333</v>
      </c>
      <c r="N169">
        <v>0</v>
      </c>
      <c r="O169">
        <v>704</v>
      </c>
    </row>
    <row r="170" spans="1:15" x14ac:dyDescent="0.2">
      <c r="A170" t="s">
        <v>113</v>
      </c>
      <c r="B170" t="s">
        <v>45</v>
      </c>
      <c r="C170" t="s">
        <v>17</v>
      </c>
      <c r="D170" t="s">
        <v>75</v>
      </c>
      <c r="E170" t="s">
        <v>185</v>
      </c>
      <c r="F170">
        <v>3</v>
      </c>
      <c r="G170" t="s">
        <v>130</v>
      </c>
      <c r="H170" t="s">
        <v>23</v>
      </c>
      <c r="I170">
        <v>6</v>
      </c>
      <c r="J170">
        <v>21</v>
      </c>
      <c r="K170">
        <v>0</v>
      </c>
      <c r="L170">
        <v>107</v>
      </c>
      <c r="M170">
        <v>333</v>
      </c>
      <c r="N170">
        <v>0</v>
      </c>
      <c r="O170">
        <v>704</v>
      </c>
    </row>
    <row r="171" spans="1:15" x14ac:dyDescent="0.2">
      <c r="A171" t="s">
        <v>113</v>
      </c>
      <c r="B171" t="s">
        <v>45</v>
      </c>
      <c r="C171" t="s">
        <v>17</v>
      </c>
      <c r="D171" t="s">
        <v>75</v>
      </c>
      <c r="E171" t="s">
        <v>185</v>
      </c>
      <c r="F171">
        <v>3</v>
      </c>
      <c r="G171" t="s">
        <v>130</v>
      </c>
      <c r="H171" t="s">
        <v>24</v>
      </c>
      <c r="I171">
        <v>0</v>
      </c>
      <c r="J171">
        <v>0</v>
      </c>
      <c r="K171">
        <v>0</v>
      </c>
      <c r="L171">
        <v>107</v>
      </c>
      <c r="M171">
        <v>333</v>
      </c>
      <c r="N171">
        <v>0</v>
      </c>
      <c r="O171">
        <v>704</v>
      </c>
    </row>
    <row r="172" spans="1:15" x14ac:dyDescent="0.2">
      <c r="A172" t="s">
        <v>113</v>
      </c>
      <c r="B172" t="s">
        <v>45</v>
      </c>
      <c r="C172" t="s">
        <v>17</v>
      </c>
      <c r="D172" t="s">
        <v>75</v>
      </c>
      <c r="E172" t="s">
        <v>184</v>
      </c>
      <c r="F172">
        <v>3</v>
      </c>
      <c r="G172" t="s">
        <v>128</v>
      </c>
      <c r="H172" t="s">
        <v>20</v>
      </c>
      <c r="I172">
        <v>16</v>
      </c>
      <c r="J172">
        <v>93</v>
      </c>
      <c r="K172">
        <v>0</v>
      </c>
      <c r="L172">
        <v>101</v>
      </c>
      <c r="M172">
        <v>232</v>
      </c>
      <c r="N172">
        <v>0</v>
      </c>
      <c r="O172">
        <v>657</v>
      </c>
    </row>
    <row r="173" spans="1:15" x14ac:dyDescent="0.2">
      <c r="A173" t="s">
        <v>113</v>
      </c>
      <c r="B173" t="s">
        <v>45</v>
      </c>
      <c r="C173" t="s">
        <v>17</v>
      </c>
      <c r="D173" t="s">
        <v>75</v>
      </c>
      <c r="E173" t="s">
        <v>184</v>
      </c>
      <c r="F173">
        <v>3</v>
      </c>
      <c r="G173" t="s">
        <v>128</v>
      </c>
      <c r="H173" t="s">
        <v>21</v>
      </c>
      <c r="I173">
        <v>42</v>
      </c>
      <c r="J173">
        <v>82</v>
      </c>
      <c r="K173">
        <v>0</v>
      </c>
      <c r="L173">
        <v>101</v>
      </c>
      <c r="M173">
        <v>232</v>
      </c>
      <c r="N173">
        <v>0</v>
      </c>
      <c r="O173">
        <v>657</v>
      </c>
    </row>
    <row r="174" spans="1:15" x14ac:dyDescent="0.2">
      <c r="A174" t="s">
        <v>113</v>
      </c>
      <c r="B174" t="s">
        <v>45</v>
      </c>
      <c r="C174" t="s">
        <v>17</v>
      </c>
      <c r="D174" t="s">
        <v>75</v>
      </c>
      <c r="E174" t="s">
        <v>184</v>
      </c>
      <c r="F174">
        <v>3</v>
      </c>
      <c r="G174" t="s">
        <v>128</v>
      </c>
      <c r="H174" t="s">
        <v>22</v>
      </c>
      <c r="I174">
        <v>20</v>
      </c>
      <c r="J174">
        <v>34</v>
      </c>
      <c r="K174">
        <v>0</v>
      </c>
      <c r="L174">
        <v>101</v>
      </c>
      <c r="M174">
        <v>232</v>
      </c>
      <c r="N174">
        <v>0</v>
      </c>
      <c r="O174">
        <v>657</v>
      </c>
    </row>
    <row r="175" spans="1:15" x14ac:dyDescent="0.2">
      <c r="A175" t="s">
        <v>113</v>
      </c>
      <c r="B175" t="s">
        <v>45</v>
      </c>
      <c r="C175" t="s">
        <v>17</v>
      </c>
      <c r="D175" t="s">
        <v>75</v>
      </c>
      <c r="E175" t="s">
        <v>184</v>
      </c>
      <c r="F175">
        <v>3</v>
      </c>
      <c r="G175" t="s">
        <v>128</v>
      </c>
      <c r="H175" t="s">
        <v>23</v>
      </c>
      <c r="I175">
        <v>23</v>
      </c>
      <c r="J175">
        <v>23</v>
      </c>
      <c r="K175">
        <v>0</v>
      </c>
      <c r="L175">
        <v>101</v>
      </c>
      <c r="M175">
        <v>232</v>
      </c>
      <c r="N175">
        <v>0</v>
      </c>
      <c r="O175">
        <v>657</v>
      </c>
    </row>
    <row r="176" spans="1:15" x14ac:dyDescent="0.2">
      <c r="A176" t="s">
        <v>113</v>
      </c>
      <c r="B176" t="s">
        <v>45</v>
      </c>
      <c r="C176" t="s">
        <v>17</v>
      </c>
      <c r="D176" t="s">
        <v>75</v>
      </c>
      <c r="E176" t="s">
        <v>184</v>
      </c>
      <c r="F176">
        <v>3</v>
      </c>
      <c r="G176" t="s">
        <v>128</v>
      </c>
      <c r="H176" t="s">
        <v>24</v>
      </c>
      <c r="I176">
        <v>0</v>
      </c>
      <c r="J176">
        <v>0</v>
      </c>
      <c r="K176">
        <v>0</v>
      </c>
      <c r="L176">
        <v>101</v>
      </c>
      <c r="M176">
        <v>232</v>
      </c>
      <c r="N176">
        <v>0</v>
      </c>
      <c r="O176">
        <v>657</v>
      </c>
    </row>
    <row r="177" spans="1:15" x14ac:dyDescent="0.2">
      <c r="A177" t="s">
        <v>113</v>
      </c>
      <c r="B177" t="s">
        <v>45</v>
      </c>
      <c r="C177" t="s">
        <v>17</v>
      </c>
      <c r="D177" t="s">
        <v>75</v>
      </c>
      <c r="E177" t="s">
        <v>183</v>
      </c>
      <c r="F177">
        <v>3</v>
      </c>
      <c r="G177" t="s">
        <v>126</v>
      </c>
      <c r="H177" t="s">
        <v>20</v>
      </c>
      <c r="I177">
        <v>11</v>
      </c>
      <c r="J177">
        <v>81</v>
      </c>
      <c r="K177">
        <v>0</v>
      </c>
      <c r="L177">
        <v>88</v>
      </c>
      <c r="M177">
        <v>265</v>
      </c>
      <c r="N177">
        <v>0</v>
      </c>
      <c r="O177">
        <v>631</v>
      </c>
    </row>
    <row r="178" spans="1:15" x14ac:dyDescent="0.2">
      <c r="A178" t="s">
        <v>113</v>
      </c>
      <c r="B178" t="s">
        <v>45</v>
      </c>
      <c r="C178" t="s">
        <v>17</v>
      </c>
      <c r="D178" t="s">
        <v>75</v>
      </c>
      <c r="E178" t="s">
        <v>183</v>
      </c>
      <c r="F178">
        <v>3</v>
      </c>
      <c r="G178" t="s">
        <v>126</v>
      </c>
      <c r="H178" t="s">
        <v>21</v>
      </c>
      <c r="I178">
        <v>37</v>
      </c>
      <c r="J178">
        <v>74</v>
      </c>
      <c r="K178">
        <v>0</v>
      </c>
      <c r="L178">
        <v>88</v>
      </c>
      <c r="M178">
        <v>265</v>
      </c>
      <c r="N178">
        <v>0</v>
      </c>
      <c r="O178">
        <v>631</v>
      </c>
    </row>
    <row r="179" spans="1:15" x14ac:dyDescent="0.2">
      <c r="A179" t="s">
        <v>113</v>
      </c>
      <c r="B179" t="s">
        <v>45</v>
      </c>
      <c r="C179" t="s">
        <v>17</v>
      </c>
      <c r="D179" t="s">
        <v>75</v>
      </c>
      <c r="E179" t="s">
        <v>183</v>
      </c>
      <c r="F179">
        <v>3</v>
      </c>
      <c r="G179" t="s">
        <v>126</v>
      </c>
      <c r="H179" t="s">
        <v>22</v>
      </c>
      <c r="I179">
        <v>10</v>
      </c>
      <c r="J179">
        <v>40</v>
      </c>
      <c r="K179">
        <v>0</v>
      </c>
      <c r="L179">
        <v>88</v>
      </c>
      <c r="M179">
        <v>265</v>
      </c>
      <c r="N179">
        <v>0</v>
      </c>
      <c r="O179">
        <v>631</v>
      </c>
    </row>
    <row r="180" spans="1:15" x14ac:dyDescent="0.2">
      <c r="A180" t="s">
        <v>113</v>
      </c>
      <c r="B180" t="s">
        <v>45</v>
      </c>
      <c r="C180" t="s">
        <v>17</v>
      </c>
      <c r="D180" t="s">
        <v>75</v>
      </c>
      <c r="E180" t="s">
        <v>183</v>
      </c>
      <c r="F180">
        <v>3</v>
      </c>
      <c r="G180" t="s">
        <v>126</v>
      </c>
      <c r="H180" t="s">
        <v>23</v>
      </c>
      <c r="I180">
        <v>30</v>
      </c>
      <c r="J180">
        <v>70</v>
      </c>
      <c r="K180">
        <v>0</v>
      </c>
      <c r="L180">
        <v>88</v>
      </c>
      <c r="M180">
        <v>265</v>
      </c>
      <c r="N180">
        <v>0</v>
      </c>
      <c r="O180">
        <v>631</v>
      </c>
    </row>
    <row r="181" spans="1:15" x14ac:dyDescent="0.2">
      <c r="A181" t="s">
        <v>113</v>
      </c>
      <c r="B181" t="s">
        <v>45</v>
      </c>
      <c r="C181" t="s">
        <v>17</v>
      </c>
      <c r="D181" t="s">
        <v>75</v>
      </c>
      <c r="E181" t="s">
        <v>183</v>
      </c>
      <c r="F181">
        <v>3</v>
      </c>
      <c r="G181" t="s">
        <v>126</v>
      </c>
      <c r="H181" t="s">
        <v>24</v>
      </c>
      <c r="I181">
        <v>0</v>
      </c>
      <c r="J181">
        <v>0</v>
      </c>
      <c r="K181">
        <v>0</v>
      </c>
      <c r="L181">
        <v>88</v>
      </c>
      <c r="M181">
        <v>265</v>
      </c>
      <c r="N181">
        <v>0</v>
      </c>
      <c r="O181">
        <v>631</v>
      </c>
    </row>
    <row r="182" spans="1:15" x14ac:dyDescent="0.2">
      <c r="A182" t="s">
        <v>101</v>
      </c>
      <c r="B182" t="s">
        <v>45</v>
      </c>
      <c r="C182" t="s">
        <v>17</v>
      </c>
      <c r="D182" t="s">
        <v>75</v>
      </c>
      <c r="E182" t="s">
        <v>94</v>
      </c>
      <c r="F182">
        <v>3</v>
      </c>
      <c r="G182" t="s">
        <v>19</v>
      </c>
      <c r="H182" t="s">
        <v>20</v>
      </c>
      <c r="I182">
        <v>6</v>
      </c>
      <c r="J182">
        <v>4</v>
      </c>
      <c r="K182">
        <v>0</v>
      </c>
      <c r="L182">
        <v>16</v>
      </c>
      <c r="M182">
        <v>27</v>
      </c>
      <c r="N182">
        <v>0</v>
      </c>
      <c r="O182">
        <v>730</v>
      </c>
    </row>
    <row r="183" spans="1:15" x14ac:dyDescent="0.2">
      <c r="A183" t="s">
        <v>101</v>
      </c>
      <c r="B183" t="s">
        <v>45</v>
      </c>
      <c r="C183" t="s">
        <v>17</v>
      </c>
      <c r="D183" t="s">
        <v>75</v>
      </c>
      <c r="E183" t="s">
        <v>94</v>
      </c>
      <c r="F183">
        <v>3</v>
      </c>
      <c r="G183" t="s">
        <v>19</v>
      </c>
      <c r="H183" t="s">
        <v>21</v>
      </c>
      <c r="I183">
        <v>0</v>
      </c>
      <c r="J183">
        <v>16</v>
      </c>
      <c r="K183">
        <v>0</v>
      </c>
      <c r="L183">
        <v>16</v>
      </c>
      <c r="M183">
        <v>27</v>
      </c>
      <c r="N183">
        <v>0</v>
      </c>
      <c r="O183">
        <v>730</v>
      </c>
    </row>
    <row r="184" spans="1:15" x14ac:dyDescent="0.2">
      <c r="A184" t="s">
        <v>101</v>
      </c>
      <c r="B184" t="s">
        <v>45</v>
      </c>
      <c r="C184" t="s">
        <v>17</v>
      </c>
      <c r="D184" t="s">
        <v>75</v>
      </c>
      <c r="E184" t="s">
        <v>94</v>
      </c>
      <c r="F184">
        <v>3</v>
      </c>
      <c r="G184" t="s">
        <v>19</v>
      </c>
      <c r="H184" t="s">
        <v>22</v>
      </c>
      <c r="I184">
        <v>7</v>
      </c>
      <c r="J184">
        <v>6</v>
      </c>
      <c r="K184">
        <v>0</v>
      </c>
      <c r="L184">
        <v>16</v>
      </c>
      <c r="M184">
        <v>27</v>
      </c>
      <c r="N184">
        <v>0</v>
      </c>
      <c r="O184">
        <v>730</v>
      </c>
    </row>
    <row r="185" spans="1:15" x14ac:dyDescent="0.2">
      <c r="A185" t="s">
        <v>101</v>
      </c>
      <c r="B185" t="s">
        <v>45</v>
      </c>
      <c r="C185" t="s">
        <v>17</v>
      </c>
      <c r="D185" t="s">
        <v>75</v>
      </c>
      <c r="E185" t="s">
        <v>94</v>
      </c>
      <c r="F185">
        <v>3</v>
      </c>
      <c r="G185" t="s">
        <v>19</v>
      </c>
      <c r="H185" t="s">
        <v>23</v>
      </c>
      <c r="I185">
        <v>3</v>
      </c>
      <c r="J185">
        <v>1</v>
      </c>
      <c r="K185">
        <v>0</v>
      </c>
      <c r="L185">
        <v>16</v>
      </c>
      <c r="M185">
        <v>27</v>
      </c>
      <c r="N185">
        <v>0</v>
      </c>
      <c r="O185">
        <v>730</v>
      </c>
    </row>
    <row r="186" spans="1:15" x14ac:dyDescent="0.2">
      <c r="A186" t="s">
        <v>101</v>
      </c>
      <c r="B186" t="s">
        <v>45</v>
      </c>
      <c r="C186" t="s">
        <v>17</v>
      </c>
      <c r="D186" t="s">
        <v>75</v>
      </c>
      <c r="E186" t="s">
        <v>94</v>
      </c>
      <c r="F186">
        <v>3</v>
      </c>
      <c r="G186" t="s">
        <v>19</v>
      </c>
      <c r="H186" t="s">
        <v>24</v>
      </c>
      <c r="I186">
        <v>0</v>
      </c>
      <c r="J186">
        <v>0</v>
      </c>
      <c r="K186">
        <v>0</v>
      </c>
      <c r="L186">
        <v>16</v>
      </c>
      <c r="M186">
        <v>27</v>
      </c>
      <c r="N186">
        <v>0</v>
      </c>
      <c r="O186">
        <v>730</v>
      </c>
    </row>
    <row r="187" spans="1:15" x14ac:dyDescent="0.2">
      <c r="A187" t="s">
        <v>101</v>
      </c>
      <c r="B187" t="s">
        <v>45</v>
      </c>
      <c r="C187" t="s">
        <v>17</v>
      </c>
      <c r="D187" t="s">
        <v>75</v>
      </c>
      <c r="E187" t="s">
        <v>182</v>
      </c>
      <c r="F187">
        <v>3</v>
      </c>
      <c r="G187" t="s">
        <v>130</v>
      </c>
      <c r="H187" t="s">
        <v>20</v>
      </c>
      <c r="I187">
        <v>281</v>
      </c>
      <c r="J187">
        <v>12</v>
      </c>
      <c r="K187">
        <v>0</v>
      </c>
      <c r="L187">
        <v>333</v>
      </c>
      <c r="M187">
        <v>19</v>
      </c>
      <c r="N187">
        <v>0</v>
      </c>
      <c r="O187">
        <v>629</v>
      </c>
    </row>
    <row r="188" spans="1:15" x14ac:dyDescent="0.2">
      <c r="A188" t="s">
        <v>101</v>
      </c>
      <c r="B188" t="s">
        <v>45</v>
      </c>
      <c r="C188" t="s">
        <v>17</v>
      </c>
      <c r="D188" t="s">
        <v>75</v>
      </c>
      <c r="E188" t="s">
        <v>182</v>
      </c>
      <c r="F188">
        <v>3</v>
      </c>
      <c r="G188" t="s">
        <v>130</v>
      </c>
      <c r="H188" t="s">
        <v>21</v>
      </c>
      <c r="I188">
        <v>26</v>
      </c>
      <c r="J188">
        <v>3</v>
      </c>
      <c r="K188">
        <v>0</v>
      </c>
      <c r="L188">
        <v>333</v>
      </c>
      <c r="M188">
        <v>19</v>
      </c>
      <c r="N188">
        <v>0</v>
      </c>
      <c r="O188">
        <v>629</v>
      </c>
    </row>
    <row r="189" spans="1:15" x14ac:dyDescent="0.2">
      <c r="A189" t="s">
        <v>101</v>
      </c>
      <c r="B189" t="s">
        <v>45</v>
      </c>
      <c r="C189" t="s">
        <v>17</v>
      </c>
      <c r="D189" t="s">
        <v>75</v>
      </c>
      <c r="E189" t="s">
        <v>182</v>
      </c>
      <c r="F189">
        <v>3</v>
      </c>
      <c r="G189" t="s">
        <v>130</v>
      </c>
      <c r="H189" t="s">
        <v>22</v>
      </c>
      <c r="I189">
        <v>10</v>
      </c>
      <c r="J189">
        <v>2</v>
      </c>
      <c r="K189">
        <v>0</v>
      </c>
      <c r="L189">
        <v>333</v>
      </c>
      <c r="M189">
        <v>19</v>
      </c>
      <c r="N189">
        <v>0</v>
      </c>
      <c r="O189">
        <v>629</v>
      </c>
    </row>
    <row r="190" spans="1:15" x14ac:dyDescent="0.2">
      <c r="A190" t="s">
        <v>101</v>
      </c>
      <c r="B190" t="s">
        <v>45</v>
      </c>
      <c r="C190" t="s">
        <v>17</v>
      </c>
      <c r="D190" t="s">
        <v>75</v>
      </c>
      <c r="E190" t="s">
        <v>182</v>
      </c>
      <c r="F190">
        <v>3</v>
      </c>
      <c r="G190" t="s">
        <v>130</v>
      </c>
      <c r="H190" t="s">
        <v>23</v>
      </c>
      <c r="I190">
        <v>16</v>
      </c>
      <c r="J190">
        <v>2</v>
      </c>
      <c r="K190">
        <v>0</v>
      </c>
      <c r="L190">
        <v>333</v>
      </c>
      <c r="M190">
        <v>19</v>
      </c>
      <c r="N190">
        <v>0</v>
      </c>
      <c r="O190">
        <v>629</v>
      </c>
    </row>
    <row r="191" spans="1:15" x14ac:dyDescent="0.2">
      <c r="A191" t="s">
        <v>101</v>
      </c>
      <c r="B191" t="s">
        <v>45</v>
      </c>
      <c r="C191" t="s">
        <v>17</v>
      </c>
      <c r="D191" t="s">
        <v>75</v>
      </c>
      <c r="E191" t="s">
        <v>182</v>
      </c>
      <c r="F191">
        <v>3</v>
      </c>
      <c r="G191" t="s">
        <v>130</v>
      </c>
      <c r="H191" t="s">
        <v>24</v>
      </c>
      <c r="I191">
        <v>0</v>
      </c>
      <c r="J191">
        <v>0</v>
      </c>
      <c r="K191">
        <v>0</v>
      </c>
      <c r="L191">
        <v>333</v>
      </c>
      <c r="M191">
        <v>19</v>
      </c>
      <c r="N191">
        <v>0</v>
      </c>
      <c r="O191">
        <v>629</v>
      </c>
    </row>
    <row r="192" spans="1:15" x14ac:dyDescent="0.2">
      <c r="A192" t="s">
        <v>101</v>
      </c>
      <c r="B192" t="s">
        <v>45</v>
      </c>
      <c r="C192" t="s">
        <v>17</v>
      </c>
      <c r="D192" t="s">
        <v>75</v>
      </c>
      <c r="E192" t="s">
        <v>181</v>
      </c>
      <c r="F192">
        <v>3</v>
      </c>
      <c r="G192" t="s">
        <v>128</v>
      </c>
      <c r="H192" t="s">
        <v>20</v>
      </c>
      <c r="I192">
        <v>25</v>
      </c>
      <c r="J192">
        <v>2</v>
      </c>
      <c r="K192">
        <v>0</v>
      </c>
      <c r="L192">
        <v>118</v>
      </c>
      <c r="M192">
        <v>17</v>
      </c>
      <c r="N192">
        <v>0</v>
      </c>
      <c r="O192">
        <v>603</v>
      </c>
    </row>
    <row r="193" spans="1:15" x14ac:dyDescent="0.2">
      <c r="A193" t="s">
        <v>101</v>
      </c>
      <c r="B193" t="s">
        <v>45</v>
      </c>
      <c r="C193" t="s">
        <v>17</v>
      </c>
      <c r="D193" t="s">
        <v>75</v>
      </c>
      <c r="E193" t="s">
        <v>181</v>
      </c>
      <c r="F193">
        <v>3</v>
      </c>
      <c r="G193" t="s">
        <v>128</v>
      </c>
      <c r="H193" t="s">
        <v>21</v>
      </c>
      <c r="I193">
        <v>38</v>
      </c>
      <c r="J193">
        <v>7</v>
      </c>
      <c r="K193">
        <v>0</v>
      </c>
      <c r="L193">
        <v>118</v>
      </c>
      <c r="M193">
        <v>17</v>
      </c>
      <c r="N193">
        <v>0</v>
      </c>
      <c r="O193">
        <v>603</v>
      </c>
    </row>
    <row r="194" spans="1:15" x14ac:dyDescent="0.2">
      <c r="A194" t="s">
        <v>101</v>
      </c>
      <c r="B194" t="s">
        <v>45</v>
      </c>
      <c r="C194" t="s">
        <v>17</v>
      </c>
      <c r="D194" t="s">
        <v>75</v>
      </c>
      <c r="E194" t="s">
        <v>181</v>
      </c>
      <c r="F194">
        <v>3</v>
      </c>
      <c r="G194" t="s">
        <v>128</v>
      </c>
      <c r="H194" t="s">
        <v>22</v>
      </c>
      <c r="I194">
        <v>27</v>
      </c>
      <c r="J194">
        <v>6</v>
      </c>
      <c r="K194">
        <v>0</v>
      </c>
      <c r="L194">
        <v>118</v>
      </c>
      <c r="M194">
        <v>17</v>
      </c>
      <c r="N194">
        <v>0</v>
      </c>
      <c r="O194">
        <v>603</v>
      </c>
    </row>
    <row r="195" spans="1:15" x14ac:dyDescent="0.2">
      <c r="A195" t="s">
        <v>101</v>
      </c>
      <c r="B195" t="s">
        <v>45</v>
      </c>
      <c r="C195" t="s">
        <v>17</v>
      </c>
      <c r="D195" t="s">
        <v>75</v>
      </c>
      <c r="E195" t="s">
        <v>181</v>
      </c>
      <c r="F195">
        <v>3</v>
      </c>
      <c r="G195" t="s">
        <v>128</v>
      </c>
      <c r="H195" t="s">
        <v>23</v>
      </c>
      <c r="I195">
        <v>28</v>
      </c>
      <c r="J195">
        <v>2</v>
      </c>
      <c r="K195">
        <v>0</v>
      </c>
      <c r="L195">
        <v>118</v>
      </c>
      <c r="M195">
        <v>17</v>
      </c>
      <c r="N195">
        <v>0</v>
      </c>
      <c r="O195">
        <v>603</v>
      </c>
    </row>
    <row r="196" spans="1:15" x14ac:dyDescent="0.2">
      <c r="A196" t="s">
        <v>101</v>
      </c>
      <c r="B196" t="s">
        <v>45</v>
      </c>
      <c r="C196" t="s">
        <v>17</v>
      </c>
      <c r="D196" t="s">
        <v>75</v>
      </c>
      <c r="E196" t="s">
        <v>181</v>
      </c>
      <c r="F196">
        <v>3</v>
      </c>
      <c r="G196" t="s">
        <v>128</v>
      </c>
      <c r="H196" t="s">
        <v>24</v>
      </c>
      <c r="I196">
        <v>0</v>
      </c>
      <c r="J196">
        <v>0</v>
      </c>
      <c r="K196">
        <v>0</v>
      </c>
      <c r="L196">
        <v>118</v>
      </c>
      <c r="M196">
        <v>17</v>
      </c>
      <c r="N196">
        <v>0</v>
      </c>
      <c r="O196">
        <v>603</v>
      </c>
    </row>
    <row r="197" spans="1:15" x14ac:dyDescent="0.2">
      <c r="A197" t="s">
        <v>101</v>
      </c>
      <c r="B197" t="s">
        <v>45</v>
      </c>
      <c r="C197" t="s">
        <v>17</v>
      </c>
      <c r="D197" t="s">
        <v>75</v>
      </c>
      <c r="E197" t="s">
        <v>180</v>
      </c>
      <c r="F197">
        <v>3</v>
      </c>
      <c r="G197" t="s">
        <v>126</v>
      </c>
      <c r="H197" t="s">
        <v>20</v>
      </c>
      <c r="I197">
        <v>7</v>
      </c>
      <c r="J197">
        <v>4</v>
      </c>
      <c r="K197">
        <v>0</v>
      </c>
      <c r="L197">
        <v>123</v>
      </c>
      <c r="M197">
        <v>16</v>
      </c>
      <c r="N197">
        <v>0</v>
      </c>
      <c r="O197">
        <v>625</v>
      </c>
    </row>
    <row r="198" spans="1:15" x14ac:dyDescent="0.2">
      <c r="A198" t="s">
        <v>101</v>
      </c>
      <c r="B198" t="s">
        <v>45</v>
      </c>
      <c r="C198" t="s">
        <v>17</v>
      </c>
      <c r="D198" t="s">
        <v>75</v>
      </c>
      <c r="E198" t="s">
        <v>180</v>
      </c>
      <c r="F198">
        <v>3</v>
      </c>
      <c r="G198" t="s">
        <v>126</v>
      </c>
      <c r="H198" t="s">
        <v>21</v>
      </c>
      <c r="I198">
        <v>70</v>
      </c>
      <c r="J198">
        <v>1</v>
      </c>
      <c r="K198">
        <v>0</v>
      </c>
      <c r="L198">
        <v>123</v>
      </c>
      <c r="M198">
        <v>16</v>
      </c>
      <c r="N198">
        <v>0</v>
      </c>
      <c r="O198">
        <v>625</v>
      </c>
    </row>
    <row r="199" spans="1:15" x14ac:dyDescent="0.2">
      <c r="A199" t="s">
        <v>101</v>
      </c>
      <c r="B199" t="s">
        <v>45</v>
      </c>
      <c r="C199" t="s">
        <v>17</v>
      </c>
      <c r="D199" t="s">
        <v>75</v>
      </c>
      <c r="E199" t="s">
        <v>180</v>
      </c>
      <c r="F199">
        <v>3</v>
      </c>
      <c r="G199" t="s">
        <v>126</v>
      </c>
      <c r="H199" t="s">
        <v>22</v>
      </c>
      <c r="I199">
        <v>14</v>
      </c>
      <c r="J199">
        <v>3</v>
      </c>
      <c r="K199">
        <v>0</v>
      </c>
      <c r="L199">
        <v>123</v>
      </c>
      <c r="M199">
        <v>16</v>
      </c>
      <c r="N199">
        <v>0</v>
      </c>
      <c r="O199">
        <v>625</v>
      </c>
    </row>
    <row r="200" spans="1:15" x14ac:dyDescent="0.2">
      <c r="A200" t="s">
        <v>101</v>
      </c>
      <c r="B200" t="s">
        <v>45</v>
      </c>
      <c r="C200" t="s">
        <v>17</v>
      </c>
      <c r="D200" t="s">
        <v>75</v>
      </c>
      <c r="E200" t="s">
        <v>180</v>
      </c>
      <c r="F200">
        <v>3</v>
      </c>
      <c r="G200" t="s">
        <v>126</v>
      </c>
      <c r="H200" t="s">
        <v>23</v>
      </c>
      <c r="I200">
        <v>32</v>
      </c>
      <c r="J200">
        <v>8</v>
      </c>
      <c r="K200">
        <v>0</v>
      </c>
      <c r="L200">
        <v>123</v>
      </c>
      <c r="M200">
        <v>16</v>
      </c>
      <c r="N200">
        <v>0</v>
      </c>
      <c r="O200">
        <v>625</v>
      </c>
    </row>
    <row r="201" spans="1:15" x14ac:dyDescent="0.2">
      <c r="A201" t="s">
        <v>101</v>
      </c>
      <c r="B201" t="s">
        <v>45</v>
      </c>
      <c r="C201" t="s">
        <v>17</v>
      </c>
      <c r="D201" t="s">
        <v>75</v>
      </c>
      <c r="E201" t="s">
        <v>180</v>
      </c>
      <c r="F201">
        <v>3</v>
      </c>
      <c r="G201" t="s">
        <v>126</v>
      </c>
      <c r="H201" t="s">
        <v>24</v>
      </c>
      <c r="I201">
        <v>0</v>
      </c>
      <c r="J201">
        <v>0</v>
      </c>
      <c r="K201">
        <v>0</v>
      </c>
      <c r="L201">
        <v>123</v>
      </c>
      <c r="M201">
        <v>16</v>
      </c>
      <c r="N201">
        <v>0</v>
      </c>
      <c r="O201">
        <v>625</v>
      </c>
    </row>
    <row r="202" spans="1:15" x14ac:dyDescent="0.2">
      <c r="A202" t="s">
        <v>89</v>
      </c>
      <c r="B202" t="s">
        <v>45</v>
      </c>
      <c r="C202" t="s">
        <v>17</v>
      </c>
      <c r="D202" t="s">
        <v>75</v>
      </c>
      <c r="E202" t="s">
        <v>81</v>
      </c>
      <c r="F202">
        <v>3</v>
      </c>
      <c r="G202" t="s">
        <v>19</v>
      </c>
      <c r="H202" t="s">
        <v>20</v>
      </c>
      <c r="I202">
        <v>34</v>
      </c>
      <c r="J202">
        <v>45</v>
      </c>
      <c r="K202">
        <v>0</v>
      </c>
      <c r="L202">
        <v>85</v>
      </c>
      <c r="M202">
        <v>125</v>
      </c>
      <c r="N202">
        <v>0</v>
      </c>
      <c r="O202">
        <v>498</v>
      </c>
    </row>
    <row r="203" spans="1:15" x14ac:dyDescent="0.2">
      <c r="A203" t="s">
        <v>89</v>
      </c>
      <c r="B203" t="s">
        <v>45</v>
      </c>
      <c r="C203" t="s">
        <v>17</v>
      </c>
      <c r="D203" t="s">
        <v>75</v>
      </c>
      <c r="E203" t="s">
        <v>81</v>
      </c>
      <c r="F203">
        <v>3</v>
      </c>
      <c r="G203" t="s">
        <v>19</v>
      </c>
      <c r="H203" t="s">
        <v>21</v>
      </c>
      <c r="I203">
        <v>22</v>
      </c>
      <c r="J203">
        <v>30</v>
      </c>
      <c r="K203">
        <v>0</v>
      </c>
      <c r="L203">
        <v>85</v>
      </c>
      <c r="M203">
        <v>125</v>
      </c>
      <c r="N203">
        <v>0</v>
      </c>
      <c r="O203">
        <v>498</v>
      </c>
    </row>
    <row r="204" spans="1:15" x14ac:dyDescent="0.2">
      <c r="A204" t="s">
        <v>89</v>
      </c>
      <c r="B204" t="s">
        <v>45</v>
      </c>
      <c r="C204" t="s">
        <v>17</v>
      </c>
      <c r="D204" t="s">
        <v>75</v>
      </c>
      <c r="E204" t="s">
        <v>81</v>
      </c>
      <c r="F204">
        <v>3</v>
      </c>
      <c r="G204" t="s">
        <v>19</v>
      </c>
      <c r="H204" t="s">
        <v>22</v>
      </c>
      <c r="I204">
        <v>12</v>
      </c>
      <c r="J204">
        <v>20</v>
      </c>
      <c r="K204">
        <v>0</v>
      </c>
      <c r="L204">
        <v>85</v>
      </c>
      <c r="M204">
        <v>125</v>
      </c>
      <c r="N204">
        <v>0</v>
      </c>
      <c r="O204">
        <v>498</v>
      </c>
    </row>
    <row r="205" spans="1:15" x14ac:dyDescent="0.2">
      <c r="A205" t="s">
        <v>89</v>
      </c>
      <c r="B205" t="s">
        <v>45</v>
      </c>
      <c r="C205" t="s">
        <v>17</v>
      </c>
      <c r="D205" t="s">
        <v>75</v>
      </c>
      <c r="E205" t="s">
        <v>81</v>
      </c>
      <c r="F205">
        <v>3</v>
      </c>
      <c r="G205" t="s">
        <v>19</v>
      </c>
      <c r="H205" t="s">
        <v>23</v>
      </c>
      <c r="I205">
        <v>17</v>
      </c>
      <c r="J205">
        <v>30</v>
      </c>
      <c r="K205">
        <v>0</v>
      </c>
      <c r="L205">
        <v>85</v>
      </c>
      <c r="M205">
        <v>125</v>
      </c>
      <c r="N205">
        <v>0</v>
      </c>
      <c r="O205">
        <v>498</v>
      </c>
    </row>
    <row r="206" spans="1:15" x14ac:dyDescent="0.2">
      <c r="A206" t="s">
        <v>89</v>
      </c>
      <c r="B206" t="s">
        <v>45</v>
      </c>
      <c r="C206" t="s">
        <v>17</v>
      </c>
      <c r="D206" t="s">
        <v>75</v>
      </c>
      <c r="E206" t="s">
        <v>81</v>
      </c>
      <c r="F206">
        <v>3</v>
      </c>
      <c r="G206" t="s">
        <v>19</v>
      </c>
      <c r="H206" t="s">
        <v>24</v>
      </c>
      <c r="I206">
        <v>0</v>
      </c>
      <c r="J206">
        <v>0</v>
      </c>
      <c r="K206">
        <v>0</v>
      </c>
      <c r="L206">
        <v>85</v>
      </c>
      <c r="M206">
        <v>125</v>
      </c>
      <c r="N206">
        <v>0</v>
      </c>
      <c r="O206">
        <v>498</v>
      </c>
    </row>
    <row r="207" spans="1:15" x14ac:dyDescent="0.2">
      <c r="A207" t="s">
        <v>89</v>
      </c>
      <c r="B207" t="s">
        <v>45</v>
      </c>
      <c r="C207" t="s">
        <v>17</v>
      </c>
      <c r="D207" t="s">
        <v>75</v>
      </c>
      <c r="E207" t="s">
        <v>179</v>
      </c>
      <c r="F207">
        <v>3</v>
      </c>
      <c r="G207" t="s">
        <v>130</v>
      </c>
      <c r="H207" t="s">
        <v>20</v>
      </c>
      <c r="I207">
        <v>216</v>
      </c>
      <c r="J207">
        <v>21</v>
      </c>
      <c r="K207">
        <v>0</v>
      </c>
      <c r="L207">
        <v>245</v>
      </c>
      <c r="M207">
        <v>101</v>
      </c>
      <c r="N207">
        <v>0</v>
      </c>
      <c r="O207">
        <v>509</v>
      </c>
    </row>
    <row r="208" spans="1:15" x14ac:dyDescent="0.2">
      <c r="A208" t="s">
        <v>89</v>
      </c>
      <c r="B208" t="s">
        <v>45</v>
      </c>
      <c r="C208" t="s">
        <v>17</v>
      </c>
      <c r="D208" t="s">
        <v>75</v>
      </c>
      <c r="E208" t="s">
        <v>179</v>
      </c>
      <c r="F208">
        <v>3</v>
      </c>
      <c r="G208" t="s">
        <v>130</v>
      </c>
      <c r="H208" t="s">
        <v>21</v>
      </c>
      <c r="I208">
        <v>19</v>
      </c>
      <c r="J208">
        <v>31</v>
      </c>
      <c r="K208">
        <v>0</v>
      </c>
      <c r="L208">
        <v>245</v>
      </c>
      <c r="M208">
        <v>101</v>
      </c>
      <c r="N208">
        <v>0</v>
      </c>
      <c r="O208">
        <v>509</v>
      </c>
    </row>
    <row r="209" spans="1:15" x14ac:dyDescent="0.2">
      <c r="A209" t="s">
        <v>89</v>
      </c>
      <c r="B209" t="s">
        <v>45</v>
      </c>
      <c r="C209" t="s">
        <v>17</v>
      </c>
      <c r="D209" t="s">
        <v>75</v>
      </c>
      <c r="E209" t="s">
        <v>179</v>
      </c>
      <c r="F209">
        <v>3</v>
      </c>
      <c r="G209" t="s">
        <v>130</v>
      </c>
      <c r="H209" t="s">
        <v>22</v>
      </c>
      <c r="I209">
        <v>8</v>
      </c>
      <c r="J209">
        <v>28</v>
      </c>
      <c r="K209">
        <v>0</v>
      </c>
      <c r="L209">
        <v>245</v>
      </c>
      <c r="M209">
        <v>101</v>
      </c>
      <c r="N209">
        <v>0</v>
      </c>
      <c r="O209">
        <v>509</v>
      </c>
    </row>
    <row r="210" spans="1:15" x14ac:dyDescent="0.2">
      <c r="A210" t="s">
        <v>89</v>
      </c>
      <c r="B210" t="s">
        <v>45</v>
      </c>
      <c r="C210" t="s">
        <v>17</v>
      </c>
      <c r="D210" t="s">
        <v>75</v>
      </c>
      <c r="E210" t="s">
        <v>179</v>
      </c>
      <c r="F210">
        <v>3</v>
      </c>
      <c r="G210" t="s">
        <v>130</v>
      </c>
      <c r="H210" t="s">
        <v>23</v>
      </c>
      <c r="I210">
        <v>2</v>
      </c>
      <c r="J210">
        <v>21</v>
      </c>
      <c r="K210">
        <v>0</v>
      </c>
      <c r="L210">
        <v>245</v>
      </c>
      <c r="M210">
        <v>101</v>
      </c>
      <c r="N210">
        <v>0</v>
      </c>
      <c r="O210">
        <v>509</v>
      </c>
    </row>
    <row r="211" spans="1:15" x14ac:dyDescent="0.2">
      <c r="A211" t="s">
        <v>89</v>
      </c>
      <c r="B211" t="s">
        <v>45</v>
      </c>
      <c r="C211" t="s">
        <v>17</v>
      </c>
      <c r="D211" t="s">
        <v>75</v>
      </c>
      <c r="E211" t="s">
        <v>179</v>
      </c>
      <c r="F211">
        <v>3</v>
      </c>
      <c r="G211" t="s">
        <v>130</v>
      </c>
      <c r="H211" t="s">
        <v>24</v>
      </c>
      <c r="I211">
        <v>0</v>
      </c>
      <c r="J211">
        <v>0</v>
      </c>
      <c r="K211">
        <v>0</v>
      </c>
      <c r="L211">
        <v>245</v>
      </c>
      <c r="M211">
        <v>101</v>
      </c>
      <c r="N211">
        <v>0</v>
      </c>
      <c r="O211">
        <v>509</v>
      </c>
    </row>
    <row r="212" spans="1:15" x14ac:dyDescent="0.2">
      <c r="A212" t="s">
        <v>89</v>
      </c>
      <c r="B212" t="s">
        <v>45</v>
      </c>
      <c r="C212" t="s">
        <v>17</v>
      </c>
      <c r="D212" t="s">
        <v>75</v>
      </c>
      <c r="E212" t="s">
        <v>178</v>
      </c>
      <c r="F212">
        <v>3</v>
      </c>
      <c r="G212" t="s">
        <v>128</v>
      </c>
      <c r="H212" t="s">
        <v>20</v>
      </c>
      <c r="I212">
        <v>44</v>
      </c>
      <c r="J212">
        <v>33</v>
      </c>
      <c r="K212">
        <v>0</v>
      </c>
      <c r="L212">
        <v>134</v>
      </c>
      <c r="M212">
        <v>102</v>
      </c>
      <c r="N212">
        <v>0</v>
      </c>
      <c r="O212">
        <v>500</v>
      </c>
    </row>
    <row r="213" spans="1:15" x14ac:dyDescent="0.2">
      <c r="A213" t="s">
        <v>89</v>
      </c>
      <c r="B213" t="s">
        <v>45</v>
      </c>
      <c r="C213" t="s">
        <v>17</v>
      </c>
      <c r="D213" t="s">
        <v>75</v>
      </c>
      <c r="E213" t="s">
        <v>178</v>
      </c>
      <c r="F213">
        <v>3</v>
      </c>
      <c r="G213" t="s">
        <v>128</v>
      </c>
      <c r="H213" t="s">
        <v>21</v>
      </c>
      <c r="I213">
        <v>42</v>
      </c>
      <c r="J213">
        <v>38</v>
      </c>
      <c r="K213">
        <v>0</v>
      </c>
      <c r="L213">
        <v>134</v>
      </c>
      <c r="M213">
        <v>102</v>
      </c>
      <c r="N213">
        <v>0</v>
      </c>
      <c r="O213">
        <v>500</v>
      </c>
    </row>
    <row r="214" spans="1:15" x14ac:dyDescent="0.2">
      <c r="A214" t="s">
        <v>89</v>
      </c>
      <c r="B214" t="s">
        <v>45</v>
      </c>
      <c r="C214" t="s">
        <v>17</v>
      </c>
      <c r="D214" t="s">
        <v>75</v>
      </c>
      <c r="E214" t="s">
        <v>178</v>
      </c>
      <c r="F214">
        <v>3</v>
      </c>
      <c r="G214" t="s">
        <v>128</v>
      </c>
      <c r="H214" t="s">
        <v>22</v>
      </c>
      <c r="I214">
        <v>14</v>
      </c>
      <c r="J214">
        <v>13</v>
      </c>
      <c r="K214">
        <v>0</v>
      </c>
      <c r="L214">
        <v>134</v>
      </c>
      <c r="M214">
        <v>102</v>
      </c>
      <c r="N214">
        <v>0</v>
      </c>
      <c r="O214">
        <v>500</v>
      </c>
    </row>
    <row r="215" spans="1:15" x14ac:dyDescent="0.2">
      <c r="A215" t="s">
        <v>89</v>
      </c>
      <c r="B215" t="s">
        <v>45</v>
      </c>
      <c r="C215" t="s">
        <v>17</v>
      </c>
      <c r="D215" t="s">
        <v>75</v>
      </c>
      <c r="E215" t="s">
        <v>178</v>
      </c>
      <c r="F215">
        <v>3</v>
      </c>
      <c r="G215" t="s">
        <v>128</v>
      </c>
      <c r="H215" t="s">
        <v>23</v>
      </c>
      <c r="I215">
        <v>34</v>
      </c>
      <c r="J215">
        <v>18</v>
      </c>
      <c r="K215">
        <v>0</v>
      </c>
      <c r="L215">
        <v>134</v>
      </c>
      <c r="M215">
        <v>102</v>
      </c>
      <c r="N215">
        <v>0</v>
      </c>
      <c r="O215">
        <v>500</v>
      </c>
    </row>
    <row r="216" spans="1:15" x14ac:dyDescent="0.2">
      <c r="A216" t="s">
        <v>89</v>
      </c>
      <c r="B216" t="s">
        <v>45</v>
      </c>
      <c r="C216" t="s">
        <v>17</v>
      </c>
      <c r="D216" t="s">
        <v>75</v>
      </c>
      <c r="E216" t="s">
        <v>178</v>
      </c>
      <c r="F216">
        <v>3</v>
      </c>
      <c r="G216" t="s">
        <v>128</v>
      </c>
      <c r="H216" t="s">
        <v>24</v>
      </c>
      <c r="I216">
        <v>0</v>
      </c>
      <c r="J216">
        <v>0</v>
      </c>
      <c r="K216">
        <v>0</v>
      </c>
      <c r="L216">
        <v>134</v>
      </c>
      <c r="M216">
        <v>102</v>
      </c>
      <c r="N216">
        <v>0</v>
      </c>
      <c r="O216">
        <v>500</v>
      </c>
    </row>
    <row r="217" spans="1:15" x14ac:dyDescent="0.2">
      <c r="A217" t="s">
        <v>89</v>
      </c>
      <c r="B217" t="s">
        <v>45</v>
      </c>
      <c r="C217" t="s">
        <v>17</v>
      </c>
      <c r="D217" t="s">
        <v>75</v>
      </c>
      <c r="E217" t="s">
        <v>177</v>
      </c>
      <c r="F217">
        <v>3</v>
      </c>
      <c r="G217" t="s">
        <v>126</v>
      </c>
      <c r="H217" t="s">
        <v>20</v>
      </c>
      <c r="I217">
        <v>13</v>
      </c>
      <c r="J217">
        <v>22</v>
      </c>
      <c r="K217">
        <v>0</v>
      </c>
      <c r="L217">
        <v>142</v>
      </c>
      <c r="M217">
        <v>121</v>
      </c>
      <c r="N217">
        <v>0</v>
      </c>
      <c r="O217">
        <v>510</v>
      </c>
    </row>
    <row r="218" spans="1:15" x14ac:dyDescent="0.2">
      <c r="A218" t="s">
        <v>89</v>
      </c>
      <c r="B218" t="s">
        <v>45</v>
      </c>
      <c r="C218" t="s">
        <v>17</v>
      </c>
      <c r="D218" t="s">
        <v>75</v>
      </c>
      <c r="E218" t="s">
        <v>177</v>
      </c>
      <c r="F218">
        <v>3</v>
      </c>
      <c r="G218" t="s">
        <v>126</v>
      </c>
      <c r="H218" t="s">
        <v>21</v>
      </c>
      <c r="I218">
        <v>47</v>
      </c>
      <c r="J218">
        <v>49</v>
      </c>
      <c r="K218">
        <v>0</v>
      </c>
      <c r="L218">
        <v>142</v>
      </c>
      <c r="M218">
        <v>121</v>
      </c>
      <c r="N218">
        <v>0</v>
      </c>
      <c r="O218">
        <v>510</v>
      </c>
    </row>
    <row r="219" spans="1:15" x14ac:dyDescent="0.2">
      <c r="A219" t="s">
        <v>89</v>
      </c>
      <c r="B219" t="s">
        <v>45</v>
      </c>
      <c r="C219" t="s">
        <v>17</v>
      </c>
      <c r="D219" t="s">
        <v>75</v>
      </c>
      <c r="E219" t="s">
        <v>177</v>
      </c>
      <c r="F219">
        <v>3</v>
      </c>
      <c r="G219" t="s">
        <v>126</v>
      </c>
      <c r="H219" t="s">
        <v>22</v>
      </c>
      <c r="I219">
        <v>8</v>
      </c>
      <c r="J219">
        <v>9</v>
      </c>
      <c r="K219">
        <v>0</v>
      </c>
      <c r="L219">
        <v>142</v>
      </c>
      <c r="M219">
        <v>121</v>
      </c>
      <c r="N219">
        <v>0</v>
      </c>
      <c r="O219">
        <v>510</v>
      </c>
    </row>
    <row r="220" spans="1:15" x14ac:dyDescent="0.2">
      <c r="A220" t="s">
        <v>89</v>
      </c>
      <c r="B220" t="s">
        <v>45</v>
      </c>
      <c r="C220" t="s">
        <v>17</v>
      </c>
      <c r="D220" t="s">
        <v>75</v>
      </c>
      <c r="E220" t="s">
        <v>177</v>
      </c>
      <c r="F220">
        <v>3</v>
      </c>
      <c r="G220" t="s">
        <v>126</v>
      </c>
      <c r="H220" t="s">
        <v>23</v>
      </c>
      <c r="I220">
        <v>74</v>
      </c>
      <c r="J220">
        <v>41</v>
      </c>
      <c r="K220">
        <v>0</v>
      </c>
      <c r="L220">
        <v>142</v>
      </c>
      <c r="M220">
        <v>121</v>
      </c>
      <c r="N220">
        <v>0</v>
      </c>
      <c r="O220">
        <v>510</v>
      </c>
    </row>
    <row r="221" spans="1:15" x14ac:dyDescent="0.2">
      <c r="A221" t="s">
        <v>89</v>
      </c>
      <c r="B221" t="s">
        <v>45</v>
      </c>
      <c r="C221" t="s">
        <v>17</v>
      </c>
      <c r="D221" t="s">
        <v>75</v>
      </c>
      <c r="E221" t="s">
        <v>177</v>
      </c>
      <c r="F221">
        <v>3</v>
      </c>
      <c r="G221" t="s">
        <v>126</v>
      </c>
      <c r="H221" t="s">
        <v>24</v>
      </c>
      <c r="I221">
        <v>0</v>
      </c>
      <c r="J221">
        <v>0</v>
      </c>
      <c r="K221">
        <v>0</v>
      </c>
      <c r="L221">
        <v>142</v>
      </c>
      <c r="M221">
        <v>121</v>
      </c>
      <c r="N221">
        <v>0</v>
      </c>
      <c r="O221">
        <v>510</v>
      </c>
    </row>
    <row r="222" spans="1:15" x14ac:dyDescent="0.2">
      <c r="A222" t="s">
        <v>125</v>
      </c>
      <c r="B222" t="s">
        <v>45</v>
      </c>
      <c r="C222" t="s">
        <v>17</v>
      </c>
      <c r="D222" t="s">
        <v>75</v>
      </c>
      <c r="E222" t="s">
        <v>118</v>
      </c>
      <c r="F222">
        <v>3</v>
      </c>
      <c r="G222" t="s">
        <v>19</v>
      </c>
      <c r="H222" t="s">
        <v>20</v>
      </c>
      <c r="I222">
        <v>18</v>
      </c>
      <c r="J222">
        <v>19</v>
      </c>
      <c r="K222">
        <v>0</v>
      </c>
      <c r="L222">
        <v>38</v>
      </c>
      <c r="M222">
        <v>40</v>
      </c>
      <c r="N222">
        <v>0</v>
      </c>
      <c r="O222">
        <v>145</v>
      </c>
    </row>
    <row r="223" spans="1:15" x14ac:dyDescent="0.2">
      <c r="A223" t="s">
        <v>125</v>
      </c>
      <c r="B223" t="s">
        <v>45</v>
      </c>
      <c r="C223" t="s">
        <v>17</v>
      </c>
      <c r="D223" t="s">
        <v>75</v>
      </c>
      <c r="E223" t="s">
        <v>118</v>
      </c>
      <c r="F223">
        <v>3</v>
      </c>
      <c r="G223" t="s">
        <v>19</v>
      </c>
      <c r="H223" t="s">
        <v>21</v>
      </c>
      <c r="I223">
        <v>10</v>
      </c>
      <c r="J223">
        <v>8</v>
      </c>
      <c r="K223">
        <v>0</v>
      </c>
      <c r="L223">
        <v>38</v>
      </c>
      <c r="M223">
        <v>40</v>
      </c>
      <c r="N223">
        <v>0</v>
      </c>
      <c r="O223">
        <v>145</v>
      </c>
    </row>
    <row r="224" spans="1:15" x14ac:dyDescent="0.2">
      <c r="A224" t="s">
        <v>125</v>
      </c>
      <c r="B224" t="s">
        <v>45</v>
      </c>
      <c r="C224" t="s">
        <v>17</v>
      </c>
      <c r="D224" t="s">
        <v>75</v>
      </c>
      <c r="E224" t="s">
        <v>118</v>
      </c>
      <c r="F224">
        <v>3</v>
      </c>
      <c r="G224" t="s">
        <v>19</v>
      </c>
      <c r="H224" t="s">
        <v>22</v>
      </c>
      <c r="I224">
        <v>3</v>
      </c>
      <c r="J224">
        <v>3</v>
      </c>
      <c r="K224">
        <v>0</v>
      </c>
      <c r="L224">
        <v>38</v>
      </c>
      <c r="M224">
        <v>40</v>
      </c>
      <c r="N224">
        <v>0</v>
      </c>
      <c r="O224">
        <v>145</v>
      </c>
    </row>
    <row r="225" spans="1:15" x14ac:dyDescent="0.2">
      <c r="A225" t="s">
        <v>125</v>
      </c>
      <c r="B225" t="s">
        <v>45</v>
      </c>
      <c r="C225" t="s">
        <v>17</v>
      </c>
      <c r="D225" t="s">
        <v>75</v>
      </c>
      <c r="E225" t="s">
        <v>118</v>
      </c>
      <c r="F225">
        <v>3</v>
      </c>
      <c r="G225" t="s">
        <v>19</v>
      </c>
      <c r="H225" t="s">
        <v>23</v>
      </c>
      <c r="I225">
        <v>7</v>
      </c>
      <c r="J225">
        <v>10</v>
      </c>
      <c r="K225">
        <v>0</v>
      </c>
      <c r="L225">
        <v>38</v>
      </c>
      <c r="M225">
        <v>40</v>
      </c>
      <c r="N225">
        <v>0</v>
      </c>
      <c r="O225">
        <v>145</v>
      </c>
    </row>
    <row r="226" spans="1:15" x14ac:dyDescent="0.2">
      <c r="A226" t="s">
        <v>125</v>
      </c>
      <c r="B226" t="s">
        <v>45</v>
      </c>
      <c r="C226" t="s">
        <v>17</v>
      </c>
      <c r="D226" t="s">
        <v>75</v>
      </c>
      <c r="E226" t="s">
        <v>118</v>
      </c>
      <c r="F226">
        <v>3</v>
      </c>
      <c r="G226" t="s">
        <v>19</v>
      </c>
      <c r="H226" t="s">
        <v>24</v>
      </c>
      <c r="I226">
        <v>0</v>
      </c>
      <c r="J226">
        <v>0</v>
      </c>
      <c r="K226">
        <v>0</v>
      </c>
      <c r="L226">
        <v>38</v>
      </c>
      <c r="M226">
        <v>40</v>
      </c>
      <c r="N226">
        <v>0</v>
      </c>
      <c r="O226">
        <v>145</v>
      </c>
    </row>
    <row r="227" spans="1:15" x14ac:dyDescent="0.2">
      <c r="A227" t="s">
        <v>125</v>
      </c>
      <c r="B227" t="s">
        <v>45</v>
      </c>
      <c r="C227" t="s">
        <v>17</v>
      </c>
      <c r="D227" t="s">
        <v>75</v>
      </c>
      <c r="E227" t="s">
        <v>176</v>
      </c>
      <c r="F227">
        <v>3</v>
      </c>
      <c r="G227" t="s">
        <v>130</v>
      </c>
      <c r="H227" t="s">
        <v>20</v>
      </c>
      <c r="I227">
        <v>58</v>
      </c>
      <c r="J227">
        <v>21</v>
      </c>
      <c r="K227">
        <v>0</v>
      </c>
      <c r="L227">
        <v>70</v>
      </c>
      <c r="M227">
        <v>72</v>
      </c>
      <c r="N227">
        <v>0</v>
      </c>
      <c r="O227">
        <v>133</v>
      </c>
    </row>
    <row r="228" spans="1:15" x14ac:dyDescent="0.2">
      <c r="A228" t="s">
        <v>125</v>
      </c>
      <c r="B228" t="s">
        <v>45</v>
      </c>
      <c r="C228" t="s">
        <v>17</v>
      </c>
      <c r="D228" t="s">
        <v>75</v>
      </c>
      <c r="E228" t="s">
        <v>176</v>
      </c>
      <c r="F228">
        <v>3</v>
      </c>
      <c r="G228" t="s">
        <v>130</v>
      </c>
      <c r="H228" t="s">
        <v>21</v>
      </c>
      <c r="I228">
        <v>5</v>
      </c>
      <c r="J228">
        <v>24</v>
      </c>
      <c r="K228">
        <v>0</v>
      </c>
      <c r="L228">
        <v>70</v>
      </c>
      <c r="M228">
        <v>72</v>
      </c>
      <c r="N228">
        <v>0</v>
      </c>
      <c r="O228">
        <v>133</v>
      </c>
    </row>
    <row r="229" spans="1:15" x14ac:dyDescent="0.2">
      <c r="A229" t="s">
        <v>125</v>
      </c>
      <c r="B229" t="s">
        <v>45</v>
      </c>
      <c r="C229" t="s">
        <v>17</v>
      </c>
      <c r="D229" t="s">
        <v>75</v>
      </c>
      <c r="E229" t="s">
        <v>176</v>
      </c>
      <c r="F229">
        <v>3</v>
      </c>
      <c r="G229" t="s">
        <v>130</v>
      </c>
      <c r="H229" t="s">
        <v>22</v>
      </c>
      <c r="I229">
        <v>3</v>
      </c>
      <c r="J229">
        <v>20</v>
      </c>
      <c r="K229">
        <v>0</v>
      </c>
      <c r="L229">
        <v>70</v>
      </c>
      <c r="M229">
        <v>72</v>
      </c>
      <c r="N229">
        <v>0</v>
      </c>
      <c r="O229">
        <v>133</v>
      </c>
    </row>
    <row r="230" spans="1:15" x14ac:dyDescent="0.2">
      <c r="A230" t="s">
        <v>125</v>
      </c>
      <c r="B230" t="s">
        <v>45</v>
      </c>
      <c r="C230" t="s">
        <v>17</v>
      </c>
      <c r="D230" t="s">
        <v>75</v>
      </c>
      <c r="E230" t="s">
        <v>176</v>
      </c>
      <c r="F230">
        <v>3</v>
      </c>
      <c r="G230" t="s">
        <v>130</v>
      </c>
      <c r="H230" t="s">
        <v>23</v>
      </c>
      <c r="I230">
        <v>4</v>
      </c>
      <c r="J230">
        <v>7</v>
      </c>
      <c r="K230">
        <v>0</v>
      </c>
      <c r="L230">
        <v>70</v>
      </c>
      <c r="M230">
        <v>72</v>
      </c>
      <c r="N230">
        <v>0</v>
      </c>
      <c r="O230">
        <v>133</v>
      </c>
    </row>
    <row r="231" spans="1:15" x14ac:dyDescent="0.2">
      <c r="A231" t="s">
        <v>125</v>
      </c>
      <c r="B231" t="s">
        <v>45</v>
      </c>
      <c r="C231" t="s">
        <v>17</v>
      </c>
      <c r="D231" t="s">
        <v>75</v>
      </c>
      <c r="E231" t="s">
        <v>176</v>
      </c>
      <c r="F231">
        <v>3</v>
      </c>
      <c r="G231" t="s">
        <v>130</v>
      </c>
      <c r="H231" t="s">
        <v>24</v>
      </c>
      <c r="I231">
        <v>0</v>
      </c>
      <c r="J231">
        <v>0</v>
      </c>
      <c r="K231">
        <v>0</v>
      </c>
      <c r="L231">
        <v>70</v>
      </c>
      <c r="M231">
        <v>72</v>
      </c>
      <c r="N231">
        <v>0</v>
      </c>
      <c r="O231">
        <v>133</v>
      </c>
    </row>
    <row r="232" spans="1:15" x14ac:dyDescent="0.2">
      <c r="A232" t="s">
        <v>125</v>
      </c>
      <c r="B232" t="s">
        <v>45</v>
      </c>
      <c r="C232" t="s">
        <v>17</v>
      </c>
      <c r="D232" t="s">
        <v>75</v>
      </c>
      <c r="E232" t="s">
        <v>175</v>
      </c>
      <c r="F232">
        <v>3</v>
      </c>
      <c r="G232" t="s">
        <v>128</v>
      </c>
      <c r="H232" t="s">
        <v>20</v>
      </c>
      <c r="I232">
        <v>15</v>
      </c>
      <c r="J232">
        <v>28</v>
      </c>
      <c r="K232">
        <v>0</v>
      </c>
      <c r="L232">
        <v>58</v>
      </c>
      <c r="M232">
        <v>84</v>
      </c>
      <c r="N232">
        <v>0</v>
      </c>
      <c r="O232">
        <v>139</v>
      </c>
    </row>
    <row r="233" spans="1:15" x14ac:dyDescent="0.2">
      <c r="A233" t="s">
        <v>125</v>
      </c>
      <c r="B233" t="s">
        <v>45</v>
      </c>
      <c r="C233" t="s">
        <v>17</v>
      </c>
      <c r="D233" t="s">
        <v>75</v>
      </c>
      <c r="E233" t="s">
        <v>175</v>
      </c>
      <c r="F233">
        <v>3</v>
      </c>
      <c r="G233" t="s">
        <v>128</v>
      </c>
      <c r="H233" t="s">
        <v>21</v>
      </c>
      <c r="I233">
        <v>31</v>
      </c>
      <c r="J233">
        <v>37</v>
      </c>
      <c r="K233">
        <v>0</v>
      </c>
      <c r="L233">
        <v>58</v>
      </c>
      <c r="M233">
        <v>84</v>
      </c>
      <c r="N233">
        <v>0</v>
      </c>
      <c r="O233">
        <v>139</v>
      </c>
    </row>
    <row r="234" spans="1:15" x14ac:dyDescent="0.2">
      <c r="A234" t="s">
        <v>125</v>
      </c>
      <c r="B234" t="s">
        <v>45</v>
      </c>
      <c r="C234" t="s">
        <v>17</v>
      </c>
      <c r="D234" t="s">
        <v>75</v>
      </c>
      <c r="E234" t="s">
        <v>175</v>
      </c>
      <c r="F234">
        <v>3</v>
      </c>
      <c r="G234" t="s">
        <v>128</v>
      </c>
      <c r="H234" t="s">
        <v>22</v>
      </c>
      <c r="I234">
        <v>5</v>
      </c>
      <c r="J234">
        <v>13</v>
      </c>
      <c r="K234">
        <v>0</v>
      </c>
      <c r="L234">
        <v>58</v>
      </c>
      <c r="M234">
        <v>84</v>
      </c>
      <c r="N234">
        <v>0</v>
      </c>
      <c r="O234">
        <v>139</v>
      </c>
    </row>
    <row r="235" spans="1:15" x14ac:dyDescent="0.2">
      <c r="A235" t="s">
        <v>125</v>
      </c>
      <c r="B235" t="s">
        <v>45</v>
      </c>
      <c r="C235" t="s">
        <v>17</v>
      </c>
      <c r="D235" t="s">
        <v>75</v>
      </c>
      <c r="E235" t="s">
        <v>175</v>
      </c>
      <c r="F235">
        <v>3</v>
      </c>
      <c r="G235" t="s">
        <v>128</v>
      </c>
      <c r="H235" t="s">
        <v>23</v>
      </c>
      <c r="I235">
        <v>7</v>
      </c>
      <c r="J235">
        <v>6</v>
      </c>
      <c r="K235">
        <v>0</v>
      </c>
      <c r="L235">
        <v>58</v>
      </c>
      <c r="M235">
        <v>84</v>
      </c>
      <c r="N235">
        <v>0</v>
      </c>
      <c r="O235">
        <v>139</v>
      </c>
    </row>
    <row r="236" spans="1:15" x14ac:dyDescent="0.2">
      <c r="A236" t="s">
        <v>125</v>
      </c>
      <c r="B236" t="s">
        <v>45</v>
      </c>
      <c r="C236" t="s">
        <v>17</v>
      </c>
      <c r="D236" t="s">
        <v>75</v>
      </c>
      <c r="E236" t="s">
        <v>175</v>
      </c>
      <c r="F236">
        <v>3</v>
      </c>
      <c r="G236" t="s">
        <v>128</v>
      </c>
      <c r="H236" t="s">
        <v>24</v>
      </c>
      <c r="I236">
        <v>0</v>
      </c>
      <c r="J236">
        <v>0</v>
      </c>
      <c r="K236">
        <v>0</v>
      </c>
      <c r="L236">
        <v>58</v>
      </c>
      <c r="M236">
        <v>84</v>
      </c>
      <c r="N236">
        <v>0</v>
      </c>
      <c r="O236">
        <v>139</v>
      </c>
    </row>
    <row r="237" spans="1:15" x14ac:dyDescent="0.2">
      <c r="A237" t="s">
        <v>125</v>
      </c>
      <c r="B237" t="s">
        <v>45</v>
      </c>
      <c r="C237" t="s">
        <v>17</v>
      </c>
      <c r="D237" t="s">
        <v>75</v>
      </c>
      <c r="E237" t="s">
        <v>174</v>
      </c>
      <c r="F237">
        <v>3</v>
      </c>
      <c r="G237" t="s">
        <v>126</v>
      </c>
      <c r="H237" t="s">
        <v>20</v>
      </c>
      <c r="I237">
        <v>9</v>
      </c>
      <c r="J237">
        <v>17</v>
      </c>
      <c r="K237">
        <v>0</v>
      </c>
      <c r="L237">
        <v>76</v>
      </c>
      <c r="M237">
        <v>83</v>
      </c>
      <c r="N237">
        <v>0</v>
      </c>
      <c r="O237">
        <v>148</v>
      </c>
    </row>
    <row r="238" spans="1:15" x14ac:dyDescent="0.2">
      <c r="A238" t="s">
        <v>125</v>
      </c>
      <c r="B238" t="s">
        <v>45</v>
      </c>
      <c r="C238" t="s">
        <v>17</v>
      </c>
      <c r="D238" t="s">
        <v>75</v>
      </c>
      <c r="E238" t="s">
        <v>174</v>
      </c>
      <c r="F238">
        <v>3</v>
      </c>
      <c r="G238" t="s">
        <v>126</v>
      </c>
      <c r="H238" t="s">
        <v>21</v>
      </c>
      <c r="I238">
        <v>37</v>
      </c>
      <c r="J238">
        <v>25</v>
      </c>
      <c r="K238">
        <v>0</v>
      </c>
      <c r="L238">
        <v>76</v>
      </c>
      <c r="M238">
        <v>83</v>
      </c>
      <c r="N238">
        <v>0</v>
      </c>
      <c r="O238">
        <v>148</v>
      </c>
    </row>
    <row r="239" spans="1:15" x14ac:dyDescent="0.2">
      <c r="A239" t="s">
        <v>125</v>
      </c>
      <c r="B239" t="s">
        <v>45</v>
      </c>
      <c r="C239" t="s">
        <v>17</v>
      </c>
      <c r="D239" t="s">
        <v>75</v>
      </c>
      <c r="E239" t="s">
        <v>174</v>
      </c>
      <c r="F239">
        <v>3</v>
      </c>
      <c r="G239" t="s">
        <v>126</v>
      </c>
      <c r="H239" t="s">
        <v>22</v>
      </c>
      <c r="I239">
        <v>2</v>
      </c>
      <c r="J239">
        <v>25</v>
      </c>
      <c r="K239">
        <v>0</v>
      </c>
      <c r="L239">
        <v>76</v>
      </c>
      <c r="M239">
        <v>83</v>
      </c>
      <c r="N239">
        <v>0</v>
      </c>
      <c r="O239">
        <v>148</v>
      </c>
    </row>
    <row r="240" spans="1:15" x14ac:dyDescent="0.2">
      <c r="A240" t="s">
        <v>125</v>
      </c>
      <c r="B240" t="s">
        <v>45</v>
      </c>
      <c r="C240" t="s">
        <v>17</v>
      </c>
      <c r="D240" t="s">
        <v>75</v>
      </c>
      <c r="E240" t="s">
        <v>174</v>
      </c>
      <c r="F240">
        <v>3</v>
      </c>
      <c r="G240" t="s">
        <v>126</v>
      </c>
      <c r="H240" t="s">
        <v>23</v>
      </c>
      <c r="I240">
        <v>28</v>
      </c>
      <c r="J240">
        <v>16</v>
      </c>
      <c r="K240">
        <v>0</v>
      </c>
      <c r="L240">
        <v>76</v>
      </c>
      <c r="M240">
        <v>83</v>
      </c>
      <c r="N240">
        <v>0</v>
      </c>
      <c r="O240">
        <v>148</v>
      </c>
    </row>
    <row r="241" spans="1:15" ht="16" thickBot="1" x14ac:dyDescent="0.25">
      <c r="A241" t="s">
        <v>125</v>
      </c>
      <c r="B241" t="s">
        <v>45</v>
      </c>
      <c r="C241" t="s">
        <v>17</v>
      </c>
      <c r="D241" t="s">
        <v>75</v>
      </c>
      <c r="E241" t="s">
        <v>174</v>
      </c>
      <c r="F241">
        <v>3</v>
      </c>
      <c r="G241" t="s">
        <v>126</v>
      </c>
      <c r="H241" t="s">
        <v>24</v>
      </c>
      <c r="I241">
        <v>0</v>
      </c>
      <c r="J241">
        <v>0</v>
      </c>
      <c r="K241">
        <v>0</v>
      </c>
      <c r="L241">
        <v>76</v>
      </c>
      <c r="M241">
        <v>83</v>
      </c>
      <c r="N241">
        <v>0</v>
      </c>
      <c r="O241">
        <v>148</v>
      </c>
    </row>
    <row r="242" spans="1:15" x14ac:dyDescent="0.2">
      <c r="A242" s="23" t="s">
        <v>103</v>
      </c>
      <c r="B242" s="23" t="s">
        <v>16</v>
      </c>
      <c r="C242" s="23" t="s">
        <v>17</v>
      </c>
      <c r="D242" s="23" t="s">
        <v>75</v>
      </c>
      <c r="E242" s="23" t="s">
        <v>106</v>
      </c>
      <c r="F242" s="23">
        <v>3</v>
      </c>
      <c r="G242" s="23" t="s">
        <v>19</v>
      </c>
      <c r="H242" s="23" t="s">
        <v>20</v>
      </c>
      <c r="I242" s="23">
        <v>212</v>
      </c>
      <c r="J242" s="23">
        <v>85</v>
      </c>
      <c r="K242" s="23">
        <v>0</v>
      </c>
      <c r="L242" s="23">
        <v>261</v>
      </c>
      <c r="M242" s="23">
        <v>98</v>
      </c>
      <c r="N242" s="23">
        <v>0</v>
      </c>
      <c r="O242" s="23">
        <v>997</v>
      </c>
    </row>
    <row r="243" spans="1:15" x14ac:dyDescent="0.2">
      <c r="A243" t="s">
        <v>103</v>
      </c>
      <c r="B243" t="s">
        <v>16</v>
      </c>
      <c r="C243" t="s">
        <v>17</v>
      </c>
      <c r="D243" t="s">
        <v>75</v>
      </c>
      <c r="E243" t="s">
        <v>106</v>
      </c>
      <c r="F243">
        <v>3</v>
      </c>
      <c r="G243" t="s">
        <v>19</v>
      </c>
      <c r="H243" t="s">
        <v>21</v>
      </c>
      <c r="I243">
        <v>17</v>
      </c>
      <c r="J243">
        <v>9</v>
      </c>
      <c r="K243">
        <v>0</v>
      </c>
      <c r="L243">
        <v>261</v>
      </c>
      <c r="M243">
        <v>98</v>
      </c>
      <c r="N243">
        <v>0</v>
      </c>
      <c r="O243">
        <v>997</v>
      </c>
    </row>
    <row r="244" spans="1:15" x14ac:dyDescent="0.2">
      <c r="A244" t="s">
        <v>103</v>
      </c>
      <c r="B244" t="s">
        <v>16</v>
      </c>
      <c r="C244" t="s">
        <v>17</v>
      </c>
      <c r="D244" t="s">
        <v>75</v>
      </c>
      <c r="E244" t="s">
        <v>106</v>
      </c>
      <c r="F244">
        <v>3</v>
      </c>
      <c r="G244" t="s">
        <v>19</v>
      </c>
      <c r="H244" t="s">
        <v>22</v>
      </c>
      <c r="I244">
        <v>2</v>
      </c>
      <c r="J244">
        <v>0</v>
      </c>
      <c r="K244">
        <v>0</v>
      </c>
      <c r="L244">
        <v>261</v>
      </c>
      <c r="M244">
        <v>98</v>
      </c>
      <c r="N244">
        <v>0</v>
      </c>
      <c r="O244">
        <v>997</v>
      </c>
    </row>
    <row r="245" spans="1:15" x14ac:dyDescent="0.2">
      <c r="A245" t="s">
        <v>103</v>
      </c>
      <c r="B245" t="s">
        <v>16</v>
      </c>
      <c r="C245" t="s">
        <v>17</v>
      </c>
      <c r="D245" t="s">
        <v>75</v>
      </c>
      <c r="E245" t="s">
        <v>106</v>
      </c>
      <c r="F245">
        <v>3</v>
      </c>
      <c r="G245" t="s">
        <v>19</v>
      </c>
      <c r="H245" t="s">
        <v>23</v>
      </c>
      <c r="I245">
        <v>30</v>
      </c>
      <c r="J245">
        <v>4</v>
      </c>
      <c r="K245">
        <v>0</v>
      </c>
      <c r="L245">
        <v>261</v>
      </c>
      <c r="M245">
        <v>98</v>
      </c>
      <c r="N245">
        <v>0</v>
      </c>
      <c r="O245">
        <v>997</v>
      </c>
    </row>
    <row r="246" spans="1:15" x14ac:dyDescent="0.2">
      <c r="A246" t="s">
        <v>103</v>
      </c>
      <c r="B246" t="s">
        <v>16</v>
      </c>
      <c r="C246" t="s">
        <v>17</v>
      </c>
      <c r="D246" t="s">
        <v>75</v>
      </c>
      <c r="E246" t="s">
        <v>106</v>
      </c>
      <c r="F246">
        <v>3</v>
      </c>
      <c r="G246" t="s">
        <v>19</v>
      </c>
      <c r="H246" t="s">
        <v>24</v>
      </c>
      <c r="I246">
        <v>0</v>
      </c>
      <c r="J246">
        <v>0</v>
      </c>
      <c r="K246">
        <v>0</v>
      </c>
      <c r="L246">
        <v>261</v>
      </c>
      <c r="M246">
        <v>98</v>
      </c>
      <c r="N246">
        <v>0</v>
      </c>
      <c r="O246">
        <v>997</v>
      </c>
    </row>
    <row r="247" spans="1:15" x14ac:dyDescent="0.2">
      <c r="A247" t="s">
        <v>103</v>
      </c>
      <c r="B247" t="s">
        <v>16</v>
      </c>
      <c r="C247" t="s">
        <v>17</v>
      </c>
      <c r="D247" t="s">
        <v>75</v>
      </c>
      <c r="E247" t="s">
        <v>105</v>
      </c>
      <c r="F247">
        <v>3</v>
      </c>
      <c r="G247" t="s">
        <v>79</v>
      </c>
      <c r="H247" t="s">
        <v>20</v>
      </c>
      <c r="I247">
        <v>125</v>
      </c>
      <c r="J247">
        <v>76</v>
      </c>
      <c r="K247">
        <v>0</v>
      </c>
      <c r="L247">
        <v>138</v>
      </c>
      <c r="M247">
        <v>144</v>
      </c>
      <c r="N247">
        <v>0</v>
      </c>
      <c r="O247">
        <v>992</v>
      </c>
    </row>
    <row r="248" spans="1:15" x14ac:dyDescent="0.2">
      <c r="A248" t="s">
        <v>103</v>
      </c>
      <c r="B248" t="s">
        <v>16</v>
      </c>
      <c r="C248" t="s">
        <v>17</v>
      </c>
      <c r="D248" t="s">
        <v>75</v>
      </c>
      <c r="E248" t="s">
        <v>105</v>
      </c>
      <c r="F248">
        <v>3</v>
      </c>
      <c r="G248" t="s">
        <v>79</v>
      </c>
      <c r="H248" t="s">
        <v>21</v>
      </c>
      <c r="I248">
        <v>9</v>
      </c>
      <c r="J248">
        <v>41</v>
      </c>
      <c r="K248">
        <v>0</v>
      </c>
      <c r="L248">
        <v>138</v>
      </c>
      <c r="M248">
        <v>144</v>
      </c>
      <c r="N248">
        <v>0</v>
      </c>
      <c r="O248">
        <v>992</v>
      </c>
    </row>
    <row r="249" spans="1:15" x14ac:dyDescent="0.2">
      <c r="A249" t="s">
        <v>103</v>
      </c>
      <c r="B249" t="s">
        <v>16</v>
      </c>
      <c r="C249" t="s">
        <v>17</v>
      </c>
      <c r="D249" t="s">
        <v>75</v>
      </c>
      <c r="E249" t="s">
        <v>105</v>
      </c>
      <c r="F249">
        <v>3</v>
      </c>
      <c r="G249" t="s">
        <v>79</v>
      </c>
      <c r="H249" t="s">
        <v>22</v>
      </c>
      <c r="I249">
        <v>2</v>
      </c>
      <c r="J249">
        <v>23</v>
      </c>
      <c r="K249">
        <v>0</v>
      </c>
      <c r="L249">
        <v>138</v>
      </c>
      <c r="M249">
        <v>144</v>
      </c>
      <c r="N249">
        <v>0</v>
      </c>
      <c r="O249">
        <v>992</v>
      </c>
    </row>
    <row r="250" spans="1:15" x14ac:dyDescent="0.2">
      <c r="A250" t="s">
        <v>103</v>
      </c>
      <c r="B250" t="s">
        <v>16</v>
      </c>
      <c r="C250" t="s">
        <v>17</v>
      </c>
      <c r="D250" t="s">
        <v>75</v>
      </c>
      <c r="E250" t="s">
        <v>105</v>
      </c>
      <c r="F250">
        <v>3</v>
      </c>
      <c r="G250" t="s">
        <v>79</v>
      </c>
      <c r="H250" t="s">
        <v>23</v>
      </c>
      <c r="I250">
        <v>2</v>
      </c>
      <c r="J250">
        <v>4</v>
      </c>
      <c r="K250">
        <v>0</v>
      </c>
      <c r="L250">
        <v>138</v>
      </c>
      <c r="M250">
        <v>144</v>
      </c>
      <c r="N250">
        <v>0</v>
      </c>
      <c r="O250">
        <v>992</v>
      </c>
    </row>
    <row r="251" spans="1:15" x14ac:dyDescent="0.2">
      <c r="A251" t="s">
        <v>103</v>
      </c>
      <c r="B251" t="s">
        <v>16</v>
      </c>
      <c r="C251" t="s">
        <v>17</v>
      </c>
      <c r="D251" t="s">
        <v>75</v>
      </c>
      <c r="E251" t="s">
        <v>105</v>
      </c>
      <c r="F251">
        <v>3</v>
      </c>
      <c r="G251" t="s">
        <v>79</v>
      </c>
      <c r="H251" t="s">
        <v>24</v>
      </c>
      <c r="I251">
        <v>0</v>
      </c>
      <c r="J251">
        <v>0</v>
      </c>
      <c r="K251">
        <v>0</v>
      </c>
      <c r="L251">
        <v>138</v>
      </c>
      <c r="M251">
        <v>144</v>
      </c>
      <c r="N251">
        <v>0</v>
      </c>
      <c r="O251">
        <v>992</v>
      </c>
    </row>
    <row r="252" spans="1:15" x14ac:dyDescent="0.2">
      <c r="A252" t="s">
        <v>103</v>
      </c>
      <c r="B252" t="s">
        <v>16</v>
      </c>
      <c r="C252" t="s">
        <v>17</v>
      </c>
      <c r="D252" t="s">
        <v>75</v>
      </c>
      <c r="E252" t="s">
        <v>104</v>
      </c>
      <c r="F252">
        <v>3</v>
      </c>
      <c r="G252" t="s">
        <v>77</v>
      </c>
      <c r="H252" t="s">
        <v>20</v>
      </c>
      <c r="I252">
        <v>119</v>
      </c>
      <c r="J252">
        <v>46</v>
      </c>
      <c r="K252">
        <v>0</v>
      </c>
      <c r="L252">
        <v>164</v>
      </c>
      <c r="M252">
        <v>160</v>
      </c>
      <c r="N252">
        <v>0</v>
      </c>
      <c r="O252">
        <v>988</v>
      </c>
    </row>
    <row r="253" spans="1:15" x14ac:dyDescent="0.2">
      <c r="A253" t="s">
        <v>103</v>
      </c>
      <c r="B253" t="s">
        <v>16</v>
      </c>
      <c r="C253" t="s">
        <v>17</v>
      </c>
      <c r="D253" t="s">
        <v>75</v>
      </c>
      <c r="E253" t="s">
        <v>104</v>
      </c>
      <c r="F253">
        <v>3</v>
      </c>
      <c r="G253" t="s">
        <v>77</v>
      </c>
      <c r="H253" t="s">
        <v>21</v>
      </c>
      <c r="I253">
        <v>17</v>
      </c>
      <c r="J253">
        <v>68</v>
      </c>
      <c r="K253">
        <v>0</v>
      </c>
      <c r="L253">
        <v>164</v>
      </c>
      <c r="M253">
        <v>160</v>
      </c>
      <c r="N253">
        <v>0</v>
      </c>
      <c r="O253">
        <v>988</v>
      </c>
    </row>
    <row r="254" spans="1:15" x14ac:dyDescent="0.2">
      <c r="A254" t="s">
        <v>103</v>
      </c>
      <c r="B254" t="s">
        <v>16</v>
      </c>
      <c r="C254" t="s">
        <v>17</v>
      </c>
      <c r="D254" t="s">
        <v>75</v>
      </c>
      <c r="E254" t="s">
        <v>104</v>
      </c>
      <c r="F254">
        <v>3</v>
      </c>
      <c r="G254" t="s">
        <v>77</v>
      </c>
      <c r="H254" t="s">
        <v>22</v>
      </c>
      <c r="I254">
        <v>6</v>
      </c>
      <c r="J254">
        <v>31</v>
      </c>
      <c r="K254">
        <v>0</v>
      </c>
      <c r="L254">
        <v>164</v>
      </c>
      <c r="M254">
        <v>160</v>
      </c>
      <c r="N254">
        <v>0</v>
      </c>
      <c r="O254">
        <v>988</v>
      </c>
    </row>
    <row r="255" spans="1:15" x14ac:dyDescent="0.2">
      <c r="A255" t="s">
        <v>103</v>
      </c>
      <c r="B255" t="s">
        <v>16</v>
      </c>
      <c r="C255" t="s">
        <v>17</v>
      </c>
      <c r="D255" t="s">
        <v>75</v>
      </c>
      <c r="E255" t="s">
        <v>104</v>
      </c>
      <c r="F255">
        <v>3</v>
      </c>
      <c r="G255" t="s">
        <v>77</v>
      </c>
      <c r="H255" t="s">
        <v>23</v>
      </c>
      <c r="I255">
        <v>22</v>
      </c>
      <c r="J255">
        <v>15</v>
      </c>
      <c r="K255">
        <v>0</v>
      </c>
      <c r="L255">
        <v>164</v>
      </c>
      <c r="M255">
        <v>160</v>
      </c>
      <c r="N255">
        <v>0</v>
      </c>
      <c r="O255">
        <v>988</v>
      </c>
    </row>
    <row r="256" spans="1:15" x14ac:dyDescent="0.2">
      <c r="A256" t="s">
        <v>103</v>
      </c>
      <c r="B256" t="s">
        <v>16</v>
      </c>
      <c r="C256" t="s">
        <v>17</v>
      </c>
      <c r="D256" t="s">
        <v>75</v>
      </c>
      <c r="E256" t="s">
        <v>104</v>
      </c>
      <c r="F256">
        <v>3</v>
      </c>
      <c r="G256" t="s">
        <v>77</v>
      </c>
      <c r="H256" t="s">
        <v>24</v>
      </c>
      <c r="I256">
        <v>0</v>
      </c>
      <c r="J256">
        <v>0</v>
      </c>
      <c r="K256">
        <v>0</v>
      </c>
      <c r="L256">
        <v>164</v>
      </c>
      <c r="M256">
        <v>160</v>
      </c>
      <c r="N256">
        <v>0</v>
      </c>
      <c r="O256">
        <v>988</v>
      </c>
    </row>
    <row r="257" spans="1:15" x14ac:dyDescent="0.2">
      <c r="A257" t="s">
        <v>103</v>
      </c>
      <c r="B257" t="s">
        <v>16</v>
      </c>
      <c r="C257" t="s">
        <v>17</v>
      </c>
      <c r="D257" t="s">
        <v>75</v>
      </c>
      <c r="E257" t="s">
        <v>102</v>
      </c>
      <c r="F257">
        <v>3</v>
      </c>
      <c r="G257" t="s">
        <v>73</v>
      </c>
      <c r="H257" t="s">
        <v>20</v>
      </c>
      <c r="I257">
        <v>53</v>
      </c>
      <c r="J257">
        <v>27</v>
      </c>
      <c r="K257">
        <v>0</v>
      </c>
      <c r="L257">
        <v>126</v>
      </c>
      <c r="M257">
        <v>133</v>
      </c>
      <c r="N257">
        <v>0</v>
      </c>
      <c r="O257">
        <v>979</v>
      </c>
    </row>
    <row r="258" spans="1:15" x14ac:dyDescent="0.2">
      <c r="A258" t="s">
        <v>103</v>
      </c>
      <c r="B258" t="s">
        <v>16</v>
      </c>
      <c r="C258" t="s">
        <v>17</v>
      </c>
      <c r="D258" t="s">
        <v>75</v>
      </c>
      <c r="E258" t="s">
        <v>102</v>
      </c>
      <c r="F258">
        <v>3</v>
      </c>
      <c r="G258" t="s">
        <v>73</v>
      </c>
      <c r="H258" t="s">
        <v>21</v>
      </c>
      <c r="I258">
        <v>47</v>
      </c>
      <c r="J258">
        <v>70</v>
      </c>
      <c r="K258">
        <v>0</v>
      </c>
      <c r="L258">
        <v>126</v>
      </c>
      <c r="M258">
        <v>133</v>
      </c>
      <c r="N258">
        <v>0</v>
      </c>
      <c r="O258">
        <v>979</v>
      </c>
    </row>
    <row r="259" spans="1:15" x14ac:dyDescent="0.2">
      <c r="A259" t="s">
        <v>103</v>
      </c>
      <c r="B259" t="s">
        <v>16</v>
      </c>
      <c r="C259" t="s">
        <v>17</v>
      </c>
      <c r="D259" t="s">
        <v>75</v>
      </c>
      <c r="E259" t="s">
        <v>102</v>
      </c>
      <c r="F259">
        <v>3</v>
      </c>
      <c r="G259" t="s">
        <v>73</v>
      </c>
      <c r="H259" t="s">
        <v>22</v>
      </c>
      <c r="I259">
        <v>8</v>
      </c>
      <c r="J259">
        <v>17</v>
      </c>
      <c r="K259">
        <v>0</v>
      </c>
      <c r="L259">
        <v>126</v>
      </c>
      <c r="M259">
        <v>133</v>
      </c>
      <c r="N259">
        <v>0</v>
      </c>
      <c r="O259">
        <v>979</v>
      </c>
    </row>
    <row r="260" spans="1:15" x14ac:dyDescent="0.2">
      <c r="A260" t="s">
        <v>103</v>
      </c>
      <c r="B260" t="s">
        <v>16</v>
      </c>
      <c r="C260" t="s">
        <v>17</v>
      </c>
      <c r="D260" t="s">
        <v>75</v>
      </c>
      <c r="E260" t="s">
        <v>102</v>
      </c>
      <c r="F260">
        <v>3</v>
      </c>
      <c r="G260" t="s">
        <v>73</v>
      </c>
      <c r="H260" t="s">
        <v>23</v>
      </c>
      <c r="I260">
        <v>18</v>
      </c>
      <c r="J260">
        <v>19</v>
      </c>
      <c r="K260">
        <v>0</v>
      </c>
      <c r="L260">
        <v>126</v>
      </c>
      <c r="M260">
        <v>133</v>
      </c>
      <c r="N260">
        <v>0</v>
      </c>
      <c r="O260">
        <v>979</v>
      </c>
    </row>
    <row r="261" spans="1:15" x14ac:dyDescent="0.2">
      <c r="A261" t="s">
        <v>103</v>
      </c>
      <c r="B261" t="s">
        <v>16</v>
      </c>
      <c r="C261" t="s">
        <v>17</v>
      </c>
      <c r="D261" t="s">
        <v>75</v>
      </c>
      <c r="E261" t="s">
        <v>102</v>
      </c>
      <c r="F261">
        <v>3</v>
      </c>
      <c r="G261" t="s">
        <v>73</v>
      </c>
      <c r="H261" t="s">
        <v>24</v>
      </c>
      <c r="I261">
        <v>0</v>
      </c>
      <c r="J261">
        <v>0</v>
      </c>
      <c r="K261">
        <v>0</v>
      </c>
      <c r="L261">
        <v>126</v>
      </c>
      <c r="M261">
        <v>133</v>
      </c>
      <c r="N261">
        <v>0</v>
      </c>
      <c r="O261">
        <v>979</v>
      </c>
    </row>
    <row r="262" spans="1:15" x14ac:dyDescent="0.2">
      <c r="A262" t="s">
        <v>91</v>
      </c>
      <c r="B262" t="s">
        <v>16</v>
      </c>
      <c r="C262" t="s">
        <v>17</v>
      </c>
      <c r="D262" t="s">
        <v>75</v>
      </c>
      <c r="E262" t="s">
        <v>94</v>
      </c>
      <c r="F262">
        <v>3</v>
      </c>
      <c r="G262" t="s">
        <v>19</v>
      </c>
      <c r="H262" t="s">
        <v>20</v>
      </c>
      <c r="I262">
        <v>38</v>
      </c>
      <c r="J262">
        <v>15</v>
      </c>
      <c r="K262">
        <v>0</v>
      </c>
      <c r="L262">
        <v>46</v>
      </c>
      <c r="M262">
        <v>18</v>
      </c>
      <c r="N262">
        <v>0</v>
      </c>
      <c r="O262">
        <v>996</v>
      </c>
    </row>
    <row r="263" spans="1:15" x14ac:dyDescent="0.2">
      <c r="A263" t="s">
        <v>91</v>
      </c>
      <c r="B263" t="s">
        <v>16</v>
      </c>
      <c r="C263" t="s">
        <v>17</v>
      </c>
      <c r="D263" t="s">
        <v>75</v>
      </c>
      <c r="E263" t="s">
        <v>94</v>
      </c>
      <c r="F263">
        <v>3</v>
      </c>
      <c r="G263" t="s">
        <v>19</v>
      </c>
      <c r="H263" t="s">
        <v>21</v>
      </c>
      <c r="I263">
        <v>4</v>
      </c>
      <c r="J263">
        <v>0</v>
      </c>
      <c r="K263">
        <v>0</v>
      </c>
      <c r="L263">
        <v>46</v>
      </c>
      <c r="M263">
        <v>18</v>
      </c>
      <c r="N263">
        <v>0</v>
      </c>
      <c r="O263">
        <v>996</v>
      </c>
    </row>
    <row r="264" spans="1:15" x14ac:dyDescent="0.2">
      <c r="A264" t="s">
        <v>91</v>
      </c>
      <c r="B264" t="s">
        <v>16</v>
      </c>
      <c r="C264" t="s">
        <v>17</v>
      </c>
      <c r="D264" t="s">
        <v>75</v>
      </c>
      <c r="E264" t="s">
        <v>94</v>
      </c>
      <c r="F264">
        <v>3</v>
      </c>
      <c r="G264" t="s">
        <v>19</v>
      </c>
      <c r="H264" t="s">
        <v>22</v>
      </c>
      <c r="I264">
        <v>2</v>
      </c>
      <c r="J264">
        <v>0</v>
      </c>
      <c r="K264">
        <v>0</v>
      </c>
      <c r="L264">
        <v>46</v>
      </c>
      <c r="M264">
        <v>18</v>
      </c>
      <c r="N264">
        <v>0</v>
      </c>
      <c r="O264">
        <v>996</v>
      </c>
    </row>
    <row r="265" spans="1:15" x14ac:dyDescent="0.2">
      <c r="A265" t="s">
        <v>91</v>
      </c>
      <c r="B265" t="s">
        <v>16</v>
      </c>
      <c r="C265" t="s">
        <v>17</v>
      </c>
      <c r="D265" t="s">
        <v>75</v>
      </c>
      <c r="E265" t="s">
        <v>94</v>
      </c>
      <c r="F265">
        <v>3</v>
      </c>
      <c r="G265" t="s">
        <v>19</v>
      </c>
      <c r="H265" t="s">
        <v>23</v>
      </c>
      <c r="I265">
        <v>2</v>
      </c>
      <c r="J265">
        <v>3</v>
      </c>
      <c r="K265">
        <v>0</v>
      </c>
      <c r="L265">
        <v>46</v>
      </c>
      <c r="M265">
        <v>18</v>
      </c>
      <c r="N265">
        <v>0</v>
      </c>
      <c r="O265">
        <v>996</v>
      </c>
    </row>
    <row r="266" spans="1:15" x14ac:dyDescent="0.2">
      <c r="A266" t="s">
        <v>91</v>
      </c>
      <c r="B266" t="s">
        <v>16</v>
      </c>
      <c r="C266" t="s">
        <v>17</v>
      </c>
      <c r="D266" t="s">
        <v>75</v>
      </c>
      <c r="E266" t="s">
        <v>94</v>
      </c>
      <c r="F266">
        <v>3</v>
      </c>
      <c r="G266" t="s">
        <v>19</v>
      </c>
      <c r="H266" t="s">
        <v>24</v>
      </c>
      <c r="I266">
        <v>0</v>
      </c>
      <c r="J266">
        <v>0</v>
      </c>
      <c r="K266">
        <v>0</v>
      </c>
      <c r="L266">
        <v>46</v>
      </c>
      <c r="M266">
        <v>18</v>
      </c>
      <c r="N266">
        <v>0</v>
      </c>
      <c r="O266">
        <v>996</v>
      </c>
    </row>
    <row r="267" spans="1:15" x14ac:dyDescent="0.2">
      <c r="A267" t="s">
        <v>91</v>
      </c>
      <c r="B267" t="s">
        <v>16</v>
      </c>
      <c r="C267" t="s">
        <v>17</v>
      </c>
      <c r="D267" t="s">
        <v>75</v>
      </c>
      <c r="E267" t="s">
        <v>93</v>
      </c>
      <c r="F267">
        <v>3</v>
      </c>
      <c r="G267" t="s">
        <v>79</v>
      </c>
      <c r="H267" t="s">
        <v>20</v>
      </c>
      <c r="I267">
        <v>158</v>
      </c>
      <c r="J267">
        <v>12</v>
      </c>
      <c r="K267">
        <v>0</v>
      </c>
      <c r="L267">
        <v>214</v>
      </c>
      <c r="M267">
        <v>24</v>
      </c>
      <c r="N267">
        <v>0</v>
      </c>
      <c r="O267">
        <v>987</v>
      </c>
    </row>
    <row r="268" spans="1:15" x14ac:dyDescent="0.2">
      <c r="A268" t="s">
        <v>91</v>
      </c>
      <c r="B268" t="s">
        <v>16</v>
      </c>
      <c r="C268" t="s">
        <v>17</v>
      </c>
      <c r="D268" t="s">
        <v>75</v>
      </c>
      <c r="E268" t="s">
        <v>93</v>
      </c>
      <c r="F268">
        <v>3</v>
      </c>
      <c r="G268" t="s">
        <v>79</v>
      </c>
      <c r="H268" t="s">
        <v>21</v>
      </c>
      <c r="I268">
        <v>26</v>
      </c>
      <c r="J268">
        <v>6</v>
      </c>
      <c r="K268">
        <v>0</v>
      </c>
      <c r="L268">
        <v>214</v>
      </c>
      <c r="M268">
        <v>24</v>
      </c>
      <c r="N268">
        <v>0</v>
      </c>
      <c r="O268">
        <v>987</v>
      </c>
    </row>
    <row r="269" spans="1:15" x14ac:dyDescent="0.2">
      <c r="A269" t="s">
        <v>91</v>
      </c>
      <c r="B269" t="s">
        <v>16</v>
      </c>
      <c r="C269" t="s">
        <v>17</v>
      </c>
      <c r="D269" t="s">
        <v>75</v>
      </c>
      <c r="E269" t="s">
        <v>93</v>
      </c>
      <c r="F269">
        <v>3</v>
      </c>
      <c r="G269" t="s">
        <v>79</v>
      </c>
      <c r="H269" t="s">
        <v>22</v>
      </c>
      <c r="I269">
        <v>13</v>
      </c>
      <c r="J269">
        <v>4</v>
      </c>
      <c r="K269">
        <v>0</v>
      </c>
      <c r="L269">
        <v>214</v>
      </c>
      <c r="M269">
        <v>24</v>
      </c>
      <c r="N269">
        <v>0</v>
      </c>
      <c r="O269">
        <v>987</v>
      </c>
    </row>
    <row r="270" spans="1:15" x14ac:dyDescent="0.2">
      <c r="A270" t="s">
        <v>91</v>
      </c>
      <c r="B270" t="s">
        <v>16</v>
      </c>
      <c r="C270" t="s">
        <v>17</v>
      </c>
      <c r="D270" t="s">
        <v>75</v>
      </c>
      <c r="E270" t="s">
        <v>93</v>
      </c>
      <c r="F270">
        <v>3</v>
      </c>
      <c r="G270" t="s">
        <v>79</v>
      </c>
      <c r="H270" t="s">
        <v>23</v>
      </c>
      <c r="I270">
        <v>17</v>
      </c>
      <c r="J270">
        <v>2</v>
      </c>
      <c r="K270">
        <v>0</v>
      </c>
      <c r="L270">
        <v>214</v>
      </c>
      <c r="M270">
        <v>24</v>
      </c>
      <c r="N270">
        <v>0</v>
      </c>
      <c r="O270">
        <v>987</v>
      </c>
    </row>
    <row r="271" spans="1:15" x14ac:dyDescent="0.2">
      <c r="A271" t="s">
        <v>91</v>
      </c>
      <c r="B271" t="s">
        <v>16</v>
      </c>
      <c r="C271" t="s">
        <v>17</v>
      </c>
      <c r="D271" t="s">
        <v>75</v>
      </c>
      <c r="E271" t="s">
        <v>93</v>
      </c>
      <c r="F271">
        <v>3</v>
      </c>
      <c r="G271" t="s">
        <v>79</v>
      </c>
      <c r="H271" t="s">
        <v>24</v>
      </c>
      <c r="I271">
        <v>0</v>
      </c>
      <c r="J271">
        <v>0</v>
      </c>
      <c r="K271">
        <v>0</v>
      </c>
      <c r="L271">
        <v>214</v>
      </c>
      <c r="M271">
        <v>24</v>
      </c>
      <c r="N271">
        <v>0</v>
      </c>
      <c r="O271">
        <v>987</v>
      </c>
    </row>
    <row r="272" spans="1:15" x14ac:dyDescent="0.2">
      <c r="A272" t="s">
        <v>91</v>
      </c>
      <c r="B272" t="s">
        <v>16</v>
      </c>
      <c r="C272" t="s">
        <v>17</v>
      </c>
      <c r="D272" t="s">
        <v>75</v>
      </c>
      <c r="E272" t="s">
        <v>92</v>
      </c>
      <c r="F272">
        <v>3</v>
      </c>
      <c r="G272" t="s">
        <v>77</v>
      </c>
      <c r="H272" t="s">
        <v>20</v>
      </c>
      <c r="I272">
        <v>181</v>
      </c>
      <c r="J272">
        <v>12</v>
      </c>
      <c r="K272">
        <v>0</v>
      </c>
      <c r="L272">
        <v>215</v>
      </c>
      <c r="M272">
        <v>29</v>
      </c>
      <c r="N272">
        <v>0</v>
      </c>
      <c r="O272">
        <v>978</v>
      </c>
    </row>
    <row r="273" spans="1:15" x14ac:dyDescent="0.2">
      <c r="A273" t="s">
        <v>91</v>
      </c>
      <c r="B273" t="s">
        <v>16</v>
      </c>
      <c r="C273" t="s">
        <v>17</v>
      </c>
      <c r="D273" t="s">
        <v>75</v>
      </c>
      <c r="E273" t="s">
        <v>92</v>
      </c>
      <c r="F273">
        <v>3</v>
      </c>
      <c r="G273" t="s">
        <v>77</v>
      </c>
      <c r="H273" t="s">
        <v>21</v>
      </c>
      <c r="I273">
        <v>15</v>
      </c>
      <c r="J273">
        <v>12</v>
      </c>
      <c r="K273">
        <v>0</v>
      </c>
      <c r="L273">
        <v>215</v>
      </c>
      <c r="M273">
        <v>29</v>
      </c>
      <c r="N273">
        <v>0</v>
      </c>
      <c r="O273">
        <v>978</v>
      </c>
    </row>
    <row r="274" spans="1:15" x14ac:dyDescent="0.2">
      <c r="A274" t="s">
        <v>91</v>
      </c>
      <c r="B274" t="s">
        <v>16</v>
      </c>
      <c r="C274" t="s">
        <v>17</v>
      </c>
      <c r="D274" t="s">
        <v>75</v>
      </c>
      <c r="E274" t="s">
        <v>92</v>
      </c>
      <c r="F274">
        <v>3</v>
      </c>
      <c r="G274" t="s">
        <v>77</v>
      </c>
      <c r="H274" t="s">
        <v>22</v>
      </c>
      <c r="I274">
        <v>7</v>
      </c>
      <c r="J274">
        <v>3</v>
      </c>
      <c r="K274">
        <v>0</v>
      </c>
      <c r="L274">
        <v>215</v>
      </c>
      <c r="M274">
        <v>29</v>
      </c>
      <c r="N274">
        <v>0</v>
      </c>
      <c r="O274">
        <v>978</v>
      </c>
    </row>
    <row r="275" spans="1:15" x14ac:dyDescent="0.2">
      <c r="A275" t="s">
        <v>91</v>
      </c>
      <c r="B275" t="s">
        <v>16</v>
      </c>
      <c r="C275" t="s">
        <v>17</v>
      </c>
      <c r="D275" t="s">
        <v>75</v>
      </c>
      <c r="E275" t="s">
        <v>92</v>
      </c>
      <c r="F275">
        <v>3</v>
      </c>
      <c r="G275" t="s">
        <v>77</v>
      </c>
      <c r="H275" t="s">
        <v>23</v>
      </c>
      <c r="I275">
        <v>12</v>
      </c>
      <c r="J275">
        <v>2</v>
      </c>
      <c r="K275">
        <v>0</v>
      </c>
      <c r="L275">
        <v>215</v>
      </c>
      <c r="M275">
        <v>29</v>
      </c>
      <c r="N275">
        <v>0</v>
      </c>
      <c r="O275">
        <v>978</v>
      </c>
    </row>
    <row r="276" spans="1:15" x14ac:dyDescent="0.2">
      <c r="A276" t="s">
        <v>91</v>
      </c>
      <c r="B276" t="s">
        <v>16</v>
      </c>
      <c r="C276" t="s">
        <v>17</v>
      </c>
      <c r="D276" t="s">
        <v>75</v>
      </c>
      <c r="E276" t="s">
        <v>92</v>
      </c>
      <c r="F276">
        <v>3</v>
      </c>
      <c r="G276" t="s">
        <v>77</v>
      </c>
      <c r="H276" t="s">
        <v>24</v>
      </c>
      <c r="I276">
        <v>0</v>
      </c>
      <c r="J276">
        <v>0</v>
      </c>
      <c r="K276">
        <v>0</v>
      </c>
      <c r="L276">
        <v>215</v>
      </c>
      <c r="M276">
        <v>29</v>
      </c>
      <c r="N276">
        <v>0</v>
      </c>
      <c r="O276">
        <v>978</v>
      </c>
    </row>
    <row r="277" spans="1:15" x14ac:dyDescent="0.2">
      <c r="A277" t="s">
        <v>91</v>
      </c>
      <c r="B277" t="s">
        <v>16</v>
      </c>
      <c r="C277" t="s">
        <v>17</v>
      </c>
      <c r="D277" t="s">
        <v>75</v>
      </c>
      <c r="E277" t="s">
        <v>90</v>
      </c>
      <c r="F277">
        <v>3</v>
      </c>
      <c r="G277" t="s">
        <v>73</v>
      </c>
      <c r="H277" t="s">
        <v>20</v>
      </c>
      <c r="I277">
        <v>11</v>
      </c>
      <c r="J277">
        <v>4</v>
      </c>
      <c r="K277">
        <v>0</v>
      </c>
      <c r="L277">
        <v>209</v>
      </c>
      <c r="M277">
        <v>26</v>
      </c>
      <c r="N277">
        <v>0</v>
      </c>
      <c r="O277">
        <v>985</v>
      </c>
    </row>
    <row r="278" spans="1:15" x14ac:dyDescent="0.2">
      <c r="A278" t="s">
        <v>91</v>
      </c>
      <c r="B278" t="s">
        <v>16</v>
      </c>
      <c r="C278" t="s">
        <v>17</v>
      </c>
      <c r="D278" t="s">
        <v>75</v>
      </c>
      <c r="E278" t="s">
        <v>90</v>
      </c>
      <c r="F278">
        <v>3</v>
      </c>
      <c r="G278" t="s">
        <v>73</v>
      </c>
      <c r="H278" t="s">
        <v>21</v>
      </c>
      <c r="I278">
        <v>155</v>
      </c>
      <c r="J278">
        <v>14</v>
      </c>
      <c r="K278">
        <v>0</v>
      </c>
      <c r="L278">
        <v>209</v>
      </c>
      <c r="M278">
        <v>26</v>
      </c>
      <c r="N278">
        <v>0</v>
      </c>
      <c r="O278">
        <v>985</v>
      </c>
    </row>
    <row r="279" spans="1:15" x14ac:dyDescent="0.2">
      <c r="A279" t="s">
        <v>91</v>
      </c>
      <c r="B279" t="s">
        <v>16</v>
      </c>
      <c r="C279" t="s">
        <v>17</v>
      </c>
      <c r="D279" t="s">
        <v>75</v>
      </c>
      <c r="E279" t="s">
        <v>90</v>
      </c>
      <c r="F279">
        <v>3</v>
      </c>
      <c r="G279" t="s">
        <v>73</v>
      </c>
      <c r="H279" t="s">
        <v>22</v>
      </c>
      <c r="I279">
        <v>21</v>
      </c>
      <c r="J279">
        <v>2</v>
      </c>
      <c r="K279">
        <v>0</v>
      </c>
      <c r="L279">
        <v>209</v>
      </c>
      <c r="M279">
        <v>26</v>
      </c>
      <c r="N279">
        <v>0</v>
      </c>
      <c r="O279">
        <v>985</v>
      </c>
    </row>
    <row r="280" spans="1:15" x14ac:dyDescent="0.2">
      <c r="A280" t="s">
        <v>91</v>
      </c>
      <c r="B280" t="s">
        <v>16</v>
      </c>
      <c r="C280" t="s">
        <v>17</v>
      </c>
      <c r="D280" t="s">
        <v>75</v>
      </c>
      <c r="E280" t="s">
        <v>90</v>
      </c>
      <c r="F280">
        <v>3</v>
      </c>
      <c r="G280" t="s">
        <v>73</v>
      </c>
      <c r="H280" t="s">
        <v>23</v>
      </c>
      <c r="I280">
        <v>22</v>
      </c>
      <c r="J280">
        <v>6</v>
      </c>
      <c r="K280">
        <v>0</v>
      </c>
      <c r="L280">
        <v>209</v>
      </c>
      <c r="M280">
        <v>26</v>
      </c>
      <c r="N280">
        <v>0</v>
      </c>
      <c r="O280">
        <v>985</v>
      </c>
    </row>
    <row r="281" spans="1:15" x14ac:dyDescent="0.2">
      <c r="A281" t="s">
        <v>91</v>
      </c>
      <c r="B281" t="s">
        <v>16</v>
      </c>
      <c r="C281" t="s">
        <v>17</v>
      </c>
      <c r="D281" t="s">
        <v>75</v>
      </c>
      <c r="E281" t="s">
        <v>90</v>
      </c>
      <c r="F281">
        <v>3</v>
      </c>
      <c r="G281" t="s">
        <v>73</v>
      </c>
      <c r="H281" t="s">
        <v>24</v>
      </c>
      <c r="I281">
        <v>0</v>
      </c>
      <c r="J281">
        <v>0</v>
      </c>
      <c r="K281">
        <v>0</v>
      </c>
      <c r="L281">
        <v>209</v>
      </c>
      <c r="M281">
        <v>26</v>
      </c>
      <c r="N281">
        <v>0</v>
      </c>
      <c r="O281">
        <v>985</v>
      </c>
    </row>
    <row r="282" spans="1:15" x14ac:dyDescent="0.2">
      <c r="A282" t="s">
        <v>76</v>
      </c>
      <c r="B282" t="s">
        <v>16</v>
      </c>
      <c r="C282" t="s">
        <v>17</v>
      </c>
      <c r="D282" t="s">
        <v>75</v>
      </c>
      <c r="E282" t="s">
        <v>81</v>
      </c>
      <c r="F282">
        <v>3</v>
      </c>
      <c r="G282" t="s">
        <v>19</v>
      </c>
      <c r="H282" t="s">
        <v>20</v>
      </c>
      <c r="I282">
        <v>199</v>
      </c>
      <c r="J282">
        <v>258</v>
      </c>
      <c r="K282">
        <v>0</v>
      </c>
      <c r="L282">
        <v>253</v>
      </c>
      <c r="M282">
        <v>273</v>
      </c>
      <c r="N282">
        <v>0</v>
      </c>
      <c r="O282">
        <v>685</v>
      </c>
    </row>
    <row r="283" spans="1:15" x14ac:dyDescent="0.2">
      <c r="A283" t="s">
        <v>76</v>
      </c>
      <c r="B283" t="s">
        <v>16</v>
      </c>
      <c r="C283" t="s">
        <v>17</v>
      </c>
      <c r="D283" t="s">
        <v>75</v>
      </c>
      <c r="E283" t="s">
        <v>81</v>
      </c>
      <c r="F283">
        <v>3</v>
      </c>
      <c r="G283" t="s">
        <v>19</v>
      </c>
      <c r="H283" t="s">
        <v>21</v>
      </c>
      <c r="I283">
        <v>12</v>
      </c>
      <c r="J283">
        <v>6</v>
      </c>
      <c r="K283">
        <v>0</v>
      </c>
      <c r="L283">
        <v>253</v>
      </c>
      <c r="M283">
        <v>273</v>
      </c>
      <c r="N283">
        <v>0</v>
      </c>
      <c r="O283">
        <v>685</v>
      </c>
    </row>
    <row r="284" spans="1:15" x14ac:dyDescent="0.2">
      <c r="A284" t="s">
        <v>76</v>
      </c>
      <c r="B284" t="s">
        <v>16</v>
      </c>
      <c r="C284" t="s">
        <v>17</v>
      </c>
      <c r="D284" t="s">
        <v>75</v>
      </c>
      <c r="E284" t="s">
        <v>81</v>
      </c>
      <c r="F284">
        <v>3</v>
      </c>
      <c r="G284" t="s">
        <v>19</v>
      </c>
      <c r="H284" t="s">
        <v>22</v>
      </c>
      <c r="I284">
        <v>2</v>
      </c>
      <c r="J284">
        <v>3</v>
      </c>
      <c r="K284">
        <v>0</v>
      </c>
      <c r="L284">
        <v>253</v>
      </c>
      <c r="M284">
        <v>273</v>
      </c>
      <c r="N284">
        <v>0</v>
      </c>
      <c r="O284">
        <v>685</v>
      </c>
    </row>
    <row r="285" spans="1:15" x14ac:dyDescent="0.2">
      <c r="A285" t="s">
        <v>76</v>
      </c>
      <c r="B285" t="s">
        <v>16</v>
      </c>
      <c r="C285" t="s">
        <v>17</v>
      </c>
      <c r="D285" t="s">
        <v>75</v>
      </c>
      <c r="E285" t="s">
        <v>81</v>
      </c>
      <c r="F285">
        <v>3</v>
      </c>
      <c r="G285" t="s">
        <v>19</v>
      </c>
      <c r="H285" t="s">
        <v>23</v>
      </c>
      <c r="I285">
        <v>40</v>
      </c>
      <c r="J285">
        <v>6</v>
      </c>
      <c r="K285">
        <v>0</v>
      </c>
      <c r="L285">
        <v>253</v>
      </c>
      <c r="M285">
        <v>273</v>
      </c>
      <c r="N285">
        <v>0</v>
      </c>
      <c r="O285">
        <v>685</v>
      </c>
    </row>
    <row r="286" spans="1:15" x14ac:dyDescent="0.2">
      <c r="A286" t="s">
        <v>76</v>
      </c>
      <c r="B286" t="s">
        <v>16</v>
      </c>
      <c r="C286" t="s">
        <v>17</v>
      </c>
      <c r="D286" t="s">
        <v>75</v>
      </c>
      <c r="E286" t="s">
        <v>81</v>
      </c>
      <c r="F286">
        <v>3</v>
      </c>
      <c r="G286" t="s">
        <v>19</v>
      </c>
      <c r="H286" t="s">
        <v>24</v>
      </c>
      <c r="I286">
        <v>0</v>
      </c>
      <c r="J286">
        <v>0</v>
      </c>
      <c r="K286">
        <v>0</v>
      </c>
      <c r="L286">
        <v>253</v>
      </c>
      <c r="M286">
        <v>273</v>
      </c>
      <c r="N286">
        <v>0</v>
      </c>
      <c r="O286">
        <v>685</v>
      </c>
    </row>
    <row r="287" spans="1:15" x14ac:dyDescent="0.2">
      <c r="A287" t="s">
        <v>76</v>
      </c>
      <c r="B287" t="s">
        <v>16</v>
      </c>
      <c r="C287" t="s">
        <v>17</v>
      </c>
      <c r="D287" t="s">
        <v>75</v>
      </c>
      <c r="E287" t="s">
        <v>80</v>
      </c>
      <c r="F287">
        <v>3</v>
      </c>
      <c r="G287" t="s">
        <v>79</v>
      </c>
      <c r="H287" t="s">
        <v>20</v>
      </c>
      <c r="I287">
        <v>156</v>
      </c>
      <c r="J287">
        <v>71</v>
      </c>
      <c r="K287">
        <v>0</v>
      </c>
      <c r="L287">
        <v>183</v>
      </c>
      <c r="M287">
        <v>93</v>
      </c>
      <c r="N287">
        <v>0</v>
      </c>
      <c r="O287">
        <v>672</v>
      </c>
    </row>
    <row r="288" spans="1:15" x14ac:dyDescent="0.2">
      <c r="A288" t="s">
        <v>76</v>
      </c>
      <c r="B288" t="s">
        <v>16</v>
      </c>
      <c r="C288" t="s">
        <v>17</v>
      </c>
      <c r="D288" t="s">
        <v>75</v>
      </c>
      <c r="E288" t="s">
        <v>80</v>
      </c>
      <c r="F288">
        <v>3</v>
      </c>
      <c r="G288" t="s">
        <v>79</v>
      </c>
      <c r="H288" t="s">
        <v>21</v>
      </c>
      <c r="I288">
        <v>17</v>
      </c>
      <c r="J288">
        <v>13</v>
      </c>
      <c r="K288">
        <v>0</v>
      </c>
      <c r="L288">
        <v>183</v>
      </c>
      <c r="M288">
        <v>93</v>
      </c>
      <c r="N288">
        <v>0</v>
      </c>
      <c r="O288">
        <v>672</v>
      </c>
    </row>
    <row r="289" spans="1:15" x14ac:dyDescent="0.2">
      <c r="A289" t="s">
        <v>76</v>
      </c>
      <c r="B289" t="s">
        <v>16</v>
      </c>
      <c r="C289" t="s">
        <v>17</v>
      </c>
      <c r="D289" t="s">
        <v>75</v>
      </c>
      <c r="E289" t="s">
        <v>80</v>
      </c>
      <c r="F289">
        <v>3</v>
      </c>
      <c r="G289" t="s">
        <v>79</v>
      </c>
      <c r="H289" t="s">
        <v>22</v>
      </c>
      <c r="I289">
        <v>8</v>
      </c>
      <c r="J289">
        <v>5</v>
      </c>
      <c r="K289">
        <v>0</v>
      </c>
      <c r="L289">
        <v>183</v>
      </c>
      <c r="M289">
        <v>93</v>
      </c>
      <c r="N289">
        <v>0</v>
      </c>
      <c r="O289">
        <v>672</v>
      </c>
    </row>
    <row r="290" spans="1:15" x14ac:dyDescent="0.2">
      <c r="A290" t="s">
        <v>76</v>
      </c>
      <c r="B290" t="s">
        <v>16</v>
      </c>
      <c r="C290" t="s">
        <v>17</v>
      </c>
      <c r="D290" t="s">
        <v>75</v>
      </c>
      <c r="E290" t="s">
        <v>80</v>
      </c>
      <c r="F290">
        <v>3</v>
      </c>
      <c r="G290" t="s">
        <v>79</v>
      </c>
      <c r="H290" t="s">
        <v>23</v>
      </c>
      <c r="I290">
        <v>2</v>
      </c>
      <c r="J290">
        <v>4</v>
      </c>
      <c r="K290">
        <v>0</v>
      </c>
      <c r="L290">
        <v>183</v>
      </c>
      <c r="M290">
        <v>93</v>
      </c>
      <c r="N290">
        <v>0</v>
      </c>
      <c r="O290">
        <v>672</v>
      </c>
    </row>
    <row r="291" spans="1:15" x14ac:dyDescent="0.2">
      <c r="A291" t="s">
        <v>76</v>
      </c>
      <c r="B291" t="s">
        <v>16</v>
      </c>
      <c r="C291" t="s">
        <v>17</v>
      </c>
      <c r="D291" t="s">
        <v>75</v>
      </c>
      <c r="E291" t="s">
        <v>80</v>
      </c>
      <c r="F291">
        <v>3</v>
      </c>
      <c r="G291" t="s">
        <v>79</v>
      </c>
      <c r="H291" t="s">
        <v>24</v>
      </c>
      <c r="I291">
        <v>0</v>
      </c>
      <c r="J291">
        <v>0</v>
      </c>
      <c r="K291">
        <v>0</v>
      </c>
      <c r="L291">
        <v>183</v>
      </c>
      <c r="M291">
        <v>93</v>
      </c>
      <c r="N291">
        <v>0</v>
      </c>
      <c r="O291">
        <v>672</v>
      </c>
    </row>
    <row r="292" spans="1:15" x14ac:dyDescent="0.2">
      <c r="A292" t="s">
        <v>76</v>
      </c>
      <c r="B292" t="s">
        <v>16</v>
      </c>
      <c r="C292" t="s">
        <v>17</v>
      </c>
      <c r="D292" t="s">
        <v>75</v>
      </c>
      <c r="E292" t="s">
        <v>78</v>
      </c>
      <c r="F292">
        <v>3</v>
      </c>
      <c r="G292" t="s">
        <v>77</v>
      </c>
      <c r="H292" t="s">
        <v>20</v>
      </c>
      <c r="I292">
        <v>159</v>
      </c>
      <c r="J292">
        <v>44</v>
      </c>
      <c r="K292">
        <v>0</v>
      </c>
      <c r="L292">
        <v>201</v>
      </c>
      <c r="M292">
        <v>70</v>
      </c>
      <c r="N292">
        <v>0</v>
      </c>
      <c r="O292">
        <v>661</v>
      </c>
    </row>
    <row r="293" spans="1:15" x14ac:dyDescent="0.2">
      <c r="A293" t="s">
        <v>76</v>
      </c>
      <c r="B293" t="s">
        <v>16</v>
      </c>
      <c r="C293" t="s">
        <v>17</v>
      </c>
      <c r="D293" t="s">
        <v>75</v>
      </c>
      <c r="E293" t="s">
        <v>78</v>
      </c>
      <c r="F293">
        <v>3</v>
      </c>
      <c r="G293" t="s">
        <v>77</v>
      </c>
      <c r="H293" t="s">
        <v>21</v>
      </c>
      <c r="I293">
        <v>19</v>
      </c>
      <c r="J293">
        <v>20</v>
      </c>
      <c r="K293">
        <v>0</v>
      </c>
      <c r="L293">
        <v>201</v>
      </c>
      <c r="M293">
        <v>70</v>
      </c>
      <c r="N293">
        <v>0</v>
      </c>
      <c r="O293">
        <v>661</v>
      </c>
    </row>
    <row r="294" spans="1:15" x14ac:dyDescent="0.2">
      <c r="A294" t="s">
        <v>76</v>
      </c>
      <c r="B294" t="s">
        <v>16</v>
      </c>
      <c r="C294" t="s">
        <v>17</v>
      </c>
      <c r="D294" t="s">
        <v>75</v>
      </c>
      <c r="E294" t="s">
        <v>78</v>
      </c>
      <c r="F294">
        <v>3</v>
      </c>
      <c r="G294" t="s">
        <v>77</v>
      </c>
      <c r="H294" t="s">
        <v>22</v>
      </c>
      <c r="I294">
        <v>4</v>
      </c>
      <c r="J294">
        <v>3</v>
      </c>
      <c r="K294">
        <v>0</v>
      </c>
      <c r="L294">
        <v>201</v>
      </c>
      <c r="M294">
        <v>70</v>
      </c>
      <c r="N294">
        <v>0</v>
      </c>
      <c r="O294">
        <v>661</v>
      </c>
    </row>
    <row r="295" spans="1:15" x14ac:dyDescent="0.2">
      <c r="A295" t="s">
        <v>76</v>
      </c>
      <c r="B295" t="s">
        <v>16</v>
      </c>
      <c r="C295" t="s">
        <v>17</v>
      </c>
      <c r="D295" t="s">
        <v>75</v>
      </c>
      <c r="E295" t="s">
        <v>78</v>
      </c>
      <c r="F295">
        <v>3</v>
      </c>
      <c r="G295" t="s">
        <v>77</v>
      </c>
      <c r="H295" t="s">
        <v>23</v>
      </c>
      <c r="I295">
        <v>19</v>
      </c>
      <c r="J295">
        <v>3</v>
      </c>
      <c r="K295">
        <v>0</v>
      </c>
      <c r="L295">
        <v>201</v>
      </c>
      <c r="M295">
        <v>70</v>
      </c>
      <c r="N295">
        <v>0</v>
      </c>
      <c r="O295">
        <v>661</v>
      </c>
    </row>
    <row r="296" spans="1:15" x14ac:dyDescent="0.2">
      <c r="A296" t="s">
        <v>76</v>
      </c>
      <c r="B296" t="s">
        <v>16</v>
      </c>
      <c r="C296" t="s">
        <v>17</v>
      </c>
      <c r="D296" t="s">
        <v>75</v>
      </c>
      <c r="E296" t="s">
        <v>78</v>
      </c>
      <c r="F296">
        <v>3</v>
      </c>
      <c r="G296" t="s">
        <v>77</v>
      </c>
      <c r="H296" t="s">
        <v>24</v>
      </c>
      <c r="I296">
        <v>0</v>
      </c>
      <c r="J296">
        <v>0</v>
      </c>
      <c r="K296">
        <v>0</v>
      </c>
      <c r="L296">
        <v>201</v>
      </c>
      <c r="M296">
        <v>70</v>
      </c>
      <c r="N296">
        <v>0</v>
      </c>
      <c r="O296">
        <v>661</v>
      </c>
    </row>
    <row r="297" spans="1:15" x14ac:dyDescent="0.2">
      <c r="A297" t="s">
        <v>76</v>
      </c>
      <c r="B297" t="s">
        <v>16</v>
      </c>
      <c r="C297" t="s">
        <v>17</v>
      </c>
      <c r="D297" t="s">
        <v>75</v>
      </c>
      <c r="E297" t="s">
        <v>74</v>
      </c>
      <c r="F297">
        <v>3</v>
      </c>
      <c r="G297" t="s">
        <v>73</v>
      </c>
      <c r="H297" t="s">
        <v>20</v>
      </c>
      <c r="I297">
        <v>43</v>
      </c>
      <c r="J297">
        <v>53</v>
      </c>
      <c r="K297">
        <v>0</v>
      </c>
      <c r="L297">
        <v>188</v>
      </c>
      <c r="M297">
        <v>69</v>
      </c>
      <c r="N297">
        <v>0</v>
      </c>
      <c r="O297">
        <v>673</v>
      </c>
    </row>
    <row r="298" spans="1:15" x14ac:dyDescent="0.2">
      <c r="A298" t="s">
        <v>76</v>
      </c>
      <c r="B298" t="s">
        <v>16</v>
      </c>
      <c r="C298" t="s">
        <v>17</v>
      </c>
      <c r="D298" t="s">
        <v>75</v>
      </c>
      <c r="E298" t="s">
        <v>74</v>
      </c>
      <c r="F298">
        <v>3</v>
      </c>
      <c r="G298" t="s">
        <v>73</v>
      </c>
      <c r="H298" t="s">
        <v>21</v>
      </c>
      <c r="I298">
        <v>105</v>
      </c>
      <c r="J298">
        <v>9</v>
      </c>
      <c r="K298">
        <v>0</v>
      </c>
      <c r="L298">
        <v>188</v>
      </c>
      <c r="M298">
        <v>69</v>
      </c>
      <c r="N298">
        <v>0</v>
      </c>
      <c r="O298">
        <v>673</v>
      </c>
    </row>
    <row r="299" spans="1:15" x14ac:dyDescent="0.2">
      <c r="A299" t="s">
        <v>76</v>
      </c>
      <c r="B299" t="s">
        <v>16</v>
      </c>
      <c r="C299" t="s">
        <v>17</v>
      </c>
      <c r="D299" t="s">
        <v>75</v>
      </c>
      <c r="E299" t="s">
        <v>74</v>
      </c>
      <c r="F299">
        <v>3</v>
      </c>
      <c r="G299" t="s">
        <v>73</v>
      </c>
      <c r="H299" t="s">
        <v>22</v>
      </c>
      <c r="I299">
        <v>12</v>
      </c>
      <c r="J299">
        <v>1</v>
      </c>
      <c r="K299">
        <v>0</v>
      </c>
      <c r="L299">
        <v>188</v>
      </c>
      <c r="M299">
        <v>69</v>
      </c>
      <c r="N299">
        <v>0</v>
      </c>
      <c r="O299">
        <v>673</v>
      </c>
    </row>
    <row r="300" spans="1:15" x14ac:dyDescent="0.2">
      <c r="A300" t="s">
        <v>76</v>
      </c>
      <c r="B300" t="s">
        <v>16</v>
      </c>
      <c r="C300" t="s">
        <v>17</v>
      </c>
      <c r="D300" t="s">
        <v>75</v>
      </c>
      <c r="E300" t="s">
        <v>74</v>
      </c>
      <c r="F300">
        <v>3</v>
      </c>
      <c r="G300" t="s">
        <v>73</v>
      </c>
      <c r="H300" t="s">
        <v>23</v>
      </c>
      <c r="I300">
        <v>28</v>
      </c>
      <c r="J300">
        <v>6</v>
      </c>
      <c r="K300">
        <v>0</v>
      </c>
      <c r="L300">
        <v>188</v>
      </c>
      <c r="M300">
        <v>69</v>
      </c>
      <c r="N300">
        <v>0</v>
      </c>
      <c r="O300">
        <v>673</v>
      </c>
    </row>
    <row r="301" spans="1:15" x14ac:dyDescent="0.2">
      <c r="A301" t="s">
        <v>76</v>
      </c>
      <c r="B301" t="s">
        <v>16</v>
      </c>
      <c r="C301" t="s">
        <v>17</v>
      </c>
      <c r="D301" t="s">
        <v>75</v>
      </c>
      <c r="E301" t="s">
        <v>74</v>
      </c>
      <c r="F301">
        <v>3</v>
      </c>
      <c r="G301" t="s">
        <v>73</v>
      </c>
      <c r="H301" t="s">
        <v>24</v>
      </c>
      <c r="I301">
        <v>0</v>
      </c>
      <c r="J301">
        <v>0</v>
      </c>
      <c r="K301">
        <v>0</v>
      </c>
      <c r="L301">
        <v>188</v>
      </c>
      <c r="M301">
        <v>69</v>
      </c>
      <c r="N301">
        <v>0</v>
      </c>
      <c r="O301">
        <v>673</v>
      </c>
    </row>
    <row r="302" spans="1:15" x14ac:dyDescent="0.2">
      <c r="A302" t="s">
        <v>115</v>
      </c>
      <c r="B302" t="s">
        <v>16</v>
      </c>
      <c r="C302" t="s">
        <v>17</v>
      </c>
      <c r="D302" t="s">
        <v>75</v>
      </c>
      <c r="E302" t="s">
        <v>118</v>
      </c>
      <c r="F302">
        <v>3</v>
      </c>
      <c r="G302" t="s">
        <v>19</v>
      </c>
      <c r="H302" t="s">
        <v>20</v>
      </c>
      <c r="I302">
        <v>80</v>
      </c>
      <c r="J302">
        <v>48</v>
      </c>
      <c r="K302">
        <v>0</v>
      </c>
      <c r="L302">
        <v>81</v>
      </c>
      <c r="M302">
        <v>49</v>
      </c>
      <c r="N302">
        <v>0</v>
      </c>
      <c r="O302">
        <v>196</v>
      </c>
    </row>
    <row r="303" spans="1:15" x14ac:dyDescent="0.2">
      <c r="A303" t="s">
        <v>115</v>
      </c>
      <c r="B303" t="s">
        <v>16</v>
      </c>
      <c r="C303" t="s">
        <v>17</v>
      </c>
      <c r="D303" t="s">
        <v>75</v>
      </c>
      <c r="E303" t="s">
        <v>118</v>
      </c>
      <c r="F303">
        <v>3</v>
      </c>
      <c r="G303" t="s">
        <v>19</v>
      </c>
      <c r="H303" t="s">
        <v>21</v>
      </c>
      <c r="I303">
        <v>1</v>
      </c>
      <c r="J303">
        <v>0</v>
      </c>
      <c r="K303">
        <v>0</v>
      </c>
      <c r="L303">
        <v>81</v>
      </c>
      <c r="M303">
        <v>49</v>
      </c>
      <c r="N303">
        <v>0</v>
      </c>
      <c r="O303">
        <v>196</v>
      </c>
    </row>
    <row r="304" spans="1:15" x14ac:dyDescent="0.2">
      <c r="A304" t="s">
        <v>115</v>
      </c>
      <c r="B304" t="s">
        <v>16</v>
      </c>
      <c r="C304" t="s">
        <v>17</v>
      </c>
      <c r="D304" t="s">
        <v>75</v>
      </c>
      <c r="E304" t="s">
        <v>118</v>
      </c>
      <c r="F304">
        <v>3</v>
      </c>
      <c r="G304" t="s">
        <v>19</v>
      </c>
      <c r="H304" t="s">
        <v>22</v>
      </c>
      <c r="I304">
        <v>0</v>
      </c>
      <c r="J304">
        <v>0</v>
      </c>
      <c r="K304">
        <v>0</v>
      </c>
      <c r="L304">
        <v>81</v>
      </c>
      <c r="M304">
        <v>49</v>
      </c>
      <c r="N304">
        <v>0</v>
      </c>
      <c r="O304">
        <v>196</v>
      </c>
    </row>
    <row r="305" spans="1:15" x14ac:dyDescent="0.2">
      <c r="A305" t="s">
        <v>115</v>
      </c>
      <c r="B305" t="s">
        <v>16</v>
      </c>
      <c r="C305" t="s">
        <v>17</v>
      </c>
      <c r="D305" t="s">
        <v>75</v>
      </c>
      <c r="E305" t="s">
        <v>118</v>
      </c>
      <c r="F305">
        <v>3</v>
      </c>
      <c r="G305" t="s">
        <v>19</v>
      </c>
      <c r="H305" t="s">
        <v>23</v>
      </c>
      <c r="I305">
        <v>0</v>
      </c>
      <c r="J305">
        <v>1</v>
      </c>
      <c r="K305">
        <v>0</v>
      </c>
      <c r="L305">
        <v>81</v>
      </c>
      <c r="M305">
        <v>49</v>
      </c>
      <c r="N305">
        <v>0</v>
      </c>
      <c r="O305">
        <v>196</v>
      </c>
    </row>
    <row r="306" spans="1:15" x14ac:dyDescent="0.2">
      <c r="A306" t="s">
        <v>115</v>
      </c>
      <c r="B306" t="s">
        <v>16</v>
      </c>
      <c r="C306" t="s">
        <v>17</v>
      </c>
      <c r="D306" t="s">
        <v>75</v>
      </c>
      <c r="E306" t="s">
        <v>118</v>
      </c>
      <c r="F306">
        <v>3</v>
      </c>
      <c r="G306" t="s">
        <v>19</v>
      </c>
      <c r="H306" t="s">
        <v>24</v>
      </c>
      <c r="I306">
        <v>0</v>
      </c>
      <c r="J306">
        <v>0</v>
      </c>
      <c r="K306">
        <v>0</v>
      </c>
      <c r="L306">
        <v>81</v>
      </c>
      <c r="M306">
        <v>49</v>
      </c>
      <c r="N306">
        <v>0</v>
      </c>
      <c r="O306">
        <v>196</v>
      </c>
    </row>
    <row r="307" spans="1:15" x14ac:dyDescent="0.2">
      <c r="A307" t="s">
        <v>115</v>
      </c>
      <c r="B307" t="s">
        <v>16</v>
      </c>
      <c r="C307" t="s">
        <v>17</v>
      </c>
      <c r="D307" t="s">
        <v>75</v>
      </c>
      <c r="E307" t="s">
        <v>117</v>
      </c>
      <c r="F307">
        <v>3</v>
      </c>
      <c r="G307" t="s">
        <v>79</v>
      </c>
      <c r="H307" t="s">
        <v>20</v>
      </c>
      <c r="I307">
        <v>25</v>
      </c>
      <c r="J307">
        <v>3</v>
      </c>
      <c r="K307">
        <v>0</v>
      </c>
      <c r="L307">
        <v>32</v>
      </c>
      <c r="M307">
        <v>16</v>
      </c>
      <c r="N307">
        <v>0</v>
      </c>
      <c r="O307">
        <v>196</v>
      </c>
    </row>
    <row r="308" spans="1:15" x14ac:dyDescent="0.2">
      <c r="A308" t="s">
        <v>115</v>
      </c>
      <c r="B308" t="s">
        <v>16</v>
      </c>
      <c r="C308" t="s">
        <v>17</v>
      </c>
      <c r="D308" t="s">
        <v>75</v>
      </c>
      <c r="E308" t="s">
        <v>117</v>
      </c>
      <c r="F308">
        <v>3</v>
      </c>
      <c r="G308" t="s">
        <v>79</v>
      </c>
      <c r="H308" t="s">
        <v>21</v>
      </c>
      <c r="I308">
        <v>5</v>
      </c>
      <c r="J308">
        <v>9</v>
      </c>
      <c r="K308">
        <v>0</v>
      </c>
      <c r="L308">
        <v>32</v>
      </c>
      <c r="M308">
        <v>16</v>
      </c>
      <c r="N308">
        <v>0</v>
      </c>
      <c r="O308">
        <v>196</v>
      </c>
    </row>
    <row r="309" spans="1:15" x14ac:dyDescent="0.2">
      <c r="A309" t="s">
        <v>115</v>
      </c>
      <c r="B309" t="s">
        <v>16</v>
      </c>
      <c r="C309" t="s">
        <v>17</v>
      </c>
      <c r="D309" t="s">
        <v>75</v>
      </c>
      <c r="E309" t="s">
        <v>117</v>
      </c>
      <c r="F309">
        <v>3</v>
      </c>
      <c r="G309" t="s">
        <v>79</v>
      </c>
      <c r="H309" t="s">
        <v>22</v>
      </c>
      <c r="I309">
        <v>2</v>
      </c>
      <c r="J309">
        <v>4</v>
      </c>
      <c r="K309">
        <v>0</v>
      </c>
      <c r="L309">
        <v>32</v>
      </c>
      <c r="M309">
        <v>16</v>
      </c>
      <c r="N309">
        <v>0</v>
      </c>
      <c r="O309">
        <v>196</v>
      </c>
    </row>
    <row r="310" spans="1:15" x14ac:dyDescent="0.2">
      <c r="A310" t="s">
        <v>115</v>
      </c>
      <c r="B310" t="s">
        <v>16</v>
      </c>
      <c r="C310" t="s">
        <v>17</v>
      </c>
      <c r="D310" t="s">
        <v>75</v>
      </c>
      <c r="E310" t="s">
        <v>117</v>
      </c>
      <c r="F310">
        <v>3</v>
      </c>
      <c r="G310" t="s">
        <v>79</v>
      </c>
      <c r="H310" t="s">
        <v>23</v>
      </c>
      <c r="I310">
        <v>0</v>
      </c>
      <c r="J310">
        <v>0</v>
      </c>
      <c r="K310">
        <v>0</v>
      </c>
      <c r="L310">
        <v>32</v>
      </c>
      <c r="M310">
        <v>16</v>
      </c>
      <c r="N310">
        <v>0</v>
      </c>
      <c r="O310">
        <v>196</v>
      </c>
    </row>
    <row r="311" spans="1:15" x14ac:dyDescent="0.2">
      <c r="A311" t="s">
        <v>115</v>
      </c>
      <c r="B311" t="s">
        <v>16</v>
      </c>
      <c r="C311" t="s">
        <v>17</v>
      </c>
      <c r="D311" t="s">
        <v>75</v>
      </c>
      <c r="E311" t="s">
        <v>117</v>
      </c>
      <c r="F311">
        <v>3</v>
      </c>
      <c r="G311" t="s">
        <v>79</v>
      </c>
      <c r="H311" t="s">
        <v>24</v>
      </c>
      <c r="I311">
        <v>0</v>
      </c>
      <c r="J311">
        <v>0</v>
      </c>
      <c r="K311">
        <v>0</v>
      </c>
      <c r="L311">
        <v>32</v>
      </c>
      <c r="M311">
        <v>16</v>
      </c>
      <c r="N311">
        <v>0</v>
      </c>
      <c r="O311">
        <v>196</v>
      </c>
    </row>
    <row r="312" spans="1:15" x14ac:dyDescent="0.2">
      <c r="A312" t="s">
        <v>115</v>
      </c>
      <c r="B312" t="s">
        <v>16</v>
      </c>
      <c r="C312" t="s">
        <v>17</v>
      </c>
      <c r="D312" t="s">
        <v>75</v>
      </c>
      <c r="E312" t="s">
        <v>116</v>
      </c>
      <c r="F312">
        <v>3</v>
      </c>
      <c r="G312" t="s">
        <v>77</v>
      </c>
      <c r="H312" t="s">
        <v>20</v>
      </c>
      <c r="I312">
        <v>31</v>
      </c>
      <c r="J312">
        <v>6</v>
      </c>
      <c r="K312">
        <v>0</v>
      </c>
      <c r="L312">
        <v>40</v>
      </c>
      <c r="M312">
        <v>24</v>
      </c>
      <c r="N312">
        <v>0</v>
      </c>
      <c r="O312">
        <v>196</v>
      </c>
    </row>
    <row r="313" spans="1:15" x14ac:dyDescent="0.2">
      <c r="A313" t="s">
        <v>115</v>
      </c>
      <c r="B313" t="s">
        <v>16</v>
      </c>
      <c r="C313" t="s">
        <v>17</v>
      </c>
      <c r="D313" t="s">
        <v>75</v>
      </c>
      <c r="E313" t="s">
        <v>116</v>
      </c>
      <c r="F313">
        <v>3</v>
      </c>
      <c r="G313" t="s">
        <v>77</v>
      </c>
      <c r="H313" t="s">
        <v>21</v>
      </c>
      <c r="I313">
        <v>5</v>
      </c>
      <c r="J313">
        <v>9</v>
      </c>
      <c r="K313">
        <v>0</v>
      </c>
      <c r="L313">
        <v>40</v>
      </c>
      <c r="M313">
        <v>24</v>
      </c>
      <c r="N313">
        <v>0</v>
      </c>
      <c r="O313">
        <v>196</v>
      </c>
    </row>
    <row r="314" spans="1:15" x14ac:dyDescent="0.2">
      <c r="A314" t="s">
        <v>115</v>
      </c>
      <c r="B314" t="s">
        <v>16</v>
      </c>
      <c r="C314" t="s">
        <v>17</v>
      </c>
      <c r="D314" t="s">
        <v>75</v>
      </c>
      <c r="E314" t="s">
        <v>116</v>
      </c>
      <c r="F314">
        <v>3</v>
      </c>
      <c r="G314" t="s">
        <v>77</v>
      </c>
      <c r="H314" t="s">
        <v>22</v>
      </c>
      <c r="I314">
        <v>2</v>
      </c>
      <c r="J314">
        <v>3</v>
      </c>
      <c r="K314">
        <v>0</v>
      </c>
      <c r="L314">
        <v>40</v>
      </c>
      <c r="M314">
        <v>24</v>
      </c>
      <c r="N314">
        <v>0</v>
      </c>
      <c r="O314">
        <v>196</v>
      </c>
    </row>
    <row r="315" spans="1:15" x14ac:dyDescent="0.2">
      <c r="A315" t="s">
        <v>115</v>
      </c>
      <c r="B315" t="s">
        <v>16</v>
      </c>
      <c r="C315" t="s">
        <v>17</v>
      </c>
      <c r="D315" t="s">
        <v>75</v>
      </c>
      <c r="E315" t="s">
        <v>116</v>
      </c>
      <c r="F315">
        <v>3</v>
      </c>
      <c r="G315" t="s">
        <v>77</v>
      </c>
      <c r="H315" t="s">
        <v>23</v>
      </c>
      <c r="I315">
        <v>2</v>
      </c>
      <c r="J315">
        <v>6</v>
      </c>
      <c r="K315">
        <v>0</v>
      </c>
      <c r="L315">
        <v>40</v>
      </c>
      <c r="M315">
        <v>24</v>
      </c>
      <c r="N315">
        <v>0</v>
      </c>
      <c r="O315">
        <v>196</v>
      </c>
    </row>
    <row r="316" spans="1:15" x14ac:dyDescent="0.2">
      <c r="A316" t="s">
        <v>115</v>
      </c>
      <c r="B316" t="s">
        <v>16</v>
      </c>
      <c r="C316" t="s">
        <v>17</v>
      </c>
      <c r="D316" t="s">
        <v>75</v>
      </c>
      <c r="E316" t="s">
        <v>116</v>
      </c>
      <c r="F316">
        <v>3</v>
      </c>
      <c r="G316" t="s">
        <v>77</v>
      </c>
      <c r="H316" t="s">
        <v>24</v>
      </c>
      <c r="I316">
        <v>0</v>
      </c>
      <c r="J316">
        <v>0</v>
      </c>
      <c r="K316">
        <v>0</v>
      </c>
      <c r="L316">
        <v>40</v>
      </c>
      <c r="M316">
        <v>24</v>
      </c>
      <c r="N316">
        <v>0</v>
      </c>
      <c r="O316">
        <v>196</v>
      </c>
    </row>
    <row r="317" spans="1:15" x14ac:dyDescent="0.2">
      <c r="A317" t="s">
        <v>115</v>
      </c>
      <c r="B317" t="s">
        <v>16</v>
      </c>
      <c r="C317" t="s">
        <v>17</v>
      </c>
      <c r="D317" t="s">
        <v>75</v>
      </c>
      <c r="E317" t="s">
        <v>114</v>
      </c>
      <c r="F317">
        <v>3</v>
      </c>
      <c r="G317" t="s">
        <v>73</v>
      </c>
      <c r="H317" t="s">
        <v>20</v>
      </c>
      <c r="I317">
        <v>17</v>
      </c>
      <c r="J317">
        <v>4</v>
      </c>
      <c r="K317">
        <v>0</v>
      </c>
      <c r="L317">
        <v>41</v>
      </c>
      <c r="M317">
        <v>24</v>
      </c>
      <c r="N317">
        <v>0</v>
      </c>
      <c r="O317">
        <v>197</v>
      </c>
    </row>
    <row r="318" spans="1:15" x14ac:dyDescent="0.2">
      <c r="A318" t="s">
        <v>115</v>
      </c>
      <c r="B318" t="s">
        <v>16</v>
      </c>
      <c r="C318" t="s">
        <v>17</v>
      </c>
      <c r="D318" t="s">
        <v>75</v>
      </c>
      <c r="E318" t="s">
        <v>114</v>
      </c>
      <c r="F318">
        <v>3</v>
      </c>
      <c r="G318" t="s">
        <v>73</v>
      </c>
      <c r="H318" t="s">
        <v>21</v>
      </c>
      <c r="I318">
        <v>21</v>
      </c>
      <c r="J318">
        <v>9</v>
      </c>
      <c r="K318">
        <v>0</v>
      </c>
      <c r="L318">
        <v>41</v>
      </c>
      <c r="M318">
        <v>24</v>
      </c>
      <c r="N318">
        <v>0</v>
      </c>
      <c r="O318">
        <v>197</v>
      </c>
    </row>
    <row r="319" spans="1:15" x14ac:dyDescent="0.2">
      <c r="A319" t="s">
        <v>115</v>
      </c>
      <c r="B319" t="s">
        <v>16</v>
      </c>
      <c r="C319" t="s">
        <v>17</v>
      </c>
      <c r="D319" t="s">
        <v>75</v>
      </c>
      <c r="E319" t="s">
        <v>114</v>
      </c>
      <c r="F319">
        <v>3</v>
      </c>
      <c r="G319" t="s">
        <v>73</v>
      </c>
      <c r="H319" t="s">
        <v>22</v>
      </c>
      <c r="I319">
        <v>1</v>
      </c>
      <c r="J319">
        <v>7</v>
      </c>
      <c r="K319">
        <v>0</v>
      </c>
      <c r="L319">
        <v>41</v>
      </c>
      <c r="M319">
        <v>24</v>
      </c>
      <c r="N319">
        <v>0</v>
      </c>
      <c r="O319">
        <v>197</v>
      </c>
    </row>
    <row r="320" spans="1:15" x14ac:dyDescent="0.2">
      <c r="A320" t="s">
        <v>115</v>
      </c>
      <c r="B320" t="s">
        <v>16</v>
      </c>
      <c r="C320" t="s">
        <v>17</v>
      </c>
      <c r="D320" t="s">
        <v>75</v>
      </c>
      <c r="E320" t="s">
        <v>114</v>
      </c>
      <c r="F320">
        <v>3</v>
      </c>
      <c r="G320" t="s">
        <v>73</v>
      </c>
      <c r="H320" t="s">
        <v>23</v>
      </c>
      <c r="I320">
        <v>2</v>
      </c>
      <c r="J320">
        <v>4</v>
      </c>
      <c r="K320">
        <v>0</v>
      </c>
      <c r="L320">
        <v>41</v>
      </c>
      <c r="M320">
        <v>24</v>
      </c>
      <c r="N320">
        <v>0</v>
      </c>
      <c r="O320">
        <v>197</v>
      </c>
    </row>
    <row r="321" spans="1:15" x14ac:dyDescent="0.2">
      <c r="A321" t="s">
        <v>115</v>
      </c>
      <c r="B321" t="s">
        <v>16</v>
      </c>
      <c r="C321" t="s">
        <v>17</v>
      </c>
      <c r="D321" t="s">
        <v>75</v>
      </c>
      <c r="E321" t="s">
        <v>114</v>
      </c>
      <c r="F321">
        <v>3</v>
      </c>
      <c r="G321" t="s">
        <v>73</v>
      </c>
      <c r="H321" t="s">
        <v>24</v>
      </c>
      <c r="I321">
        <v>0</v>
      </c>
      <c r="J321">
        <v>0</v>
      </c>
      <c r="K321">
        <v>0</v>
      </c>
      <c r="L321">
        <v>41</v>
      </c>
      <c r="M321">
        <v>24</v>
      </c>
      <c r="N321">
        <v>0</v>
      </c>
      <c r="O321">
        <v>197</v>
      </c>
    </row>
    <row r="322" spans="1:15" x14ac:dyDescent="0.2">
      <c r="A322" t="s">
        <v>112</v>
      </c>
      <c r="B322" t="s">
        <v>37</v>
      </c>
      <c r="C322" t="s">
        <v>17</v>
      </c>
      <c r="D322" t="s">
        <v>75</v>
      </c>
      <c r="E322" t="s">
        <v>106</v>
      </c>
      <c r="F322">
        <v>3</v>
      </c>
      <c r="G322" t="s">
        <v>19</v>
      </c>
      <c r="H322" t="s">
        <v>20</v>
      </c>
      <c r="I322">
        <v>668</v>
      </c>
      <c r="J322">
        <v>43</v>
      </c>
      <c r="K322">
        <v>0</v>
      </c>
      <c r="L322">
        <v>879</v>
      </c>
      <c r="M322">
        <v>79</v>
      </c>
      <c r="N322">
        <v>0</v>
      </c>
      <c r="O322">
        <v>995</v>
      </c>
    </row>
    <row r="323" spans="1:15" x14ac:dyDescent="0.2">
      <c r="A323" t="s">
        <v>112</v>
      </c>
      <c r="B323" t="s">
        <v>37</v>
      </c>
      <c r="C323" t="s">
        <v>17</v>
      </c>
      <c r="D323" t="s">
        <v>75</v>
      </c>
      <c r="E323" t="s">
        <v>106</v>
      </c>
      <c r="F323">
        <v>3</v>
      </c>
      <c r="G323" t="s">
        <v>19</v>
      </c>
      <c r="H323" t="s">
        <v>21</v>
      </c>
      <c r="I323">
        <v>104</v>
      </c>
      <c r="J323">
        <v>12</v>
      </c>
      <c r="K323">
        <v>0</v>
      </c>
      <c r="L323">
        <v>879</v>
      </c>
      <c r="M323">
        <v>79</v>
      </c>
      <c r="N323">
        <v>0</v>
      </c>
      <c r="O323">
        <v>995</v>
      </c>
    </row>
    <row r="324" spans="1:15" x14ac:dyDescent="0.2">
      <c r="A324" t="s">
        <v>112</v>
      </c>
      <c r="B324" t="s">
        <v>37</v>
      </c>
      <c r="C324" t="s">
        <v>17</v>
      </c>
      <c r="D324" t="s">
        <v>75</v>
      </c>
      <c r="E324" t="s">
        <v>106</v>
      </c>
      <c r="F324">
        <v>3</v>
      </c>
      <c r="G324" t="s">
        <v>19</v>
      </c>
      <c r="H324" t="s">
        <v>22</v>
      </c>
      <c r="I324">
        <v>33</v>
      </c>
      <c r="J324">
        <v>7</v>
      </c>
      <c r="K324">
        <v>0</v>
      </c>
      <c r="L324">
        <v>879</v>
      </c>
      <c r="M324">
        <v>79</v>
      </c>
      <c r="N324">
        <v>0</v>
      </c>
      <c r="O324">
        <v>995</v>
      </c>
    </row>
    <row r="325" spans="1:15" x14ac:dyDescent="0.2">
      <c r="A325" t="s">
        <v>112</v>
      </c>
      <c r="B325" t="s">
        <v>37</v>
      </c>
      <c r="C325" t="s">
        <v>17</v>
      </c>
      <c r="D325" t="s">
        <v>75</v>
      </c>
      <c r="E325" t="s">
        <v>106</v>
      </c>
      <c r="F325">
        <v>3</v>
      </c>
      <c r="G325" t="s">
        <v>19</v>
      </c>
      <c r="H325" t="s">
        <v>23</v>
      </c>
      <c r="I325">
        <v>74</v>
      </c>
      <c r="J325">
        <v>17</v>
      </c>
      <c r="K325">
        <v>0</v>
      </c>
      <c r="L325">
        <v>879</v>
      </c>
      <c r="M325">
        <v>79</v>
      </c>
      <c r="N325">
        <v>0</v>
      </c>
      <c r="O325">
        <v>995</v>
      </c>
    </row>
    <row r="326" spans="1:15" x14ac:dyDescent="0.2">
      <c r="A326" t="s">
        <v>112</v>
      </c>
      <c r="B326" t="s">
        <v>37</v>
      </c>
      <c r="C326" t="s">
        <v>17</v>
      </c>
      <c r="D326" t="s">
        <v>75</v>
      </c>
      <c r="E326" t="s">
        <v>106</v>
      </c>
      <c r="F326">
        <v>3</v>
      </c>
      <c r="G326" t="s">
        <v>19</v>
      </c>
      <c r="H326" t="s">
        <v>24</v>
      </c>
      <c r="I326">
        <v>0</v>
      </c>
      <c r="J326">
        <v>0</v>
      </c>
      <c r="K326">
        <v>0</v>
      </c>
      <c r="L326">
        <v>879</v>
      </c>
      <c r="M326">
        <v>79</v>
      </c>
      <c r="N326">
        <v>0</v>
      </c>
      <c r="O326">
        <v>995</v>
      </c>
    </row>
    <row r="327" spans="1:15" x14ac:dyDescent="0.2">
      <c r="A327" t="s">
        <v>112</v>
      </c>
      <c r="B327" t="s">
        <v>37</v>
      </c>
      <c r="C327" t="s">
        <v>17</v>
      </c>
      <c r="D327" t="s">
        <v>75</v>
      </c>
      <c r="E327" t="s">
        <v>105</v>
      </c>
      <c r="F327">
        <v>3</v>
      </c>
      <c r="G327" t="s">
        <v>79</v>
      </c>
      <c r="H327" t="s">
        <v>20</v>
      </c>
      <c r="I327">
        <v>239</v>
      </c>
      <c r="J327">
        <v>38</v>
      </c>
      <c r="K327">
        <v>0</v>
      </c>
      <c r="L327">
        <v>275</v>
      </c>
      <c r="M327">
        <v>68</v>
      </c>
      <c r="N327">
        <v>0</v>
      </c>
      <c r="O327">
        <v>891</v>
      </c>
    </row>
    <row r="328" spans="1:15" x14ac:dyDescent="0.2">
      <c r="A328" t="s">
        <v>112</v>
      </c>
      <c r="B328" t="s">
        <v>37</v>
      </c>
      <c r="C328" t="s">
        <v>17</v>
      </c>
      <c r="D328" t="s">
        <v>75</v>
      </c>
      <c r="E328" t="s">
        <v>105</v>
      </c>
      <c r="F328">
        <v>3</v>
      </c>
      <c r="G328" t="s">
        <v>79</v>
      </c>
      <c r="H328" t="s">
        <v>21</v>
      </c>
      <c r="I328">
        <v>18</v>
      </c>
      <c r="J328">
        <v>9</v>
      </c>
      <c r="K328">
        <v>0</v>
      </c>
      <c r="L328">
        <v>275</v>
      </c>
      <c r="M328">
        <v>68</v>
      </c>
      <c r="N328">
        <v>0</v>
      </c>
      <c r="O328">
        <v>891</v>
      </c>
    </row>
    <row r="329" spans="1:15" x14ac:dyDescent="0.2">
      <c r="A329" t="s">
        <v>112</v>
      </c>
      <c r="B329" t="s">
        <v>37</v>
      </c>
      <c r="C329" t="s">
        <v>17</v>
      </c>
      <c r="D329" t="s">
        <v>75</v>
      </c>
      <c r="E329" t="s">
        <v>105</v>
      </c>
      <c r="F329">
        <v>3</v>
      </c>
      <c r="G329" t="s">
        <v>79</v>
      </c>
      <c r="H329" t="s">
        <v>22</v>
      </c>
      <c r="I329">
        <v>5</v>
      </c>
      <c r="J329">
        <v>6</v>
      </c>
      <c r="K329">
        <v>0</v>
      </c>
      <c r="L329">
        <v>275</v>
      </c>
      <c r="M329">
        <v>68</v>
      </c>
      <c r="N329">
        <v>0</v>
      </c>
      <c r="O329">
        <v>891</v>
      </c>
    </row>
    <row r="330" spans="1:15" x14ac:dyDescent="0.2">
      <c r="A330" t="s">
        <v>112</v>
      </c>
      <c r="B330" t="s">
        <v>37</v>
      </c>
      <c r="C330" t="s">
        <v>17</v>
      </c>
      <c r="D330" t="s">
        <v>75</v>
      </c>
      <c r="E330" t="s">
        <v>105</v>
      </c>
      <c r="F330">
        <v>3</v>
      </c>
      <c r="G330" t="s">
        <v>79</v>
      </c>
      <c r="H330" t="s">
        <v>23</v>
      </c>
      <c r="I330">
        <v>13</v>
      </c>
      <c r="J330">
        <v>15</v>
      </c>
      <c r="K330">
        <v>0</v>
      </c>
      <c r="L330">
        <v>275</v>
      </c>
      <c r="M330">
        <v>68</v>
      </c>
      <c r="N330">
        <v>0</v>
      </c>
      <c r="O330">
        <v>891</v>
      </c>
    </row>
    <row r="331" spans="1:15" x14ac:dyDescent="0.2">
      <c r="A331" t="s">
        <v>112</v>
      </c>
      <c r="B331" t="s">
        <v>37</v>
      </c>
      <c r="C331" t="s">
        <v>17</v>
      </c>
      <c r="D331" t="s">
        <v>75</v>
      </c>
      <c r="E331" t="s">
        <v>105</v>
      </c>
      <c r="F331">
        <v>3</v>
      </c>
      <c r="G331" t="s">
        <v>79</v>
      </c>
      <c r="H331" t="s">
        <v>24</v>
      </c>
      <c r="I331">
        <v>0</v>
      </c>
      <c r="J331">
        <v>0</v>
      </c>
      <c r="K331">
        <v>0</v>
      </c>
      <c r="L331">
        <v>275</v>
      </c>
      <c r="M331">
        <v>68</v>
      </c>
      <c r="N331">
        <v>0</v>
      </c>
      <c r="O331">
        <v>891</v>
      </c>
    </row>
    <row r="332" spans="1:15" x14ac:dyDescent="0.2">
      <c r="A332" t="s">
        <v>112</v>
      </c>
      <c r="B332" t="s">
        <v>37</v>
      </c>
      <c r="C332" t="s">
        <v>17</v>
      </c>
      <c r="D332" t="s">
        <v>75</v>
      </c>
      <c r="E332" t="s">
        <v>104</v>
      </c>
      <c r="F332">
        <v>3</v>
      </c>
      <c r="G332" t="s">
        <v>77</v>
      </c>
      <c r="H332" t="s">
        <v>20</v>
      </c>
      <c r="I332">
        <v>258</v>
      </c>
      <c r="J332">
        <v>14</v>
      </c>
      <c r="K332">
        <v>0</v>
      </c>
      <c r="L332">
        <v>308</v>
      </c>
      <c r="M332">
        <v>49</v>
      </c>
      <c r="N332">
        <v>0</v>
      </c>
      <c r="O332">
        <v>915</v>
      </c>
    </row>
    <row r="333" spans="1:15" x14ac:dyDescent="0.2">
      <c r="A333" t="s">
        <v>112</v>
      </c>
      <c r="B333" t="s">
        <v>37</v>
      </c>
      <c r="C333" t="s">
        <v>17</v>
      </c>
      <c r="D333" t="s">
        <v>75</v>
      </c>
      <c r="E333" t="s">
        <v>104</v>
      </c>
      <c r="F333">
        <v>3</v>
      </c>
      <c r="G333" t="s">
        <v>77</v>
      </c>
      <c r="H333" t="s">
        <v>21</v>
      </c>
      <c r="I333">
        <v>25</v>
      </c>
      <c r="J333">
        <v>13</v>
      </c>
      <c r="K333">
        <v>0</v>
      </c>
      <c r="L333">
        <v>308</v>
      </c>
      <c r="M333">
        <v>49</v>
      </c>
      <c r="N333">
        <v>0</v>
      </c>
      <c r="O333">
        <v>915</v>
      </c>
    </row>
    <row r="334" spans="1:15" x14ac:dyDescent="0.2">
      <c r="A334" t="s">
        <v>112</v>
      </c>
      <c r="B334" t="s">
        <v>37</v>
      </c>
      <c r="C334" t="s">
        <v>17</v>
      </c>
      <c r="D334" t="s">
        <v>75</v>
      </c>
      <c r="E334" t="s">
        <v>104</v>
      </c>
      <c r="F334">
        <v>3</v>
      </c>
      <c r="G334" t="s">
        <v>77</v>
      </c>
      <c r="H334" t="s">
        <v>22</v>
      </c>
      <c r="I334">
        <v>7</v>
      </c>
      <c r="J334">
        <v>4</v>
      </c>
      <c r="K334">
        <v>0</v>
      </c>
      <c r="L334">
        <v>308</v>
      </c>
      <c r="M334">
        <v>49</v>
      </c>
      <c r="N334">
        <v>0</v>
      </c>
      <c r="O334">
        <v>915</v>
      </c>
    </row>
    <row r="335" spans="1:15" x14ac:dyDescent="0.2">
      <c r="A335" t="s">
        <v>112</v>
      </c>
      <c r="B335" t="s">
        <v>37</v>
      </c>
      <c r="C335" t="s">
        <v>17</v>
      </c>
      <c r="D335" t="s">
        <v>75</v>
      </c>
      <c r="E335" t="s">
        <v>104</v>
      </c>
      <c r="F335">
        <v>3</v>
      </c>
      <c r="G335" t="s">
        <v>77</v>
      </c>
      <c r="H335" t="s">
        <v>23</v>
      </c>
      <c r="I335">
        <v>18</v>
      </c>
      <c r="J335">
        <v>18</v>
      </c>
      <c r="K335">
        <v>0</v>
      </c>
      <c r="L335">
        <v>308</v>
      </c>
      <c r="M335">
        <v>49</v>
      </c>
      <c r="N335">
        <v>0</v>
      </c>
      <c r="O335">
        <v>915</v>
      </c>
    </row>
    <row r="336" spans="1:15" x14ac:dyDescent="0.2">
      <c r="A336" t="s">
        <v>112</v>
      </c>
      <c r="B336" t="s">
        <v>37</v>
      </c>
      <c r="C336" t="s">
        <v>17</v>
      </c>
      <c r="D336" t="s">
        <v>75</v>
      </c>
      <c r="E336" t="s">
        <v>104</v>
      </c>
      <c r="F336">
        <v>3</v>
      </c>
      <c r="G336" t="s">
        <v>77</v>
      </c>
      <c r="H336" t="s">
        <v>24</v>
      </c>
      <c r="I336">
        <v>0</v>
      </c>
      <c r="J336">
        <v>0</v>
      </c>
      <c r="K336">
        <v>0</v>
      </c>
      <c r="L336">
        <v>308</v>
      </c>
      <c r="M336">
        <v>49</v>
      </c>
      <c r="N336">
        <v>0</v>
      </c>
      <c r="O336">
        <v>915</v>
      </c>
    </row>
    <row r="337" spans="1:15" x14ac:dyDescent="0.2">
      <c r="A337" t="s">
        <v>112</v>
      </c>
      <c r="B337" t="s">
        <v>37</v>
      </c>
      <c r="C337" t="s">
        <v>17</v>
      </c>
      <c r="D337" t="s">
        <v>75</v>
      </c>
      <c r="E337" t="s">
        <v>102</v>
      </c>
      <c r="F337">
        <v>3</v>
      </c>
      <c r="G337" t="s">
        <v>73</v>
      </c>
      <c r="H337" t="s">
        <v>20</v>
      </c>
      <c r="I337">
        <v>189</v>
      </c>
      <c r="J337">
        <v>15</v>
      </c>
      <c r="K337">
        <v>0</v>
      </c>
      <c r="L337">
        <v>325</v>
      </c>
      <c r="M337">
        <v>38</v>
      </c>
      <c r="N337">
        <v>0</v>
      </c>
      <c r="O337">
        <v>921</v>
      </c>
    </row>
    <row r="338" spans="1:15" x14ac:dyDescent="0.2">
      <c r="A338" t="s">
        <v>112</v>
      </c>
      <c r="B338" t="s">
        <v>37</v>
      </c>
      <c r="C338" t="s">
        <v>17</v>
      </c>
      <c r="D338" t="s">
        <v>75</v>
      </c>
      <c r="E338" t="s">
        <v>102</v>
      </c>
      <c r="F338">
        <v>3</v>
      </c>
      <c r="G338" t="s">
        <v>73</v>
      </c>
      <c r="H338" t="s">
        <v>21</v>
      </c>
      <c r="I338">
        <v>93</v>
      </c>
      <c r="J338">
        <v>11</v>
      </c>
      <c r="K338">
        <v>0</v>
      </c>
      <c r="L338">
        <v>325</v>
      </c>
      <c r="M338">
        <v>38</v>
      </c>
      <c r="N338">
        <v>0</v>
      </c>
      <c r="O338">
        <v>921</v>
      </c>
    </row>
    <row r="339" spans="1:15" x14ac:dyDescent="0.2">
      <c r="A339" t="s">
        <v>112</v>
      </c>
      <c r="B339" t="s">
        <v>37</v>
      </c>
      <c r="C339" t="s">
        <v>17</v>
      </c>
      <c r="D339" t="s">
        <v>75</v>
      </c>
      <c r="E339" t="s">
        <v>102</v>
      </c>
      <c r="F339">
        <v>3</v>
      </c>
      <c r="G339" t="s">
        <v>73</v>
      </c>
      <c r="H339" t="s">
        <v>22</v>
      </c>
      <c r="I339">
        <v>17</v>
      </c>
      <c r="J339">
        <v>3</v>
      </c>
      <c r="K339">
        <v>0</v>
      </c>
      <c r="L339">
        <v>325</v>
      </c>
      <c r="M339">
        <v>38</v>
      </c>
      <c r="N339">
        <v>0</v>
      </c>
      <c r="O339">
        <v>921</v>
      </c>
    </row>
    <row r="340" spans="1:15" x14ac:dyDescent="0.2">
      <c r="A340" t="s">
        <v>112</v>
      </c>
      <c r="B340" t="s">
        <v>37</v>
      </c>
      <c r="C340" t="s">
        <v>17</v>
      </c>
      <c r="D340" t="s">
        <v>75</v>
      </c>
      <c r="E340" t="s">
        <v>102</v>
      </c>
      <c r="F340">
        <v>3</v>
      </c>
      <c r="G340" t="s">
        <v>73</v>
      </c>
      <c r="H340" t="s">
        <v>23</v>
      </c>
      <c r="I340">
        <v>26</v>
      </c>
      <c r="J340">
        <v>9</v>
      </c>
      <c r="K340">
        <v>0</v>
      </c>
      <c r="L340">
        <v>325</v>
      </c>
      <c r="M340">
        <v>38</v>
      </c>
      <c r="N340">
        <v>0</v>
      </c>
      <c r="O340">
        <v>921</v>
      </c>
    </row>
    <row r="341" spans="1:15" x14ac:dyDescent="0.2">
      <c r="A341" t="s">
        <v>112</v>
      </c>
      <c r="B341" t="s">
        <v>37</v>
      </c>
      <c r="C341" t="s">
        <v>17</v>
      </c>
      <c r="D341" t="s">
        <v>75</v>
      </c>
      <c r="E341" t="s">
        <v>102</v>
      </c>
      <c r="F341">
        <v>3</v>
      </c>
      <c r="G341" t="s">
        <v>73</v>
      </c>
      <c r="H341" t="s">
        <v>24</v>
      </c>
      <c r="I341">
        <v>0</v>
      </c>
      <c r="J341">
        <v>0</v>
      </c>
      <c r="K341">
        <v>0</v>
      </c>
      <c r="L341">
        <v>325</v>
      </c>
      <c r="M341">
        <v>38</v>
      </c>
      <c r="N341">
        <v>0</v>
      </c>
      <c r="O341">
        <v>921</v>
      </c>
    </row>
    <row r="342" spans="1:15" x14ac:dyDescent="0.2">
      <c r="A342" t="s">
        <v>100</v>
      </c>
      <c r="B342" t="s">
        <v>37</v>
      </c>
      <c r="C342" t="s">
        <v>17</v>
      </c>
      <c r="D342" t="s">
        <v>75</v>
      </c>
      <c r="E342" t="s">
        <v>94</v>
      </c>
      <c r="F342">
        <v>3</v>
      </c>
      <c r="G342" t="s">
        <v>19</v>
      </c>
      <c r="H342" t="s">
        <v>20</v>
      </c>
      <c r="I342">
        <v>40</v>
      </c>
      <c r="J342">
        <v>16</v>
      </c>
      <c r="K342">
        <v>0</v>
      </c>
      <c r="L342">
        <v>60</v>
      </c>
      <c r="M342">
        <v>19</v>
      </c>
      <c r="N342">
        <v>0</v>
      </c>
      <c r="O342">
        <v>994</v>
      </c>
    </row>
    <row r="343" spans="1:15" x14ac:dyDescent="0.2">
      <c r="A343" t="s">
        <v>100</v>
      </c>
      <c r="B343" t="s">
        <v>37</v>
      </c>
      <c r="C343" t="s">
        <v>17</v>
      </c>
      <c r="D343" t="s">
        <v>75</v>
      </c>
      <c r="E343" t="s">
        <v>94</v>
      </c>
      <c r="F343">
        <v>3</v>
      </c>
      <c r="G343" t="s">
        <v>19</v>
      </c>
      <c r="H343" t="s">
        <v>21</v>
      </c>
      <c r="I343">
        <v>8</v>
      </c>
      <c r="J343">
        <v>1</v>
      </c>
      <c r="K343">
        <v>0</v>
      </c>
      <c r="L343">
        <v>60</v>
      </c>
      <c r="M343">
        <v>19</v>
      </c>
      <c r="N343">
        <v>0</v>
      </c>
      <c r="O343">
        <v>994</v>
      </c>
    </row>
    <row r="344" spans="1:15" x14ac:dyDescent="0.2">
      <c r="A344" t="s">
        <v>100</v>
      </c>
      <c r="B344" t="s">
        <v>37</v>
      </c>
      <c r="C344" t="s">
        <v>17</v>
      </c>
      <c r="D344" t="s">
        <v>75</v>
      </c>
      <c r="E344" t="s">
        <v>94</v>
      </c>
      <c r="F344">
        <v>3</v>
      </c>
      <c r="G344" t="s">
        <v>19</v>
      </c>
      <c r="H344" t="s">
        <v>22</v>
      </c>
      <c r="I344">
        <v>5</v>
      </c>
      <c r="J344">
        <v>1</v>
      </c>
      <c r="K344">
        <v>0</v>
      </c>
      <c r="L344">
        <v>60</v>
      </c>
      <c r="M344">
        <v>19</v>
      </c>
      <c r="N344">
        <v>0</v>
      </c>
      <c r="O344">
        <v>994</v>
      </c>
    </row>
    <row r="345" spans="1:15" x14ac:dyDescent="0.2">
      <c r="A345" t="s">
        <v>100</v>
      </c>
      <c r="B345" t="s">
        <v>37</v>
      </c>
      <c r="C345" t="s">
        <v>17</v>
      </c>
      <c r="D345" t="s">
        <v>75</v>
      </c>
      <c r="E345" t="s">
        <v>94</v>
      </c>
      <c r="F345">
        <v>3</v>
      </c>
      <c r="G345" t="s">
        <v>19</v>
      </c>
      <c r="H345" t="s">
        <v>23</v>
      </c>
      <c r="I345">
        <v>7</v>
      </c>
      <c r="J345">
        <v>1</v>
      </c>
      <c r="K345">
        <v>0</v>
      </c>
      <c r="L345">
        <v>60</v>
      </c>
      <c r="M345">
        <v>19</v>
      </c>
      <c r="N345">
        <v>0</v>
      </c>
      <c r="O345">
        <v>994</v>
      </c>
    </row>
    <row r="346" spans="1:15" x14ac:dyDescent="0.2">
      <c r="A346" t="s">
        <v>100</v>
      </c>
      <c r="B346" t="s">
        <v>37</v>
      </c>
      <c r="C346" t="s">
        <v>17</v>
      </c>
      <c r="D346" t="s">
        <v>75</v>
      </c>
      <c r="E346" t="s">
        <v>94</v>
      </c>
      <c r="F346">
        <v>3</v>
      </c>
      <c r="G346" t="s">
        <v>19</v>
      </c>
      <c r="H346" t="s">
        <v>24</v>
      </c>
      <c r="I346">
        <v>0</v>
      </c>
      <c r="J346">
        <v>0</v>
      </c>
      <c r="K346">
        <v>0</v>
      </c>
      <c r="L346">
        <v>60</v>
      </c>
      <c r="M346">
        <v>19</v>
      </c>
      <c r="N346">
        <v>0</v>
      </c>
      <c r="O346">
        <v>994</v>
      </c>
    </row>
    <row r="347" spans="1:15" x14ac:dyDescent="0.2">
      <c r="A347" t="s">
        <v>100</v>
      </c>
      <c r="B347" t="s">
        <v>37</v>
      </c>
      <c r="C347" t="s">
        <v>17</v>
      </c>
      <c r="D347" t="s">
        <v>75</v>
      </c>
      <c r="E347" t="s">
        <v>93</v>
      </c>
      <c r="F347">
        <v>3</v>
      </c>
      <c r="G347" t="s">
        <v>79</v>
      </c>
      <c r="H347" t="s">
        <v>20</v>
      </c>
      <c r="I347">
        <v>237</v>
      </c>
      <c r="J347">
        <v>1</v>
      </c>
      <c r="K347">
        <v>0</v>
      </c>
      <c r="L347">
        <v>296</v>
      </c>
      <c r="M347">
        <v>3</v>
      </c>
      <c r="N347">
        <v>0</v>
      </c>
      <c r="O347">
        <v>956</v>
      </c>
    </row>
    <row r="348" spans="1:15" x14ac:dyDescent="0.2">
      <c r="A348" t="s">
        <v>100</v>
      </c>
      <c r="B348" t="s">
        <v>37</v>
      </c>
      <c r="C348" t="s">
        <v>17</v>
      </c>
      <c r="D348" t="s">
        <v>75</v>
      </c>
      <c r="E348" t="s">
        <v>93</v>
      </c>
      <c r="F348">
        <v>3</v>
      </c>
      <c r="G348" t="s">
        <v>79</v>
      </c>
      <c r="H348" t="s">
        <v>21</v>
      </c>
      <c r="I348">
        <v>31</v>
      </c>
      <c r="J348">
        <v>0</v>
      </c>
      <c r="K348">
        <v>0</v>
      </c>
      <c r="L348">
        <v>296</v>
      </c>
      <c r="M348">
        <v>3</v>
      </c>
      <c r="N348">
        <v>0</v>
      </c>
      <c r="O348">
        <v>956</v>
      </c>
    </row>
    <row r="349" spans="1:15" x14ac:dyDescent="0.2">
      <c r="A349" t="s">
        <v>100</v>
      </c>
      <c r="B349" t="s">
        <v>37</v>
      </c>
      <c r="C349" t="s">
        <v>17</v>
      </c>
      <c r="D349" t="s">
        <v>75</v>
      </c>
      <c r="E349" t="s">
        <v>93</v>
      </c>
      <c r="F349">
        <v>3</v>
      </c>
      <c r="G349" t="s">
        <v>79</v>
      </c>
      <c r="H349" t="s">
        <v>22</v>
      </c>
      <c r="I349">
        <v>12</v>
      </c>
      <c r="J349">
        <v>2</v>
      </c>
      <c r="K349">
        <v>0</v>
      </c>
      <c r="L349">
        <v>296</v>
      </c>
      <c r="M349">
        <v>3</v>
      </c>
      <c r="N349">
        <v>0</v>
      </c>
      <c r="O349">
        <v>956</v>
      </c>
    </row>
    <row r="350" spans="1:15" x14ac:dyDescent="0.2">
      <c r="A350" t="s">
        <v>100</v>
      </c>
      <c r="B350" t="s">
        <v>37</v>
      </c>
      <c r="C350" t="s">
        <v>17</v>
      </c>
      <c r="D350" t="s">
        <v>75</v>
      </c>
      <c r="E350" t="s">
        <v>93</v>
      </c>
      <c r="F350">
        <v>3</v>
      </c>
      <c r="G350" t="s">
        <v>79</v>
      </c>
      <c r="H350" t="s">
        <v>23</v>
      </c>
      <c r="I350">
        <v>16</v>
      </c>
      <c r="J350">
        <v>0</v>
      </c>
      <c r="K350">
        <v>0</v>
      </c>
      <c r="L350">
        <v>296</v>
      </c>
      <c r="M350">
        <v>3</v>
      </c>
      <c r="N350">
        <v>0</v>
      </c>
      <c r="O350">
        <v>956</v>
      </c>
    </row>
    <row r="351" spans="1:15" x14ac:dyDescent="0.2">
      <c r="A351" t="s">
        <v>100</v>
      </c>
      <c r="B351" t="s">
        <v>37</v>
      </c>
      <c r="C351" t="s">
        <v>17</v>
      </c>
      <c r="D351" t="s">
        <v>75</v>
      </c>
      <c r="E351" t="s">
        <v>93</v>
      </c>
      <c r="F351">
        <v>3</v>
      </c>
      <c r="G351" t="s">
        <v>79</v>
      </c>
      <c r="H351" t="s">
        <v>24</v>
      </c>
      <c r="I351">
        <v>0</v>
      </c>
      <c r="J351">
        <v>0</v>
      </c>
      <c r="K351">
        <v>0</v>
      </c>
      <c r="L351">
        <v>296</v>
      </c>
      <c r="M351">
        <v>3</v>
      </c>
      <c r="N351">
        <v>0</v>
      </c>
      <c r="O351">
        <v>956</v>
      </c>
    </row>
    <row r="352" spans="1:15" x14ac:dyDescent="0.2">
      <c r="A352" t="s">
        <v>100</v>
      </c>
      <c r="B352" t="s">
        <v>37</v>
      </c>
      <c r="C352" t="s">
        <v>17</v>
      </c>
      <c r="D352" t="s">
        <v>75</v>
      </c>
      <c r="E352" t="s">
        <v>92</v>
      </c>
      <c r="F352">
        <v>3</v>
      </c>
      <c r="G352" t="s">
        <v>77</v>
      </c>
      <c r="H352" t="s">
        <v>20</v>
      </c>
      <c r="I352">
        <v>186</v>
      </c>
      <c r="J352">
        <v>0</v>
      </c>
      <c r="K352">
        <v>0</v>
      </c>
      <c r="L352">
        <v>266</v>
      </c>
      <c r="M352">
        <v>2</v>
      </c>
      <c r="N352">
        <v>0</v>
      </c>
      <c r="O352">
        <v>964</v>
      </c>
    </row>
    <row r="353" spans="1:15" x14ac:dyDescent="0.2">
      <c r="A353" t="s">
        <v>100</v>
      </c>
      <c r="B353" t="s">
        <v>37</v>
      </c>
      <c r="C353" t="s">
        <v>17</v>
      </c>
      <c r="D353" t="s">
        <v>75</v>
      </c>
      <c r="E353" t="s">
        <v>92</v>
      </c>
      <c r="F353">
        <v>3</v>
      </c>
      <c r="G353" t="s">
        <v>77</v>
      </c>
      <c r="H353" t="s">
        <v>21</v>
      </c>
      <c r="I353">
        <v>39</v>
      </c>
      <c r="J353">
        <v>1</v>
      </c>
      <c r="K353">
        <v>0</v>
      </c>
      <c r="L353">
        <v>266</v>
      </c>
      <c r="M353">
        <v>2</v>
      </c>
      <c r="N353">
        <v>0</v>
      </c>
      <c r="O353">
        <v>964</v>
      </c>
    </row>
    <row r="354" spans="1:15" x14ac:dyDescent="0.2">
      <c r="A354" t="s">
        <v>100</v>
      </c>
      <c r="B354" t="s">
        <v>37</v>
      </c>
      <c r="C354" t="s">
        <v>17</v>
      </c>
      <c r="D354" t="s">
        <v>75</v>
      </c>
      <c r="E354" t="s">
        <v>92</v>
      </c>
      <c r="F354">
        <v>3</v>
      </c>
      <c r="G354" t="s">
        <v>77</v>
      </c>
      <c r="H354" t="s">
        <v>22</v>
      </c>
      <c r="I354">
        <v>19</v>
      </c>
      <c r="J354">
        <v>0</v>
      </c>
      <c r="K354">
        <v>0</v>
      </c>
      <c r="L354">
        <v>266</v>
      </c>
      <c r="M354">
        <v>2</v>
      </c>
      <c r="N354">
        <v>0</v>
      </c>
      <c r="O354">
        <v>964</v>
      </c>
    </row>
    <row r="355" spans="1:15" x14ac:dyDescent="0.2">
      <c r="A355" t="s">
        <v>100</v>
      </c>
      <c r="B355" t="s">
        <v>37</v>
      </c>
      <c r="C355" t="s">
        <v>17</v>
      </c>
      <c r="D355" t="s">
        <v>75</v>
      </c>
      <c r="E355" t="s">
        <v>92</v>
      </c>
      <c r="F355">
        <v>3</v>
      </c>
      <c r="G355" t="s">
        <v>77</v>
      </c>
      <c r="H355" t="s">
        <v>23</v>
      </c>
      <c r="I355">
        <v>22</v>
      </c>
      <c r="J355">
        <v>1</v>
      </c>
      <c r="K355">
        <v>0</v>
      </c>
      <c r="L355">
        <v>266</v>
      </c>
      <c r="M355">
        <v>2</v>
      </c>
      <c r="N355">
        <v>0</v>
      </c>
      <c r="O355">
        <v>964</v>
      </c>
    </row>
    <row r="356" spans="1:15" x14ac:dyDescent="0.2">
      <c r="A356" t="s">
        <v>100</v>
      </c>
      <c r="B356" t="s">
        <v>37</v>
      </c>
      <c r="C356" t="s">
        <v>17</v>
      </c>
      <c r="D356" t="s">
        <v>75</v>
      </c>
      <c r="E356" t="s">
        <v>92</v>
      </c>
      <c r="F356">
        <v>3</v>
      </c>
      <c r="G356" t="s">
        <v>77</v>
      </c>
      <c r="H356" t="s">
        <v>24</v>
      </c>
      <c r="I356">
        <v>0</v>
      </c>
      <c r="J356">
        <v>0</v>
      </c>
      <c r="K356">
        <v>0</v>
      </c>
      <c r="L356">
        <v>266</v>
      </c>
      <c r="M356">
        <v>2</v>
      </c>
      <c r="N356">
        <v>0</v>
      </c>
      <c r="O356">
        <v>964</v>
      </c>
    </row>
    <row r="357" spans="1:15" x14ac:dyDescent="0.2">
      <c r="A357" t="s">
        <v>100</v>
      </c>
      <c r="B357" t="s">
        <v>37</v>
      </c>
      <c r="C357" t="s">
        <v>17</v>
      </c>
      <c r="D357" t="s">
        <v>75</v>
      </c>
      <c r="E357" t="s">
        <v>90</v>
      </c>
      <c r="F357">
        <v>3</v>
      </c>
      <c r="G357" t="s">
        <v>73</v>
      </c>
      <c r="H357" t="s">
        <v>20</v>
      </c>
      <c r="I357">
        <v>11</v>
      </c>
      <c r="J357">
        <v>0</v>
      </c>
      <c r="K357">
        <v>0</v>
      </c>
      <c r="L357">
        <v>148</v>
      </c>
      <c r="M357">
        <v>2</v>
      </c>
      <c r="N357">
        <v>0</v>
      </c>
      <c r="O357">
        <v>954</v>
      </c>
    </row>
    <row r="358" spans="1:15" x14ac:dyDescent="0.2">
      <c r="A358" t="s">
        <v>100</v>
      </c>
      <c r="B358" t="s">
        <v>37</v>
      </c>
      <c r="C358" t="s">
        <v>17</v>
      </c>
      <c r="D358" t="s">
        <v>75</v>
      </c>
      <c r="E358" t="s">
        <v>90</v>
      </c>
      <c r="F358">
        <v>3</v>
      </c>
      <c r="G358" t="s">
        <v>73</v>
      </c>
      <c r="H358" t="s">
        <v>21</v>
      </c>
      <c r="I358">
        <v>86</v>
      </c>
      <c r="J358">
        <v>1</v>
      </c>
      <c r="K358">
        <v>0</v>
      </c>
      <c r="L358">
        <v>148</v>
      </c>
      <c r="M358">
        <v>2</v>
      </c>
      <c r="N358">
        <v>0</v>
      </c>
      <c r="O358">
        <v>954</v>
      </c>
    </row>
    <row r="359" spans="1:15" x14ac:dyDescent="0.2">
      <c r="A359" t="s">
        <v>100</v>
      </c>
      <c r="B359" t="s">
        <v>37</v>
      </c>
      <c r="C359" t="s">
        <v>17</v>
      </c>
      <c r="D359" t="s">
        <v>75</v>
      </c>
      <c r="E359" t="s">
        <v>90</v>
      </c>
      <c r="F359">
        <v>3</v>
      </c>
      <c r="G359" t="s">
        <v>73</v>
      </c>
      <c r="H359" t="s">
        <v>22</v>
      </c>
      <c r="I359">
        <v>24</v>
      </c>
      <c r="J359">
        <v>0</v>
      </c>
      <c r="K359">
        <v>0</v>
      </c>
      <c r="L359">
        <v>148</v>
      </c>
      <c r="M359">
        <v>2</v>
      </c>
      <c r="N359">
        <v>0</v>
      </c>
      <c r="O359">
        <v>954</v>
      </c>
    </row>
    <row r="360" spans="1:15" x14ac:dyDescent="0.2">
      <c r="A360" t="s">
        <v>100</v>
      </c>
      <c r="B360" t="s">
        <v>37</v>
      </c>
      <c r="C360" t="s">
        <v>17</v>
      </c>
      <c r="D360" t="s">
        <v>75</v>
      </c>
      <c r="E360" t="s">
        <v>90</v>
      </c>
      <c r="F360">
        <v>3</v>
      </c>
      <c r="G360" t="s">
        <v>73</v>
      </c>
      <c r="H360" t="s">
        <v>23</v>
      </c>
      <c r="I360">
        <v>27</v>
      </c>
      <c r="J360">
        <v>1</v>
      </c>
      <c r="K360">
        <v>0</v>
      </c>
      <c r="L360">
        <v>148</v>
      </c>
      <c r="M360">
        <v>2</v>
      </c>
      <c r="N360">
        <v>0</v>
      </c>
      <c r="O360">
        <v>954</v>
      </c>
    </row>
    <row r="361" spans="1:15" x14ac:dyDescent="0.2">
      <c r="A361" t="s">
        <v>100</v>
      </c>
      <c r="B361" t="s">
        <v>37</v>
      </c>
      <c r="C361" t="s">
        <v>17</v>
      </c>
      <c r="D361" t="s">
        <v>75</v>
      </c>
      <c r="E361" t="s">
        <v>90</v>
      </c>
      <c r="F361">
        <v>3</v>
      </c>
      <c r="G361" t="s">
        <v>73</v>
      </c>
      <c r="H361" t="s">
        <v>24</v>
      </c>
      <c r="I361">
        <v>0</v>
      </c>
      <c r="J361">
        <v>0</v>
      </c>
      <c r="K361">
        <v>0</v>
      </c>
      <c r="L361">
        <v>148</v>
      </c>
      <c r="M361">
        <v>2</v>
      </c>
      <c r="N361">
        <v>0</v>
      </c>
      <c r="O361">
        <v>954</v>
      </c>
    </row>
    <row r="362" spans="1:15" x14ac:dyDescent="0.2">
      <c r="A362" t="s">
        <v>88</v>
      </c>
      <c r="B362" t="s">
        <v>37</v>
      </c>
      <c r="C362" t="s">
        <v>17</v>
      </c>
      <c r="D362" t="s">
        <v>75</v>
      </c>
      <c r="E362" t="s">
        <v>81</v>
      </c>
      <c r="F362">
        <v>3</v>
      </c>
      <c r="G362" t="s">
        <v>19</v>
      </c>
      <c r="H362" t="s">
        <v>20</v>
      </c>
      <c r="I362">
        <v>74</v>
      </c>
      <c r="J362">
        <v>53</v>
      </c>
      <c r="K362">
        <v>0</v>
      </c>
      <c r="L362">
        <v>89</v>
      </c>
      <c r="M362">
        <v>177</v>
      </c>
      <c r="N362">
        <v>0</v>
      </c>
      <c r="O362">
        <v>681</v>
      </c>
    </row>
    <row r="363" spans="1:15" x14ac:dyDescent="0.2">
      <c r="A363" t="s">
        <v>88</v>
      </c>
      <c r="B363" t="s">
        <v>37</v>
      </c>
      <c r="C363" t="s">
        <v>17</v>
      </c>
      <c r="D363" t="s">
        <v>75</v>
      </c>
      <c r="E363" t="s">
        <v>81</v>
      </c>
      <c r="F363">
        <v>3</v>
      </c>
      <c r="G363" t="s">
        <v>19</v>
      </c>
      <c r="H363" t="s">
        <v>21</v>
      </c>
      <c r="I363">
        <v>6</v>
      </c>
      <c r="J363">
        <v>15</v>
      </c>
      <c r="K363">
        <v>0</v>
      </c>
      <c r="L363">
        <v>89</v>
      </c>
      <c r="M363">
        <v>177</v>
      </c>
      <c r="N363">
        <v>0</v>
      </c>
      <c r="O363">
        <v>681</v>
      </c>
    </row>
    <row r="364" spans="1:15" x14ac:dyDescent="0.2">
      <c r="A364" t="s">
        <v>88</v>
      </c>
      <c r="B364" t="s">
        <v>37</v>
      </c>
      <c r="C364" t="s">
        <v>17</v>
      </c>
      <c r="D364" t="s">
        <v>75</v>
      </c>
      <c r="E364" t="s">
        <v>81</v>
      </c>
      <c r="F364">
        <v>3</v>
      </c>
      <c r="G364" t="s">
        <v>19</v>
      </c>
      <c r="H364" t="s">
        <v>22</v>
      </c>
      <c r="I364">
        <v>0</v>
      </c>
      <c r="J364">
        <v>8</v>
      </c>
      <c r="K364">
        <v>0</v>
      </c>
      <c r="L364">
        <v>89</v>
      </c>
      <c r="M364">
        <v>177</v>
      </c>
      <c r="N364">
        <v>0</v>
      </c>
      <c r="O364">
        <v>681</v>
      </c>
    </row>
    <row r="365" spans="1:15" x14ac:dyDescent="0.2">
      <c r="A365" t="s">
        <v>88</v>
      </c>
      <c r="B365" t="s">
        <v>37</v>
      </c>
      <c r="C365" t="s">
        <v>17</v>
      </c>
      <c r="D365" t="s">
        <v>75</v>
      </c>
      <c r="E365" t="s">
        <v>81</v>
      </c>
      <c r="F365">
        <v>3</v>
      </c>
      <c r="G365" t="s">
        <v>19</v>
      </c>
      <c r="H365" t="s">
        <v>23</v>
      </c>
      <c r="I365">
        <v>9</v>
      </c>
      <c r="J365">
        <v>100</v>
      </c>
      <c r="K365">
        <v>0</v>
      </c>
      <c r="L365">
        <v>89</v>
      </c>
      <c r="M365">
        <v>177</v>
      </c>
      <c r="N365">
        <v>0</v>
      </c>
      <c r="O365">
        <v>681</v>
      </c>
    </row>
    <row r="366" spans="1:15" x14ac:dyDescent="0.2">
      <c r="A366" t="s">
        <v>88</v>
      </c>
      <c r="B366" t="s">
        <v>37</v>
      </c>
      <c r="C366" t="s">
        <v>17</v>
      </c>
      <c r="D366" t="s">
        <v>75</v>
      </c>
      <c r="E366" t="s">
        <v>81</v>
      </c>
      <c r="F366">
        <v>3</v>
      </c>
      <c r="G366" t="s">
        <v>19</v>
      </c>
      <c r="H366" t="s">
        <v>24</v>
      </c>
      <c r="I366">
        <v>0</v>
      </c>
      <c r="J366">
        <v>1</v>
      </c>
      <c r="K366">
        <v>0</v>
      </c>
      <c r="L366">
        <v>89</v>
      </c>
      <c r="M366">
        <v>177</v>
      </c>
      <c r="N366">
        <v>0</v>
      </c>
      <c r="O366">
        <v>681</v>
      </c>
    </row>
    <row r="367" spans="1:15" x14ac:dyDescent="0.2">
      <c r="A367" t="s">
        <v>88</v>
      </c>
      <c r="B367" t="s">
        <v>37</v>
      </c>
      <c r="C367" t="s">
        <v>17</v>
      </c>
      <c r="D367" t="s">
        <v>75</v>
      </c>
      <c r="E367" t="s">
        <v>80</v>
      </c>
      <c r="F367">
        <v>3</v>
      </c>
      <c r="G367" t="s">
        <v>79</v>
      </c>
      <c r="H367" t="s">
        <v>20</v>
      </c>
      <c r="I367">
        <v>82</v>
      </c>
      <c r="J367">
        <v>12</v>
      </c>
      <c r="K367">
        <v>0</v>
      </c>
      <c r="L367">
        <v>106</v>
      </c>
      <c r="M367">
        <v>90</v>
      </c>
      <c r="N367">
        <v>0</v>
      </c>
      <c r="O367">
        <v>653</v>
      </c>
    </row>
    <row r="368" spans="1:15" x14ac:dyDescent="0.2">
      <c r="A368" t="s">
        <v>88</v>
      </c>
      <c r="B368" t="s">
        <v>37</v>
      </c>
      <c r="C368" t="s">
        <v>17</v>
      </c>
      <c r="D368" t="s">
        <v>75</v>
      </c>
      <c r="E368" t="s">
        <v>80</v>
      </c>
      <c r="F368">
        <v>3</v>
      </c>
      <c r="G368" t="s">
        <v>79</v>
      </c>
      <c r="H368" t="s">
        <v>21</v>
      </c>
      <c r="I368">
        <v>13</v>
      </c>
      <c r="J368">
        <v>14</v>
      </c>
      <c r="K368">
        <v>0</v>
      </c>
      <c r="L368">
        <v>106</v>
      </c>
      <c r="M368">
        <v>90</v>
      </c>
      <c r="N368">
        <v>0</v>
      </c>
      <c r="O368">
        <v>653</v>
      </c>
    </row>
    <row r="369" spans="1:15" x14ac:dyDescent="0.2">
      <c r="A369" t="s">
        <v>88</v>
      </c>
      <c r="B369" t="s">
        <v>37</v>
      </c>
      <c r="C369" t="s">
        <v>17</v>
      </c>
      <c r="D369" t="s">
        <v>75</v>
      </c>
      <c r="E369" t="s">
        <v>80</v>
      </c>
      <c r="F369">
        <v>3</v>
      </c>
      <c r="G369" t="s">
        <v>79</v>
      </c>
      <c r="H369" t="s">
        <v>22</v>
      </c>
      <c r="I369">
        <v>5</v>
      </c>
      <c r="J369">
        <v>3</v>
      </c>
      <c r="K369">
        <v>0</v>
      </c>
      <c r="L369">
        <v>106</v>
      </c>
      <c r="M369">
        <v>90</v>
      </c>
      <c r="N369">
        <v>0</v>
      </c>
      <c r="O369">
        <v>653</v>
      </c>
    </row>
    <row r="370" spans="1:15" x14ac:dyDescent="0.2">
      <c r="A370" t="s">
        <v>88</v>
      </c>
      <c r="B370" t="s">
        <v>37</v>
      </c>
      <c r="C370" t="s">
        <v>17</v>
      </c>
      <c r="D370" t="s">
        <v>75</v>
      </c>
      <c r="E370" t="s">
        <v>80</v>
      </c>
      <c r="F370">
        <v>3</v>
      </c>
      <c r="G370" t="s">
        <v>79</v>
      </c>
      <c r="H370" t="s">
        <v>23</v>
      </c>
      <c r="I370">
        <v>6</v>
      </c>
      <c r="J370">
        <v>61</v>
      </c>
      <c r="K370">
        <v>0</v>
      </c>
      <c r="L370">
        <v>106</v>
      </c>
      <c r="M370">
        <v>90</v>
      </c>
      <c r="N370">
        <v>0</v>
      </c>
      <c r="O370">
        <v>653</v>
      </c>
    </row>
    <row r="371" spans="1:15" x14ac:dyDescent="0.2">
      <c r="A371" t="s">
        <v>88</v>
      </c>
      <c r="B371" t="s">
        <v>37</v>
      </c>
      <c r="C371" t="s">
        <v>17</v>
      </c>
      <c r="D371" t="s">
        <v>75</v>
      </c>
      <c r="E371" t="s">
        <v>80</v>
      </c>
      <c r="F371">
        <v>3</v>
      </c>
      <c r="G371" t="s">
        <v>79</v>
      </c>
      <c r="H371" t="s">
        <v>24</v>
      </c>
      <c r="I371">
        <v>0</v>
      </c>
      <c r="J371">
        <v>0</v>
      </c>
      <c r="K371">
        <v>0</v>
      </c>
      <c r="L371">
        <v>106</v>
      </c>
      <c r="M371">
        <v>90</v>
      </c>
      <c r="N371">
        <v>0</v>
      </c>
      <c r="O371">
        <v>653</v>
      </c>
    </row>
    <row r="372" spans="1:15" x14ac:dyDescent="0.2">
      <c r="A372" t="s">
        <v>88</v>
      </c>
      <c r="B372" t="s">
        <v>37</v>
      </c>
      <c r="C372" t="s">
        <v>17</v>
      </c>
      <c r="D372" t="s">
        <v>75</v>
      </c>
      <c r="E372" t="s">
        <v>78</v>
      </c>
      <c r="F372">
        <v>3</v>
      </c>
      <c r="G372" t="s">
        <v>77</v>
      </c>
      <c r="H372" t="s">
        <v>20</v>
      </c>
      <c r="I372">
        <v>83</v>
      </c>
      <c r="J372">
        <v>5</v>
      </c>
      <c r="K372">
        <v>0</v>
      </c>
      <c r="L372">
        <v>103</v>
      </c>
      <c r="M372">
        <v>91</v>
      </c>
      <c r="N372">
        <v>0</v>
      </c>
      <c r="O372">
        <v>654</v>
      </c>
    </row>
    <row r="373" spans="1:15" x14ac:dyDescent="0.2">
      <c r="A373" t="s">
        <v>88</v>
      </c>
      <c r="B373" t="s">
        <v>37</v>
      </c>
      <c r="C373" t="s">
        <v>17</v>
      </c>
      <c r="D373" t="s">
        <v>75</v>
      </c>
      <c r="E373" t="s">
        <v>78</v>
      </c>
      <c r="F373">
        <v>3</v>
      </c>
      <c r="G373" t="s">
        <v>77</v>
      </c>
      <c r="H373" t="s">
        <v>21</v>
      </c>
      <c r="I373">
        <v>9</v>
      </c>
      <c r="J373">
        <v>14</v>
      </c>
      <c r="K373">
        <v>0</v>
      </c>
      <c r="L373">
        <v>103</v>
      </c>
      <c r="M373">
        <v>91</v>
      </c>
      <c r="N373">
        <v>0</v>
      </c>
      <c r="O373">
        <v>654</v>
      </c>
    </row>
    <row r="374" spans="1:15" x14ac:dyDescent="0.2">
      <c r="A374" t="s">
        <v>88</v>
      </c>
      <c r="B374" t="s">
        <v>37</v>
      </c>
      <c r="C374" t="s">
        <v>17</v>
      </c>
      <c r="D374" t="s">
        <v>75</v>
      </c>
      <c r="E374" t="s">
        <v>78</v>
      </c>
      <c r="F374">
        <v>3</v>
      </c>
      <c r="G374" t="s">
        <v>77</v>
      </c>
      <c r="H374" t="s">
        <v>22</v>
      </c>
      <c r="I374">
        <v>3</v>
      </c>
      <c r="J374">
        <v>2</v>
      </c>
      <c r="K374">
        <v>0</v>
      </c>
      <c r="L374">
        <v>103</v>
      </c>
      <c r="M374">
        <v>91</v>
      </c>
      <c r="N374">
        <v>0</v>
      </c>
      <c r="O374">
        <v>654</v>
      </c>
    </row>
    <row r="375" spans="1:15" x14ac:dyDescent="0.2">
      <c r="A375" t="s">
        <v>88</v>
      </c>
      <c r="B375" t="s">
        <v>37</v>
      </c>
      <c r="C375" t="s">
        <v>17</v>
      </c>
      <c r="D375" t="s">
        <v>75</v>
      </c>
      <c r="E375" t="s">
        <v>78</v>
      </c>
      <c r="F375">
        <v>3</v>
      </c>
      <c r="G375" t="s">
        <v>77</v>
      </c>
      <c r="H375" t="s">
        <v>23</v>
      </c>
      <c r="I375">
        <v>8</v>
      </c>
      <c r="J375">
        <v>68</v>
      </c>
      <c r="K375">
        <v>0</v>
      </c>
      <c r="L375">
        <v>103</v>
      </c>
      <c r="M375">
        <v>91</v>
      </c>
      <c r="N375">
        <v>0</v>
      </c>
      <c r="O375">
        <v>654</v>
      </c>
    </row>
    <row r="376" spans="1:15" x14ac:dyDescent="0.2">
      <c r="A376" t="s">
        <v>88</v>
      </c>
      <c r="B376" t="s">
        <v>37</v>
      </c>
      <c r="C376" t="s">
        <v>17</v>
      </c>
      <c r="D376" t="s">
        <v>75</v>
      </c>
      <c r="E376" t="s">
        <v>78</v>
      </c>
      <c r="F376">
        <v>3</v>
      </c>
      <c r="G376" t="s">
        <v>77</v>
      </c>
      <c r="H376" t="s">
        <v>24</v>
      </c>
      <c r="I376">
        <v>0</v>
      </c>
      <c r="J376">
        <v>2</v>
      </c>
      <c r="K376">
        <v>0</v>
      </c>
      <c r="L376">
        <v>103</v>
      </c>
      <c r="M376">
        <v>91</v>
      </c>
      <c r="N376">
        <v>0</v>
      </c>
      <c r="O376">
        <v>654</v>
      </c>
    </row>
    <row r="377" spans="1:15" x14ac:dyDescent="0.2">
      <c r="A377" t="s">
        <v>88</v>
      </c>
      <c r="B377" t="s">
        <v>37</v>
      </c>
      <c r="C377" t="s">
        <v>17</v>
      </c>
      <c r="D377" t="s">
        <v>75</v>
      </c>
      <c r="E377" t="s">
        <v>74</v>
      </c>
      <c r="F377">
        <v>3</v>
      </c>
      <c r="G377" t="s">
        <v>73</v>
      </c>
      <c r="H377" t="s">
        <v>20</v>
      </c>
      <c r="I377">
        <v>16</v>
      </c>
      <c r="J377">
        <v>6</v>
      </c>
      <c r="K377">
        <v>0</v>
      </c>
      <c r="L377">
        <v>68</v>
      </c>
      <c r="M377">
        <v>63</v>
      </c>
      <c r="N377">
        <v>0</v>
      </c>
      <c r="O377">
        <v>650</v>
      </c>
    </row>
    <row r="378" spans="1:15" x14ac:dyDescent="0.2">
      <c r="A378" t="s">
        <v>88</v>
      </c>
      <c r="B378" t="s">
        <v>37</v>
      </c>
      <c r="C378" t="s">
        <v>17</v>
      </c>
      <c r="D378" t="s">
        <v>75</v>
      </c>
      <c r="E378" t="s">
        <v>74</v>
      </c>
      <c r="F378">
        <v>3</v>
      </c>
      <c r="G378" t="s">
        <v>73</v>
      </c>
      <c r="H378" t="s">
        <v>21</v>
      </c>
      <c r="I378">
        <v>27</v>
      </c>
      <c r="J378">
        <v>11</v>
      </c>
      <c r="K378">
        <v>0</v>
      </c>
      <c r="L378">
        <v>68</v>
      </c>
      <c r="M378">
        <v>63</v>
      </c>
      <c r="N378">
        <v>0</v>
      </c>
      <c r="O378">
        <v>650</v>
      </c>
    </row>
    <row r="379" spans="1:15" x14ac:dyDescent="0.2">
      <c r="A379" t="s">
        <v>88</v>
      </c>
      <c r="B379" t="s">
        <v>37</v>
      </c>
      <c r="C379" t="s">
        <v>17</v>
      </c>
      <c r="D379" t="s">
        <v>75</v>
      </c>
      <c r="E379" t="s">
        <v>74</v>
      </c>
      <c r="F379">
        <v>3</v>
      </c>
      <c r="G379" t="s">
        <v>73</v>
      </c>
      <c r="H379" t="s">
        <v>22</v>
      </c>
      <c r="I379">
        <v>10</v>
      </c>
      <c r="J379">
        <v>3</v>
      </c>
      <c r="K379">
        <v>0</v>
      </c>
      <c r="L379">
        <v>68</v>
      </c>
      <c r="M379">
        <v>63</v>
      </c>
      <c r="N379">
        <v>0</v>
      </c>
      <c r="O379">
        <v>650</v>
      </c>
    </row>
    <row r="380" spans="1:15" x14ac:dyDescent="0.2">
      <c r="A380" t="s">
        <v>88</v>
      </c>
      <c r="B380" t="s">
        <v>37</v>
      </c>
      <c r="C380" t="s">
        <v>17</v>
      </c>
      <c r="D380" t="s">
        <v>75</v>
      </c>
      <c r="E380" t="s">
        <v>74</v>
      </c>
      <c r="F380">
        <v>3</v>
      </c>
      <c r="G380" t="s">
        <v>73</v>
      </c>
      <c r="H380" t="s">
        <v>23</v>
      </c>
      <c r="I380">
        <v>15</v>
      </c>
      <c r="J380">
        <v>43</v>
      </c>
      <c r="K380">
        <v>0</v>
      </c>
      <c r="L380">
        <v>68</v>
      </c>
      <c r="M380">
        <v>63</v>
      </c>
      <c r="N380">
        <v>0</v>
      </c>
      <c r="O380">
        <v>650</v>
      </c>
    </row>
    <row r="381" spans="1:15" x14ac:dyDescent="0.2">
      <c r="A381" t="s">
        <v>88</v>
      </c>
      <c r="B381" t="s">
        <v>37</v>
      </c>
      <c r="C381" t="s">
        <v>17</v>
      </c>
      <c r="D381" t="s">
        <v>75</v>
      </c>
      <c r="E381" t="s">
        <v>74</v>
      </c>
      <c r="F381">
        <v>3</v>
      </c>
      <c r="G381" t="s">
        <v>73</v>
      </c>
      <c r="H381" t="s">
        <v>24</v>
      </c>
      <c r="I381">
        <v>0</v>
      </c>
      <c r="J381">
        <v>0</v>
      </c>
      <c r="K381">
        <v>0</v>
      </c>
      <c r="L381">
        <v>68</v>
      </c>
      <c r="M381">
        <v>63</v>
      </c>
      <c r="N381">
        <v>0</v>
      </c>
      <c r="O381">
        <v>650</v>
      </c>
    </row>
    <row r="382" spans="1:15" x14ac:dyDescent="0.2">
      <c r="A382" t="s">
        <v>124</v>
      </c>
      <c r="B382" t="s">
        <v>37</v>
      </c>
      <c r="C382" t="s">
        <v>17</v>
      </c>
      <c r="D382" t="s">
        <v>75</v>
      </c>
      <c r="E382" t="s">
        <v>118</v>
      </c>
      <c r="F382">
        <v>3</v>
      </c>
      <c r="G382" t="s">
        <v>19</v>
      </c>
      <c r="H382" t="s">
        <v>20</v>
      </c>
      <c r="I382">
        <v>85</v>
      </c>
      <c r="J382">
        <v>9</v>
      </c>
      <c r="K382">
        <v>0</v>
      </c>
      <c r="L382">
        <v>109</v>
      </c>
      <c r="M382">
        <v>34</v>
      </c>
      <c r="N382">
        <v>0</v>
      </c>
      <c r="O382">
        <v>196</v>
      </c>
    </row>
    <row r="383" spans="1:15" x14ac:dyDescent="0.2">
      <c r="A383" t="s">
        <v>124</v>
      </c>
      <c r="B383" t="s">
        <v>37</v>
      </c>
      <c r="C383" t="s">
        <v>17</v>
      </c>
      <c r="D383" t="s">
        <v>75</v>
      </c>
      <c r="E383" t="s">
        <v>118</v>
      </c>
      <c r="F383">
        <v>3</v>
      </c>
      <c r="G383" t="s">
        <v>19</v>
      </c>
      <c r="H383" t="s">
        <v>21</v>
      </c>
      <c r="I383">
        <v>17</v>
      </c>
      <c r="J383">
        <v>8</v>
      </c>
      <c r="K383">
        <v>0</v>
      </c>
      <c r="L383">
        <v>109</v>
      </c>
      <c r="M383">
        <v>34</v>
      </c>
      <c r="N383">
        <v>0</v>
      </c>
      <c r="O383">
        <v>196</v>
      </c>
    </row>
    <row r="384" spans="1:15" x14ac:dyDescent="0.2">
      <c r="A384" t="s">
        <v>124</v>
      </c>
      <c r="B384" t="s">
        <v>37</v>
      </c>
      <c r="C384" t="s">
        <v>17</v>
      </c>
      <c r="D384" t="s">
        <v>75</v>
      </c>
      <c r="E384" t="s">
        <v>118</v>
      </c>
      <c r="F384">
        <v>3</v>
      </c>
      <c r="G384" t="s">
        <v>19</v>
      </c>
      <c r="H384" t="s">
        <v>22</v>
      </c>
      <c r="I384">
        <v>4</v>
      </c>
      <c r="J384">
        <v>3</v>
      </c>
      <c r="K384">
        <v>0</v>
      </c>
      <c r="L384">
        <v>109</v>
      </c>
      <c r="M384">
        <v>34</v>
      </c>
      <c r="N384">
        <v>0</v>
      </c>
      <c r="O384">
        <v>196</v>
      </c>
    </row>
    <row r="385" spans="1:15" x14ac:dyDescent="0.2">
      <c r="A385" t="s">
        <v>124</v>
      </c>
      <c r="B385" t="s">
        <v>37</v>
      </c>
      <c r="C385" t="s">
        <v>17</v>
      </c>
      <c r="D385" t="s">
        <v>75</v>
      </c>
      <c r="E385" t="s">
        <v>118</v>
      </c>
      <c r="F385">
        <v>3</v>
      </c>
      <c r="G385" t="s">
        <v>19</v>
      </c>
      <c r="H385" t="s">
        <v>23</v>
      </c>
      <c r="I385">
        <v>3</v>
      </c>
      <c r="J385">
        <v>14</v>
      </c>
      <c r="K385">
        <v>0</v>
      </c>
      <c r="L385">
        <v>109</v>
      </c>
      <c r="M385">
        <v>34</v>
      </c>
      <c r="N385">
        <v>0</v>
      </c>
      <c r="O385">
        <v>196</v>
      </c>
    </row>
    <row r="386" spans="1:15" x14ac:dyDescent="0.2">
      <c r="A386" t="s">
        <v>124</v>
      </c>
      <c r="B386" t="s">
        <v>37</v>
      </c>
      <c r="C386" t="s">
        <v>17</v>
      </c>
      <c r="D386" t="s">
        <v>75</v>
      </c>
      <c r="E386" t="s">
        <v>118</v>
      </c>
      <c r="F386">
        <v>3</v>
      </c>
      <c r="G386" t="s">
        <v>19</v>
      </c>
      <c r="H386" t="s">
        <v>24</v>
      </c>
      <c r="I386">
        <v>0</v>
      </c>
      <c r="J386">
        <v>0</v>
      </c>
      <c r="K386">
        <v>0</v>
      </c>
      <c r="L386">
        <v>109</v>
      </c>
      <c r="M386">
        <v>34</v>
      </c>
      <c r="N386">
        <v>0</v>
      </c>
      <c r="O386">
        <v>196</v>
      </c>
    </row>
    <row r="387" spans="1:15" x14ac:dyDescent="0.2">
      <c r="A387" t="s">
        <v>124</v>
      </c>
      <c r="B387" t="s">
        <v>37</v>
      </c>
      <c r="C387" t="s">
        <v>17</v>
      </c>
      <c r="D387" t="s">
        <v>75</v>
      </c>
      <c r="E387" t="s">
        <v>117</v>
      </c>
      <c r="F387">
        <v>3</v>
      </c>
      <c r="G387" t="s">
        <v>79</v>
      </c>
      <c r="H387" t="s">
        <v>20</v>
      </c>
      <c r="I387">
        <v>92</v>
      </c>
      <c r="J387">
        <v>0</v>
      </c>
      <c r="K387">
        <v>0</v>
      </c>
      <c r="L387">
        <v>97</v>
      </c>
      <c r="M387">
        <v>7</v>
      </c>
      <c r="N387">
        <v>0</v>
      </c>
      <c r="O387">
        <v>188</v>
      </c>
    </row>
    <row r="388" spans="1:15" x14ac:dyDescent="0.2">
      <c r="A388" t="s">
        <v>124</v>
      </c>
      <c r="B388" t="s">
        <v>37</v>
      </c>
      <c r="C388" t="s">
        <v>17</v>
      </c>
      <c r="D388" t="s">
        <v>75</v>
      </c>
      <c r="E388" t="s">
        <v>117</v>
      </c>
      <c r="F388">
        <v>3</v>
      </c>
      <c r="G388" t="s">
        <v>79</v>
      </c>
      <c r="H388" t="s">
        <v>21</v>
      </c>
      <c r="I388">
        <v>4</v>
      </c>
      <c r="J388">
        <v>1</v>
      </c>
      <c r="K388">
        <v>0</v>
      </c>
      <c r="L388">
        <v>97</v>
      </c>
      <c r="M388">
        <v>7</v>
      </c>
      <c r="N388">
        <v>0</v>
      </c>
      <c r="O388">
        <v>188</v>
      </c>
    </row>
    <row r="389" spans="1:15" x14ac:dyDescent="0.2">
      <c r="A389" t="s">
        <v>124</v>
      </c>
      <c r="B389" t="s">
        <v>37</v>
      </c>
      <c r="C389" t="s">
        <v>17</v>
      </c>
      <c r="D389" t="s">
        <v>75</v>
      </c>
      <c r="E389" t="s">
        <v>117</v>
      </c>
      <c r="F389">
        <v>3</v>
      </c>
      <c r="G389" t="s">
        <v>79</v>
      </c>
      <c r="H389" t="s">
        <v>22</v>
      </c>
      <c r="I389">
        <v>1</v>
      </c>
      <c r="J389">
        <v>1</v>
      </c>
      <c r="K389">
        <v>0</v>
      </c>
      <c r="L389">
        <v>97</v>
      </c>
      <c r="M389">
        <v>7</v>
      </c>
      <c r="N389">
        <v>0</v>
      </c>
      <c r="O389">
        <v>188</v>
      </c>
    </row>
    <row r="390" spans="1:15" x14ac:dyDescent="0.2">
      <c r="A390" t="s">
        <v>124</v>
      </c>
      <c r="B390" t="s">
        <v>37</v>
      </c>
      <c r="C390" t="s">
        <v>17</v>
      </c>
      <c r="D390" t="s">
        <v>75</v>
      </c>
      <c r="E390" t="s">
        <v>117</v>
      </c>
      <c r="F390">
        <v>3</v>
      </c>
      <c r="G390" t="s">
        <v>79</v>
      </c>
      <c r="H390" t="s">
        <v>23</v>
      </c>
      <c r="I390">
        <v>0</v>
      </c>
      <c r="J390">
        <v>5</v>
      </c>
      <c r="K390">
        <v>0</v>
      </c>
      <c r="L390">
        <v>97</v>
      </c>
      <c r="M390">
        <v>7</v>
      </c>
      <c r="N390">
        <v>0</v>
      </c>
      <c r="O390">
        <v>188</v>
      </c>
    </row>
    <row r="391" spans="1:15" x14ac:dyDescent="0.2">
      <c r="A391" t="s">
        <v>124</v>
      </c>
      <c r="B391" t="s">
        <v>37</v>
      </c>
      <c r="C391" t="s">
        <v>17</v>
      </c>
      <c r="D391" t="s">
        <v>75</v>
      </c>
      <c r="E391" t="s">
        <v>117</v>
      </c>
      <c r="F391">
        <v>3</v>
      </c>
      <c r="G391" t="s">
        <v>79</v>
      </c>
      <c r="H391" t="s">
        <v>24</v>
      </c>
      <c r="I391">
        <v>0</v>
      </c>
      <c r="J391">
        <v>0</v>
      </c>
      <c r="K391">
        <v>0</v>
      </c>
      <c r="L391">
        <v>97</v>
      </c>
      <c r="M391">
        <v>7</v>
      </c>
      <c r="N391">
        <v>0</v>
      </c>
      <c r="O391">
        <v>188</v>
      </c>
    </row>
    <row r="392" spans="1:15" x14ac:dyDescent="0.2">
      <c r="A392" t="s">
        <v>124</v>
      </c>
      <c r="B392" t="s">
        <v>37</v>
      </c>
      <c r="C392" t="s">
        <v>17</v>
      </c>
      <c r="D392" t="s">
        <v>75</v>
      </c>
      <c r="E392" t="s">
        <v>116</v>
      </c>
      <c r="F392">
        <v>3</v>
      </c>
      <c r="G392" t="s">
        <v>77</v>
      </c>
      <c r="H392" t="s">
        <v>20</v>
      </c>
      <c r="I392">
        <v>85</v>
      </c>
      <c r="J392">
        <v>1</v>
      </c>
      <c r="K392">
        <v>0</v>
      </c>
      <c r="L392">
        <v>93</v>
      </c>
      <c r="M392">
        <v>11</v>
      </c>
      <c r="N392">
        <v>0</v>
      </c>
      <c r="O392">
        <v>190</v>
      </c>
    </row>
    <row r="393" spans="1:15" x14ac:dyDescent="0.2">
      <c r="A393" t="s">
        <v>124</v>
      </c>
      <c r="B393" t="s">
        <v>37</v>
      </c>
      <c r="C393" t="s">
        <v>17</v>
      </c>
      <c r="D393" t="s">
        <v>75</v>
      </c>
      <c r="E393" t="s">
        <v>116</v>
      </c>
      <c r="F393">
        <v>3</v>
      </c>
      <c r="G393" t="s">
        <v>77</v>
      </c>
      <c r="H393" t="s">
        <v>21</v>
      </c>
      <c r="I393">
        <v>5</v>
      </c>
      <c r="J393">
        <v>1</v>
      </c>
      <c r="K393">
        <v>0</v>
      </c>
      <c r="L393">
        <v>93</v>
      </c>
      <c r="M393">
        <v>11</v>
      </c>
      <c r="N393">
        <v>0</v>
      </c>
      <c r="O393">
        <v>190</v>
      </c>
    </row>
    <row r="394" spans="1:15" x14ac:dyDescent="0.2">
      <c r="A394" t="s">
        <v>124</v>
      </c>
      <c r="B394" t="s">
        <v>37</v>
      </c>
      <c r="C394" t="s">
        <v>17</v>
      </c>
      <c r="D394" t="s">
        <v>75</v>
      </c>
      <c r="E394" t="s">
        <v>116</v>
      </c>
      <c r="F394">
        <v>3</v>
      </c>
      <c r="G394" t="s">
        <v>77</v>
      </c>
      <c r="H394" t="s">
        <v>22</v>
      </c>
      <c r="I394">
        <v>1</v>
      </c>
      <c r="J394">
        <v>0</v>
      </c>
      <c r="K394">
        <v>0</v>
      </c>
      <c r="L394">
        <v>93</v>
      </c>
      <c r="M394">
        <v>11</v>
      </c>
      <c r="N394">
        <v>0</v>
      </c>
      <c r="O394">
        <v>190</v>
      </c>
    </row>
    <row r="395" spans="1:15" x14ac:dyDescent="0.2">
      <c r="A395" t="s">
        <v>124</v>
      </c>
      <c r="B395" t="s">
        <v>37</v>
      </c>
      <c r="C395" t="s">
        <v>17</v>
      </c>
      <c r="D395" t="s">
        <v>75</v>
      </c>
      <c r="E395" t="s">
        <v>116</v>
      </c>
      <c r="F395">
        <v>3</v>
      </c>
      <c r="G395" t="s">
        <v>77</v>
      </c>
      <c r="H395" t="s">
        <v>23</v>
      </c>
      <c r="I395">
        <v>2</v>
      </c>
      <c r="J395">
        <v>9</v>
      </c>
      <c r="K395">
        <v>0</v>
      </c>
      <c r="L395">
        <v>93</v>
      </c>
      <c r="M395">
        <v>11</v>
      </c>
      <c r="N395">
        <v>0</v>
      </c>
      <c r="O395">
        <v>190</v>
      </c>
    </row>
    <row r="396" spans="1:15" x14ac:dyDescent="0.2">
      <c r="A396" t="s">
        <v>124</v>
      </c>
      <c r="B396" t="s">
        <v>37</v>
      </c>
      <c r="C396" t="s">
        <v>17</v>
      </c>
      <c r="D396" t="s">
        <v>75</v>
      </c>
      <c r="E396" t="s">
        <v>116</v>
      </c>
      <c r="F396">
        <v>3</v>
      </c>
      <c r="G396" t="s">
        <v>77</v>
      </c>
      <c r="H396" t="s">
        <v>24</v>
      </c>
      <c r="I396">
        <v>0</v>
      </c>
      <c r="J396">
        <v>0</v>
      </c>
      <c r="K396">
        <v>0</v>
      </c>
      <c r="L396">
        <v>93</v>
      </c>
      <c r="M396">
        <v>11</v>
      </c>
      <c r="N396">
        <v>0</v>
      </c>
      <c r="O396">
        <v>190</v>
      </c>
    </row>
    <row r="397" spans="1:15" x14ac:dyDescent="0.2">
      <c r="A397" t="s">
        <v>124</v>
      </c>
      <c r="B397" t="s">
        <v>37</v>
      </c>
      <c r="C397" t="s">
        <v>17</v>
      </c>
      <c r="D397" t="s">
        <v>75</v>
      </c>
      <c r="E397" t="s">
        <v>114</v>
      </c>
      <c r="F397">
        <v>3</v>
      </c>
      <c r="G397" t="s">
        <v>73</v>
      </c>
      <c r="H397" t="s">
        <v>20</v>
      </c>
      <c r="I397">
        <v>23</v>
      </c>
      <c r="J397">
        <v>1</v>
      </c>
      <c r="K397">
        <v>0</v>
      </c>
      <c r="L397">
        <v>75</v>
      </c>
      <c r="M397">
        <v>9</v>
      </c>
      <c r="N397">
        <v>0</v>
      </c>
      <c r="O397">
        <v>190</v>
      </c>
    </row>
    <row r="398" spans="1:15" x14ac:dyDescent="0.2">
      <c r="A398" t="s">
        <v>124</v>
      </c>
      <c r="B398" t="s">
        <v>37</v>
      </c>
      <c r="C398" t="s">
        <v>17</v>
      </c>
      <c r="D398" t="s">
        <v>75</v>
      </c>
      <c r="E398" t="s">
        <v>114</v>
      </c>
      <c r="F398">
        <v>3</v>
      </c>
      <c r="G398" t="s">
        <v>73</v>
      </c>
      <c r="H398" t="s">
        <v>21</v>
      </c>
      <c r="I398">
        <v>34</v>
      </c>
      <c r="J398">
        <v>4</v>
      </c>
      <c r="K398">
        <v>0</v>
      </c>
      <c r="L398">
        <v>75</v>
      </c>
      <c r="M398">
        <v>9</v>
      </c>
      <c r="N398">
        <v>0</v>
      </c>
      <c r="O398">
        <v>190</v>
      </c>
    </row>
    <row r="399" spans="1:15" x14ac:dyDescent="0.2">
      <c r="A399" t="s">
        <v>124</v>
      </c>
      <c r="B399" t="s">
        <v>37</v>
      </c>
      <c r="C399" t="s">
        <v>17</v>
      </c>
      <c r="D399" t="s">
        <v>75</v>
      </c>
      <c r="E399" t="s">
        <v>114</v>
      </c>
      <c r="F399">
        <v>3</v>
      </c>
      <c r="G399" t="s">
        <v>73</v>
      </c>
      <c r="H399" t="s">
        <v>22</v>
      </c>
      <c r="I399">
        <v>3</v>
      </c>
      <c r="J399">
        <v>2</v>
      </c>
      <c r="K399">
        <v>0</v>
      </c>
      <c r="L399">
        <v>75</v>
      </c>
      <c r="M399">
        <v>9</v>
      </c>
      <c r="N399">
        <v>0</v>
      </c>
      <c r="O399">
        <v>190</v>
      </c>
    </row>
    <row r="400" spans="1:15" x14ac:dyDescent="0.2">
      <c r="A400" t="s">
        <v>124</v>
      </c>
      <c r="B400" t="s">
        <v>37</v>
      </c>
      <c r="C400" t="s">
        <v>17</v>
      </c>
      <c r="D400" t="s">
        <v>75</v>
      </c>
      <c r="E400" t="s">
        <v>114</v>
      </c>
      <c r="F400">
        <v>3</v>
      </c>
      <c r="G400" t="s">
        <v>73</v>
      </c>
      <c r="H400" t="s">
        <v>23</v>
      </c>
      <c r="I400">
        <v>15</v>
      </c>
      <c r="J400">
        <v>2</v>
      </c>
      <c r="K400">
        <v>0</v>
      </c>
      <c r="L400">
        <v>75</v>
      </c>
      <c r="M400">
        <v>9</v>
      </c>
      <c r="N400">
        <v>0</v>
      </c>
      <c r="O400">
        <v>190</v>
      </c>
    </row>
    <row r="401" spans="1:15" x14ac:dyDescent="0.2">
      <c r="A401" t="s">
        <v>124</v>
      </c>
      <c r="B401" t="s">
        <v>37</v>
      </c>
      <c r="C401" t="s">
        <v>17</v>
      </c>
      <c r="D401" t="s">
        <v>75</v>
      </c>
      <c r="E401" t="s">
        <v>114</v>
      </c>
      <c r="F401">
        <v>3</v>
      </c>
      <c r="G401" t="s">
        <v>73</v>
      </c>
      <c r="H401" t="s">
        <v>24</v>
      </c>
      <c r="I401">
        <v>0</v>
      </c>
      <c r="J401">
        <v>0</v>
      </c>
      <c r="K401">
        <v>0</v>
      </c>
      <c r="L401">
        <v>75</v>
      </c>
      <c r="M401">
        <v>9</v>
      </c>
      <c r="N401">
        <v>0</v>
      </c>
      <c r="O401">
        <v>190</v>
      </c>
    </row>
    <row r="402" spans="1:15" x14ac:dyDescent="0.2">
      <c r="A402" t="s">
        <v>113</v>
      </c>
      <c r="B402" t="s">
        <v>45</v>
      </c>
      <c r="C402" t="s">
        <v>17</v>
      </c>
      <c r="D402" t="s">
        <v>75</v>
      </c>
      <c r="E402" t="s">
        <v>106</v>
      </c>
      <c r="F402">
        <v>3</v>
      </c>
      <c r="G402" t="s">
        <v>19</v>
      </c>
      <c r="H402" t="s">
        <v>20</v>
      </c>
      <c r="I402">
        <v>54</v>
      </c>
      <c r="J402">
        <v>82</v>
      </c>
      <c r="K402">
        <v>0</v>
      </c>
      <c r="L402">
        <v>162</v>
      </c>
      <c r="M402">
        <v>209</v>
      </c>
      <c r="N402">
        <v>0</v>
      </c>
      <c r="O402">
        <v>869</v>
      </c>
    </row>
    <row r="403" spans="1:15" x14ac:dyDescent="0.2">
      <c r="A403" t="s">
        <v>113</v>
      </c>
      <c r="B403" t="s">
        <v>45</v>
      </c>
      <c r="C403" t="s">
        <v>17</v>
      </c>
      <c r="D403" t="s">
        <v>75</v>
      </c>
      <c r="E403" t="s">
        <v>106</v>
      </c>
      <c r="F403">
        <v>3</v>
      </c>
      <c r="G403" t="s">
        <v>19</v>
      </c>
      <c r="H403" t="s">
        <v>21</v>
      </c>
      <c r="I403">
        <v>54</v>
      </c>
      <c r="J403">
        <v>72</v>
      </c>
      <c r="K403">
        <v>0</v>
      </c>
      <c r="L403">
        <v>162</v>
      </c>
      <c r="M403">
        <v>209</v>
      </c>
      <c r="N403">
        <v>0</v>
      </c>
      <c r="O403">
        <v>869</v>
      </c>
    </row>
    <row r="404" spans="1:15" x14ac:dyDescent="0.2">
      <c r="A404" t="s">
        <v>113</v>
      </c>
      <c r="B404" t="s">
        <v>45</v>
      </c>
      <c r="C404" t="s">
        <v>17</v>
      </c>
      <c r="D404" t="s">
        <v>75</v>
      </c>
      <c r="E404" t="s">
        <v>106</v>
      </c>
      <c r="F404">
        <v>3</v>
      </c>
      <c r="G404" t="s">
        <v>19</v>
      </c>
      <c r="H404" t="s">
        <v>22</v>
      </c>
      <c r="I404">
        <v>24</v>
      </c>
      <c r="J404">
        <v>40</v>
      </c>
      <c r="K404">
        <v>0</v>
      </c>
      <c r="L404">
        <v>162</v>
      </c>
      <c r="M404">
        <v>209</v>
      </c>
      <c r="N404">
        <v>0</v>
      </c>
      <c r="O404">
        <v>869</v>
      </c>
    </row>
    <row r="405" spans="1:15" x14ac:dyDescent="0.2">
      <c r="A405" t="s">
        <v>113</v>
      </c>
      <c r="B405" t="s">
        <v>45</v>
      </c>
      <c r="C405" t="s">
        <v>17</v>
      </c>
      <c r="D405" t="s">
        <v>75</v>
      </c>
      <c r="E405" t="s">
        <v>106</v>
      </c>
      <c r="F405">
        <v>3</v>
      </c>
      <c r="G405" t="s">
        <v>19</v>
      </c>
      <c r="H405" t="s">
        <v>23</v>
      </c>
      <c r="I405">
        <v>30</v>
      </c>
      <c r="J405">
        <v>15</v>
      </c>
      <c r="K405">
        <v>0</v>
      </c>
      <c r="L405">
        <v>162</v>
      </c>
      <c r="M405">
        <v>209</v>
      </c>
      <c r="N405">
        <v>0</v>
      </c>
      <c r="O405">
        <v>869</v>
      </c>
    </row>
    <row r="406" spans="1:15" x14ac:dyDescent="0.2">
      <c r="A406" t="s">
        <v>113</v>
      </c>
      <c r="B406" t="s">
        <v>45</v>
      </c>
      <c r="C406" t="s">
        <v>17</v>
      </c>
      <c r="D406" t="s">
        <v>75</v>
      </c>
      <c r="E406" t="s">
        <v>106</v>
      </c>
      <c r="F406">
        <v>3</v>
      </c>
      <c r="G406" t="s">
        <v>19</v>
      </c>
      <c r="H406" t="s">
        <v>24</v>
      </c>
      <c r="I406">
        <v>0</v>
      </c>
      <c r="J406">
        <v>0</v>
      </c>
      <c r="K406">
        <v>0</v>
      </c>
      <c r="L406">
        <v>162</v>
      </c>
      <c r="M406">
        <v>209</v>
      </c>
      <c r="N406">
        <v>0</v>
      </c>
      <c r="O406">
        <v>869</v>
      </c>
    </row>
    <row r="407" spans="1:15" x14ac:dyDescent="0.2">
      <c r="A407" t="s">
        <v>113</v>
      </c>
      <c r="B407" t="s">
        <v>45</v>
      </c>
      <c r="C407" t="s">
        <v>17</v>
      </c>
      <c r="D407" t="s">
        <v>75</v>
      </c>
      <c r="E407" t="s">
        <v>105</v>
      </c>
      <c r="F407">
        <v>3</v>
      </c>
      <c r="G407" t="s">
        <v>79</v>
      </c>
      <c r="H407" t="s">
        <v>20</v>
      </c>
      <c r="I407">
        <v>28</v>
      </c>
      <c r="J407">
        <v>83</v>
      </c>
      <c r="K407">
        <v>0</v>
      </c>
      <c r="L407">
        <v>55</v>
      </c>
      <c r="M407">
        <v>162</v>
      </c>
      <c r="N407">
        <v>0</v>
      </c>
      <c r="O407">
        <v>590</v>
      </c>
    </row>
    <row r="408" spans="1:15" x14ac:dyDescent="0.2">
      <c r="A408" t="s">
        <v>113</v>
      </c>
      <c r="B408" t="s">
        <v>45</v>
      </c>
      <c r="C408" t="s">
        <v>17</v>
      </c>
      <c r="D408" t="s">
        <v>75</v>
      </c>
      <c r="E408" t="s">
        <v>105</v>
      </c>
      <c r="F408">
        <v>3</v>
      </c>
      <c r="G408" t="s">
        <v>79</v>
      </c>
      <c r="H408" t="s">
        <v>21</v>
      </c>
      <c r="I408">
        <v>12</v>
      </c>
      <c r="J408">
        <v>48</v>
      </c>
      <c r="K408">
        <v>0</v>
      </c>
      <c r="L408">
        <v>55</v>
      </c>
      <c r="M408">
        <v>162</v>
      </c>
      <c r="N408">
        <v>0</v>
      </c>
      <c r="O408">
        <v>590</v>
      </c>
    </row>
    <row r="409" spans="1:15" x14ac:dyDescent="0.2">
      <c r="A409" t="s">
        <v>113</v>
      </c>
      <c r="B409" t="s">
        <v>45</v>
      </c>
      <c r="C409" t="s">
        <v>17</v>
      </c>
      <c r="D409" t="s">
        <v>75</v>
      </c>
      <c r="E409" t="s">
        <v>105</v>
      </c>
      <c r="F409">
        <v>3</v>
      </c>
      <c r="G409" t="s">
        <v>79</v>
      </c>
      <c r="H409" t="s">
        <v>22</v>
      </c>
      <c r="I409">
        <v>6</v>
      </c>
      <c r="J409">
        <v>19</v>
      </c>
      <c r="K409">
        <v>0</v>
      </c>
      <c r="L409">
        <v>55</v>
      </c>
      <c r="M409">
        <v>162</v>
      </c>
      <c r="N409">
        <v>0</v>
      </c>
      <c r="O409">
        <v>590</v>
      </c>
    </row>
    <row r="410" spans="1:15" x14ac:dyDescent="0.2">
      <c r="A410" t="s">
        <v>113</v>
      </c>
      <c r="B410" t="s">
        <v>45</v>
      </c>
      <c r="C410" t="s">
        <v>17</v>
      </c>
      <c r="D410" t="s">
        <v>75</v>
      </c>
      <c r="E410" t="s">
        <v>105</v>
      </c>
      <c r="F410">
        <v>3</v>
      </c>
      <c r="G410" t="s">
        <v>79</v>
      </c>
      <c r="H410" t="s">
        <v>23</v>
      </c>
      <c r="I410">
        <v>9</v>
      </c>
      <c r="J410">
        <v>12</v>
      </c>
      <c r="K410">
        <v>0</v>
      </c>
      <c r="L410">
        <v>55</v>
      </c>
      <c r="M410">
        <v>162</v>
      </c>
      <c r="N410">
        <v>0</v>
      </c>
      <c r="O410">
        <v>590</v>
      </c>
    </row>
    <row r="411" spans="1:15" x14ac:dyDescent="0.2">
      <c r="A411" t="s">
        <v>113</v>
      </c>
      <c r="B411" t="s">
        <v>45</v>
      </c>
      <c r="C411" t="s">
        <v>17</v>
      </c>
      <c r="D411" t="s">
        <v>75</v>
      </c>
      <c r="E411" t="s">
        <v>105</v>
      </c>
      <c r="F411">
        <v>3</v>
      </c>
      <c r="G411" t="s">
        <v>79</v>
      </c>
      <c r="H411" t="s">
        <v>24</v>
      </c>
      <c r="I411">
        <v>0</v>
      </c>
      <c r="J411">
        <v>0</v>
      </c>
      <c r="K411">
        <v>0</v>
      </c>
      <c r="L411">
        <v>55</v>
      </c>
      <c r="M411">
        <v>162</v>
      </c>
      <c r="N411">
        <v>0</v>
      </c>
      <c r="O411">
        <v>590</v>
      </c>
    </row>
    <row r="412" spans="1:15" x14ac:dyDescent="0.2">
      <c r="A412" t="s">
        <v>113</v>
      </c>
      <c r="B412" t="s">
        <v>45</v>
      </c>
      <c r="C412" t="s">
        <v>17</v>
      </c>
      <c r="D412" t="s">
        <v>75</v>
      </c>
      <c r="E412" t="s">
        <v>104</v>
      </c>
      <c r="F412">
        <v>3</v>
      </c>
      <c r="G412" t="s">
        <v>77</v>
      </c>
      <c r="H412" t="s">
        <v>20</v>
      </c>
      <c r="I412">
        <v>29</v>
      </c>
      <c r="J412">
        <v>69</v>
      </c>
      <c r="K412">
        <v>0</v>
      </c>
      <c r="L412">
        <v>45</v>
      </c>
      <c r="M412">
        <v>121</v>
      </c>
      <c r="N412">
        <v>0</v>
      </c>
      <c r="O412">
        <v>568</v>
      </c>
    </row>
    <row r="413" spans="1:15" x14ac:dyDescent="0.2">
      <c r="A413" t="s">
        <v>113</v>
      </c>
      <c r="B413" t="s">
        <v>45</v>
      </c>
      <c r="C413" t="s">
        <v>17</v>
      </c>
      <c r="D413" t="s">
        <v>75</v>
      </c>
      <c r="E413" t="s">
        <v>104</v>
      </c>
      <c r="F413">
        <v>3</v>
      </c>
      <c r="G413" t="s">
        <v>77</v>
      </c>
      <c r="H413" t="s">
        <v>21</v>
      </c>
      <c r="I413">
        <v>5</v>
      </c>
      <c r="J413">
        <v>33</v>
      </c>
      <c r="K413">
        <v>0</v>
      </c>
      <c r="L413">
        <v>45</v>
      </c>
      <c r="M413">
        <v>121</v>
      </c>
      <c r="N413">
        <v>0</v>
      </c>
      <c r="O413">
        <v>568</v>
      </c>
    </row>
    <row r="414" spans="1:15" x14ac:dyDescent="0.2">
      <c r="A414" t="s">
        <v>113</v>
      </c>
      <c r="B414" t="s">
        <v>45</v>
      </c>
      <c r="C414" t="s">
        <v>17</v>
      </c>
      <c r="D414" t="s">
        <v>75</v>
      </c>
      <c r="E414" t="s">
        <v>104</v>
      </c>
      <c r="F414">
        <v>3</v>
      </c>
      <c r="G414" t="s">
        <v>77</v>
      </c>
      <c r="H414" t="s">
        <v>22</v>
      </c>
      <c r="I414">
        <v>3</v>
      </c>
      <c r="J414">
        <v>4</v>
      </c>
      <c r="K414">
        <v>0</v>
      </c>
      <c r="L414">
        <v>45</v>
      </c>
      <c r="M414">
        <v>121</v>
      </c>
      <c r="N414">
        <v>0</v>
      </c>
      <c r="O414">
        <v>568</v>
      </c>
    </row>
    <row r="415" spans="1:15" x14ac:dyDescent="0.2">
      <c r="A415" t="s">
        <v>113</v>
      </c>
      <c r="B415" t="s">
        <v>45</v>
      </c>
      <c r="C415" t="s">
        <v>17</v>
      </c>
      <c r="D415" t="s">
        <v>75</v>
      </c>
      <c r="E415" t="s">
        <v>104</v>
      </c>
      <c r="F415">
        <v>3</v>
      </c>
      <c r="G415" t="s">
        <v>77</v>
      </c>
      <c r="H415" t="s">
        <v>23</v>
      </c>
      <c r="I415">
        <v>8</v>
      </c>
      <c r="J415">
        <v>15</v>
      </c>
      <c r="K415">
        <v>0</v>
      </c>
      <c r="L415">
        <v>45</v>
      </c>
      <c r="M415">
        <v>121</v>
      </c>
      <c r="N415">
        <v>0</v>
      </c>
      <c r="O415">
        <v>568</v>
      </c>
    </row>
    <row r="416" spans="1:15" x14ac:dyDescent="0.2">
      <c r="A416" t="s">
        <v>113</v>
      </c>
      <c r="B416" t="s">
        <v>45</v>
      </c>
      <c r="C416" t="s">
        <v>17</v>
      </c>
      <c r="D416" t="s">
        <v>75</v>
      </c>
      <c r="E416" t="s">
        <v>104</v>
      </c>
      <c r="F416">
        <v>3</v>
      </c>
      <c r="G416" t="s">
        <v>77</v>
      </c>
      <c r="H416" t="s">
        <v>24</v>
      </c>
      <c r="I416">
        <v>0</v>
      </c>
      <c r="J416">
        <v>0</v>
      </c>
      <c r="K416">
        <v>0</v>
      </c>
      <c r="L416">
        <v>45</v>
      </c>
      <c r="M416">
        <v>121</v>
      </c>
      <c r="N416">
        <v>0</v>
      </c>
      <c r="O416">
        <v>568</v>
      </c>
    </row>
    <row r="417" spans="1:15" x14ac:dyDescent="0.2">
      <c r="A417" t="s">
        <v>113</v>
      </c>
      <c r="B417" t="s">
        <v>45</v>
      </c>
      <c r="C417" t="s">
        <v>17</v>
      </c>
      <c r="D417" t="s">
        <v>75</v>
      </c>
      <c r="E417" t="s">
        <v>102</v>
      </c>
      <c r="F417">
        <v>3</v>
      </c>
      <c r="G417" t="s">
        <v>73</v>
      </c>
      <c r="H417" t="s">
        <v>20</v>
      </c>
      <c r="I417">
        <v>3</v>
      </c>
      <c r="J417">
        <v>35</v>
      </c>
      <c r="K417">
        <v>0</v>
      </c>
      <c r="L417">
        <v>47</v>
      </c>
      <c r="M417">
        <v>94</v>
      </c>
      <c r="N417">
        <v>0</v>
      </c>
      <c r="O417">
        <v>530</v>
      </c>
    </row>
    <row r="418" spans="1:15" x14ac:dyDescent="0.2">
      <c r="A418" t="s">
        <v>113</v>
      </c>
      <c r="B418" t="s">
        <v>45</v>
      </c>
      <c r="C418" t="s">
        <v>17</v>
      </c>
      <c r="D418" t="s">
        <v>75</v>
      </c>
      <c r="E418" t="s">
        <v>102</v>
      </c>
      <c r="F418">
        <v>3</v>
      </c>
      <c r="G418" t="s">
        <v>73</v>
      </c>
      <c r="H418" t="s">
        <v>21</v>
      </c>
      <c r="I418">
        <v>23</v>
      </c>
      <c r="J418">
        <v>39</v>
      </c>
      <c r="K418">
        <v>0</v>
      </c>
      <c r="L418">
        <v>47</v>
      </c>
      <c r="M418">
        <v>94</v>
      </c>
      <c r="N418">
        <v>0</v>
      </c>
      <c r="O418">
        <v>530</v>
      </c>
    </row>
    <row r="419" spans="1:15" x14ac:dyDescent="0.2">
      <c r="A419" t="s">
        <v>113</v>
      </c>
      <c r="B419" t="s">
        <v>45</v>
      </c>
      <c r="C419" t="s">
        <v>17</v>
      </c>
      <c r="D419" t="s">
        <v>75</v>
      </c>
      <c r="E419" t="s">
        <v>102</v>
      </c>
      <c r="F419">
        <v>3</v>
      </c>
      <c r="G419" t="s">
        <v>73</v>
      </c>
      <c r="H419" t="s">
        <v>22</v>
      </c>
      <c r="I419">
        <v>6</v>
      </c>
      <c r="J419">
        <v>6</v>
      </c>
      <c r="K419">
        <v>0</v>
      </c>
      <c r="L419">
        <v>47</v>
      </c>
      <c r="M419">
        <v>94</v>
      </c>
      <c r="N419">
        <v>0</v>
      </c>
      <c r="O419">
        <v>530</v>
      </c>
    </row>
    <row r="420" spans="1:15" x14ac:dyDescent="0.2">
      <c r="A420" t="s">
        <v>113</v>
      </c>
      <c r="B420" t="s">
        <v>45</v>
      </c>
      <c r="C420" t="s">
        <v>17</v>
      </c>
      <c r="D420" t="s">
        <v>75</v>
      </c>
      <c r="E420" t="s">
        <v>102</v>
      </c>
      <c r="F420">
        <v>3</v>
      </c>
      <c r="G420" t="s">
        <v>73</v>
      </c>
      <c r="H420" t="s">
        <v>23</v>
      </c>
      <c r="I420">
        <v>15</v>
      </c>
      <c r="J420">
        <v>14</v>
      </c>
      <c r="K420">
        <v>0</v>
      </c>
      <c r="L420">
        <v>47</v>
      </c>
      <c r="M420">
        <v>94</v>
      </c>
      <c r="N420">
        <v>0</v>
      </c>
      <c r="O420">
        <v>530</v>
      </c>
    </row>
    <row r="421" spans="1:15" x14ac:dyDescent="0.2">
      <c r="A421" t="s">
        <v>113</v>
      </c>
      <c r="B421" t="s">
        <v>45</v>
      </c>
      <c r="C421" t="s">
        <v>17</v>
      </c>
      <c r="D421" t="s">
        <v>75</v>
      </c>
      <c r="E421" t="s">
        <v>102</v>
      </c>
      <c r="F421">
        <v>3</v>
      </c>
      <c r="G421" t="s">
        <v>73</v>
      </c>
      <c r="H421" t="s">
        <v>24</v>
      </c>
      <c r="I421">
        <v>0</v>
      </c>
      <c r="J421">
        <v>0</v>
      </c>
      <c r="K421">
        <v>0</v>
      </c>
      <c r="L421">
        <v>47</v>
      </c>
      <c r="M421">
        <v>94</v>
      </c>
      <c r="N421">
        <v>0</v>
      </c>
      <c r="O421">
        <v>530</v>
      </c>
    </row>
    <row r="422" spans="1:15" x14ac:dyDescent="0.2">
      <c r="A422" t="s">
        <v>101</v>
      </c>
      <c r="B422" t="s">
        <v>45</v>
      </c>
      <c r="C422" t="s">
        <v>17</v>
      </c>
      <c r="D422" t="s">
        <v>75</v>
      </c>
      <c r="E422" t="s">
        <v>94</v>
      </c>
      <c r="F422">
        <v>3</v>
      </c>
      <c r="G422" t="s">
        <v>19</v>
      </c>
      <c r="H422" t="s">
        <v>20</v>
      </c>
      <c r="I422">
        <v>6</v>
      </c>
      <c r="J422">
        <v>4</v>
      </c>
      <c r="K422">
        <v>0</v>
      </c>
      <c r="L422">
        <v>16</v>
      </c>
      <c r="M422">
        <v>27</v>
      </c>
      <c r="N422">
        <v>0</v>
      </c>
      <c r="O422">
        <v>730</v>
      </c>
    </row>
    <row r="423" spans="1:15" x14ac:dyDescent="0.2">
      <c r="A423" t="s">
        <v>101</v>
      </c>
      <c r="B423" t="s">
        <v>45</v>
      </c>
      <c r="C423" t="s">
        <v>17</v>
      </c>
      <c r="D423" t="s">
        <v>75</v>
      </c>
      <c r="E423" t="s">
        <v>94</v>
      </c>
      <c r="F423">
        <v>3</v>
      </c>
      <c r="G423" t="s">
        <v>19</v>
      </c>
      <c r="H423" t="s">
        <v>21</v>
      </c>
      <c r="I423">
        <v>0</v>
      </c>
      <c r="J423">
        <v>16</v>
      </c>
      <c r="K423">
        <v>0</v>
      </c>
      <c r="L423">
        <v>16</v>
      </c>
      <c r="M423">
        <v>27</v>
      </c>
      <c r="N423">
        <v>0</v>
      </c>
      <c r="O423">
        <v>730</v>
      </c>
    </row>
    <row r="424" spans="1:15" x14ac:dyDescent="0.2">
      <c r="A424" t="s">
        <v>101</v>
      </c>
      <c r="B424" t="s">
        <v>45</v>
      </c>
      <c r="C424" t="s">
        <v>17</v>
      </c>
      <c r="D424" t="s">
        <v>75</v>
      </c>
      <c r="E424" t="s">
        <v>94</v>
      </c>
      <c r="F424">
        <v>3</v>
      </c>
      <c r="G424" t="s">
        <v>19</v>
      </c>
      <c r="H424" t="s">
        <v>22</v>
      </c>
      <c r="I424">
        <v>7</v>
      </c>
      <c r="J424">
        <v>6</v>
      </c>
      <c r="K424">
        <v>0</v>
      </c>
      <c r="L424">
        <v>16</v>
      </c>
      <c r="M424">
        <v>27</v>
      </c>
      <c r="N424">
        <v>0</v>
      </c>
      <c r="O424">
        <v>730</v>
      </c>
    </row>
    <row r="425" spans="1:15" x14ac:dyDescent="0.2">
      <c r="A425" t="s">
        <v>101</v>
      </c>
      <c r="B425" t="s">
        <v>45</v>
      </c>
      <c r="C425" t="s">
        <v>17</v>
      </c>
      <c r="D425" t="s">
        <v>75</v>
      </c>
      <c r="E425" t="s">
        <v>94</v>
      </c>
      <c r="F425">
        <v>3</v>
      </c>
      <c r="G425" t="s">
        <v>19</v>
      </c>
      <c r="H425" t="s">
        <v>23</v>
      </c>
      <c r="I425">
        <v>3</v>
      </c>
      <c r="J425">
        <v>1</v>
      </c>
      <c r="K425">
        <v>0</v>
      </c>
      <c r="L425">
        <v>16</v>
      </c>
      <c r="M425">
        <v>27</v>
      </c>
      <c r="N425">
        <v>0</v>
      </c>
      <c r="O425">
        <v>730</v>
      </c>
    </row>
    <row r="426" spans="1:15" x14ac:dyDescent="0.2">
      <c r="A426" t="s">
        <v>101</v>
      </c>
      <c r="B426" t="s">
        <v>45</v>
      </c>
      <c r="C426" t="s">
        <v>17</v>
      </c>
      <c r="D426" t="s">
        <v>75</v>
      </c>
      <c r="E426" t="s">
        <v>94</v>
      </c>
      <c r="F426">
        <v>3</v>
      </c>
      <c r="G426" t="s">
        <v>19</v>
      </c>
      <c r="H426" t="s">
        <v>24</v>
      </c>
      <c r="I426">
        <v>0</v>
      </c>
      <c r="J426">
        <v>0</v>
      </c>
      <c r="K426">
        <v>0</v>
      </c>
      <c r="L426">
        <v>16</v>
      </c>
      <c r="M426">
        <v>27</v>
      </c>
      <c r="N426">
        <v>0</v>
      </c>
      <c r="O426">
        <v>730</v>
      </c>
    </row>
    <row r="427" spans="1:15" x14ac:dyDescent="0.2">
      <c r="A427" t="s">
        <v>101</v>
      </c>
      <c r="B427" t="s">
        <v>45</v>
      </c>
      <c r="C427" t="s">
        <v>17</v>
      </c>
      <c r="D427" t="s">
        <v>75</v>
      </c>
      <c r="E427" t="s">
        <v>93</v>
      </c>
      <c r="F427">
        <v>3</v>
      </c>
      <c r="G427" t="s">
        <v>79</v>
      </c>
      <c r="H427" t="s">
        <v>20</v>
      </c>
      <c r="I427">
        <v>135</v>
      </c>
      <c r="J427">
        <v>2</v>
      </c>
      <c r="K427">
        <v>0</v>
      </c>
      <c r="L427">
        <v>160</v>
      </c>
      <c r="M427">
        <v>10</v>
      </c>
      <c r="N427">
        <v>0</v>
      </c>
      <c r="O427">
        <v>563</v>
      </c>
    </row>
    <row r="428" spans="1:15" x14ac:dyDescent="0.2">
      <c r="A428" t="s">
        <v>101</v>
      </c>
      <c r="B428" t="s">
        <v>45</v>
      </c>
      <c r="C428" t="s">
        <v>17</v>
      </c>
      <c r="D428" t="s">
        <v>75</v>
      </c>
      <c r="E428" t="s">
        <v>93</v>
      </c>
      <c r="F428">
        <v>3</v>
      </c>
      <c r="G428" t="s">
        <v>79</v>
      </c>
      <c r="H428" t="s">
        <v>21</v>
      </c>
      <c r="I428">
        <v>9</v>
      </c>
      <c r="J428">
        <v>3</v>
      </c>
      <c r="K428">
        <v>0</v>
      </c>
      <c r="L428">
        <v>160</v>
      </c>
      <c r="M428">
        <v>10</v>
      </c>
      <c r="N428">
        <v>0</v>
      </c>
      <c r="O428">
        <v>563</v>
      </c>
    </row>
    <row r="429" spans="1:15" x14ac:dyDescent="0.2">
      <c r="A429" t="s">
        <v>101</v>
      </c>
      <c r="B429" t="s">
        <v>45</v>
      </c>
      <c r="C429" t="s">
        <v>17</v>
      </c>
      <c r="D429" t="s">
        <v>75</v>
      </c>
      <c r="E429" t="s">
        <v>93</v>
      </c>
      <c r="F429">
        <v>3</v>
      </c>
      <c r="G429" t="s">
        <v>79</v>
      </c>
      <c r="H429" t="s">
        <v>22</v>
      </c>
      <c r="I429">
        <v>6</v>
      </c>
      <c r="J429">
        <v>4</v>
      </c>
      <c r="K429">
        <v>0</v>
      </c>
      <c r="L429">
        <v>160</v>
      </c>
      <c r="M429">
        <v>10</v>
      </c>
      <c r="N429">
        <v>0</v>
      </c>
      <c r="O429">
        <v>563</v>
      </c>
    </row>
    <row r="430" spans="1:15" x14ac:dyDescent="0.2">
      <c r="A430" t="s">
        <v>101</v>
      </c>
      <c r="B430" t="s">
        <v>45</v>
      </c>
      <c r="C430" t="s">
        <v>17</v>
      </c>
      <c r="D430" t="s">
        <v>75</v>
      </c>
      <c r="E430" t="s">
        <v>93</v>
      </c>
      <c r="F430">
        <v>3</v>
      </c>
      <c r="G430" t="s">
        <v>79</v>
      </c>
      <c r="H430" t="s">
        <v>23</v>
      </c>
      <c r="I430">
        <v>10</v>
      </c>
      <c r="J430">
        <v>1</v>
      </c>
      <c r="K430">
        <v>0</v>
      </c>
      <c r="L430">
        <v>160</v>
      </c>
      <c r="M430">
        <v>10</v>
      </c>
      <c r="N430">
        <v>0</v>
      </c>
      <c r="O430">
        <v>563</v>
      </c>
    </row>
    <row r="431" spans="1:15" x14ac:dyDescent="0.2">
      <c r="A431" t="s">
        <v>101</v>
      </c>
      <c r="B431" t="s">
        <v>45</v>
      </c>
      <c r="C431" t="s">
        <v>17</v>
      </c>
      <c r="D431" t="s">
        <v>75</v>
      </c>
      <c r="E431" t="s">
        <v>93</v>
      </c>
      <c r="F431">
        <v>3</v>
      </c>
      <c r="G431" t="s">
        <v>79</v>
      </c>
      <c r="H431" t="s">
        <v>24</v>
      </c>
      <c r="I431">
        <v>0</v>
      </c>
      <c r="J431">
        <v>0</v>
      </c>
      <c r="K431">
        <v>0</v>
      </c>
      <c r="L431">
        <v>160</v>
      </c>
      <c r="M431">
        <v>10</v>
      </c>
      <c r="N431">
        <v>0</v>
      </c>
      <c r="O431">
        <v>563</v>
      </c>
    </row>
    <row r="432" spans="1:15" x14ac:dyDescent="0.2">
      <c r="A432" t="s">
        <v>101</v>
      </c>
      <c r="B432" t="s">
        <v>45</v>
      </c>
      <c r="C432" t="s">
        <v>17</v>
      </c>
      <c r="D432" t="s">
        <v>75</v>
      </c>
      <c r="E432" t="s">
        <v>92</v>
      </c>
      <c r="F432">
        <v>3</v>
      </c>
      <c r="G432" t="s">
        <v>77</v>
      </c>
      <c r="H432" t="s">
        <v>20</v>
      </c>
      <c r="I432">
        <v>142</v>
      </c>
      <c r="J432">
        <v>5</v>
      </c>
      <c r="K432">
        <v>0</v>
      </c>
      <c r="L432">
        <v>178</v>
      </c>
      <c r="M432">
        <v>10</v>
      </c>
      <c r="N432">
        <v>0</v>
      </c>
      <c r="O432">
        <v>576</v>
      </c>
    </row>
    <row r="433" spans="1:15" x14ac:dyDescent="0.2">
      <c r="A433" t="s">
        <v>101</v>
      </c>
      <c r="B433" t="s">
        <v>45</v>
      </c>
      <c r="C433" t="s">
        <v>17</v>
      </c>
      <c r="D433" t="s">
        <v>75</v>
      </c>
      <c r="E433" t="s">
        <v>92</v>
      </c>
      <c r="F433">
        <v>3</v>
      </c>
      <c r="G433" t="s">
        <v>77</v>
      </c>
      <c r="H433" t="s">
        <v>21</v>
      </c>
      <c r="I433">
        <v>23</v>
      </c>
      <c r="J433">
        <v>2</v>
      </c>
      <c r="K433">
        <v>0</v>
      </c>
      <c r="L433">
        <v>178</v>
      </c>
      <c r="M433">
        <v>10</v>
      </c>
      <c r="N433">
        <v>0</v>
      </c>
      <c r="O433">
        <v>576</v>
      </c>
    </row>
    <row r="434" spans="1:15" x14ac:dyDescent="0.2">
      <c r="A434" t="s">
        <v>101</v>
      </c>
      <c r="B434" t="s">
        <v>45</v>
      </c>
      <c r="C434" t="s">
        <v>17</v>
      </c>
      <c r="D434" t="s">
        <v>75</v>
      </c>
      <c r="E434" t="s">
        <v>92</v>
      </c>
      <c r="F434">
        <v>3</v>
      </c>
      <c r="G434" t="s">
        <v>77</v>
      </c>
      <c r="H434" t="s">
        <v>22</v>
      </c>
      <c r="I434">
        <v>6</v>
      </c>
      <c r="J434">
        <v>1</v>
      </c>
      <c r="K434">
        <v>0</v>
      </c>
      <c r="L434">
        <v>178</v>
      </c>
      <c r="M434">
        <v>10</v>
      </c>
      <c r="N434">
        <v>0</v>
      </c>
      <c r="O434">
        <v>576</v>
      </c>
    </row>
    <row r="435" spans="1:15" x14ac:dyDescent="0.2">
      <c r="A435" t="s">
        <v>101</v>
      </c>
      <c r="B435" t="s">
        <v>45</v>
      </c>
      <c r="C435" t="s">
        <v>17</v>
      </c>
      <c r="D435" t="s">
        <v>75</v>
      </c>
      <c r="E435" t="s">
        <v>92</v>
      </c>
      <c r="F435">
        <v>3</v>
      </c>
      <c r="G435" t="s">
        <v>77</v>
      </c>
      <c r="H435" t="s">
        <v>23</v>
      </c>
      <c r="I435">
        <v>7</v>
      </c>
      <c r="J435">
        <v>2</v>
      </c>
      <c r="K435">
        <v>0</v>
      </c>
      <c r="L435">
        <v>178</v>
      </c>
      <c r="M435">
        <v>10</v>
      </c>
      <c r="N435">
        <v>0</v>
      </c>
      <c r="O435">
        <v>576</v>
      </c>
    </row>
    <row r="436" spans="1:15" x14ac:dyDescent="0.2">
      <c r="A436" t="s">
        <v>101</v>
      </c>
      <c r="B436" t="s">
        <v>45</v>
      </c>
      <c r="C436" t="s">
        <v>17</v>
      </c>
      <c r="D436" t="s">
        <v>75</v>
      </c>
      <c r="E436" t="s">
        <v>92</v>
      </c>
      <c r="F436">
        <v>3</v>
      </c>
      <c r="G436" t="s">
        <v>77</v>
      </c>
      <c r="H436" t="s">
        <v>24</v>
      </c>
      <c r="I436">
        <v>0</v>
      </c>
      <c r="J436">
        <v>0</v>
      </c>
      <c r="K436">
        <v>0</v>
      </c>
      <c r="L436">
        <v>178</v>
      </c>
      <c r="M436">
        <v>10</v>
      </c>
      <c r="N436">
        <v>0</v>
      </c>
      <c r="O436">
        <v>576</v>
      </c>
    </row>
    <row r="437" spans="1:15" x14ac:dyDescent="0.2">
      <c r="A437" t="s">
        <v>101</v>
      </c>
      <c r="B437" t="s">
        <v>45</v>
      </c>
      <c r="C437" t="s">
        <v>17</v>
      </c>
      <c r="D437" t="s">
        <v>75</v>
      </c>
      <c r="E437" t="s">
        <v>90</v>
      </c>
      <c r="F437">
        <v>3</v>
      </c>
      <c r="G437" t="s">
        <v>73</v>
      </c>
      <c r="H437" t="s">
        <v>20</v>
      </c>
      <c r="I437">
        <v>1</v>
      </c>
      <c r="J437">
        <v>1</v>
      </c>
      <c r="K437">
        <v>0</v>
      </c>
      <c r="L437">
        <v>86</v>
      </c>
      <c r="M437">
        <v>5</v>
      </c>
      <c r="N437">
        <v>0</v>
      </c>
      <c r="O437">
        <v>550</v>
      </c>
    </row>
    <row r="438" spans="1:15" x14ac:dyDescent="0.2">
      <c r="A438" t="s">
        <v>101</v>
      </c>
      <c r="B438" t="s">
        <v>45</v>
      </c>
      <c r="C438" t="s">
        <v>17</v>
      </c>
      <c r="D438" t="s">
        <v>75</v>
      </c>
      <c r="E438" t="s">
        <v>90</v>
      </c>
      <c r="F438">
        <v>3</v>
      </c>
      <c r="G438" t="s">
        <v>73</v>
      </c>
      <c r="H438" t="s">
        <v>21</v>
      </c>
      <c r="I438">
        <v>58</v>
      </c>
      <c r="J438">
        <v>4</v>
      </c>
      <c r="K438">
        <v>0</v>
      </c>
      <c r="L438">
        <v>86</v>
      </c>
      <c r="M438">
        <v>5</v>
      </c>
      <c r="N438">
        <v>0</v>
      </c>
      <c r="O438">
        <v>550</v>
      </c>
    </row>
    <row r="439" spans="1:15" x14ac:dyDescent="0.2">
      <c r="A439" t="s">
        <v>101</v>
      </c>
      <c r="B439" t="s">
        <v>45</v>
      </c>
      <c r="C439" t="s">
        <v>17</v>
      </c>
      <c r="D439" t="s">
        <v>75</v>
      </c>
      <c r="E439" t="s">
        <v>90</v>
      </c>
      <c r="F439">
        <v>3</v>
      </c>
      <c r="G439" t="s">
        <v>73</v>
      </c>
      <c r="H439" t="s">
        <v>22</v>
      </c>
      <c r="I439">
        <v>7</v>
      </c>
      <c r="J439">
        <v>0</v>
      </c>
      <c r="K439">
        <v>0</v>
      </c>
      <c r="L439">
        <v>86</v>
      </c>
      <c r="M439">
        <v>5</v>
      </c>
      <c r="N439">
        <v>0</v>
      </c>
      <c r="O439">
        <v>550</v>
      </c>
    </row>
    <row r="440" spans="1:15" x14ac:dyDescent="0.2">
      <c r="A440" t="s">
        <v>101</v>
      </c>
      <c r="B440" t="s">
        <v>45</v>
      </c>
      <c r="C440" t="s">
        <v>17</v>
      </c>
      <c r="D440" t="s">
        <v>75</v>
      </c>
      <c r="E440" t="s">
        <v>90</v>
      </c>
      <c r="F440">
        <v>3</v>
      </c>
      <c r="G440" t="s">
        <v>73</v>
      </c>
      <c r="H440" t="s">
        <v>23</v>
      </c>
      <c r="I440">
        <v>20</v>
      </c>
      <c r="J440">
        <v>0</v>
      </c>
      <c r="K440">
        <v>0</v>
      </c>
      <c r="L440">
        <v>86</v>
      </c>
      <c r="M440">
        <v>5</v>
      </c>
      <c r="N440">
        <v>0</v>
      </c>
      <c r="O440">
        <v>550</v>
      </c>
    </row>
    <row r="441" spans="1:15" x14ac:dyDescent="0.2">
      <c r="A441" t="s">
        <v>101</v>
      </c>
      <c r="B441" t="s">
        <v>45</v>
      </c>
      <c r="C441" t="s">
        <v>17</v>
      </c>
      <c r="D441" t="s">
        <v>75</v>
      </c>
      <c r="E441" t="s">
        <v>90</v>
      </c>
      <c r="F441">
        <v>3</v>
      </c>
      <c r="G441" t="s">
        <v>73</v>
      </c>
      <c r="H441" t="s">
        <v>24</v>
      </c>
      <c r="I441">
        <v>0</v>
      </c>
      <c r="J441">
        <v>0</v>
      </c>
      <c r="K441">
        <v>0</v>
      </c>
      <c r="L441">
        <v>86</v>
      </c>
      <c r="M441">
        <v>5</v>
      </c>
      <c r="N441">
        <v>0</v>
      </c>
      <c r="O441">
        <v>550</v>
      </c>
    </row>
    <row r="442" spans="1:15" x14ac:dyDescent="0.2">
      <c r="A442" t="s">
        <v>89</v>
      </c>
      <c r="B442" t="s">
        <v>45</v>
      </c>
      <c r="C442" t="s">
        <v>17</v>
      </c>
      <c r="D442" t="s">
        <v>75</v>
      </c>
      <c r="E442" t="s">
        <v>81</v>
      </c>
      <c r="F442">
        <v>3</v>
      </c>
      <c r="G442" t="s">
        <v>19</v>
      </c>
      <c r="H442" t="s">
        <v>20</v>
      </c>
      <c r="I442">
        <v>34</v>
      </c>
      <c r="J442">
        <v>45</v>
      </c>
      <c r="K442">
        <v>0</v>
      </c>
      <c r="L442">
        <v>85</v>
      </c>
      <c r="M442">
        <v>125</v>
      </c>
      <c r="N442">
        <v>0</v>
      </c>
      <c r="O442">
        <v>498</v>
      </c>
    </row>
    <row r="443" spans="1:15" x14ac:dyDescent="0.2">
      <c r="A443" t="s">
        <v>89</v>
      </c>
      <c r="B443" t="s">
        <v>45</v>
      </c>
      <c r="C443" t="s">
        <v>17</v>
      </c>
      <c r="D443" t="s">
        <v>75</v>
      </c>
      <c r="E443" t="s">
        <v>81</v>
      </c>
      <c r="F443">
        <v>3</v>
      </c>
      <c r="G443" t="s">
        <v>19</v>
      </c>
      <c r="H443" t="s">
        <v>21</v>
      </c>
      <c r="I443">
        <v>22</v>
      </c>
      <c r="J443">
        <v>30</v>
      </c>
      <c r="K443">
        <v>0</v>
      </c>
      <c r="L443">
        <v>85</v>
      </c>
      <c r="M443">
        <v>125</v>
      </c>
      <c r="N443">
        <v>0</v>
      </c>
      <c r="O443">
        <v>498</v>
      </c>
    </row>
    <row r="444" spans="1:15" x14ac:dyDescent="0.2">
      <c r="A444" t="s">
        <v>89</v>
      </c>
      <c r="B444" t="s">
        <v>45</v>
      </c>
      <c r="C444" t="s">
        <v>17</v>
      </c>
      <c r="D444" t="s">
        <v>75</v>
      </c>
      <c r="E444" t="s">
        <v>81</v>
      </c>
      <c r="F444">
        <v>3</v>
      </c>
      <c r="G444" t="s">
        <v>19</v>
      </c>
      <c r="H444" t="s">
        <v>22</v>
      </c>
      <c r="I444">
        <v>12</v>
      </c>
      <c r="J444">
        <v>20</v>
      </c>
      <c r="K444">
        <v>0</v>
      </c>
      <c r="L444">
        <v>85</v>
      </c>
      <c r="M444">
        <v>125</v>
      </c>
      <c r="N444">
        <v>0</v>
      </c>
      <c r="O444">
        <v>498</v>
      </c>
    </row>
    <row r="445" spans="1:15" x14ac:dyDescent="0.2">
      <c r="A445" t="s">
        <v>89</v>
      </c>
      <c r="B445" t="s">
        <v>45</v>
      </c>
      <c r="C445" t="s">
        <v>17</v>
      </c>
      <c r="D445" t="s">
        <v>75</v>
      </c>
      <c r="E445" t="s">
        <v>81</v>
      </c>
      <c r="F445">
        <v>3</v>
      </c>
      <c r="G445" t="s">
        <v>19</v>
      </c>
      <c r="H445" t="s">
        <v>23</v>
      </c>
      <c r="I445">
        <v>17</v>
      </c>
      <c r="J445">
        <v>30</v>
      </c>
      <c r="K445">
        <v>0</v>
      </c>
      <c r="L445">
        <v>85</v>
      </c>
      <c r="M445">
        <v>125</v>
      </c>
      <c r="N445">
        <v>0</v>
      </c>
      <c r="O445">
        <v>498</v>
      </c>
    </row>
    <row r="446" spans="1:15" x14ac:dyDescent="0.2">
      <c r="A446" t="s">
        <v>89</v>
      </c>
      <c r="B446" t="s">
        <v>45</v>
      </c>
      <c r="C446" t="s">
        <v>17</v>
      </c>
      <c r="D446" t="s">
        <v>75</v>
      </c>
      <c r="E446" t="s">
        <v>81</v>
      </c>
      <c r="F446">
        <v>3</v>
      </c>
      <c r="G446" t="s">
        <v>19</v>
      </c>
      <c r="H446" t="s">
        <v>24</v>
      </c>
      <c r="I446">
        <v>0</v>
      </c>
      <c r="J446">
        <v>0</v>
      </c>
      <c r="K446">
        <v>0</v>
      </c>
      <c r="L446">
        <v>85</v>
      </c>
      <c r="M446">
        <v>125</v>
      </c>
      <c r="N446">
        <v>0</v>
      </c>
      <c r="O446">
        <v>498</v>
      </c>
    </row>
    <row r="447" spans="1:15" x14ac:dyDescent="0.2">
      <c r="A447" t="s">
        <v>89</v>
      </c>
      <c r="B447" t="s">
        <v>45</v>
      </c>
      <c r="C447" t="s">
        <v>17</v>
      </c>
      <c r="D447" t="s">
        <v>75</v>
      </c>
      <c r="E447" t="s">
        <v>80</v>
      </c>
      <c r="F447">
        <v>3</v>
      </c>
      <c r="G447" t="s">
        <v>79</v>
      </c>
      <c r="H447" t="s">
        <v>20</v>
      </c>
      <c r="I447">
        <v>72</v>
      </c>
      <c r="J447">
        <v>10</v>
      </c>
      <c r="K447">
        <v>0</v>
      </c>
      <c r="L447">
        <v>87</v>
      </c>
      <c r="M447">
        <v>47</v>
      </c>
      <c r="N447">
        <v>0</v>
      </c>
      <c r="O447">
        <v>466</v>
      </c>
    </row>
    <row r="448" spans="1:15" x14ac:dyDescent="0.2">
      <c r="A448" t="s">
        <v>89</v>
      </c>
      <c r="B448" t="s">
        <v>45</v>
      </c>
      <c r="C448" t="s">
        <v>17</v>
      </c>
      <c r="D448" t="s">
        <v>75</v>
      </c>
      <c r="E448" t="s">
        <v>80</v>
      </c>
      <c r="F448">
        <v>3</v>
      </c>
      <c r="G448" t="s">
        <v>79</v>
      </c>
      <c r="H448" t="s">
        <v>21</v>
      </c>
      <c r="I448">
        <v>8</v>
      </c>
      <c r="J448">
        <v>18</v>
      </c>
      <c r="K448">
        <v>0</v>
      </c>
      <c r="L448">
        <v>87</v>
      </c>
      <c r="M448">
        <v>47</v>
      </c>
      <c r="N448">
        <v>0</v>
      </c>
      <c r="O448">
        <v>466</v>
      </c>
    </row>
    <row r="449" spans="1:15" x14ac:dyDescent="0.2">
      <c r="A449" t="s">
        <v>89</v>
      </c>
      <c r="B449" t="s">
        <v>45</v>
      </c>
      <c r="C449" t="s">
        <v>17</v>
      </c>
      <c r="D449" t="s">
        <v>75</v>
      </c>
      <c r="E449" t="s">
        <v>80</v>
      </c>
      <c r="F449">
        <v>3</v>
      </c>
      <c r="G449" t="s">
        <v>79</v>
      </c>
      <c r="H449" t="s">
        <v>22</v>
      </c>
      <c r="I449">
        <v>3</v>
      </c>
      <c r="J449">
        <v>7</v>
      </c>
      <c r="K449">
        <v>0</v>
      </c>
      <c r="L449">
        <v>87</v>
      </c>
      <c r="M449">
        <v>47</v>
      </c>
      <c r="N449">
        <v>0</v>
      </c>
      <c r="O449">
        <v>466</v>
      </c>
    </row>
    <row r="450" spans="1:15" x14ac:dyDescent="0.2">
      <c r="A450" t="s">
        <v>89</v>
      </c>
      <c r="B450" t="s">
        <v>45</v>
      </c>
      <c r="C450" t="s">
        <v>17</v>
      </c>
      <c r="D450" t="s">
        <v>75</v>
      </c>
      <c r="E450" t="s">
        <v>80</v>
      </c>
      <c r="F450">
        <v>3</v>
      </c>
      <c r="G450" t="s">
        <v>79</v>
      </c>
      <c r="H450" t="s">
        <v>23</v>
      </c>
      <c r="I450">
        <v>4</v>
      </c>
      <c r="J450">
        <v>12</v>
      </c>
      <c r="K450">
        <v>0</v>
      </c>
      <c r="L450">
        <v>87</v>
      </c>
      <c r="M450">
        <v>47</v>
      </c>
      <c r="N450">
        <v>0</v>
      </c>
      <c r="O450">
        <v>466</v>
      </c>
    </row>
    <row r="451" spans="1:15" x14ac:dyDescent="0.2">
      <c r="A451" t="s">
        <v>89</v>
      </c>
      <c r="B451" t="s">
        <v>45</v>
      </c>
      <c r="C451" t="s">
        <v>17</v>
      </c>
      <c r="D451" t="s">
        <v>75</v>
      </c>
      <c r="E451" t="s">
        <v>80</v>
      </c>
      <c r="F451">
        <v>3</v>
      </c>
      <c r="G451" t="s">
        <v>79</v>
      </c>
      <c r="H451" t="s">
        <v>24</v>
      </c>
      <c r="I451">
        <v>0</v>
      </c>
      <c r="J451">
        <v>0</v>
      </c>
      <c r="K451">
        <v>0</v>
      </c>
      <c r="L451">
        <v>87</v>
      </c>
      <c r="M451">
        <v>47</v>
      </c>
      <c r="N451">
        <v>0</v>
      </c>
      <c r="O451">
        <v>466</v>
      </c>
    </row>
    <row r="452" spans="1:15" x14ac:dyDescent="0.2">
      <c r="A452" t="s">
        <v>89</v>
      </c>
      <c r="B452" t="s">
        <v>45</v>
      </c>
      <c r="C452" t="s">
        <v>17</v>
      </c>
      <c r="D452" t="s">
        <v>75</v>
      </c>
      <c r="E452" t="s">
        <v>78</v>
      </c>
      <c r="F452">
        <v>3</v>
      </c>
      <c r="G452" t="s">
        <v>77</v>
      </c>
      <c r="H452" t="s">
        <v>20</v>
      </c>
      <c r="I452">
        <v>81</v>
      </c>
      <c r="J452">
        <v>16</v>
      </c>
      <c r="K452">
        <v>0</v>
      </c>
      <c r="L452">
        <v>92</v>
      </c>
      <c r="M452">
        <v>50</v>
      </c>
      <c r="N452">
        <v>0</v>
      </c>
      <c r="O452">
        <v>463</v>
      </c>
    </row>
    <row r="453" spans="1:15" x14ac:dyDescent="0.2">
      <c r="A453" t="s">
        <v>89</v>
      </c>
      <c r="B453" t="s">
        <v>45</v>
      </c>
      <c r="C453" t="s">
        <v>17</v>
      </c>
      <c r="D453" t="s">
        <v>75</v>
      </c>
      <c r="E453" t="s">
        <v>78</v>
      </c>
      <c r="F453">
        <v>3</v>
      </c>
      <c r="G453" t="s">
        <v>77</v>
      </c>
      <c r="H453" t="s">
        <v>21</v>
      </c>
      <c r="I453">
        <v>3</v>
      </c>
      <c r="J453">
        <v>22</v>
      </c>
      <c r="K453">
        <v>0</v>
      </c>
      <c r="L453">
        <v>92</v>
      </c>
      <c r="M453">
        <v>50</v>
      </c>
      <c r="N453">
        <v>0</v>
      </c>
      <c r="O453">
        <v>463</v>
      </c>
    </row>
    <row r="454" spans="1:15" x14ac:dyDescent="0.2">
      <c r="A454" t="s">
        <v>89</v>
      </c>
      <c r="B454" t="s">
        <v>45</v>
      </c>
      <c r="C454" t="s">
        <v>17</v>
      </c>
      <c r="D454" t="s">
        <v>75</v>
      </c>
      <c r="E454" t="s">
        <v>78</v>
      </c>
      <c r="F454">
        <v>3</v>
      </c>
      <c r="G454" t="s">
        <v>77</v>
      </c>
      <c r="H454" t="s">
        <v>22</v>
      </c>
      <c r="I454">
        <v>2</v>
      </c>
      <c r="J454">
        <v>6</v>
      </c>
      <c r="K454">
        <v>0</v>
      </c>
      <c r="L454">
        <v>92</v>
      </c>
      <c r="M454">
        <v>50</v>
      </c>
      <c r="N454">
        <v>0</v>
      </c>
      <c r="O454">
        <v>463</v>
      </c>
    </row>
    <row r="455" spans="1:15" x14ac:dyDescent="0.2">
      <c r="A455" t="s">
        <v>89</v>
      </c>
      <c r="B455" t="s">
        <v>45</v>
      </c>
      <c r="C455" t="s">
        <v>17</v>
      </c>
      <c r="D455" t="s">
        <v>75</v>
      </c>
      <c r="E455" t="s">
        <v>78</v>
      </c>
      <c r="F455">
        <v>3</v>
      </c>
      <c r="G455" t="s">
        <v>77</v>
      </c>
      <c r="H455" t="s">
        <v>23</v>
      </c>
      <c r="I455">
        <v>6</v>
      </c>
      <c r="J455">
        <v>6</v>
      </c>
      <c r="K455">
        <v>0</v>
      </c>
      <c r="L455">
        <v>92</v>
      </c>
      <c r="M455">
        <v>50</v>
      </c>
      <c r="N455">
        <v>0</v>
      </c>
      <c r="O455">
        <v>463</v>
      </c>
    </row>
    <row r="456" spans="1:15" x14ac:dyDescent="0.2">
      <c r="A456" t="s">
        <v>89</v>
      </c>
      <c r="B456" t="s">
        <v>45</v>
      </c>
      <c r="C456" t="s">
        <v>17</v>
      </c>
      <c r="D456" t="s">
        <v>75</v>
      </c>
      <c r="E456" t="s">
        <v>78</v>
      </c>
      <c r="F456">
        <v>3</v>
      </c>
      <c r="G456" t="s">
        <v>77</v>
      </c>
      <c r="H456" t="s">
        <v>24</v>
      </c>
      <c r="I456">
        <v>0</v>
      </c>
      <c r="J456">
        <v>0</v>
      </c>
      <c r="K456">
        <v>0</v>
      </c>
      <c r="L456">
        <v>92</v>
      </c>
      <c r="M456">
        <v>50</v>
      </c>
      <c r="N456">
        <v>0</v>
      </c>
      <c r="O456">
        <v>463</v>
      </c>
    </row>
    <row r="457" spans="1:15" x14ac:dyDescent="0.2">
      <c r="A457" t="s">
        <v>89</v>
      </c>
      <c r="B457" t="s">
        <v>45</v>
      </c>
      <c r="C457" t="s">
        <v>17</v>
      </c>
      <c r="D457" t="s">
        <v>75</v>
      </c>
      <c r="E457" t="s">
        <v>74</v>
      </c>
      <c r="F457">
        <v>3</v>
      </c>
      <c r="G457" t="s">
        <v>73</v>
      </c>
      <c r="H457" t="s">
        <v>20</v>
      </c>
      <c r="I457">
        <v>8</v>
      </c>
      <c r="J457">
        <v>11</v>
      </c>
      <c r="K457">
        <v>0</v>
      </c>
      <c r="L457">
        <v>49</v>
      </c>
      <c r="M457">
        <v>39</v>
      </c>
      <c r="N457">
        <v>0</v>
      </c>
      <c r="O457">
        <v>431</v>
      </c>
    </row>
    <row r="458" spans="1:15" x14ac:dyDescent="0.2">
      <c r="A458" t="s">
        <v>89</v>
      </c>
      <c r="B458" t="s">
        <v>45</v>
      </c>
      <c r="C458" t="s">
        <v>17</v>
      </c>
      <c r="D458" t="s">
        <v>75</v>
      </c>
      <c r="E458" t="s">
        <v>74</v>
      </c>
      <c r="F458">
        <v>3</v>
      </c>
      <c r="G458" t="s">
        <v>73</v>
      </c>
      <c r="H458" t="s">
        <v>21</v>
      </c>
      <c r="I458">
        <v>21</v>
      </c>
      <c r="J458">
        <v>23</v>
      </c>
      <c r="K458">
        <v>0</v>
      </c>
      <c r="L458">
        <v>49</v>
      </c>
      <c r="M458">
        <v>39</v>
      </c>
      <c r="N458">
        <v>0</v>
      </c>
      <c r="O458">
        <v>431</v>
      </c>
    </row>
    <row r="459" spans="1:15" x14ac:dyDescent="0.2">
      <c r="A459" t="s">
        <v>89</v>
      </c>
      <c r="B459" t="s">
        <v>45</v>
      </c>
      <c r="C459" t="s">
        <v>17</v>
      </c>
      <c r="D459" t="s">
        <v>75</v>
      </c>
      <c r="E459" t="s">
        <v>74</v>
      </c>
      <c r="F459">
        <v>3</v>
      </c>
      <c r="G459" t="s">
        <v>73</v>
      </c>
      <c r="H459" t="s">
        <v>22</v>
      </c>
      <c r="I459">
        <v>4</v>
      </c>
      <c r="J459">
        <v>2</v>
      </c>
      <c r="K459">
        <v>0</v>
      </c>
      <c r="L459">
        <v>49</v>
      </c>
      <c r="M459">
        <v>39</v>
      </c>
      <c r="N459">
        <v>0</v>
      </c>
      <c r="O459">
        <v>431</v>
      </c>
    </row>
    <row r="460" spans="1:15" x14ac:dyDescent="0.2">
      <c r="A460" t="s">
        <v>89</v>
      </c>
      <c r="B460" t="s">
        <v>45</v>
      </c>
      <c r="C460" t="s">
        <v>17</v>
      </c>
      <c r="D460" t="s">
        <v>75</v>
      </c>
      <c r="E460" t="s">
        <v>74</v>
      </c>
      <c r="F460">
        <v>3</v>
      </c>
      <c r="G460" t="s">
        <v>73</v>
      </c>
      <c r="H460" t="s">
        <v>23</v>
      </c>
      <c r="I460">
        <v>16</v>
      </c>
      <c r="J460">
        <v>3</v>
      </c>
      <c r="K460">
        <v>0</v>
      </c>
      <c r="L460">
        <v>49</v>
      </c>
      <c r="M460">
        <v>39</v>
      </c>
      <c r="N460">
        <v>0</v>
      </c>
      <c r="O460">
        <v>431</v>
      </c>
    </row>
    <row r="461" spans="1:15" x14ac:dyDescent="0.2">
      <c r="A461" t="s">
        <v>89</v>
      </c>
      <c r="B461" t="s">
        <v>45</v>
      </c>
      <c r="C461" t="s">
        <v>17</v>
      </c>
      <c r="D461" t="s">
        <v>75</v>
      </c>
      <c r="E461" t="s">
        <v>74</v>
      </c>
      <c r="F461">
        <v>3</v>
      </c>
      <c r="G461" t="s">
        <v>73</v>
      </c>
      <c r="H461" t="s">
        <v>24</v>
      </c>
      <c r="I461">
        <v>0</v>
      </c>
      <c r="J461">
        <v>0</v>
      </c>
      <c r="K461">
        <v>0</v>
      </c>
      <c r="L461">
        <v>49</v>
      </c>
      <c r="M461">
        <v>39</v>
      </c>
      <c r="N461">
        <v>0</v>
      </c>
      <c r="O461">
        <v>431</v>
      </c>
    </row>
    <row r="462" spans="1:15" x14ac:dyDescent="0.2">
      <c r="A462" t="s">
        <v>125</v>
      </c>
      <c r="B462" t="s">
        <v>45</v>
      </c>
      <c r="C462" t="s">
        <v>17</v>
      </c>
      <c r="D462" t="s">
        <v>75</v>
      </c>
      <c r="E462" t="s">
        <v>118</v>
      </c>
      <c r="F462">
        <v>3</v>
      </c>
      <c r="G462" t="s">
        <v>19</v>
      </c>
      <c r="H462" t="s">
        <v>20</v>
      </c>
      <c r="I462">
        <v>18</v>
      </c>
      <c r="J462">
        <v>19</v>
      </c>
      <c r="K462">
        <v>0</v>
      </c>
      <c r="L462">
        <v>38</v>
      </c>
      <c r="M462">
        <v>40</v>
      </c>
      <c r="N462">
        <v>0</v>
      </c>
      <c r="O462">
        <v>145</v>
      </c>
    </row>
    <row r="463" spans="1:15" x14ac:dyDescent="0.2">
      <c r="A463" t="s">
        <v>125</v>
      </c>
      <c r="B463" t="s">
        <v>45</v>
      </c>
      <c r="C463" t="s">
        <v>17</v>
      </c>
      <c r="D463" t="s">
        <v>75</v>
      </c>
      <c r="E463" t="s">
        <v>118</v>
      </c>
      <c r="F463">
        <v>3</v>
      </c>
      <c r="G463" t="s">
        <v>19</v>
      </c>
      <c r="H463" t="s">
        <v>21</v>
      </c>
      <c r="I463">
        <v>10</v>
      </c>
      <c r="J463">
        <v>8</v>
      </c>
      <c r="K463">
        <v>0</v>
      </c>
      <c r="L463">
        <v>38</v>
      </c>
      <c r="M463">
        <v>40</v>
      </c>
      <c r="N463">
        <v>0</v>
      </c>
      <c r="O463">
        <v>145</v>
      </c>
    </row>
    <row r="464" spans="1:15" x14ac:dyDescent="0.2">
      <c r="A464" t="s">
        <v>125</v>
      </c>
      <c r="B464" t="s">
        <v>45</v>
      </c>
      <c r="C464" t="s">
        <v>17</v>
      </c>
      <c r="D464" t="s">
        <v>75</v>
      </c>
      <c r="E464" t="s">
        <v>118</v>
      </c>
      <c r="F464">
        <v>3</v>
      </c>
      <c r="G464" t="s">
        <v>19</v>
      </c>
      <c r="H464" t="s">
        <v>22</v>
      </c>
      <c r="I464">
        <v>3</v>
      </c>
      <c r="J464">
        <v>3</v>
      </c>
      <c r="K464">
        <v>0</v>
      </c>
      <c r="L464">
        <v>38</v>
      </c>
      <c r="M464">
        <v>40</v>
      </c>
      <c r="N464">
        <v>0</v>
      </c>
      <c r="O464">
        <v>145</v>
      </c>
    </row>
    <row r="465" spans="1:29" x14ac:dyDescent="0.2">
      <c r="A465" t="s">
        <v>125</v>
      </c>
      <c r="B465" t="s">
        <v>45</v>
      </c>
      <c r="C465" t="s">
        <v>17</v>
      </c>
      <c r="D465" t="s">
        <v>75</v>
      </c>
      <c r="E465" t="s">
        <v>118</v>
      </c>
      <c r="F465">
        <v>3</v>
      </c>
      <c r="G465" t="s">
        <v>19</v>
      </c>
      <c r="H465" t="s">
        <v>23</v>
      </c>
      <c r="I465">
        <v>7</v>
      </c>
      <c r="J465">
        <v>10</v>
      </c>
      <c r="K465">
        <v>0</v>
      </c>
      <c r="L465">
        <v>38</v>
      </c>
      <c r="M465">
        <v>40</v>
      </c>
      <c r="N465">
        <v>0</v>
      </c>
      <c r="O465">
        <v>145</v>
      </c>
    </row>
    <row r="466" spans="1:29" x14ac:dyDescent="0.2">
      <c r="A466" t="s">
        <v>125</v>
      </c>
      <c r="B466" t="s">
        <v>45</v>
      </c>
      <c r="C466" t="s">
        <v>17</v>
      </c>
      <c r="D466" t="s">
        <v>75</v>
      </c>
      <c r="E466" t="s">
        <v>118</v>
      </c>
      <c r="F466">
        <v>3</v>
      </c>
      <c r="G466" t="s">
        <v>19</v>
      </c>
      <c r="H466" t="s">
        <v>24</v>
      </c>
      <c r="I466">
        <v>0</v>
      </c>
      <c r="J466">
        <v>0</v>
      </c>
      <c r="K466">
        <v>0</v>
      </c>
      <c r="L466">
        <v>38</v>
      </c>
      <c r="M466">
        <v>40</v>
      </c>
      <c r="N466">
        <v>0</v>
      </c>
      <c r="O466">
        <v>145</v>
      </c>
    </row>
    <row r="467" spans="1:29" x14ac:dyDescent="0.2">
      <c r="A467" t="s">
        <v>125</v>
      </c>
      <c r="B467" t="s">
        <v>45</v>
      </c>
      <c r="C467" t="s">
        <v>17</v>
      </c>
      <c r="D467" t="s">
        <v>75</v>
      </c>
      <c r="E467" t="s">
        <v>117</v>
      </c>
      <c r="F467">
        <v>3</v>
      </c>
      <c r="G467" t="s">
        <v>79</v>
      </c>
      <c r="H467" t="s">
        <v>20</v>
      </c>
      <c r="I467">
        <v>29</v>
      </c>
      <c r="J467">
        <v>12</v>
      </c>
      <c r="K467">
        <v>0</v>
      </c>
      <c r="L467">
        <v>32</v>
      </c>
      <c r="M467">
        <v>49</v>
      </c>
      <c r="N467">
        <v>0</v>
      </c>
      <c r="O467">
        <v>140</v>
      </c>
      <c r="V467" t="s">
        <v>150</v>
      </c>
      <c r="W467" s="3" t="s">
        <v>20</v>
      </c>
      <c r="X467" s="3" t="s">
        <v>21</v>
      </c>
      <c r="Y467" s="3" t="s">
        <v>60</v>
      </c>
      <c r="Z467" s="3" t="s">
        <v>61</v>
      </c>
      <c r="AA467" s="3" t="s">
        <v>62</v>
      </c>
      <c r="AB467" s="29" t="s">
        <v>200</v>
      </c>
      <c r="AC467" s="29" t="s">
        <v>201</v>
      </c>
    </row>
    <row r="468" spans="1:29" x14ac:dyDescent="0.2">
      <c r="A468" t="s">
        <v>125</v>
      </c>
      <c r="B468" t="s">
        <v>45</v>
      </c>
      <c r="C468" t="s">
        <v>17</v>
      </c>
      <c r="D468" t="s">
        <v>75</v>
      </c>
      <c r="E468" t="s">
        <v>117</v>
      </c>
      <c r="F468">
        <v>3</v>
      </c>
      <c r="G468" t="s">
        <v>79</v>
      </c>
      <c r="H468" t="s">
        <v>21</v>
      </c>
      <c r="I468">
        <v>3</v>
      </c>
      <c r="J468">
        <v>24</v>
      </c>
      <c r="K468">
        <v>0</v>
      </c>
      <c r="L468">
        <v>32</v>
      </c>
      <c r="M468">
        <v>49</v>
      </c>
      <c r="N468">
        <v>0</v>
      </c>
      <c r="O468">
        <v>140</v>
      </c>
      <c r="V468" s="18" t="s">
        <v>208</v>
      </c>
      <c r="W468" s="8">
        <f>Z491</f>
        <v>82.832867608712661</v>
      </c>
      <c r="X468" s="8">
        <f t="shared" ref="X468:AA468" si="0">AA491</f>
        <v>9.2548749614854007</v>
      </c>
      <c r="Y468" s="8">
        <f t="shared" si="0"/>
        <v>4.2794187542313757</v>
      </c>
      <c r="Z468" s="8">
        <f t="shared" si="0"/>
        <v>3.6328386755705631</v>
      </c>
      <c r="AA468" s="8">
        <f t="shared" si="0"/>
        <v>0</v>
      </c>
      <c r="AB468" s="8">
        <f>SUM(W468:X468)</f>
        <v>92.08774257019806</v>
      </c>
      <c r="AC468" s="8">
        <f>SUM(W468:Y468)</f>
        <v>96.367161324429432</v>
      </c>
    </row>
    <row r="469" spans="1:29" x14ac:dyDescent="0.2">
      <c r="A469" t="s">
        <v>125</v>
      </c>
      <c r="B469" t="s">
        <v>45</v>
      </c>
      <c r="C469" t="s">
        <v>17</v>
      </c>
      <c r="D469" t="s">
        <v>75</v>
      </c>
      <c r="E469" t="s">
        <v>117</v>
      </c>
      <c r="F469">
        <v>3</v>
      </c>
      <c r="G469" t="s">
        <v>79</v>
      </c>
      <c r="H469" t="s">
        <v>22</v>
      </c>
      <c r="I469">
        <v>0</v>
      </c>
      <c r="J469">
        <v>9</v>
      </c>
      <c r="K469">
        <v>0</v>
      </c>
      <c r="L469">
        <v>32</v>
      </c>
      <c r="M469">
        <v>49</v>
      </c>
      <c r="N469">
        <v>0</v>
      </c>
      <c r="O469">
        <v>140</v>
      </c>
      <c r="V469" s="18" t="s">
        <v>209</v>
      </c>
      <c r="W469" s="8">
        <f>Z499</f>
        <v>44.627419266054353</v>
      </c>
      <c r="X469" s="8">
        <f t="shared" ref="X469:AA469" si="1">AA499</f>
        <v>33.221130920990674</v>
      </c>
      <c r="Y469" s="8">
        <f t="shared" si="1"/>
        <v>9.6570730913679217</v>
      </c>
      <c r="Z469" s="8">
        <f t="shared" si="1"/>
        <v>12.494376721587059</v>
      </c>
      <c r="AA469" s="8">
        <f t="shared" si="1"/>
        <v>0</v>
      </c>
      <c r="AB469" s="8">
        <f>SUM(W469:X469)</f>
        <v>77.848550187045021</v>
      </c>
      <c r="AC469" s="8">
        <f t="shared" ref="AC469" si="2">SUM(W469:Y469)</f>
        <v>87.505623278412941</v>
      </c>
    </row>
    <row r="470" spans="1:29" x14ac:dyDescent="0.2">
      <c r="A470" t="s">
        <v>125</v>
      </c>
      <c r="B470" t="s">
        <v>45</v>
      </c>
      <c r="C470" t="s">
        <v>17</v>
      </c>
      <c r="D470" t="s">
        <v>75</v>
      </c>
      <c r="E470" t="s">
        <v>117</v>
      </c>
      <c r="F470">
        <v>3</v>
      </c>
      <c r="G470" t="s">
        <v>79</v>
      </c>
      <c r="H470" t="s">
        <v>23</v>
      </c>
      <c r="I470">
        <v>0</v>
      </c>
      <c r="J470">
        <v>4</v>
      </c>
      <c r="K470">
        <v>0</v>
      </c>
      <c r="L470">
        <v>32</v>
      </c>
      <c r="M470">
        <v>49</v>
      </c>
      <c r="N470">
        <v>0</v>
      </c>
      <c r="O470">
        <v>140</v>
      </c>
      <c r="V470" s="18" t="s">
        <v>210</v>
      </c>
      <c r="W470" s="8">
        <f>Z508</f>
        <v>26.984072199809489</v>
      </c>
      <c r="X470" s="8">
        <f t="shared" ref="X470:AA470" si="3">AA508</f>
        <v>40.41805416693591</v>
      </c>
      <c r="Y470" s="8">
        <f t="shared" si="3"/>
        <v>8.8627768826539253</v>
      </c>
      <c r="Z470" s="8">
        <f t="shared" si="3"/>
        <v>23.735096750600682</v>
      </c>
      <c r="AA470" s="8">
        <f t="shared" si="3"/>
        <v>0</v>
      </c>
      <c r="AB470" s="8">
        <f t="shared" ref="AB470" si="4">SUM(W470:X470)</f>
        <v>67.402126366745392</v>
      </c>
      <c r="AC470" s="8">
        <f>SUM(W470:Y470)</f>
        <v>76.26490324939931</v>
      </c>
    </row>
    <row r="471" spans="1:29" x14ac:dyDescent="0.2">
      <c r="A471" t="s">
        <v>125</v>
      </c>
      <c r="B471" t="s">
        <v>45</v>
      </c>
      <c r="C471" t="s">
        <v>17</v>
      </c>
      <c r="D471" t="s">
        <v>75</v>
      </c>
      <c r="E471" t="s">
        <v>117</v>
      </c>
      <c r="F471">
        <v>3</v>
      </c>
      <c r="G471" t="s">
        <v>79</v>
      </c>
      <c r="H471" t="s">
        <v>24</v>
      </c>
      <c r="I471">
        <v>0</v>
      </c>
      <c r="J471">
        <v>0</v>
      </c>
      <c r="K471">
        <v>0</v>
      </c>
      <c r="L471">
        <v>32</v>
      </c>
      <c r="M471">
        <v>49</v>
      </c>
      <c r="N471">
        <v>0</v>
      </c>
      <c r="O471">
        <v>140</v>
      </c>
      <c r="V471" s="18" t="s">
        <v>199</v>
      </c>
      <c r="W471" s="8">
        <f>AVERAGE(W468:W470)</f>
        <v>51.48145302485883</v>
      </c>
      <c r="X471" s="8">
        <f t="shared" ref="X471:AA471" si="5">AVERAGE(X468:X470)</f>
        <v>27.631353349803998</v>
      </c>
      <c r="Y471" s="8">
        <f t="shared" si="5"/>
        <v>7.5997562427510745</v>
      </c>
      <c r="Z471" s="8">
        <f t="shared" si="5"/>
        <v>13.2874373825861</v>
      </c>
      <c r="AA471" s="8">
        <f t="shared" si="5"/>
        <v>0</v>
      </c>
      <c r="AB471" s="30"/>
      <c r="AC471" s="30"/>
    </row>
    <row r="472" spans="1:29" x14ac:dyDescent="0.2">
      <c r="A472" t="s">
        <v>125</v>
      </c>
      <c r="B472" t="s">
        <v>45</v>
      </c>
      <c r="C472" t="s">
        <v>17</v>
      </c>
      <c r="D472" t="s">
        <v>75</v>
      </c>
      <c r="E472" t="s">
        <v>116</v>
      </c>
      <c r="F472">
        <v>3</v>
      </c>
      <c r="G472" t="s">
        <v>77</v>
      </c>
      <c r="H472" t="s">
        <v>20</v>
      </c>
      <c r="I472">
        <v>21</v>
      </c>
      <c r="J472">
        <v>5</v>
      </c>
      <c r="K472">
        <v>0</v>
      </c>
      <c r="L472">
        <v>30</v>
      </c>
      <c r="M472">
        <v>46</v>
      </c>
      <c r="N472">
        <v>0</v>
      </c>
      <c r="O472">
        <v>143</v>
      </c>
      <c r="V472" t="s">
        <v>151</v>
      </c>
      <c r="W472" s="3" t="s">
        <v>20</v>
      </c>
      <c r="X472" s="3" t="s">
        <v>21</v>
      </c>
      <c r="Y472" s="3" t="s">
        <v>60</v>
      </c>
      <c r="Z472" s="3" t="s">
        <v>61</v>
      </c>
      <c r="AA472" s="3" t="s">
        <v>62</v>
      </c>
      <c r="AB472" s="30"/>
      <c r="AC472" s="30"/>
    </row>
    <row r="473" spans="1:29" x14ac:dyDescent="0.2">
      <c r="A473" t="s">
        <v>125</v>
      </c>
      <c r="B473" t="s">
        <v>45</v>
      </c>
      <c r="C473" t="s">
        <v>17</v>
      </c>
      <c r="D473" t="s">
        <v>75</v>
      </c>
      <c r="E473" t="s">
        <v>116</v>
      </c>
      <c r="F473">
        <v>3</v>
      </c>
      <c r="G473" t="s">
        <v>77</v>
      </c>
      <c r="H473" t="s">
        <v>21</v>
      </c>
      <c r="I473">
        <v>6</v>
      </c>
      <c r="J473">
        <v>19</v>
      </c>
      <c r="K473">
        <v>0</v>
      </c>
      <c r="L473">
        <v>30</v>
      </c>
      <c r="M473">
        <v>46</v>
      </c>
      <c r="N473">
        <v>0</v>
      </c>
      <c r="O473">
        <v>143</v>
      </c>
      <c r="V473" s="18" t="s">
        <v>208</v>
      </c>
      <c r="W473" s="8">
        <f>Z516</f>
        <v>34.716978597532446</v>
      </c>
      <c r="X473" s="8">
        <f t="shared" ref="X473:AA473" si="6">AA516</f>
        <v>29.258496547012815</v>
      </c>
      <c r="Y473" s="8">
        <f t="shared" si="6"/>
        <v>15.789605318450789</v>
      </c>
      <c r="Z473" s="8">
        <f t="shared" si="6"/>
        <v>20.23491953700395</v>
      </c>
      <c r="AA473" s="8">
        <f t="shared" si="6"/>
        <v>0</v>
      </c>
      <c r="AB473" s="8">
        <f>SUM(W473:X473)</f>
        <v>63.975475144545257</v>
      </c>
      <c r="AC473" s="8">
        <f>SUM(W473:Y473)</f>
        <v>79.765080462996053</v>
      </c>
    </row>
    <row r="474" spans="1:29" x14ac:dyDescent="0.2">
      <c r="A474" t="s">
        <v>125</v>
      </c>
      <c r="B474" t="s">
        <v>45</v>
      </c>
      <c r="C474" t="s">
        <v>17</v>
      </c>
      <c r="D474" t="s">
        <v>75</v>
      </c>
      <c r="E474" t="s">
        <v>116</v>
      </c>
      <c r="F474">
        <v>3</v>
      </c>
      <c r="G474" t="s">
        <v>77</v>
      </c>
      <c r="H474" t="s">
        <v>22</v>
      </c>
      <c r="I474">
        <v>0</v>
      </c>
      <c r="J474">
        <v>18</v>
      </c>
      <c r="K474">
        <v>0</v>
      </c>
      <c r="L474">
        <v>30</v>
      </c>
      <c r="M474">
        <v>46</v>
      </c>
      <c r="N474">
        <v>0</v>
      </c>
      <c r="O474">
        <v>143</v>
      </c>
      <c r="V474" s="18" t="s">
        <v>209</v>
      </c>
      <c r="W474" s="8">
        <f>Z524</f>
        <v>39.994469259736363</v>
      </c>
      <c r="X474" s="8">
        <f t="shared" ref="X474:AA474" si="7">AA524</f>
        <v>29.11213933075846</v>
      </c>
      <c r="Y474" s="8">
        <f t="shared" si="7"/>
        <v>15.739326383668972</v>
      </c>
      <c r="Z474" s="8">
        <f t="shared" si="7"/>
        <v>15.154065025836214</v>
      </c>
      <c r="AA474" s="8">
        <f t="shared" si="7"/>
        <v>0</v>
      </c>
      <c r="AB474" s="8">
        <f>SUM(W474:X474)</f>
        <v>69.10660859049483</v>
      </c>
      <c r="AC474" s="8">
        <f t="shared" ref="AC474:AC475" si="8">SUM(W474:Y474)</f>
        <v>84.845934974163796</v>
      </c>
    </row>
    <row r="475" spans="1:29" x14ac:dyDescent="0.2">
      <c r="A475" t="s">
        <v>125</v>
      </c>
      <c r="B475" t="s">
        <v>45</v>
      </c>
      <c r="C475" t="s">
        <v>17</v>
      </c>
      <c r="D475" t="s">
        <v>75</v>
      </c>
      <c r="E475" t="s">
        <v>116</v>
      </c>
      <c r="F475">
        <v>3</v>
      </c>
      <c r="G475" t="s">
        <v>77</v>
      </c>
      <c r="H475" t="s">
        <v>23</v>
      </c>
      <c r="I475">
        <v>3</v>
      </c>
      <c r="J475">
        <v>4</v>
      </c>
      <c r="K475">
        <v>0</v>
      </c>
      <c r="L475">
        <v>30</v>
      </c>
      <c r="M475">
        <v>46</v>
      </c>
      <c r="N475">
        <v>0</v>
      </c>
      <c r="O475">
        <v>143</v>
      </c>
      <c r="V475" s="18" t="s">
        <v>210</v>
      </c>
      <c r="W475" s="8">
        <f>Z532</f>
        <v>32.499494891722421</v>
      </c>
      <c r="X475" s="8">
        <f t="shared" ref="X475:AA475" si="9">AA532</f>
        <v>26.18079456512374</v>
      </c>
      <c r="Y475" s="8">
        <f t="shared" si="9"/>
        <v>12.25240495342125</v>
      </c>
      <c r="Z475" s="8">
        <f t="shared" si="9"/>
        <v>28.472067494494489</v>
      </c>
      <c r="AA475" s="8">
        <f t="shared" si="9"/>
        <v>0.59523809523809523</v>
      </c>
      <c r="AB475" s="8">
        <f t="shared" ref="AB475" si="10">SUM(W475:X475)</f>
        <v>58.680289456846161</v>
      </c>
      <c r="AC475" s="8">
        <f t="shared" si="8"/>
        <v>70.932694410267416</v>
      </c>
    </row>
    <row r="476" spans="1:29" x14ac:dyDescent="0.2">
      <c r="A476" t="s">
        <v>125</v>
      </c>
      <c r="B476" t="s">
        <v>45</v>
      </c>
      <c r="C476" t="s">
        <v>17</v>
      </c>
      <c r="D476" t="s">
        <v>75</v>
      </c>
      <c r="E476" t="s">
        <v>116</v>
      </c>
      <c r="F476">
        <v>3</v>
      </c>
      <c r="G476" t="s">
        <v>77</v>
      </c>
      <c r="H476" t="s">
        <v>24</v>
      </c>
      <c r="I476">
        <v>0</v>
      </c>
      <c r="J476">
        <v>0</v>
      </c>
      <c r="K476">
        <v>0</v>
      </c>
      <c r="L476">
        <v>30</v>
      </c>
      <c r="M476">
        <v>46</v>
      </c>
      <c r="N476">
        <v>0</v>
      </c>
      <c r="O476">
        <v>143</v>
      </c>
      <c r="V476" s="18" t="s">
        <v>199</v>
      </c>
      <c r="W476" s="8">
        <f>AVERAGE(W473:W475)</f>
        <v>35.73698091633041</v>
      </c>
      <c r="X476" s="8">
        <f t="shared" ref="X476" si="11">AVERAGE(X473:X475)</f>
        <v>28.183810147631675</v>
      </c>
      <c r="Y476" s="8">
        <f t="shared" ref="Y476" si="12">AVERAGE(Y473:Y475)</f>
        <v>14.593778885180337</v>
      </c>
      <c r="Z476" s="8">
        <f t="shared" ref="Z476" si="13">AVERAGE(Z473:Z475)</f>
        <v>21.287017352444884</v>
      </c>
      <c r="AA476" s="8">
        <f t="shared" ref="AA476" si="14">AVERAGE(AA473:AA475)</f>
        <v>0.1984126984126984</v>
      </c>
    </row>
    <row r="477" spans="1:29" x14ac:dyDescent="0.2">
      <c r="A477" t="s">
        <v>125</v>
      </c>
      <c r="B477" t="s">
        <v>45</v>
      </c>
      <c r="C477" t="s">
        <v>17</v>
      </c>
      <c r="D477" t="s">
        <v>75</v>
      </c>
      <c r="E477" t="s">
        <v>114</v>
      </c>
      <c r="F477">
        <v>3</v>
      </c>
      <c r="G477" t="s">
        <v>73</v>
      </c>
      <c r="H477" t="s">
        <v>20</v>
      </c>
      <c r="I477">
        <v>2</v>
      </c>
      <c r="J477">
        <v>11</v>
      </c>
      <c r="K477">
        <v>0</v>
      </c>
      <c r="L477">
        <v>26</v>
      </c>
      <c r="M477">
        <v>42</v>
      </c>
      <c r="N477">
        <v>0</v>
      </c>
      <c r="O477">
        <v>128</v>
      </c>
    </row>
    <row r="478" spans="1:29" x14ac:dyDescent="0.2">
      <c r="A478" t="s">
        <v>125</v>
      </c>
      <c r="B478" t="s">
        <v>45</v>
      </c>
      <c r="C478" t="s">
        <v>17</v>
      </c>
      <c r="D478" t="s">
        <v>75</v>
      </c>
      <c r="E478" t="s">
        <v>114</v>
      </c>
      <c r="F478">
        <v>3</v>
      </c>
      <c r="G478" t="s">
        <v>73</v>
      </c>
      <c r="H478" t="s">
        <v>21</v>
      </c>
      <c r="I478">
        <v>15</v>
      </c>
      <c r="J478">
        <v>17</v>
      </c>
      <c r="K478">
        <v>0</v>
      </c>
      <c r="L478">
        <v>26</v>
      </c>
      <c r="M478">
        <v>42</v>
      </c>
      <c r="N478">
        <v>0</v>
      </c>
      <c r="O478">
        <v>128</v>
      </c>
    </row>
    <row r="479" spans="1:29" x14ac:dyDescent="0.2">
      <c r="A479" t="s">
        <v>125</v>
      </c>
      <c r="B479" t="s">
        <v>45</v>
      </c>
      <c r="C479" t="s">
        <v>17</v>
      </c>
      <c r="D479" t="s">
        <v>75</v>
      </c>
      <c r="E479" t="s">
        <v>114</v>
      </c>
      <c r="F479">
        <v>3</v>
      </c>
      <c r="G479" t="s">
        <v>73</v>
      </c>
      <c r="H479" t="s">
        <v>22</v>
      </c>
      <c r="I479">
        <v>2</v>
      </c>
      <c r="J479">
        <v>12</v>
      </c>
      <c r="K479">
        <v>0</v>
      </c>
      <c r="L479">
        <v>26</v>
      </c>
      <c r="M479">
        <v>42</v>
      </c>
      <c r="N479">
        <v>0</v>
      </c>
      <c r="O479">
        <v>128</v>
      </c>
    </row>
    <row r="480" spans="1:29" x14ac:dyDescent="0.2">
      <c r="A480" t="s">
        <v>125</v>
      </c>
      <c r="B480" t="s">
        <v>45</v>
      </c>
      <c r="C480" t="s">
        <v>17</v>
      </c>
      <c r="D480" t="s">
        <v>75</v>
      </c>
      <c r="E480" t="s">
        <v>114</v>
      </c>
      <c r="F480">
        <v>3</v>
      </c>
      <c r="G480" t="s">
        <v>73</v>
      </c>
      <c r="H480" t="s">
        <v>23</v>
      </c>
      <c r="I480">
        <v>7</v>
      </c>
      <c r="J480">
        <v>2</v>
      </c>
      <c r="K480">
        <v>0</v>
      </c>
      <c r="L480">
        <v>26</v>
      </c>
      <c r="M480">
        <v>42</v>
      </c>
      <c r="N480">
        <v>0</v>
      </c>
      <c r="O480">
        <v>128</v>
      </c>
    </row>
    <row r="481" spans="1:30" x14ac:dyDescent="0.2">
      <c r="A481" t="s">
        <v>125</v>
      </c>
      <c r="B481" t="s">
        <v>45</v>
      </c>
      <c r="C481" t="s">
        <v>17</v>
      </c>
      <c r="D481" t="s">
        <v>75</v>
      </c>
      <c r="E481" t="s">
        <v>114</v>
      </c>
      <c r="F481">
        <v>3</v>
      </c>
      <c r="G481" t="s">
        <v>73</v>
      </c>
      <c r="H481" t="s">
        <v>24</v>
      </c>
      <c r="I481">
        <v>0</v>
      </c>
      <c r="J481">
        <v>0</v>
      </c>
      <c r="K481">
        <v>0</v>
      </c>
      <c r="L481">
        <v>26</v>
      </c>
      <c r="M481">
        <v>42</v>
      </c>
      <c r="N481">
        <v>0</v>
      </c>
      <c r="O481">
        <v>128</v>
      </c>
    </row>
    <row r="486" spans="1:30" x14ac:dyDescent="0.2">
      <c r="A486" s="31" t="s">
        <v>211</v>
      </c>
      <c r="B486" s="32" t="s">
        <v>53</v>
      </c>
      <c r="C486" s="32"/>
      <c r="D486" s="32"/>
      <c r="E486" s="32"/>
      <c r="F486" s="32"/>
      <c r="G486" s="4" t="s">
        <v>64</v>
      </c>
      <c r="H486" s="32" t="s">
        <v>54</v>
      </c>
      <c r="I486" s="32"/>
      <c r="J486" s="32"/>
      <c r="K486" s="32"/>
      <c r="L486" s="32"/>
      <c r="M486" s="4" t="s">
        <v>64</v>
      </c>
      <c r="N486" s="32" t="s">
        <v>55</v>
      </c>
      <c r="O486" s="32"/>
      <c r="P486" s="32"/>
      <c r="Q486" s="32"/>
      <c r="R486" s="32"/>
      <c r="S486" s="4" t="s">
        <v>64</v>
      </c>
      <c r="T486" s="32" t="s">
        <v>56</v>
      </c>
      <c r="U486" s="32"/>
      <c r="V486" s="32"/>
      <c r="W486" s="32"/>
      <c r="X486" s="32"/>
      <c r="Y486" s="4" t="s">
        <v>64</v>
      </c>
    </row>
    <row r="487" spans="1:30" x14ac:dyDescent="0.2">
      <c r="A487" s="32"/>
      <c r="B487" s="4" t="s">
        <v>20</v>
      </c>
      <c r="C487" s="4" t="s">
        <v>21</v>
      </c>
      <c r="D487" s="4" t="s">
        <v>60</v>
      </c>
      <c r="E487" s="4" t="s">
        <v>61</v>
      </c>
      <c r="F487" s="4" t="s">
        <v>62</v>
      </c>
      <c r="G487" s="4"/>
      <c r="H487" s="4" t="s">
        <v>20</v>
      </c>
      <c r="I487" s="4" t="s">
        <v>21</v>
      </c>
      <c r="J487" s="4" t="s">
        <v>60</v>
      </c>
      <c r="K487" s="4" t="s">
        <v>61</v>
      </c>
      <c r="L487" s="4" t="s">
        <v>62</v>
      </c>
      <c r="M487" s="4"/>
      <c r="N487" s="4" t="s">
        <v>20</v>
      </c>
      <c r="O487" s="4" t="s">
        <v>21</v>
      </c>
      <c r="P487" s="4" t="s">
        <v>60</v>
      </c>
      <c r="Q487" s="4" t="s">
        <v>61</v>
      </c>
      <c r="R487" s="4" t="s">
        <v>62</v>
      </c>
      <c r="S487" s="4"/>
      <c r="T487" s="4" t="s">
        <v>20</v>
      </c>
      <c r="U487" s="4" t="s">
        <v>21</v>
      </c>
      <c r="V487" s="4" t="s">
        <v>60</v>
      </c>
      <c r="W487" s="4" t="s">
        <v>61</v>
      </c>
      <c r="X487" s="4" t="s">
        <v>62</v>
      </c>
      <c r="Y487" s="4"/>
    </row>
    <row r="488" spans="1:30" x14ac:dyDescent="0.2">
      <c r="A488" s="5" t="s">
        <v>57</v>
      </c>
      <c r="B488" s="8">
        <f>$I$7/$L$7*100</f>
        <v>85.03649635036497</v>
      </c>
      <c r="C488" s="8">
        <f>$I$8/$L$8*100</f>
        <v>7.664233576642336</v>
      </c>
      <c r="D488" s="8">
        <f>$I$9/$L$9*100</f>
        <v>2.1897810218978102</v>
      </c>
      <c r="E488" s="8">
        <f>$I$10/$L$10*100</f>
        <v>5.1094890510948909</v>
      </c>
      <c r="F488" s="8">
        <f>$I$11/$L$11*100</f>
        <v>0</v>
      </c>
      <c r="G488" s="8">
        <f>SUM(B488:F488)</f>
        <v>100.00000000000001</v>
      </c>
      <c r="H488" s="8">
        <f>$I$27/$L$27*100</f>
        <v>87.664041994750647</v>
      </c>
      <c r="I488" s="8">
        <f>$I$28/$L$28*100</f>
        <v>6.5616797900262469</v>
      </c>
      <c r="J488" s="8">
        <f>$I$29/$L$29*100</f>
        <v>3.1496062992125982</v>
      </c>
      <c r="K488" s="8">
        <f>$I$30/$L$30*100</f>
        <v>2.6246719160104988</v>
      </c>
      <c r="L488" s="8">
        <f>$I$31/$L$31*100</f>
        <v>0</v>
      </c>
      <c r="M488" s="8">
        <f>SUM(H488:L488)</f>
        <v>99.999999999999986</v>
      </c>
      <c r="N488" s="8">
        <f>$I$47/$L$47*100</f>
        <v>82.630272952853602</v>
      </c>
      <c r="O488" s="8">
        <f>$I$48/$L$48*100</f>
        <v>10.918114143920596</v>
      </c>
      <c r="P488" s="8">
        <f>$I$49/$L$49*100</f>
        <v>3.4739454094292808</v>
      </c>
      <c r="Q488" s="8">
        <f>$I$50/$L$50*100</f>
        <v>2.9776674937965262</v>
      </c>
      <c r="R488" s="8">
        <f>$I$51/$L$51*100</f>
        <v>0</v>
      </c>
      <c r="S488" s="8">
        <f>SUM(N488:R488)</f>
        <v>100</v>
      </c>
      <c r="T488" s="8">
        <f>$I$67/$L$67*100</f>
        <v>80.769230769230774</v>
      </c>
      <c r="U488" s="8">
        <f>$I$68/$L$68*100</f>
        <v>16.666666666666664</v>
      </c>
      <c r="V488" s="8">
        <f>$I$69/$L$69*100</f>
        <v>1.2820512820512819</v>
      </c>
      <c r="W488" s="8">
        <f>$I$70/$L$70*100</f>
        <v>1.2820512820512819</v>
      </c>
      <c r="X488" s="8">
        <f>$I$71/$L$71*100</f>
        <v>0</v>
      </c>
      <c r="Y488" s="8">
        <f>SUM(T488:X488)</f>
        <v>100</v>
      </c>
    </row>
    <row r="489" spans="1:30" x14ac:dyDescent="0.2">
      <c r="A489" s="5" t="s">
        <v>58</v>
      </c>
      <c r="B489" s="8">
        <f>$I$87/$L$87*100</f>
        <v>86.060606060606062</v>
      </c>
      <c r="C489" s="8">
        <f>$I$88/$L$88*100</f>
        <v>8.3333333333333321</v>
      </c>
      <c r="D489" s="8">
        <f>$I$89/$L$89*100</f>
        <v>0.90909090909090906</v>
      </c>
      <c r="E489" s="8">
        <f>$I$90/$L$90*100</f>
        <v>4.6969696969696964</v>
      </c>
      <c r="F489" s="8">
        <f>$I$91/$L$91*100</f>
        <v>0</v>
      </c>
      <c r="G489" s="8">
        <f>SUM(B489:F489)</f>
        <v>100</v>
      </c>
      <c r="H489" s="8">
        <f>$I$107/$L$107*100</f>
        <v>82.566585956416461</v>
      </c>
      <c r="I489" s="8">
        <f>$I$108/$L$108*100</f>
        <v>9.2009685230024214</v>
      </c>
      <c r="J489" s="8">
        <f>$I$109/$L$109*100</f>
        <v>1.937046004842615</v>
      </c>
      <c r="K489" s="8">
        <f>$I$110/$L$110*100</f>
        <v>6.2953995157384997</v>
      </c>
      <c r="L489" s="8">
        <f>$I$111/$L$111*100</f>
        <v>0</v>
      </c>
      <c r="M489" s="8">
        <f>SUM(H489:L489)</f>
        <v>99.999999999999986</v>
      </c>
      <c r="N489" s="8">
        <f>$I$127/$L$127*100</f>
        <v>87.434554973821989</v>
      </c>
      <c r="O489" s="8">
        <f>$I$128/$L$128*100</f>
        <v>6.8062827225130889</v>
      </c>
      <c r="P489" s="8">
        <f>$I$129/$L$129*100</f>
        <v>2.0942408376963351</v>
      </c>
      <c r="Q489" s="8">
        <f>$I$130/$L$130*100</f>
        <v>3.664921465968586</v>
      </c>
      <c r="R489" s="8">
        <f>$I$131/$L$131*100</f>
        <v>0</v>
      </c>
      <c r="S489" s="8">
        <f>SUM(N489:R489)</f>
        <v>100</v>
      </c>
      <c r="T489" s="8">
        <f>$I$147/$L$147*100</f>
        <v>92.222222222222229</v>
      </c>
      <c r="U489" s="8">
        <f>$I$148/$L$148*100</f>
        <v>4.4444444444444446</v>
      </c>
      <c r="V489" s="8">
        <f>$I$149/$L$149*100</f>
        <v>3.3333333333333335</v>
      </c>
      <c r="W489" s="8">
        <f>$I$150/$L$150*100</f>
        <v>0</v>
      </c>
      <c r="X489" s="8">
        <f>$I$151/$L$151*100</f>
        <v>0</v>
      </c>
      <c r="Y489" s="8">
        <f>SUM(T489:X489)</f>
        <v>100</v>
      </c>
    </row>
    <row r="490" spans="1:30" ht="16" thickBot="1" x14ac:dyDescent="0.25">
      <c r="A490" s="9" t="s">
        <v>59</v>
      </c>
      <c r="B490" s="8">
        <f>$I$167/$L$167*100</f>
        <v>54.205607476635507</v>
      </c>
      <c r="C490" s="8">
        <f>$I$168/$L$168*100</f>
        <v>17.75700934579439</v>
      </c>
      <c r="D490" s="8">
        <f>$I$169/$L$169*100</f>
        <v>22.429906542056074</v>
      </c>
      <c r="E490" s="8">
        <f>$I$170/$L$170*100</f>
        <v>5.6074766355140184</v>
      </c>
      <c r="F490" s="8">
        <f>$I$171/$L$171*100</f>
        <v>0</v>
      </c>
      <c r="G490" s="8">
        <f>SUM(B490:F490)</f>
        <v>99.999999999999986</v>
      </c>
      <c r="H490" s="8">
        <f>$I$187/$L$187*100</f>
        <v>84.384384384384376</v>
      </c>
      <c r="I490" s="8">
        <f>$I$188/$L$188*100</f>
        <v>7.8078078078078077</v>
      </c>
      <c r="J490" s="8">
        <f>$I$189/$L$189*100</f>
        <v>3.0030030030030028</v>
      </c>
      <c r="K490" s="8">
        <f>$I$190/$L$190*100</f>
        <v>4.8048048048048049</v>
      </c>
      <c r="L490" s="8">
        <f>$I$191/$L$191*100</f>
        <v>0</v>
      </c>
      <c r="M490" s="8">
        <f>SUM(H490:L490)</f>
        <v>99.999999999999986</v>
      </c>
      <c r="N490" s="8">
        <f>$I$207/$L$207*100</f>
        <v>88.163265306122454</v>
      </c>
      <c r="O490" s="8">
        <f>$I$208/$L$208*100</f>
        <v>7.7551020408163263</v>
      </c>
      <c r="P490" s="8">
        <f>$I$209/$L$209*100</f>
        <v>3.2653061224489797</v>
      </c>
      <c r="Q490" s="8">
        <f>$I$210/$L$210*100</f>
        <v>0.81632653061224492</v>
      </c>
      <c r="R490" s="8">
        <f>$I$211/$L$211*100</f>
        <v>0</v>
      </c>
      <c r="S490" s="8">
        <f>SUM(N490:R490)</f>
        <v>100</v>
      </c>
      <c r="T490" s="8">
        <f>$I$227/$L$227*100</f>
        <v>82.857142857142861</v>
      </c>
      <c r="U490" s="8">
        <f>$I$228/$L$228*100</f>
        <v>7.1428571428571423</v>
      </c>
      <c r="V490" s="8">
        <f>$I$229/$L$229*100</f>
        <v>4.2857142857142856</v>
      </c>
      <c r="W490" s="8">
        <f>$I$230/$L$230*100</f>
        <v>5.7142857142857144</v>
      </c>
      <c r="X490" s="8">
        <f>$I$231/$L$231*100</f>
        <v>0</v>
      </c>
      <c r="Y490" s="8">
        <f>SUM(T490:X490)</f>
        <v>100</v>
      </c>
    </row>
    <row r="491" spans="1:30" x14ac:dyDescent="0.2">
      <c r="A491" s="10" t="s">
        <v>50</v>
      </c>
      <c r="B491" s="12">
        <f>AVERAGE(B488:B490)</f>
        <v>75.100903295868861</v>
      </c>
      <c r="C491" s="12">
        <f>AVERAGE(C488:C490)</f>
        <v>11.25152541859002</v>
      </c>
      <c r="D491" s="11">
        <f>AVERAGE(D488:D490)</f>
        <v>8.5095928243482639</v>
      </c>
      <c r="E491" s="11">
        <f>AVERAGE(E488:E490)</f>
        <v>5.1379784611928683</v>
      </c>
      <c r="F491" s="11">
        <f>AVERAGE(F488:F490)</f>
        <v>0</v>
      </c>
      <c r="G491" s="12"/>
      <c r="H491" s="11">
        <f>AVERAGE(H488:H490)</f>
        <v>84.871670778517156</v>
      </c>
      <c r="I491" s="13">
        <f>AVERAGE(I488:I490)</f>
        <v>7.856818706945492</v>
      </c>
      <c r="J491" s="14">
        <f>AVERAGE(J488:J490)</f>
        <v>2.6965517690194054</v>
      </c>
      <c r="K491" s="14">
        <f>AVERAGE(K488:K490)</f>
        <v>4.5749587455179341</v>
      </c>
      <c r="L491" s="14">
        <f>AVERAGE(L488:L490)</f>
        <v>0</v>
      </c>
      <c r="M491" s="12"/>
      <c r="N491" s="14">
        <f>AVERAGE(N488:N490)</f>
        <v>86.076031077599353</v>
      </c>
      <c r="O491" s="12">
        <f>AVERAGE(O488:O490)</f>
        <v>8.4931663024166699</v>
      </c>
      <c r="P491" s="11">
        <f>AVERAGE(P488:P490)</f>
        <v>2.9444974565248656</v>
      </c>
      <c r="Q491" s="11">
        <f>AVERAGE(Q488:Q490)</f>
        <v>2.4863051634591189</v>
      </c>
      <c r="R491" s="11">
        <f>AVERAGE(R488:R490)</f>
        <v>0</v>
      </c>
      <c r="S491" s="15"/>
      <c r="T491" s="14">
        <f>AVERAGE(T488:T490)</f>
        <v>85.282865282865288</v>
      </c>
      <c r="U491" s="12">
        <f>AVERAGE(U488:U490)</f>
        <v>9.4179894179894159</v>
      </c>
      <c r="V491" s="11">
        <f>AVERAGE(V488:V490)</f>
        <v>2.9670329670329672</v>
      </c>
      <c r="W491" s="11">
        <f>AVERAGE(W488:W490)</f>
        <v>2.3321123321123323</v>
      </c>
      <c r="X491" s="11">
        <f>AVERAGE(X488:X490)</f>
        <v>0</v>
      </c>
      <c r="Y491" s="15"/>
      <c r="Z491" s="8">
        <f>AVERAGE(B491,H491,N491,T491)</f>
        <v>82.832867608712661</v>
      </c>
      <c r="AA491" s="8">
        <f>AVERAGE(C491,I491,O491,U491)</f>
        <v>9.2548749614854007</v>
      </c>
      <c r="AB491" s="8">
        <f>AVERAGE(D491,J491,P491,V491)</f>
        <v>4.2794187542313757</v>
      </c>
      <c r="AC491" s="8">
        <f>AVERAGE(E491,K491,Q491,W491)</f>
        <v>3.6328386755705631</v>
      </c>
      <c r="AD491" s="8">
        <f>AVERAGE(F491,L491,R491,X491)</f>
        <v>0</v>
      </c>
    </row>
    <row r="494" spans="1:30" ht="32" x14ac:dyDescent="0.2">
      <c r="A494" s="2" t="s">
        <v>212</v>
      </c>
      <c r="B494" s="3" t="s">
        <v>53</v>
      </c>
      <c r="C494" s="3"/>
      <c r="D494" s="3"/>
      <c r="E494" s="3"/>
      <c r="F494" s="3"/>
      <c r="G494" s="4" t="s">
        <v>64</v>
      </c>
      <c r="H494" s="3" t="s">
        <v>54</v>
      </c>
      <c r="I494" s="3"/>
      <c r="J494" s="3"/>
      <c r="K494" s="3"/>
      <c r="L494" s="3"/>
      <c r="M494" s="4" t="s">
        <v>64</v>
      </c>
      <c r="N494" s="3" t="s">
        <v>55</v>
      </c>
      <c r="O494" s="3"/>
      <c r="P494" s="3"/>
      <c r="Q494" s="3"/>
      <c r="R494" s="3"/>
      <c r="S494" s="4" t="s">
        <v>64</v>
      </c>
      <c r="T494" s="3" t="s">
        <v>56</v>
      </c>
      <c r="U494" s="3"/>
      <c r="V494" s="3"/>
      <c r="W494" s="3"/>
      <c r="X494" s="3"/>
      <c r="Y494" s="4" t="s">
        <v>64</v>
      </c>
    </row>
    <row r="495" spans="1:30" ht="15" customHeight="1" x14ac:dyDescent="0.2">
      <c r="A495" s="3"/>
      <c r="B495" s="4" t="s">
        <v>20</v>
      </c>
      <c r="C495" s="4" t="s">
        <v>21</v>
      </c>
      <c r="D495" s="4" t="s">
        <v>60</v>
      </c>
      <c r="E495" s="4" t="s">
        <v>61</v>
      </c>
      <c r="F495" s="4" t="s">
        <v>62</v>
      </c>
      <c r="G495" s="4"/>
      <c r="H495" s="4" t="s">
        <v>20</v>
      </c>
      <c r="I495" s="4" t="s">
        <v>21</v>
      </c>
      <c r="J495" s="4" t="s">
        <v>60</v>
      </c>
      <c r="K495" s="4" t="s">
        <v>61</v>
      </c>
      <c r="L495" s="4" t="s">
        <v>62</v>
      </c>
      <c r="M495" s="4"/>
      <c r="N495" s="4" t="s">
        <v>20</v>
      </c>
      <c r="O495" s="4" t="s">
        <v>21</v>
      </c>
      <c r="P495" s="4" t="s">
        <v>60</v>
      </c>
      <c r="Q495" s="4" t="s">
        <v>61</v>
      </c>
      <c r="R495" s="4" t="s">
        <v>62</v>
      </c>
      <c r="S495" s="4"/>
      <c r="T495" s="4" t="s">
        <v>20</v>
      </c>
      <c r="U495" s="4" t="s">
        <v>21</v>
      </c>
      <c r="V495" s="4" t="s">
        <v>60</v>
      </c>
      <c r="W495" s="4" t="s">
        <v>61</v>
      </c>
      <c r="X495" s="4" t="s">
        <v>62</v>
      </c>
      <c r="Y495" s="4"/>
    </row>
    <row r="496" spans="1:30" x14ac:dyDescent="0.2">
      <c r="A496" s="5" t="s">
        <v>57</v>
      </c>
      <c r="B496" s="8">
        <f>$I$12/$L$12*100</f>
        <v>58.431372549019613</v>
      </c>
      <c r="C496" s="8">
        <f>$I$13/$L$13*100</f>
        <v>20.392156862745097</v>
      </c>
      <c r="D496" s="8">
        <f>$I$14/$L$14*100</f>
        <v>5.4901960784313726</v>
      </c>
      <c r="E496" s="8">
        <f>$I$15/$L$15*100</f>
        <v>15.686274509803921</v>
      </c>
      <c r="F496" s="8">
        <f>$I$16/$L$16*100</f>
        <v>0</v>
      </c>
      <c r="G496" s="8">
        <f>SUM(B496:F496)</f>
        <v>100</v>
      </c>
      <c r="H496" s="8">
        <f>$I$32/$L$32*100</f>
        <v>37.951807228915662</v>
      </c>
      <c r="I496" s="8">
        <f>$I$33/$L$33*100</f>
        <v>42.168674698795186</v>
      </c>
      <c r="J496" s="8">
        <f>$I$34/$L$34*100</f>
        <v>11.144578313253012</v>
      </c>
      <c r="K496" s="8">
        <f>$I$35/$L$35*100</f>
        <v>8.7349397590361448</v>
      </c>
      <c r="L496" s="8">
        <f>$I$36/$L$36*100</f>
        <v>0</v>
      </c>
      <c r="M496" s="8">
        <f>SUM(H496:L496)</f>
        <v>100</v>
      </c>
      <c r="N496" s="8">
        <f>$I$52/$L$52*100</f>
        <v>54.51977401129944</v>
      </c>
      <c r="O496" s="8">
        <f>$I$53/$L$53*100</f>
        <v>31.073446327683619</v>
      </c>
      <c r="P496" s="8">
        <f>$I$54/$L$54*100</f>
        <v>5.0847457627118651</v>
      </c>
      <c r="Q496" s="8">
        <f>$I$55/$L$55*100</f>
        <v>9.3220338983050848</v>
      </c>
      <c r="R496" s="8">
        <f>$I$56/$L$56*100</f>
        <v>0</v>
      </c>
      <c r="S496" s="8">
        <f>SUM(N496:R496)</f>
        <v>100</v>
      </c>
      <c r="T496" s="8">
        <f>$I$72/$L$72*100</f>
        <v>64.15094339622641</v>
      </c>
      <c r="U496" s="8">
        <f>$I$73/$L$73*100</f>
        <v>32.075471698113205</v>
      </c>
      <c r="V496" s="8">
        <f>$I$74/$L$74*100</f>
        <v>3.7735849056603774</v>
      </c>
      <c r="W496" s="8">
        <f>$I$75/$L$75*100</f>
        <v>0</v>
      </c>
      <c r="X496" s="8">
        <f>$I$76/$L$76*100</f>
        <v>0</v>
      </c>
      <c r="Y496" s="8">
        <f>SUM(T496:X496)</f>
        <v>99.999999999999986</v>
      </c>
    </row>
    <row r="497" spans="1:30" x14ac:dyDescent="0.2">
      <c r="A497" s="5" t="s">
        <v>58</v>
      </c>
      <c r="B497" s="8">
        <f>$I$92/$L$92*100</f>
        <v>72.491909385113274</v>
      </c>
      <c r="C497" s="8">
        <f>$I$93/$L$93*100</f>
        <v>16.828478964401295</v>
      </c>
      <c r="D497" s="8">
        <f>$I$94/$L$94*100</f>
        <v>2.912621359223301</v>
      </c>
      <c r="E497" s="8">
        <f>$I$95/$L$95*100</f>
        <v>7.7669902912621351</v>
      </c>
      <c r="F497" s="8">
        <f>$I$96/$L$96*100</f>
        <v>0</v>
      </c>
      <c r="G497" s="8">
        <f>SUM(B497:F497)</f>
        <v>100</v>
      </c>
      <c r="H497" s="8">
        <f>$I$112/$L$112*100</f>
        <v>37.327188940092164</v>
      </c>
      <c r="I497" s="8">
        <f>$I$113/$L$113*100</f>
        <v>41.935483870967744</v>
      </c>
      <c r="J497" s="8">
        <f>$I$114/$L$114*100</f>
        <v>10.599078341013826</v>
      </c>
      <c r="K497" s="8">
        <f>$I$115/$L$115*100</f>
        <v>10.138248847926267</v>
      </c>
      <c r="L497" s="8">
        <f>$I$116/$L$116*100</f>
        <v>0</v>
      </c>
      <c r="M497" s="8">
        <f>SUM(H497:L497)</f>
        <v>99.999999999999986</v>
      </c>
      <c r="N497" s="8">
        <f>$I$132/$L$132*100</f>
        <v>53.900709219858157</v>
      </c>
      <c r="O497" s="8">
        <f>$I$133/$L$133*100</f>
        <v>27.659574468085108</v>
      </c>
      <c r="P497" s="8">
        <f>$I$134/$L$134*100</f>
        <v>8.5106382978723403</v>
      </c>
      <c r="Q497" s="8">
        <f>$I$135/$L$135*100</f>
        <v>9.9290780141843982</v>
      </c>
      <c r="R497" s="8">
        <f>$I$136/$L$136*100</f>
        <v>0</v>
      </c>
      <c r="S497" s="8">
        <f>SUM(N497:R497)</f>
        <v>100</v>
      </c>
      <c r="T497" s="8">
        <f>$I$152/$L$152*100</f>
        <v>61.029411764705884</v>
      </c>
      <c r="U497" s="8">
        <f>$I$153/$L$153*100</f>
        <v>27.941176470588236</v>
      </c>
      <c r="V497" s="8">
        <f>$I$154/$L$154*100</f>
        <v>6.6176470588235299</v>
      </c>
      <c r="W497" s="8">
        <f>$I$155/$L$155*100</f>
        <v>4.4117647058823533</v>
      </c>
      <c r="X497" s="8">
        <f>$I$156/$L$156*100</f>
        <v>0</v>
      </c>
      <c r="Y497" s="8">
        <f>SUM(T497:X497)</f>
        <v>100</v>
      </c>
    </row>
    <row r="498" spans="1:30" ht="16" thickBot="1" x14ac:dyDescent="0.25">
      <c r="A498" s="9" t="s">
        <v>59</v>
      </c>
      <c r="B498" s="8">
        <f>$I$172/$L$172*100</f>
        <v>15.841584158415841</v>
      </c>
      <c r="C498" s="8">
        <f>$I$173/$L$173*100</f>
        <v>41.584158415841586</v>
      </c>
      <c r="D498" s="8">
        <f>$I$174/$L$174*100</f>
        <v>19.801980198019802</v>
      </c>
      <c r="E498" s="8">
        <f>$I$175/$L$175*100</f>
        <v>22.772277227722775</v>
      </c>
      <c r="F498" s="8">
        <f>$I$176/$L$176*100</f>
        <v>0</v>
      </c>
      <c r="G498" s="8">
        <f>SUM(B498:F498)</f>
        <v>100</v>
      </c>
      <c r="H498" s="8">
        <f>$I$192/$L$192*100</f>
        <v>21.1864406779661</v>
      </c>
      <c r="I498" s="8">
        <f>$I$193/$L$193*100</f>
        <v>32.20338983050847</v>
      </c>
      <c r="J498" s="8">
        <f>$I$194/$L$194*100</f>
        <v>22.881355932203391</v>
      </c>
      <c r="K498" s="8">
        <f>$I$195/$L$195*100</f>
        <v>23.728813559322035</v>
      </c>
      <c r="L498" s="8">
        <f>$I$196/$L$196*100</f>
        <v>0</v>
      </c>
      <c r="M498" s="8">
        <f>SUM(H498:L498)</f>
        <v>100</v>
      </c>
      <c r="N498" s="8">
        <f>$I$212/$L$212*100</f>
        <v>32.835820895522389</v>
      </c>
      <c r="O498" s="8">
        <f>$I$213/$L$213*100</f>
        <v>31.343283582089555</v>
      </c>
      <c r="P498" s="8">
        <f>$I$214/$L$214*100</f>
        <v>10.44776119402985</v>
      </c>
      <c r="Q498" s="8">
        <f>$I$215/$L$215*100</f>
        <v>25.373134328358208</v>
      </c>
      <c r="R498" s="8">
        <f>$I$216/$L$216*100</f>
        <v>0</v>
      </c>
      <c r="S498" s="8">
        <f>SUM(N498:R498)</f>
        <v>100</v>
      </c>
      <c r="T498" s="8">
        <f>$I$232/$L$232*100</f>
        <v>25.862068965517242</v>
      </c>
      <c r="U498" s="8">
        <f>$I$233/$L$233*100</f>
        <v>53.448275862068961</v>
      </c>
      <c r="V498" s="8">
        <f>$I$234/$L$234*100</f>
        <v>8.6206896551724146</v>
      </c>
      <c r="W498" s="8">
        <f>$I$235/$L$235*100</f>
        <v>12.068965517241379</v>
      </c>
      <c r="X498" s="8">
        <f>$I$236/$L$236*100</f>
        <v>0</v>
      </c>
      <c r="Y498" s="8">
        <f>SUM(T498:X498)</f>
        <v>100</v>
      </c>
    </row>
    <row r="499" spans="1:30" x14ac:dyDescent="0.2">
      <c r="A499" s="10" t="s">
        <v>50</v>
      </c>
      <c r="B499" s="12">
        <f>AVERAGE(B496:B498)</f>
        <v>48.921622030849583</v>
      </c>
      <c r="C499" s="12">
        <f>AVERAGE(C496:C498)</f>
        <v>26.268264747662659</v>
      </c>
      <c r="D499" s="11">
        <f>AVERAGE(D496:D498)</f>
        <v>9.4015992118914919</v>
      </c>
      <c r="E499" s="11">
        <f>AVERAGE(E496:E498)</f>
        <v>15.408514009596276</v>
      </c>
      <c r="F499" s="11">
        <f>AVERAGE(F496:F498)</f>
        <v>0</v>
      </c>
      <c r="G499" s="12"/>
      <c r="H499" s="11">
        <f>AVERAGE(H496:H498)</f>
        <v>32.155145615657979</v>
      </c>
      <c r="I499" s="13">
        <f>AVERAGE(I496:I498)</f>
        <v>38.769182800090469</v>
      </c>
      <c r="J499" s="14">
        <f>AVERAGE(J496:J498)</f>
        <v>14.875004195490076</v>
      </c>
      <c r="K499" s="14">
        <f>AVERAGE(K496:K498)</f>
        <v>14.200667388761483</v>
      </c>
      <c r="L499" s="14">
        <f>AVERAGE(L496:L498)</f>
        <v>0</v>
      </c>
      <c r="M499" s="12"/>
      <c r="N499" s="14">
        <f>AVERAGE(N496:N498)</f>
        <v>47.085434708893331</v>
      </c>
      <c r="O499" s="12">
        <f>AVERAGE(O496:O498)</f>
        <v>30.025434792619425</v>
      </c>
      <c r="P499" s="11">
        <f>AVERAGE(P496:P498)</f>
        <v>8.0143817515380178</v>
      </c>
      <c r="Q499" s="11">
        <f>AVERAGE(Q496:Q498)</f>
        <v>14.874748746949232</v>
      </c>
      <c r="R499" s="11">
        <f>AVERAGE(R496:R498)</f>
        <v>0</v>
      </c>
      <c r="S499" s="15"/>
      <c r="T499" s="14">
        <f>AVERAGE(T496:T498)</f>
        <v>50.347474708816513</v>
      </c>
      <c r="U499" s="12">
        <f>AVERAGE(U496:U498)</f>
        <v>37.82164134359013</v>
      </c>
      <c r="V499" s="11">
        <f>AVERAGE(V496:V498)</f>
        <v>6.337307206552107</v>
      </c>
      <c r="W499" s="11">
        <f>AVERAGE(W496:W498)</f>
        <v>5.4935767410412444</v>
      </c>
      <c r="X499" s="11">
        <f>AVERAGE(X496:X498)</f>
        <v>0</v>
      </c>
      <c r="Y499" s="15"/>
      <c r="Z499" s="8">
        <f>AVERAGE(B499,H499,N499,T499)</f>
        <v>44.627419266054353</v>
      </c>
      <c r="AA499" s="8">
        <f>AVERAGE(C499,I499,O499,U499)</f>
        <v>33.221130920990674</v>
      </c>
      <c r="AB499" s="8">
        <f>AVERAGE(D499,J499,P499,V499)</f>
        <v>9.6570730913679217</v>
      </c>
      <c r="AC499" s="8">
        <f>AVERAGE(E499,K499,Q499,W499)</f>
        <v>12.494376721587059</v>
      </c>
      <c r="AD499" s="8">
        <f>AVERAGE(F499,L499,R499,X499)</f>
        <v>0</v>
      </c>
    </row>
    <row r="503" spans="1:30" ht="32" x14ac:dyDescent="0.2">
      <c r="A503" s="2" t="s">
        <v>213</v>
      </c>
      <c r="B503" s="3" t="s">
        <v>53</v>
      </c>
      <c r="C503" s="3"/>
      <c r="D503" s="3"/>
      <c r="E503" s="3"/>
      <c r="F503" s="3"/>
      <c r="G503" s="4" t="s">
        <v>64</v>
      </c>
      <c r="H503" s="3" t="s">
        <v>54</v>
      </c>
      <c r="I503" s="3"/>
      <c r="J503" s="3"/>
      <c r="K503" s="3"/>
      <c r="L503" s="3"/>
      <c r="M503" s="4" t="s">
        <v>64</v>
      </c>
      <c r="N503" s="3" t="s">
        <v>55</v>
      </c>
      <c r="O503" s="3"/>
      <c r="P503" s="3"/>
      <c r="Q503" s="3"/>
      <c r="R503" s="3"/>
      <c r="S503" s="4" t="s">
        <v>64</v>
      </c>
      <c r="T503" s="3" t="s">
        <v>56</v>
      </c>
      <c r="U503" s="3"/>
      <c r="V503" s="3"/>
      <c r="W503" s="3"/>
      <c r="X503" s="3"/>
      <c r="Y503" s="4" t="s">
        <v>64</v>
      </c>
    </row>
    <row r="504" spans="1:30" ht="15" customHeight="1" x14ac:dyDescent="0.2">
      <c r="A504" s="3"/>
      <c r="B504" s="4" t="s">
        <v>20</v>
      </c>
      <c r="C504" s="4" t="s">
        <v>21</v>
      </c>
      <c r="D504" s="4" t="s">
        <v>60</v>
      </c>
      <c r="E504" s="4" t="s">
        <v>61</v>
      </c>
      <c r="F504" s="4" t="s">
        <v>62</v>
      </c>
      <c r="G504" s="4"/>
      <c r="H504" s="4" t="s">
        <v>20</v>
      </c>
      <c r="I504" s="4" t="s">
        <v>21</v>
      </c>
      <c r="J504" s="4" t="s">
        <v>60</v>
      </c>
      <c r="K504" s="4" t="s">
        <v>61</v>
      </c>
      <c r="L504" s="4" t="s">
        <v>62</v>
      </c>
      <c r="M504" s="4"/>
      <c r="N504" s="4" t="s">
        <v>20</v>
      </c>
      <c r="O504" s="4" t="s">
        <v>21</v>
      </c>
      <c r="P504" s="4" t="s">
        <v>60</v>
      </c>
      <c r="Q504" s="4" t="s">
        <v>61</v>
      </c>
      <c r="R504" s="4" t="s">
        <v>62</v>
      </c>
      <c r="S504" s="4"/>
      <c r="T504" s="4" t="s">
        <v>20</v>
      </c>
      <c r="U504" s="4" t="s">
        <v>21</v>
      </c>
      <c r="V504" s="4" t="s">
        <v>60</v>
      </c>
      <c r="W504" s="4" t="s">
        <v>61</v>
      </c>
      <c r="X504" s="4" t="s">
        <v>62</v>
      </c>
      <c r="Y504" s="4"/>
    </row>
    <row r="505" spans="1:30" x14ac:dyDescent="0.2">
      <c r="A505" s="5" t="s">
        <v>57</v>
      </c>
      <c r="B505" s="8">
        <f>$I$17/$L$17*100</f>
        <v>42.8</v>
      </c>
      <c r="C505" s="8">
        <f>$I$18/$L$18*100</f>
        <v>28.000000000000004</v>
      </c>
      <c r="D505" s="8">
        <f>$I$19/$L$19*100</f>
        <v>7.1999999999999993</v>
      </c>
      <c r="E505" s="8">
        <f>$I$20/$L$20*100</f>
        <v>22</v>
      </c>
      <c r="F505" s="8">
        <f>$I$21/$L$21*100</f>
        <v>0</v>
      </c>
      <c r="G505" s="8">
        <f>SUM(B505:F505)</f>
        <v>100</v>
      </c>
      <c r="H505" s="8">
        <f>$I$37/$L$37*100</f>
        <v>4.4496487119437944</v>
      </c>
      <c r="I505" s="8">
        <f>$I$38/$L$38*100</f>
        <v>60.187353629976585</v>
      </c>
      <c r="J505" s="8">
        <f>$I$39/$L$39*100</f>
        <v>18.266978922716628</v>
      </c>
      <c r="K505" s="8">
        <f>$I$40/$L$40*100</f>
        <v>17.096018735362996</v>
      </c>
      <c r="L505" s="8">
        <f>$I$41/$L$41*100</f>
        <v>0</v>
      </c>
      <c r="M505" s="8">
        <f>SUM(H505:L505)</f>
        <v>100</v>
      </c>
      <c r="N505" s="8">
        <f>$I$57/$L$57*100</f>
        <v>28.39506172839506</v>
      </c>
      <c r="O505" s="8">
        <f>$I$58/$L$58*100</f>
        <v>44.197530864197532</v>
      </c>
      <c r="P505" s="8">
        <f>$I$59/$L$59*100</f>
        <v>9.3827160493827169</v>
      </c>
      <c r="Q505" s="8">
        <f>$I$60/$L$60*100</f>
        <v>18.02469135802469</v>
      </c>
      <c r="R505" s="8">
        <f>$I$61/$L$61*100</f>
        <v>0</v>
      </c>
      <c r="S505" s="8">
        <f>SUM(N505:R505)</f>
        <v>100</v>
      </c>
      <c r="T505" s="8">
        <f>$I$77/$L$77*100</f>
        <v>51.219512195121951</v>
      </c>
      <c r="U505" s="8">
        <f>$I$78/$L$78*100</f>
        <v>31.707317073170731</v>
      </c>
      <c r="V505" s="8">
        <f>$I$79/$L$79*100</f>
        <v>9.7560975609756095</v>
      </c>
      <c r="W505" s="8">
        <f>$I$80/$L$80*100</f>
        <v>7.3170731707317067</v>
      </c>
      <c r="X505" s="8">
        <f>$I$81/$L$81*100</f>
        <v>0</v>
      </c>
      <c r="Y505" s="8">
        <f>SUM(T505:X505)</f>
        <v>99.999999999999986</v>
      </c>
    </row>
    <row r="506" spans="1:30" x14ac:dyDescent="0.2">
      <c r="A506" s="5" t="s">
        <v>58</v>
      </c>
      <c r="B506" s="8">
        <f>$I$97/$L$97*100</f>
        <v>66.192733017377563</v>
      </c>
      <c r="C506" s="8">
        <f>$I$98/$L$98*100</f>
        <v>21.011058451816748</v>
      </c>
      <c r="D506" s="8">
        <f>$I$99/$L$99*100</f>
        <v>3.9494470774091628</v>
      </c>
      <c r="E506" s="8">
        <f>$I$100/$L$100*100</f>
        <v>8.8467614533965246</v>
      </c>
      <c r="F506" s="8">
        <f>$I$111/$L$111*100</f>
        <v>0</v>
      </c>
      <c r="G506" s="8">
        <f>SUM(B506:F506)</f>
        <v>100</v>
      </c>
      <c r="H506" s="8">
        <f>$I$117/$L$117*100</f>
        <v>14.97005988023952</v>
      </c>
      <c r="I506" s="8">
        <f>$I$118/$L$118*100</f>
        <v>56.287425149700596</v>
      </c>
      <c r="J506" s="8">
        <f>$I$119/$L$119*100</f>
        <v>13.17365269461078</v>
      </c>
      <c r="K506" s="8">
        <f>$I$120/$L$120*100</f>
        <v>15.568862275449103</v>
      </c>
      <c r="L506" s="8">
        <f>$I$121/$L$121*100</f>
        <v>0</v>
      </c>
      <c r="M506" s="8">
        <f>SUM(H506:L506)</f>
        <v>100</v>
      </c>
      <c r="N506" s="8">
        <f>$I$137/$L$137*100</f>
        <v>34.074074074074076</v>
      </c>
      <c r="O506" s="8">
        <f>$I$138/$L$138*100</f>
        <v>26.666666666666668</v>
      </c>
      <c r="P506" s="8">
        <f>$I$139/$L$139*100</f>
        <v>8.8888888888888893</v>
      </c>
      <c r="Q506" s="8">
        <f>$I$140/$L$140*100</f>
        <v>30.37037037037037</v>
      </c>
      <c r="R506" s="8">
        <f>$I$141/$L$141*100</f>
        <v>0</v>
      </c>
      <c r="S506" s="8">
        <f>SUM(N506:R506)</f>
        <v>100</v>
      </c>
      <c r="T506" s="8">
        <f>$I$157/$L$157*100</f>
        <v>42.519685039370081</v>
      </c>
      <c r="U506" s="8">
        <f>$I$158/$L$158*100</f>
        <v>36.220472440944881</v>
      </c>
      <c r="V506" s="8">
        <f>$I$159/$L$159*100</f>
        <v>4.7244094488188972</v>
      </c>
      <c r="W506" s="8">
        <f>$I$160/$L$160*100</f>
        <v>16.535433070866144</v>
      </c>
      <c r="X506" s="8">
        <f>$I$161/$L$161*100</f>
        <v>0</v>
      </c>
      <c r="Y506" s="8">
        <f>SUM(T506:X506)</f>
        <v>100.00000000000001</v>
      </c>
    </row>
    <row r="507" spans="1:30" ht="16" thickBot="1" x14ac:dyDescent="0.25">
      <c r="A507" s="9" t="s">
        <v>59</v>
      </c>
      <c r="B507" s="8">
        <f>$I$177/$L$177*100</f>
        <v>12.5</v>
      </c>
      <c r="C507" s="8">
        <f>$I$178/$L$178*100</f>
        <v>42.045454545454547</v>
      </c>
      <c r="D507" s="8">
        <f>$I$179/$L$179*100</f>
        <v>11.363636363636363</v>
      </c>
      <c r="E507" s="8">
        <f>$I$180/$L$180*100</f>
        <v>34.090909090909086</v>
      </c>
      <c r="F507" s="8">
        <f>$I$181/$L$181*100</f>
        <v>0</v>
      </c>
      <c r="G507" s="8">
        <f>SUM(B507:F507)</f>
        <v>100</v>
      </c>
      <c r="H507" s="8">
        <f>$I$197/$L$197*100</f>
        <v>5.6910569105691051</v>
      </c>
      <c r="I507" s="8">
        <f>$I$198/$L$198*100</f>
        <v>56.910569105691053</v>
      </c>
      <c r="J507" s="8">
        <f>$I$199/$L$199*100</f>
        <v>11.38211382113821</v>
      </c>
      <c r="K507" s="8">
        <f>$I$200/$L$200*100</f>
        <v>26.016260162601629</v>
      </c>
      <c r="L507" s="8">
        <f>$I$211/$L$211*100</f>
        <v>0</v>
      </c>
      <c r="M507" s="8">
        <f>SUM(H507:L507)</f>
        <v>99.999999999999986</v>
      </c>
      <c r="N507" s="8">
        <f>$I$217/$L$217*100</f>
        <v>9.1549295774647899</v>
      </c>
      <c r="O507" s="8">
        <f>$I$218/$L$218*100</f>
        <v>33.098591549295776</v>
      </c>
      <c r="P507" s="8">
        <f>$I$219/$L$219*100</f>
        <v>5.6338028169014089</v>
      </c>
      <c r="Q507" s="8">
        <f>$I$220/$L$220*100</f>
        <v>52.112676056338024</v>
      </c>
      <c r="R507" s="8">
        <f>$I$221/$L$221*100</f>
        <v>0</v>
      </c>
      <c r="S507" s="8">
        <f>SUM(N507:R507)</f>
        <v>100</v>
      </c>
      <c r="T507" s="8">
        <f>$I$237/$L$237*100</f>
        <v>11.842105263157894</v>
      </c>
      <c r="U507" s="8">
        <f>$I$238/$L$238*100</f>
        <v>48.684210526315788</v>
      </c>
      <c r="V507" s="8">
        <f>$I$239/$L$239*100</f>
        <v>2.6315789473684208</v>
      </c>
      <c r="W507" s="8">
        <f>$I$240/$L$240*100</f>
        <v>36.84210526315789</v>
      </c>
      <c r="X507" s="8">
        <f>$I$241/$L$241*100</f>
        <v>0</v>
      </c>
      <c r="Y507" s="8">
        <f>SUM(T507:X507)</f>
        <v>100</v>
      </c>
    </row>
    <row r="508" spans="1:30" x14ac:dyDescent="0.2">
      <c r="A508" s="10" t="s">
        <v>50</v>
      </c>
      <c r="B508" s="12">
        <f>AVERAGE(B505:B507)</f>
        <v>40.497577672459187</v>
      </c>
      <c r="C508" s="12">
        <f>AVERAGE(C505:C507)</f>
        <v>30.352170999090433</v>
      </c>
      <c r="D508" s="11">
        <f>AVERAGE(D505:D507)</f>
        <v>7.5043611470151745</v>
      </c>
      <c r="E508" s="11">
        <f>AVERAGE(E505:E507)</f>
        <v>21.645890181435202</v>
      </c>
      <c r="F508" s="11">
        <f>AVERAGE(F505:F507)</f>
        <v>0</v>
      </c>
      <c r="G508" s="12"/>
      <c r="H508" s="11">
        <f>AVERAGE(H505:H507)</f>
        <v>8.3702551675841388</v>
      </c>
      <c r="I508" s="13">
        <f>AVERAGE(I505:I507)</f>
        <v>57.795115961789406</v>
      </c>
      <c r="J508" s="14">
        <f>AVERAGE(J505:J507)</f>
        <v>14.27424847948854</v>
      </c>
      <c r="K508" s="14">
        <f>AVERAGE(K505:K507)</f>
        <v>19.560380391137908</v>
      </c>
      <c r="L508" s="14">
        <f>AVERAGE(L505:L507)</f>
        <v>0</v>
      </c>
      <c r="M508" s="12"/>
      <c r="N508" s="14">
        <f>AVERAGE(N505:N507)</f>
        <v>23.874688459977975</v>
      </c>
      <c r="O508" s="12">
        <f>AVERAGE(O505:O507)</f>
        <v>34.654263026719995</v>
      </c>
      <c r="P508" s="11">
        <f>AVERAGE(P505:P507)</f>
        <v>7.968469251724339</v>
      </c>
      <c r="Q508" s="11">
        <f>AVERAGE(Q505:Q507)</f>
        <v>33.502579261577694</v>
      </c>
      <c r="R508" s="11">
        <f>AVERAGE(R505:R507)</f>
        <v>0</v>
      </c>
      <c r="S508" s="15"/>
      <c r="T508" s="14">
        <f>AVERAGE(T505:T507)</f>
        <v>35.193767499216641</v>
      </c>
      <c r="U508" s="12">
        <f>AVERAGE(U505:U507)</f>
        <v>38.870666680143806</v>
      </c>
      <c r="V508" s="11">
        <f>AVERAGE(V505:V507)</f>
        <v>5.7040286523876427</v>
      </c>
      <c r="W508" s="11">
        <f>AVERAGE(W505:W507)</f>
        <v>20.231537168251915</v>
      </c>
      <c r="X508" s="11">
        <f>AVERAGE(X505:X507)</f>
        <v>0</v>
      </c>
      <c r="Y508" s="15"/>
      <c r="Z508" s="8">
        <f>AVERAGE(B508,H508,N508,T508)</f>
        <v>26.984072199809489</v>
      </c>
      <c r="AA508" s="8">
        <f>AVERAGE(C508,I508,O508,U508)</f>
        <v>40.41805416693591</v>
      </c>
      <c r="AB508" s="8">
        <f>AVERAGE(D508,J508,P508,V508)</f>
        <v>8.8627768826539253</v>
      </c>
      <c r="AC508" s="8">
        <f>AVERAGE(E508,K508,Q508,W508)</f>
        <v>23.735096750600682</v>
      </c>
      <c r="AD508" s="8">
        <f>AVERAGE(F508,L508,R508,X508)</f>
        <v>0</v>
      </c>
    </row>
    <row r="511" spans="1:30" ht="32" x14ac:dyDescent="0.2">
      <c r="A511" s="2" t="s">
        <v>214</v>
      </c>
      <c r="B511" s="3" t="s">
        <v>53</v>
      </c>
      <c r="C511" s="3"/>
      <c r="D511" s="3"/>
      <c r="E511" s="3"/>
      <c r="F511" s="3"/>
      <c r="G511" s="4" t="s">
        <v>64</v>
      </c>
      <c r="H511" s="3" t="s">
        <v>54</v>
      </c>
      <c r="I511" s="3"/>
      <c r="J511" s="3"/>
      <c r="K511" s="3"/>
      <c r="L511" s="3"/>
      <c r="M511" s="4" t="s">
        <v>64</v>
      </c>
      <c r="N511" s="3" t="s">
        <v>55</v>
      </c>
      <c r="O511" s="3"/>
      <c r="P511" s="3"/>
      <c r="Q511" s="3"/>
      <c r="R511" s="3"/>
      <c r="S511" s="4" t="s">
        <v>64</v>
      </c>
      <c r="T511" s="3" t="s">
        <v>56</v>
      </c>
      <c r="U511" s="3"/>
      <c r="V511" s="3"/>
      <c r="W511" s="3"/>
      <c r="X511" s="3"/>
      <c r="Y511" s="4" t="s">
        <v>64</v>
      </c>
    </row>
    <row r="512" spans="1:30" x14ac:dyDescent="0.2">
      <c r="A512" s="3"/>
      <c r="B512" s="4" t="s">
        <v>20</v>
      </c>
      <c r="C512" s="4" t="s">
        <v>21</v>
      </c>
      <c r="D512" s="4" t="s">
        <v>60</v>
      </c>
      <c r="E512" s="4" t="s">
        <v>61</v>
      </c>
      <c r="F512" s="4" t="s">
        <v>62</v>
      </c>
      <c r="G512" s="4"/>
      <c r="H512" s="4" t="s">
        <v>20</v>
      </c>
      <c r="I512" s="4" t="s">
        <v>21</v>
      </c>
      <c r="J512" s="4" t="s">
        <v>60</v>
      </c>
      <c r="K512" s="4" t="s">
        <v>61</v>
      </c>
      <c r="L512" s="4" t="s">
        <v>62</v>
      </c>
      <c r="M512" s="4"/>
      <c r="N512" s="4" t="s">
        <v>20</v>
      </c>
      <c r="O512" s="4" t="s">
        <v>21</v>
      </c>
      <c r="P512" s="4" t="s">
        <v>60</v>
      </c>
      <c r="Q512" s="4" t="s">
        <v>61</v>
      </c>
      <c r="R512" s="4" t="s">
        <v>62</v>
      </c>
      <c r="S512" s="4"/>
      <c r="T512" s="4" t="s">
        <v>20</v>
      </c>
      <c r="U512" s="4" t="s">
        <v>21</v>
      </c>
      <c r="V512" s="4" t="s">
        <v>60</v>
      </c>
      <c r="W512" s="4" t="s">
        <v>61</v>
      </c>
      <c r="X512" s="4" t="s">
        <v>62</v>
      </c>
      <c r="Y512" s="4"/>
    </row>
    <row r="513" spans="1:30" ht="15" customHeight="1" x14ac:dyDescent="0.2">
      <c r="A513" s="5" t="s">
        <v>57</v>
      </c>
      <c r="B513" s="8">
        <f>$J$7/$M$7*100</f>
        <v>30.473372781065088</v>
      </c>
      <c r="C513" s="8">
        <f>$J$8/$M$8*100</f>
        <v>50.295857988165679</v>
      </c>
      <c r="D513" s="8">
        <f>$J$9/$M$9*100</f>
        <v>16.863905325443788</v>
      </c>
      <c r="E513" s="8">
        <f>$J$10/$M$10*100</f>
        <v>2.3668639053254439</v>
      </c>
      <c r="F513" s="8">
        <f>$J$11/$M$11*100</f>
        <v>0</v>
      </c>
      <c r="G513" s="8">
        <f>SUM(B513:F513)</f>
        <v>100.00000000000001</v>
      </c>
      <c r="H513" s="8">
        <f>$J$27/$M$27*100</f>
        <v>45.762711864406782</v>
      </c>
      <c r="I513" s="8">
        <f>$J$28/$M$28*100</f>
        <v>38.983050847457626</v>
      </c>
      <c r="J513" s="8">
        <f>$J$29/$M$29*100</f>
        <v>8.4745762711864394</v>
      </c>
      <c r="K513" s="8">
        <f>$J$30/$M$30*100</f>
        <v>6.7796610169491522</v>
      </c>
      <c r="L513" s="8">
        <f>$J$31/$M$31*100</f>
        <v>0</v>
      </c>
      <c r="M513" s="8">
        <f>SUM(H513:L513)</f>
        <v>100</v>
      </c>
      <c r="N513" s="8">
        <f>$J$47/$M$47*100</f>
        <v>71.022727272727266</v>
      </c>
      <c r="O513" s="8">
        <f>$J$48/$M$48*100</f>
        <v>15.909090909090908</v>
      </c>
      <c r="P513" s="8">
        <f>$J$49/$M$49*100</f>
        <v>8.5227272727272716</v>
      </c>
      <c r="Q513" s="8">
        <f>$J$50/$M$50*100</f>
        <v>4.5454545454545459</v>
      </c>
      <c r="R513" s="8">
        <f>$J$51/$M$51*100</f>
        <v>0</v>
      </c>
      <c r="S513" s="8">
        <f>SUM(N513:R513)</f>
        <v>99.999999999999986</v>
      </c>
      <c r="T513" s="8">
        <f>$J$67/$M$67*100</f>
        <v>33.333333333333329</v>
      </c>
      <c r="U513" s="8">
        <f>$J$68/$M$68*100</f>
        <v>25</v>
      </c>
      <c r="V513" s="8">
        <f>$J$69/$M$69*100</f>
        <v>29.166666666666668</v>
      </c>
      <c r="W513" s="8">
        <f>$J$70/$M$70*100</f>
        <v>12.5</v>
      </c>
      <c r="X513" s="8">
        <f>$J$71/$M$71*100</f>
        <v>0</v>
      </c>
      <c r="Y513" s="8">
        <f>SUM(T513:X513)</f>
        <v>100</v>
      </c>
    </row>
    <row r="514" spans="1:30" x14ac:dyDescent="0.2">
      <c r="A514" s="5" t="s">
        <v>58</v>
      </c>
      <c r="B514" s="8">
        <f>$J$87/$M$87*100</f>
        <v>46.913580246913575</v>
      </c>
      <c r="C514" s="8">
        <f>$J$88/$M$88*100</f>
        <v>23.456790123456788</v>
      </c>
      <c r="D514" s="8">
        <f>$J$89/$M$89*100</f>
        <v>6.1728395061728394</v>
      </c>
      <c r="E514" s="8">
        <f>$J$90/$M$90*100</f>
        <v>23.456790123456788</v>
      </c>
      <c r="F514" s="8">
        <f>$J$91/$M$91*100</f>
        <v>0</v>
      </c>
      <c r="G514" s="8">
        <f>SUM(B514:F514)</f>
        <v>99.999999999999986</v>
      </c>
      <c r="H514" s="8">
        <f>$J$107/$M$107*100</f>
        <v>0</v>
      </c>
      <c r="I514" s="8">
        <f>$J$108/$M$108*100</f>
        <v>37.5</v>
      </c>
      <c r="J514" s="8">
        <f>$J$109/$M$109*100</f>
        <v>37.5</v>
      </c>
      <c r="K514" s="8">
        <f>$J$110/$M$110*100</f>
        <v>25</v>
      </c>
      <c r="L514" s="8">
        <f>$J$111/$M$111*100</f>
        <v>0</v>
      </c>
      <c r="M514" s="8">
        <f>SUM(H514:L514)</f>
        <v>100</v>
      </c>
      <c r="N514" s="8">
        <f>$J$127/$M$127*100</f>
        <v>13.669064748201439</v>
      </c>
      <c r="O514" s="8">
        <f>$J$128/$M$128*100</f>
        <v>21.582733812949641</v>
      </c>
      <c r="P514" s="8">
        <f>$J$129/$M$129*100</f>
        <v>5.0359712230215825</v>
      </c>
      <c r="Q514" s="8">
        <f>$J$130/$M$130*100</f>
        <v>59.712230215827333</v>
      </c>
      <c r="R514" s="8">
        <f>$J$131/$M$131*100</f>
        <v>0</v>
      </c>
      <c r="S514" s="8">
        <f>SUM(N514:R514)</f>
        <v>100</v>
      </c>
      <c r="T514" s="8">
        <f>$J$147/$M$147*100</f>
        <v>5.5555555555555554</v>
      </c>
      <c r="U514" s="8">
        <f>$J$148/$M$148*100</f>
        <v>33.333333333333329</v>
      </c>
      <c r="V514" s="8">
        <f>$J$149/$M$149*100</f>
        <v>0</v>
      </c>
      <c r="W514" s="8">
        <f>$J$150/$M$150*100</f>
        <v>61.111111111111114</v>
      </c>
      <c r="X514" s="8">
        <f>$J$151/$M$151*100</f>
        <v>0</v>
      </c>
      <c r="Y514" s="8">
        <f>SUM(T514:X514)</f>
        <v>100</v>
      </c>
    </row>
    <row r="515" spans="1:30" ht="16" thickBot="1" x14ac:dyDescent="0.25">
      <c r="A515" s="9" t="s">
        <v>59</v>
      </c>
      <c r="B515" s="8">
        <f>$J$167/$M$167*100</f>
        <v>56.756756756756758</v>
      </c>
      <c r="C515" s="8">
        <f>$J$168/$M$168*100</f>
        <v>25.225225225225223</v>
      </c>
      <c r="D515" s="8">
        <f>$J$169/$M$169*100</f>
        <v>11.711711711711711</v>
      </c>
      <c r="E515" s="8">
        <f>$J$170/$M$170*100</f>
        <v>6.3063063063063058</v>
      </c>
      <c r="F515" s="8">
        <f>$J$171/$M$171*100</f>
        <v>0</v>
      </c>
      <c r="G515" s="8">
        <f>SUM(B515:F515)</f>
        <v>100.00000000000001</v>
      </c>
      <c r="H515" s="8">
        <f>$J$187/$M$187*100</f>
        <v>63.157894736842103</v>
      </c>
      <c r="I515" s="8">
        <f>$J$188/$M$188*100</f>
        <v>15.789473684210526</v>
      </c>
      <c r="J515" s="8">
        <f>$J$189/$M$189*100</f>
        <v>10.526315789473683</v>
      </c>
      <c r="K515" s="8">
        <f>$J$190/$M$190*100</f>
        <v>10.526315789473683</v>
      </c>
      <c r="L515" s="8">
        <f>$J$191/$M$191*100</f>
        <v>0</v>
      </c>
      <c r="M515" s="8">
        <f>SUM(H515:L515)</f>
        <v>100</v>
      </c>
      <c r="N515" s="8">
        <f>$J$207/$M$207*100</f>
        <v>20.792079207920793</v>
      </c>
      <c r="O515" s="8">
        <f>$J$208/$M$208*100</f>
        <v>30.693069306930692</v>
      </c>
      <c r="P515" s="8">
        <f>$J$209/$M$209*100</f>
        <v>27.722772277227726</v>
      </c>
      <c r="Q515" s="8">
        <f>$J$210/$M$210*100</f>
        <v>20.792079207920793</v>
      </c>
      <c r="R515" s="8">
        <f>$J$211/$M$211*100</f>
        <v>0</v>
      </c>
      <c r="S515" s="8">
        <f>SUM(N515:R515)</f>
        <v>100.00000000000001</v>
      </c>
      <c r="T515" s="8">
        <f>$J$227/$M$227*100</f>
        <v>29.166666666666668</v>
      </c>
      <c r="U515" s="8">
        <f>$J$228/$M$228*100</f>
        <v>33.333333333333329</v>
      </c>
      <c r="V515" s="8">
        <f>$J$229/$M$229*100</f>
        <v>27.777777777777779</v>
      </c>
      <c r="W515" s="8">
        <f>$J$230/$M$230*100</f>
        <v>9.7222222222222232</v>
      </c>
      <c r="X515" s="8">
        <f>$J$231/$M$231*100</f>
        <v>0</v>
      </c>
      <c r="Y515" s="8">
        <f>SUM(T515:X515)</f>
        <v>100</v>
      </c>
    </row>
    <row r="516" spans="1:30" x14ac:dyDescent="0.2">
      <c r="A516" s="10" t="s">
        <v>50</v>
      </c>
      <c r="B516" s="12">
        <f>AVERAGE(B513:B515)</f>
        <v>44.71456992824514</v>
      </c>
      <c r="C516" s="12">
        <f>AVERAGE(C513:C515)</f>
        <v>32.992624445615895</v>
      </c>
      <c r="D516" s="11">
        <f>AVERAGE(D513:D515)</f>
        <v>11.582818847776112</v>
      </c>
      <c r="E516" s="11">
        <f>AVERAGE(E513:E515)</f>
        <v>10.709986778362847</v>
      </c>
      <c r="F516" s="11">
        <f>AVERAGE(F513:F515)</f>
        <v>0</v>
      </c>
      <c r="G516" s="12"/>
      <c r="H516" s="11">
        <f>AVERAGE(H513:H515)</f>
        <v>36.306868867082962</v>
      </c>
      <c r="I516" s="13">
        <f>AVERAGE(I513:I515)</f>
        <v>30.757508177222718</v>
      </c>
      <c r="J516" s="14">
        <f>AVERAGE(J513:J515)</f>
        <v>18.833630686886707</v>
      </c>
      <c r="K516" s="14">
        <f>AVERAGE(K513:K515)</f>
        <v>14.101992268807612</v>
      </c>
      <c r="L516" s="14">
        <f>AVERAGE(L513:L515)</f>
        <v>0</v>
      </c>
      <c r="M516" s="12"/>
      <c r="N516" s="14">
        <f>AVERAGE(N513:N515)</f>
        <v>35.161290409616498</v>
      </c>
      <c r="O516" s="12">
        <f>AVERAGE(O513:O515)</f>
        <v>22.728298009657081</v>
      </c>
      <c r="P516" s="11">
        <f>AVERAGE(P513:P515)</f>
        <v>13.760490257658859</v>
      </c>
      <c r="Q516" s="11">
        <f>AVERAGE(Q513:Q515)</f>
        <v>28.349921323067559</v>
      </c>
      <c r="R516" s="11">
        <f>AVERAGE(R513:R515)</f>
        <v>0</v>
      </c>
      <c r="S516" s="15"/>
      <c r="T516" s="14">
        <f>AVERAGE(T513:T515)</f>
        <v>22.685185185185187</v>
      </c>
      <c r="U516" s="12">
        <f>AVERAGE(U513:U515)</f>
        <v>30.555555555555554</v>
      </c>
      <c r="V516" s="11">
        <f>AVERAGE(V513:V515)</f>
        <v>18.981481481481481</v>
      </c>
      <c r="W516" s="11">
        <f>AVERAGE(W513:W515)</f>
        <v>27.777777777777782</v>
      </c>
      <c r="X516" s="11">
        <f>AVERAGE(X513:X515)</f>
        <v>0</v>
      </c>
      <c r="Y516" s="15"/>
      <c r="Z516" s="8">
        <f>AVERAGE(B516,H516,N516,T516)</f>
        <v>34.716978597532446</v>
      </c>
      <c r="AA516" s="8">
        <f>AVERAGE(C516,I516,O516,U516)</f>
        <v>29.258496547012815</v>
      </c>
      <c r="AB516" s="8">
        <f>AVERAGE(D516,J516,P516,V516)</f>
        <v>15.789605318450789</v>
      </c>
      <c r="AC516" s="8">
        <f>AVERAGE(E516,K516,Q516,W516)</f>
        <v>20.23491953700395</v>
      </c>
      <c r="AD516" s="8">
        <f>AVERAGE(F516,L516,R516,X516)</f>
        <v>0</v>
      </c>
    </row>
    <row r="519" spans="1:30" ht="32" x14ac:dyDescent="0.2">
      <c r="A519" s="2" t="s">
        <v>215</v>
      </c>
      <c r="B519" s="3" t="s">
        <v>53</v>
      </c>
      <c r="C519" s="3"/>
      <c r="D519" s="3"/>
      <c r="E519" s="3"/>
      <c r="F519" s="3"/>
      <c r="G519" s="4" t="s">
        <v>64</v>
      </c>
      <c r="H519" s="3" t="s">
        <v>54</v>
      </c>
      <c r="I519" s="3"/>
      <c r="J519" s="3"/>
      <c r="K519" s="3"/>
      <c r="L519" s="3"/>
      <c r="M519" s="4" t="s">
        <v>64</v>
      </c>
      <c r="N519" s="3" t="s">
        <v>55</v>
      </c>
      <c r="O519" s="3"/>
      <c r="P519" s="3"/>
      <c r="Q519" s="3"/>
      <c r="R519" s="3"/>
      <c r="S519" s="4" t="s">
        <v>64</v>
      </c>
      <c r="T519" s="3" t="s">
        <v>56</v>
      </c>
      <c r="U519" s="3"/>
      <c r="V519" s="3"/>
      <c r="W519" s="3"/>
      <c r="X519" s="3"/>
      <c r="Y519" s="4" t="s">
        <v>64</v>
      </c>
    </row>
    <row r="520" spans="1:30" x14ac:dyDescent="0.2">
      <c r="A520" s="3"/>
      <c r="B520" s="4" t="s">
        <v>20</v>
      </c>
      <c r="C520" s="4" t="s">
        <v>21</v>
      </c>
      <c r="D520" s="4" t="s">
        <v>60</v>
      </c>
      <c r="E520" s="4" t="s">
        <v>61</v>
      </c>
      <c r="F520" s="4" t="s">
        <v>62</v>
      </c>
      <c r="G520" s="4"/>
      <c r="H520" s="4" t="s">
        <v>20</v>
      </c>
      <c r="I520" s="4" t="s">
        <v>21</v>
      </c>
      <c r="J520" s="4" t="s">
        <v>60</v>
      </c>
      <c r="K520" s="4" t="s">
        <v>61</v>
      </c>
      <c r="L520" s="4" t="s">
        <v>62</v>
      </c>
      <c r="M520" s="4"/>
      <c r="N520" s="4" t="s">
        <v>20</v>
      </c>
      <c r="O520" s="4" t="s">
        <v>21</v>
      </c>
      <c r="P520" s="4" t="s">
        <v>60</v>
      </c>
      <c r="Q520" s="4" t="s">
        <v>61</v>
      </c>
      <c r="R520" s="4" t="s">
        <v>62</v>
      </c>
      <c r="S520" s="4"/>
      <c r="T520" s="4" t="s">
        <v>20</v>
      </c>
      <c r="U520" s="4" t="s">
        <v>21</v>
      </c>
      <c r="V520" s="4" t="s">
        <v>60</v>
      </c>
      <c r="W520" s="4" t="s">
        <v>61</v>
      </c>
      <c r="X520" s="4" t="s">
        <v>62</v>
      </c>
      <c r="Y520" s="4"/>
    </row>
    <row r="521" spans="1:30" x14ac:dyDescent="0.2">
      <c r="A521" s="5" t="s">
        <v>57</v>
      </c>
      <c r="B521" s="8">
        <f>$J$12/$M$12*100</f>
        <v>44.551282051282051</v>
      </c>
      <c r="C521" s="8">
        <f>$J$13/$M$13*100</f>
        <v>34.294871794871796</v>
      </c>
      <c r="D521" s="8">
        <f>$J$14/$M$14*100</f>
        <v>15.384615384615385</v>
      </c>
      <c r="E521" s="8">
        <f>$J$15/$M$15*100</f>
        <v>5.7692307692307692</v>
      </c>
      <c r="F521" s="8">
        <f>$J$16/$M$16*100</f>
        <v>0</v>
      </c>
      <c r="G521" s="8">
        <f>SUM(B521:F521)</f>
        <v>100</v>
      </c>
      <c r="H521" s="8">
        <f>$J$32/$M$32*100</f>
        <v>30.952380952380953</v>
      </c>
      <c r="I521" s="8">
        <f>$J$33/$M$33*100</f>
        <v>33.333333333333329</v>
      </c>
      <c r="J521" s="8">
        <f>$J$34/$M$34*100</f>
        <v>23.809523809523807</v>
      </c>
      <c r="K521" s="8">
        <f>$J$35/$M$35*100</f>
        <v>11.904761904761903</v>
      </c>
      <c r="L521" s="8">
        <f>$J$36/$M$36*100</f>
        <v>0</v>
      </c>
      <c r="M521" s="8">
        <f>SUM(H521:L521)</f>
        <v>99.999999999999986</v>
      </c>
      <c r="N521" s="8">
        <f>$J$52/$M$52*100</f>
        <v>85.802469135802468</v>
      </c>
      <c r="O521" s="8">
        <f>$J$53/$M$53*100</f>
        <v>8.6419753086419746</v>
      </c>
      <c r="P521" s="8">
        <f>$J$54/$M$54*100</f>
        <v>3.0864197530864197</v>
      </c>
      <c r="Q521" s="8">
        <f>$J$55/$M$55*100</f>
        <v>2.4691358024691357</v>
      </c>
      <c r="R521" s="8">
        <f>$J$56/$M$56*100</f>
        <v>0</v>
      </c>
      <c r="S521" s="8">
        <f>SUM(N521:R521)</f>
        <v>100</v>
      </c>
      <c r="T521" s="8">
        <f>$J$72/$M$72*100</f>
        <v>31.818181818181817</v>
      </c>
      <c r="U521" s="8">
        <f>$J$73/$M$73*100</f>
        <v>18.181818181818183</v>
      </c>
      <c r="V521" s="8">
        <f>$J$74/$M$74*100</f>
        <v>27.27272727272727</v>
      </c>
      <c r="W521" s="8">
        <f>$J$75/$M$75*100</f>
        <v>22.727272727272727</v>
      </c>
      <c r="X521" s="8">
        <f>$J$76/$M$76*100</f>
        <v>0</v>
      </c>
      <c r="Y521" s="8">
        <f>SUM(T521:X521)</f>
        <v>100</v>
      </c>
    </row>
    <row r="522" spans="1:30" ht="15" customHeight="1" x14ac:dyDescent="0.2">
      <c r="A522" s="5" t="s">
        <v>58</v>
      </c>
      <c r="B522" s="8">
        <f>$J$92/$M$92*100</f>
        <v>46.341463414634148</v>
      </c>
      <c r="C522" s="8">
        <f>$J$93/$M$93*100</f>
        <v>23.170731707317074</v>
      </c>
      <c r="D522" s="8">
        <f>$J$94/$M$94*100</f>
        <v>13.414634146341465</v>
      </c>
      <c r="E522" s="8">
        <f>$J$95/$M$95*100</f>
        <v>17.073170731707318</v>
      </c>
      <c r="F522" s="8">
        <f>$J$96/$M$96*100</f>
        <v>0</v>
      </c>
      <c r="G522" s="8">
        <f>SUM(B522:F522)</f>
        <v>100.00000000000001</v>
      </c>
      <c r="H522" s="8">
        <f>$J$112/$M$112*100</f>
        <v>69.230769230769226</v>
      </c>
      <c r="I522" s="8">
        <f>$J$113/$M$113*100</f>
        <v>23.076923076923077</v>
      </c>
      <c r="J522" s="8">
        <f>$J$114/$M$114*100</f>
        <v>7.6923076923076925</v>
      </c>
      <c r="K522" s="8">
        <f>$J$115/$M$115*100</f>
        <v>0</v>
      </c>
      <c r="L522" s="8">
        <f>$J$116/$M$116*100</f>
        <v>0</v>
      </c>
      <c r="M522" s="8">
        <f t="shared" ref="M522:M523" si="15">SUM(H522:L522)</f>
        <v>100</v>
      </c>
      <c r="N522" s="8">
        <f>$J$132/$M$132*100</f>
        <v>17.985611510791365</v>
      </c>
      <c r="O522" s="8">
        <f>$J$133/$M$133*100</f>
        <v>15.107913669064748</v>
      </c>
      <c r="P522" s="8">
        <f>$J$134/$M$134*100</f>
        <v>5.755395683453238</v>
      </c>
      <c r="Q522" s="8">
        <f>$J$135/$M$135*100</f>
        <v>61.151079136690647</v>
      </c>
      <c r="R522" s="8">
        <f>$J$136/$M$136*100</f>
        <v>0</v>
      </c>
      <c r="S522" s="8">
        <f>SUM(N522:R522)</f>
        <v>100</v>
      </c>
      <c r="T522" s="8">
        <f>$J$152/$M$152*100</f>
        <v>35.714285714285715</v>
      </c>
      <c r="U522" s="8">
        <f>$J$153/$M$153*100</f>
        <v>35.714285714285715</v>
      </c>
      <c r="V522" s="8">
        <f>$J$154/$M$154*100</f>
        <v>14.285714285714285</v>
      </c>
      <c r="W522" s="8">
        <f>$J$155/$M$155*100</f>
        <v>14.285714285714285</v>
      </c>
      <c r="X522" s="8">
        <f>$J$156/$M$156*100</f>
        <v>0</v>
      </c>
      <c r="Y522" s="8">
        <f>SUM(T522:X522)</f>
        <v>100</v>
      </c>
    </row>
    <row r="523" spans="1:30" ht="16" thickBot="1" x14ac:dyDescent="0.25">
      <c r="A523" s="9" t="s">
        <v>59</v>
      </c>
      <c r="B523" s="8">
        <f>$J$172/$M$172*100</f>
        <v>40.086206896551722</v>
      </c>
      <c r="C523" s="8">
        <f>$J$173/$M$173*100</f>
        <v>35.344827586206897</v>
      </c>
      <c r="D523" s="8">
        <f>$J$174/$M$174*100</f>
        <v>14.655172413793101</v>
      </c>
      <c r="E523" s="8">
        <f>$J$175/$M$175*100</f>
        <v>9.9137931034482758</v>
      </c>
      <c r="F523" s="8">
        <f>$J$176/$M$176*100</f>
        <v>0</v>
      </c>
      <c r="G523" s="8">
        <f>SUM(B523:F523)</f>
        <v>99.999999999999986</v>
      </c>
      <c r="H523" s="8">
        <f>$J$192/$M$192*100</f>
        <v>11.76470588235294</v>
      </c>
      <c r="I523" s="8">
        <f>$J$193/$M$193*100</f>
        <v>41.17647058823529</v>
      </c>
      <c r="J523" s="8">
        <f>$J$194/$M$194*100</f>
        <v>35.294117647058826</v>
      </c>
      <c r="K523" s="8">
        <f>$J$195/$M$195*100</f>
        <v>11.76470588235294</v>
      </c>
      <c r="L523" s="8">
        <f>$J$196/$M$196*100</f>
        <v>0</v>
      </c>
      <c r="M523" s="8">
        <f t="shared" si="15"/>
        <v>100</v>
      </c>
      <c r="N523" s="8">
        <f>$J$212/$M$212*100</f>
        <v>32.352941176470587</v>
      </c>
      <c r="O523" s="8">
        <f>$J$213/$M$213*100</f>
        <v>37.254901960784316</v>
      </c>
      <c r="P523" s="8">
        <f>$J$214/$M$214*100</f>
        <v>12.745098039215685</v>
      </c>
      <c r="Q523" s="8">
        <f>$J$215/$M$215*100</f>
        <v>17.647058823529413</v>
      </c>
      <c r="R523" s="8">
        <f>$J$216/$M$216*100</f>
        <v>0</v>
      </c>
      <c r="S523" s="8">
        <f>SUM(N523:R523)</f>
        <v>100</v>
      </c>
      <c r="T523" s="8">
        <f>$J$232/$M$232*100</f>
        <v>33.333333333333329</v>
      </c>
      <c r="U523" s="8">
        <f>$J$233/$M$233*100</f>
        <v>44.047619047619044</v>
      </c>
      <c r="V523" s="8">
        <f>$J$234/$M$234*100</f>
        <v>15.476190476190476</v>
      </c>
      <c r="W523" s="8">
        <f>$J$235/$M$235*100</f>
        <v>7.1428571428571423</v>
      </c>
      <c r="X523" s="8">
        <f>$J$236/$M$236*100</f>
        <v>0</v>
      </c>
      <c r="Y523" s="8">
        <f>SUM(T523:X523)</f>
        <v>100</v>
      </c>
    </row>
    <row r="524" spans="1:30" x14ac:dyDescent="0.2">
      <c r="A524" s="10" t="s">
        <v>50</v>
      </c>
      <c r="B524" s="12">
        <f>AVERAGE(B521:B523)</f>
        <v>43.659650787489305</v>
      </c>
      <c r="C524" s="12">
        <f>AVERAGE(C521:C523)</f>
        <v>30.936810362798592</v>
      </c>
      <c r="D524" s="11">
        <f>AVERAGE(D521:D523)</f>
        <v>14.484807314916651</v>
      </c>
      <c r="E524" s="11">
        <f>AVERAGE(E521:E523)</f>
        <v>10.918731534795455</v>
      </c>
      <c r="F524" s="11">
        <f>AVERAGE(F521:F523)</f>
        <v>0</v>
      </c>
      <c r="G524" s="12"/>
      <c r="H524" s="11">
        <f>AVERAGE(H521:H523)</f>
        <v>37.31595202183437</v>
      </c>
      <c r="I524" s="13">
        <f>AVERAGE(I521:I523)</f>
        <v>32.528908999497233</v>
      </c>
      <c r="J524" s="14">
        <f>AVERAGE(J521:J523)</f>
        <v>22.265316382963444</v>
      </c>
      <c r="K524" s="14">
        <f>AVERAGE(K521:K523)</f>
        <v>7.8898225957049481</v>
      </c>
      <c r="L524" s="14">
        <f>AVERAGE(L521:L523)</f>
        <v>0</v>
      </c>
      <c r="M524" s="12"/>
      <c r="N524" s="14">
        <f>AVERAGE(N521:N523)</f>
        <v>45.38034060768814</v>
      </c>
      <c r="O524" s="12">
        <f>AVERAGE(O521:O523)</f>
        <v>20.334930312830348</v>
      </c>
      <c r="P524" s="11">
        <f>AVERAGE(P521:P523)</f>
        <v>7.1956378252517821</v>
      </c>
      <c r="Q524" s="11">
        <f>AVERAGE(Q521:Q523)</f>
        <v>27.089091254229732</v>
      </c>
      <c r="R524" s="11">
        <f>AVERAGE(R521:R523)</f>
        <v>0</v>
      </c>
      <c r="S524" s="15"/>
      <c r="T524" s="14">
        <f>AVERAGE(T521:T523)</f>
        <v>33.621933621933621</v>
      </c>
      <c r="U524" s="12">
        <f>AVERAGE(U521:U523)</f>
        <v>32.647907647907651</v>
      </c>
      <c r="V524" s="11">
        <f>AVERAGE(V521:V523)</f>
        <v>19.011544011544011</v>
      </c>
      <c r="W524" s="11">
        <f>AVERAGE(W521:W523)</f>
        <v>14.718614718614717</v>
      </c>
      <c r="X524" s="11">
        <f>AVERAGE(X521:X523)</f>
        <v>0</v>
      </c>
      <c r="Y524" s="15"/>
      <c r="Z524" s="8">
        <f>AVERAGE(B524,H524,N524,T524)</f>
        <v>39.994469259736363</v>
      </c>
      <c r="AA524" s="8">
        <f>AVERAGE(C524,I524,O524,U524)</f>
        <v>29.11213933075846</v>
      </c>
      <c r="AB524" s="8">
        <f>AVERAGE(D524,J524,P524,V524)</f>
        <v>15.739326383668972</v>
      </c>
      <c r="AC524" s="8">
        <f>AVERAGE(E524,K524,Q524,W524)</f>
        <v>15.154065025836214</v>
      </c>
      <c r="AD524" s="8">
        <f>AVERAGE(F524,L524,R524,X524)</f>
        <v>0</v>
      </c>
    </row>
    <row r="527" spans="1:30" ht="32" x14ac:dyDescent="0.2">
      <c r="A527" s="2" t="s">
        <v>216</v>
      </c>
      <c r="B527" s="3" t="s">
        <v>53</v>
      </c>
      <c r="C527" s="3"/>
      <c r="D527" s="3"/>
      <c r="E527" s="3"/>
      <c r="F527" s="3"/>
      <c r="G527" s="4" t="s">
        <v>64</v>
      </c>
      <c r="H527" s="3" t="s">
        <v>54</v>
      </c>
      <c r="I527" s="3"/>
      <c r="J527" s="3"/>
      <c r="K527" s="3"/>
      <c r="L527" s="3"/>
      <c r="M527" s="4" t="s">
        <v>64</v>
      </c>
      <c r="N527" s="3" t="s">
        <v>55</v>
      </c>
      <c r="O527" s="3"/>
      <c r="P527" s="3"/>
      <c r="Q527" s="3"/>
      <c r="R527" s="3"/>
      <c r="S527" s="4" t="s">
        <v>64</v>
      </c>
      <c r="T527" s="3" t="s">
        <v>56</v>
      </c>
      <c r="U527" s="3"/>
      <c r="V527" s="3"/>
      <c r="W527" s="3"/>
      <c r="X527" s="3"/>
      <c r="Y527" s="4" t="s">
        <v>64</v>
      </c>
    </row>
    <row r="528" spans="1:30" x14ac:dyDescent="0.2">
      <c r="A528" s="3"/>
      <c r="B528" s="4" t="s">
        <v>20</v>
      </c>
      <c r="C528" s="4" t="s">
        <v>21</v>
      </c>
      <c r="D528" s="4" t="s">
        <v>60</v>
      </c>
      <c r="E528" s="4" t="s">
        <v>61</v>
      </c>
      <c r="F528" s="4" t="s">
        <v>62</v>
      </c>
      <c r="G528" s="4"/>
      <c r="H528" s="4" t="s">
        <v>20</v>
      </c>
      <c r="I528" s="4" t="s">
        <v>21</v>
      </c>
      <c r="J528" s="4" t="s">
        <v>60</v>
      </c>
      <c r="K528" s="4" t="s">
        <v>61</v>
      </c>
      <c r="L528" s="4" t="s">
        <v>62</v>
      </c>
      <c r="M528" s="4"/>
      <c r="N528" s="4" t="s">
        <v>20</v>
      </c>
      <c r="O528" s="4" t="s">
        <v>21</v>
      </c>
      <c r="P528" s="4" t="s">
        <v>60</v>
      </c>
      <c r="Q528" s="4" t="s">
        <v>61</v>
      </c>
      <c r="R528" s="4" t="s">
        <v>62</v>
      </c>
      <c r="S528" s="4"/>
      <c r="T528" s="4" t="s">
        <v>20</v>
      </c>
      <c r="U528" s="4" t="s">
        <v>21</v>
      </c>
      <c r="V528" s="4" t="s">
        <v>60</v>
      </c>
      <c r="W528" s="4" t="s">
        <v>61</v>
      </c>
      <c r="X528" s="4" t="s">
        <v>62</v>
      </c>
      <c r="Y528" s="4"/>
    </row>
    <row r="529" spans="1:30" x14ac:dyDescent="0.2">
      <c r="A529" s="5" t="s">
        <v>57</v>
      </c>
      <c r="B529" s="8">
        <f>$J$17/$M$17*100</f>
        <v>24.924924924924923</v>
      </c>
      <c r="C529" s="8">
        <f>$J$18/$M$18*100</f>
        <v>46.246246246246244</v>
      </c>
      <c r="D529" s="8">
        <f>$J$19/$M$19*100</f>
        <v>15.315315315315313</v>
      </c>
      <c r="E529" s="8">
        <f>$J$20/$M$20*100</f>
        <v>13.513513513513514</v>
      </c>
      <c r="F529" s="8">
        <f>$J$21/$M$21*100</f>
        <v>0</v>
      </c>
      <c r="G529" s="8">
        <f>SUM(B529:F529)</f>
        <v>100</v>
      </c>
      <c r="H529" s="8">
        <f>$J$37/$M$37*100</f>
        <v>19.444444444444446</v>
      </c>
      <c r="I529" s="8">
        <f>$J$38/$M$38*100</f>
        <v>38.888888888888893</v>
      </c>
      <c r="J529" s="8">
        <f>$J$39/$M$39*100</f>
        <v>13.888888888888889</v>
      </c>
      <c r="K529" s="8">
        <f>$J$40/$M$40*100</f>
        <v>27.777777777777779</v>
      </c>
      <c r="L529" s="8">
        <f>$J$41/$M$41*100</f>
        <v>0</v>
      </c>
      <c r="M529" s="8">
        <f>SUM(H529:L529)</f>
        <v>100</v>
      </c>
      <c r="N529" s="8">
        <f>$J$57/$M$57*100</f>
        <v>89.908256880733944</v>
      </c>
      <c r="O529" s="8">
        <f>$J$58/$M$58*100</f>
        <v>2.7522935779816518</v>
      </c>
      <c r="P529" s="8">
        <f>$J$59/$M$59*100</f>
        <v>0.91743119266055051</v>
      </c>
      <c r="Q529" s="8">
        <f>$J$60/$M$60*100</f>
        <v>6.4220183486238538</v>
      </c>
      <c r="R529" s="8">
        <f>$J$61/$M$61*100</f>
        <v>0</v>
      </c>
      <c r="S529" s="8">
        <f>SUM(N529:R529)</f>
        <v>99.999999999999986</v>
      </c>
      <c r="T529" s="8">
        <f>$J$77/$M$77*100</f>
        <v>40.625</v>
      </c>
      <c r="U529" s="8">
        <f>$J$78/$M$78*100</f>
        <v>25</v>
      </c>
      <c r="V529" s="8">
        <f>$J$79/$M$79*100</f>
        <v>12.5</v>
      </c>
      <c r="W529" s="8">
        <f>$J$80/$M$80*100</f>
        <v>21.875</v>
      </c>
      <c r="X529" s="8">
        <f>$J$81/$M$81*100</f>
        <v>0</v>
      </c>
      <c r="Y529" s="8">
        <f>SUM(T529:X529)</f>
        <v>100</v>
      </c>
    </row>
    <row r="530" spans="1:30" x14ac:dyDescent="0.2">
      <c r="A530" s="5" t="s">
        <v>58</v>
      </c>
      <c r="B530" s="8">
        <f>$J$97/$M$97*100</f>
        <v>39.583333333333329</v>
      </c>
      <c r="C530" s="8">
        <f>$J$98/$M$98*100</f>
        <v>33.333333333333329</v>
      </c>
      <c r="D530" s="8">
        <f>$J$99/$M$99*100</f>
        <v>14.583333333333334</v>
      </c>
      <c r="E530" s="8">
        <f>$J$100/$M$100*100</f>
        <v>12.5</v>
      </c>
      <c r="F530" s="8">
        <f>$J$111/$M$111*100</f>
        <v>0</v>
      </c>
      <c r="G530" s="8">
        <f>SUM(B530:F530)</f>
        <v>99.999999999999986</v>
      </c>
      <c r="H530" s="8">
        <f>$J$117/$M$117*100</f>
        <v>70</v>
      </c>
      <c r="I530" s="8">
        <f>$J$118/$M$118*100</f>
        <v>0</v>
      </c>
      <c r="J530" s="8">
        <f>$J$119/$M$119*100</f>
        <v>0</v>
      </c>
      <c r="K530" s="8">
        <f>$J$120/$M$120*100</f>
        <v>30</v>
      </c>
      <c r="L530" s="8">
        <f>$J$121/$M$121*100</f>
        <v>0</v>
      </c>
      <c r="M530" s="8">
        <f>SUM(H530:L530)</f>
        <v>100</v>
      </c>
      <c r="N530" s="8">
        <f>$J$137/$M$137*100</f>
        <v>11.278195488721805</v>
      </c>
      <c r="O530" s="8">
        <f>$J$138/$M$138*100</f>
        <v>20.300751879699249</v>
      </c>
      <c r="P530" s="8">
        <f>$J$139/$M$139*100</f>
        <v>11.278195488721805</v>
      </c>
      <c r="Q530" s="8">
        <f>$J$140/$M$140*100</f>
        <v>57.142857142857139</v>
      </c>
      <c r="R530" s="8">
        <f>$J$141/$M$141*100</f>
        <v>0</v>
      </c>
      <c r="S530" s="8">
        <f>SUM(N530:R530)</f>
        <v>100</v>
      </c>
      <c r="T530" s="8">
        <f>$J$157/$M$157*100</f>
        <v>0</v>
      </c>
      <c r="U530" s="8">
        <f>$J$158/$M$158*100</f>
        <v>42.857142857142854</v>
      </c>
      <c r="V530" s="8">
        <f>$J$159/$M$159*100</f>
        <v>7.1428571428571423</v>
      </c>
      <c r="W530" s="8">
        <f>$J$160/$M$160*100</f>
        <v>42.857142857142854</v>
      </c>
      <c r="X530" s="8">
        <f>$J$161/$M$161*100</f>
        <v>7.1428571428571423</v>
      </c>
      <c r="Y530" s="8">
        <f>SUM(T530:X530)</f>
        <v>100</v>
      </c>
    </row>
    <row r="531" spans="1:30" ht="15" customHeight="1" thickBot="1" x14ac:dyDescent="0.25">
      <c r="A531" s="9" t="s">
        <v>59</v>
      </c>
      <c r="B531" s="8">
        <f>$J$177/$M$177*100</f>
        <v>30.566037735849054</v>
      </c>
      <c r="C531" s="8">
        <f>$J$178/$M$178*100</f>
        <v>27.924528301886792</v>
      </c>
      <c r="D531" s="8">
        <f>$J$179/$M$179*100</f>
        <v>15.09433962264151</v>
      </c>
      <c r="E531" s="8">
        <f>$J$180/$M$180*100</f>
        <v>26.415094339622641</v>
      </c>
      <c r="F531" s="8">
        <f>$J$181/$M$181*100</f>
        <v>0</v>
      </c>
      <c r="G531" s="8">
        <f>SUM(B531:F531)</f>
        <v>100</v>
      </c>
      <c r="H531" s="8">
        <f>$J$197/$M$197*100</f>
        <v>25</v>
      </c>
      <c r="I531" s="8">
        <f>$J$198/$M$198*100</f>
        <v>6.25</v>
      </c>
      <c r="J531" s="8">
        <f>$J$199/$M$199*100</f>
        <v>18.75</v>
      </c>
      <c r="K531" s="8">
        <f>$J$200/$M$200*100</f>
        <v>50</v>
      </c>
      <c r="L531" s="8">
        <f>$J$211/$M$211*100</f>
        <v>0</v>
      </c>
      <c r="M531" s="8">
        <f>SUM(H531:L531)</f>
        <v>100</v>
      </c>
      <c r="N531" s="8">
        <f>$J$217/$M$217*100</f>
        <v>18.181818181818183</v>
      </c>
      <c r="O531" s="8">
        <f>$J$218/$M$218*100</f>
        <v>40.495867768595041</v>
      </c>
      <c r="P531" s="8">
        <f>$J$219/$M$219*100</f>
        <v>7.4380165289256199</v>
      </c>
      <c r="Q531" s="8">
        <f>$J$220/$M$220*100</f>
        <v>33.884297520661157</v>
      </c>
      <c r="R531" s="8">
        <f>$J$221/$M$221*100</f>
        <v>0</v>
      </c>
      <c r="S531" s="8">
        <f>SUM(N531:R531)</f>
        <v>100</v>
      </c>
      <c r="T531" s="8">
        <f>$J$237/$M$237*100</f>
        <v>20.481927710843372</v>
      </c>
      <c r="U531" s="8">
        <f>$J$238/$M$238*100</f>
        <v>30.120481927710845</v>
      </c>
      <c r="V531" s="8">
        <f>$J$239/$M$239*100</f>
        <v>30.120481927710845</v>
      </c>
      <c r="W531" s="8">
        <f>$J$240/$M$240*100</f>
        <v>19.277108433734941</v>
      </c>
      <c r="X531" s="8">
        <f>$J$241/$M$241*100</f>
        <v>0</v>
      </c>
      <c r="Y531" s="8">
        <f>SUM(T531:X531)</f>
        <v>100</v>
      </c>
    </row>
    <row r="532" spans="1:30" x14ac:dyDescent="0.2">
      <c r="A532" s="10" t="s">
        <v>50</v>
      </c>
      <c r="B532" s="12">
        <f>AVERAGE(B529:B531)</f>
        <v>31.691431998035767</v>
      </c>
      <c r="C532" s="12">
        <f>AVERAGE(C529:C531)</f>
        <v>35.834702627155458</v>
      </c>
      <c r="D532" s="11">
        <f>AVERAGE(D529:D531)</f>
        <v>14.99766275709672</v>
      </c>
      <c r="E532" s="11">
        <f>AVERAGE(E529:E531)</f>
        <v>17.476202617712051</v>
      </c>
      <c r="F532" s="11">
        <f>AVERAGE(F529:F531)</f>
        <v>0</v>
      </c>
      <c r="G532" s="12"/>
      <c r="H532" s="11">
        <f>AVERAGE(H529:H531)</f>
        <v>38.148148148148145</v>
      </c>
      <c r="I532" s="13">
        <f>AVERAGE(I529:I531)</f>
        <v>15.046296296296298</v>
      </c>
      <c r="J532" s="14">
        <f>AVERAGE(J529:J531)</f>
        <v>10.879629629629628</v>
      </c>
      <c r="K532" s="14">
        <f>AVERAGE(K529:K531)</f>
        <v>35.925925925925924</v>
      </c>
      <c r="L532" s="14">
        <f>AVERAGE(L529:L531)</f>
        <v>0</v>
      </c>
      <c r="M532" s="12"/>
      <c r="N532" s="14">
        <f>AVERAGE(N529:N531)</f>
        <v>39.789423517091315</v>
      </c>
      <c r="O532" s="12">
        <f>AVERAGE(O529:O531)</f>
        <v>21.182971075425314</v>
      </c>
      <c r="P532" s="11">
        <f>AVERAGE(P529:P531)</f>
        <v>6.5445477367693252</v>
      </c>
      <c r="Q532" s="11">
        <f>AVERAGE(Q529:Q531)</f>
        <v>32.483057670714054</v>
      </c>
      <c r="R532" s="11">
        <f>AVERAGE(R529:R531)</f>
        <v>0</v>
      </c>
      <c r="S532" s="15"/>
      <c r="T532" s="14">
        <f>AVERAGE(T529:T531)</f>
        <v>20.368975903614459</v>
      </c>
      <c r="U532" s="12">
        <f>AVERAGE(U529:U531)</f>
        <v>32.659208261617898</v>
      </c>
      <c r="V532" s="11">
        <f>AVERAGE(V529:V531)</f>
        <v>16.587779690189329</v>
      </c>
      <c r="W532" s="11">
        <f>AVERAGE(W529:W531)</f>
        <v>28.003083763625934</v>
      </c>
      <c r="X532" s="11">
        <f>AVERAGE(X529:X531)</f>
        <v>2.3809523809523809</v>
      </c>
      <c r="Y532" s="15"/>
      <c r="Z532" s="8">
        <f>AVERAGE(B532,H532,N532,T532)</f>
        <v>32.499494891722421</v>
      </c>
      <c r="AA532" s="8">
        <f>AVERAGE(C532,I532,O532,U532)</f>
        <v>26.18079456512374</v>
      </c>
      <c r="AB532" s="8">
        <f>AVERAGE(D532,J532,P532,V532)</f>
        <v>12.25240495342125</v>
      </c>
      <c r="AC532" s="8">
        <f>AVERAGE(E532,K532,Q532,W532)</f>
        <v>28.472067494494489</v>
      </c>
      <c r="AD532" s="8">
        <f>AVERAGE(F532,L532,R532,X532)</f>
        <v>0.59523809523809523</v>
      </c>
    </row>
    <row r="537" spans="1:30" ht="32" x14ac:dyDescent="0.2">
      <c r="A537" s="2" t="s">
        <v>217</v>
      </c>
      <c r="B537" s="3" t="s">
        <v>53</v>
      </c>
      <c r="C537" s="3"/>
      <c r="D537" s="3"/>
      <c r="E537" s="3"/>
      <c r="F537" s="3"/>
      <c r="G537" s="4" t="s">
        <v>64</v>
      </c>
      <c r="H537" s="3" t="s">
        <v>54</v>
      </c>
      <c r="I537" s="3"/>
      <c r="J537" s="3"/>
      <c r="K537" s="3"/>
      <c r="L537" s="3"/>
      <c r="M537" s="4" t="s">
        <v>64</v>
      </c>
      <c r="N537" s="3" t="s">
        <v>55</v>
      </c>
      <c r="O537" s="3"/>
      <c r="P537" s="3"/>
      <c r="Q537" s="3"/>
      <c r="R537" s="3"/>
      <c r="S537" s="4" t="s">
        <v>64</v>
      </c>
      <c r="T537" s="3" t="s">
        <v>56</v>
      </c>
      <c r="U537" s="3"/>
      <c r="V537" s="3"/>
      <c r="W537" s="3"/>
      <c r="X537" s="3"/>
      <c r="Y537" s="4" t="s">
        <v>64</v>
      </c>
    </row>
    <row r="538" spans="1:30" x14ac:dyDescent="0.2">
      <c r="A538" s="2"/>
      <c r="B538" s="4" t="s">
        <v>20</v>
      </c>
      <c r="C538" s="4" t="s">
        <v>21</v>
      </c>
      <c r="D538" s="4" t="s">
        <v>60</v>
      </c>
      <c r="E538" s="4" t="s">
        <v>61</v>
      </c>
      <c r="F538" s="4" t="s">
        <v>62</v>
      </c>
      <c r="G538" s="4"/>
      <c r="H538" s="4" t="s">
        <v>20</v>
      </c>
      <c r="I538" s="4" t="s">
        <v>21</v>
      </c>
      <c r="J538" s="4" t="s">
        <v>60</v>
      </c>
      <c r="K538" s="4" t="s">
        <v>61</v>
      </c>
      <c r="L538" s="4" t="s">
        <v>62</v>
      </c>
      <c r="M538" s="4"/>
      <c r="N538" s="4" t="s">
        <v>20</v>
      </c>
      <c r="O538" s="4" t="s">
        <v>21</v>
      </c>
      <c r="P538" s="4" t="s">
        <v>60</v>
      </c>
      <c r="Q538" s="4" t="s">
        <v>61</v>
      </c>
      <c r="R538" s="4" t="s">
        <v>62</v>
      </c>
      <c r="S538" s="4"/>
      <c r="T538" s="4" t="s">
        <v>20</v>
      </c>
      <c r="U538" s="4" t="s">
        <v>21</v>
      </c>
      <c r="V538" s="4" t="s">
        <v>60</v>
      </c>
      <c r="W538" s="4" t="s">
        <v>61</v>
      </c>
      <c r="X538" s="4" t="s">
        <v>62</v>
      </c>
      <c r="Y538" s="4"/>
    </row>
    <row r="539" spans="1:30" x14ac:dyDescent="0.2">
      <c r="A539" s="5" t="s">
        <v>57</v>
      </c>
      <c r="B539" s="8">
        <f>$I$247/$L$247*100</f>
        <v>90.579710144927532</v>
      </c>
      <c r="C539" s="8">
        <f>$I$248/$L$248*100</f>
        <v>6.5217391304347823</v>
      </c>
      <c r="D539" s="8">
        <f>$I$249/$L$249*100</f>
        <v>1.4492753623188406</v>
      </c>
      <c r="E539" s="8">
        <f>$I$250/$L$250*100</f>
        <v>1.4492753623188406</v>
      </c>
      <c r="F539" s="8">
        <f>$I$251/$L$251*100</f>
        <v>0</v>
      </c>
      <c r="G539" s="8">
        <f>SUM(B539:F539)</f>
        <v>100</v>
      </c>
      <c r="H539" s="8">
        <f>$I$267/$L$267*100</f>
        <v>73.831775700934571</v>
      </c>
      <c r="I539" s="8">
        <f>$I$268/$L$268*100</f>
        <v>12.149532710280374</v>
      </c>
      <c r="J539" s="8">
        <f>$I$269/$L$269*100</f>
        <v>6.0747663551401869</v>
      </c>
      <c r="K539" s="8">
        <f>$I$270/$L$270*100</f>
        <v>7.9439252336448591</v>
      </c>
      <c r="L539" s="8">
        <f>$I$271/$L$271*100</f>
        <v>0</v>
      </c>
      <c r="M539" s="8">
        <f>SUM(H539:L539)</f>
        <v>99.999999999999986</v>
      </c>
      <c r="N539" s="8">
        <f>$I$287/$L$287*100</f>
        <v>85.245901639344254</v>
      </c>
      <c r="O539" s="8">
        <f>$I$288/$L$288*100</f>
        <v>9.2896174863387984</v>
      </c>
      <c r="P539" s="8">
        <f>$I$289/$L$289*100</f>
        <v>4.3715846994535523</v>
      </c>
      <c r="Q539" s="8">
        <f>$I$290/$L$290*100</f>
        <v>1.0928961748633881</v>
      </c>
      <c r="R539" s="8">
        <f>$I$291/$L$291*100</f>
        <v>0</v>
      </c>
      <c r="S539" s="8">
        <f>SUM(N539:R539)</f>
        <v>99.999999999999986</v>
      </c>
      <c r="T539" s="8">
        <f>$I$307/$L$307*100</f>
        <v>78.125</v>
      </c>
      <c r="U539" s="8">
        <f>$I$308/$L$308*100</f>
        <v>15.625</v>
      </c>
      <c r="V539" s="8">
        <f>$I$309/$L$309*100</f>
        <v>6.25</v>
      </c>
      <c r="W539" s="8">
        <f>$I$310/$L$310*100</f>
        <v>0</v>
      </c>
      <c r="X539" s="8">
        <f>$I$311/$L$311*100</f>
        <v>0</v>
      </c>
      <c r="Y539" s="8">
        <f>SUM(T539:X539)</f>
        <v>100</v>
      </c>
    </row>
    <row r="540" spans="1:30" x14ac:dyDescent="0.2">
      <c r="A540" s="5" t="s">
        <v>58</v>
      </c>
      <c r="B540" s="8">
        <f>$I$327/$L$327*100</f>
        <v>86.909090909090907</v>
      </c>
      <c r="C540" s="8">
        <f>$I$328/$L$328*100</f>
        <v>6.5454545454545459</v>
      </c>
      <c r="D540" s="8">
        <f>$I$329/$L$329*100</f>
        <v>1.8181818181818181</v>
      </c>
      <c r="E540" s="8">
        <f>$I$330/$L$330*100</f>
        <v>4.7272727272727275</v>
      </c>
      <c r="F540" s="8">
        <f>$I$331/$L$331*100</f>
        <v>0</v>
      </c>
      <c r="G540" s="8">
        <f>SUM(B540:F540)</f>
        <v>100</v>
      </c>
      <c r="H540" s="8">
        <f>$I$347/$L$347*100</f>
        <v>80.067567567567565</v>
      </c>
      <c r="I540" s="8">
        <f>$I$348/$L$348*100</f>
        <v>10.472972972972974</v>
      </c>
      <c r="J540" s="8">
        <f>$I$349/$L$349*100</f>
        <v>4.0540540540540544</v>
      </c>
      <c r="K540" s="8">
        <f>$I$350/$L$350*100</f>
        <v>5.4054054054054053</v>
      </c>
      <c r="L540" s="8">
        <f>$I$351/$L$351*100</f>
        <v>0</v>
      </c>
      <c r="M540" s="8">
        <f>SUM(H540:L540)</f>
        <v>99.999999999999986</v>
      </c>
      <c r="N540" s="8">
        <f>$I$367/$L$367*100</f>
        <v>77.358490566037744</v>
      </c>
      <c r="O540" s="8">
        <f>$I$368/$L$368*100</f>
        <v>12.264150943396226</v>
      </c>
      <c r="P540" s="8">
        <f>$I$369/$L$369*100</f>
        <v>4.716981132075472</v>
      </c>
      <c r="Q540" s="8">
        <f>$I$370/$L$370*100</f>
        <v>5.6603773584905666</v>
      </c>
      <c r="R540" s="8">
        <f>$I$371/$L$371*100</f>
        <v>0</v>
      </c>
      <c r="S540" s="8">
        <f>SUM(N540:R540)</f>
        <v>100.00000000000001</v>
      </c>
      <c r="T540" s="8">
        <f>$I$387/$L$387*100</f>
        <v>94.845360824742258</v>
      </c>
      <c r="U540" s="8">
        <f>$I$388/$L$388*100</f>
        <v>4.1237113402061851</v>
      </c>
      <c r="V540" s="8">
        <f>$I$389/$L$389*100</f>
        <v>1.0309278350515463</v>
      </c>
      <c r="W540" s="8">
        <f>$I$390/$L$390*100</f>
        <v>0</v>
      </c>
      <c r="X540" s="8">
        <f>$I$391/$L$391*100</f>
        <v>0</v>
      </c>
      <c r="Y540" s="8">
        <f>SUM(T540:X540)</f>
        <v>99.999999999999986</v>
      </c>
    </row>
    <row r="541" spans="1:30" ht="16" thickBot="1" x14ac:dyDescent="0.25">
      <c r="A541" s="9" t="s">
        <v>59</v>
      </c>
      <c r="B541" s="8">
        <f>$I$407/$L$407*100</f>
        <v>50.909090909090907</v>
      </c>
      <c r="C541" s="8">
        <f>$I$408/$L$408*100</f>
        <v>21.818181818181817</v>
      </c>
      <c r="D541" s="8">
        <f>$I$409/$L$409*100</f>
        <v>10.909090909090908</v>
      </c>
      <c r="E541" s="8">
        <f>$I$410/$L$410*100</f>
        <v>16.363636363636363</v>
      </c>
      <c r="F541" s="8">
        <f>$I$411/$L$411*100</f>
        <v>0</v>
      </c>
      <c r="G541" s="8">
        <f>SUM(B541:F541)</f>
        <v>99.999999999999986</v>
      </c>
      <c r="H541" s="8">
        <f>$I$427/$L$427*100</f>
        <v>84.375</v>
      </c>
      <c r="I541" s="8">
        <f>$I$428/$L$428*100</f>
        <v>5.625</v>
      </c>
      <c r="J541" s="8">
        <f>$I$429/$L$429*100</f>
        <v>3.75</v>
      </c>
      <c r="K541" s="8">
        <f>$I$430/$L$430*100</f>
        <v>6.25</v>
      </c>
      <c r="L541" s="8">
        <f>$I$431/$L$431*100</f>
        <v>0</v>
      </c>
      <c r="M541" s="8">
        <f>SUM(H541:L541)</f>
        <v>100</v>
      </c>
      <c r="N541" s="8">
        <f>$I$447/$L$447*100</f>
        <v>82.758620689655174</v>
      </c>
      <c r="O541" s="8">
        <f>$I$448/$L$448*100</f>
        <v>9.1954022988505741</v>
      </c>
      <c r="P541" s="8">
        <f>$I$449/$L$449*100</f>
        <v>3.4482758620689653</v>
      </c>
      <c r="Q541" s="8">
        <f>$I$450/$L$450*100</f>
        <v>4.5977011494252871</v>
      </c>
      <c r="R541" s="8">
        <f>$I$451/$L$451*100</f>
        <v>0</v>
      </c>
      <c r="S541" s="8">
        <f>SUM(N541:R541)</f>
        <v>100.00000000000001</v>
      </c>
      <c r="T541" s="8">
        <f>$I$467/$L$467*100</f>
        <v>90.625</v>
      </c>
      <c r="U541" s="8">
        <f>$I$468/$L$468*100</f>
        <v>9.375</v>
      </c>
      <c r="V541" s="8">
        <f>$I$469/$L$469*100</f>
        <v>0</v>
      </c>
      <c r="W541" s="8">
        <f>$I$470/$L$470*100</f>
        <v>0</v>
      </c>
      <c r="X541" s="8">
        <f>$I$471/$L$471*100</f>
        <v>0</v>
      </c>
      <c r="Y541" s="8">
        <f>SUM(T541:X541)</f>
        <v>100</v>
      </c>
    </row>
    <row r="542" spans="1:30" ht="15" customHeight="1" x14ac:dyDescent="0.2">
      <c r="A542" s="10" t="s">
        <v>50</v>
      </c>
      <c r="B542" s="12">
        <f>AVERAGE(B539:B541)</f>
        <v>76.132630654369777</v>
      </c>
      <c r="C542" s="12">
        <f>AVERAGE(C539:C541)</f>
        <v>11.628458498023713</v>
      </c>
      <c r="D542" s="11">
        <f>AVERAGE(D539:D541)</f>
        <v>4.7255160298638552</v>
      </c>
      <c r="E542" s="11">
        <f>AVERAGE(E539:E541)</f>
        <v>7.5133948177426433</v>
      </c>
      <c r="F542" s="11">
        <f>AVERAGE(F539:F541)</f>
        <v>0</v>
      </c>
      <c r="G542" s="12"/>
      <c r="H542" s="11">
        <f>AVERAGE(H539:H541)</f>
        <v>79.424781089500712</v>
      </c>
      <c r="I542" s="13">
        <f>AVERAGE(I539:I541)</f>
        <v>9.4158352277511153</v>
      </c>
      <c r="J542" s="14">
        <f>AVERAGE(J539:J541)</f>
        <v>4.6262734697314132</v>
      </c>
      <c r="K542" s="14">
        <f>AVERAGE(K539:K541)</f>
        <v>6.5331102130167551</v>
      </c>
      <c r="L542" s="14">
        <f>AVERAGE(L539:L541)</f>
        <v>0</v>
      </c>
      <c r="M542" s="12"/>
      <c r="N542" s="14">
        <f>AVERAGE(N539:N541)</f>
        <v>81.787670965012396</v>
      </c>
      <c r="O542" s="12">
        <f>AVERAGE(O539:O541)</f>
        <v>10.249723576195199</v>
      </c>
      <c r="P542" s="11">
        <f>AVERAGE(P539:P541)</f>
        <v>4.1789472311993299</v>
      </c>
      <c r="Q542" s="11">
        <f>AVERAGE(Q539:Q541)</f>
        <v>3.7836582275930808</v>
      </c>
      <c r="R542" s="11">
        <f>AVERAGE(R539:R541)</f>
        <v>0</v>
      </c>
      <c r="S542" s="15"/>
      <c r="T542" s="14">
        <f>AVERAGE(T539:T541)</f>
        <v>87.865120274914091</v>
      </c>
      <c r="U542" s="12">
        <f>AVERAGE(U539:U541)</f>
        <v>9.7079037800687278</v>
      </c>
      <c r="V542" s="11">
        <f>AVERAGE(V539:V541)</f>
        <v>2.4269759450171819</v>
      </c>
      <c r="W542" s="11">
        <f>AVERAGE(W539:W541)</f>
        <v>0</v>
      </c>
      <c r="X542" s="11">
        <f>AVERAGE(X539:X541)</f>
        <v>0</v>
      </c>
      <c r="Y542" s="15"/>
      <c r="Z542" s="8">
        <f>AVERAGE(B542,H542,N542,T542)</f>
        <v>81.302550745949247</v>
      </c>
      <c r="AA542" s="8">
        <f>AVERAGE(C542,I542,O542,U542)</f>
        <v>10.250480270509689</v>
      </c>
      <c r="AB542" s="8">
        <f>AVERAGE(D542,J542,P542,V542)</f>
        <v>3.9894281689529447</v>
      </c>
      <c r="AC542" s="8">
        <f>AVERAGE(E542,K542,Q542,W542)</f>
        <v>4.4575408145881195</v>
      </c>
      <c r="AD542" s="8">
        <f>AVERAGE(F542,L542,R542,X542)</f>
        <v>0</v>
      </c>
    </row>
    <row r="545" spans="1:30" ht="32" x14ac:dyDescent="0.2">
      <c r="A545" s="2" t="s">
        <v>218</v>
      </c>
      <c r="B545" s="3" t="s">
        <v>53</v>
      </c>
      <c r="C545" s="3"/>
      <c r="D545" s="3"/>
      <c r="E545" s="3"/>
      <c r="F545" s="3"/>
      <c r="G545" s="4" t="s">
        <v>64</v>
      </c>
      <c r="H545" s="3" t="s">
        <v>54</v>
      </c>
      <c r="I545" s="3"/>
      <c r="J545" s="3"/>
      <c r="K545" s="3"/>
      <c r="L545" s="3"/>
      <c r="M545" s="4" t="s">
        <v>64</v>
      </c>
      <c r="N545" s="3" t="s">
        <v>55</v>
      </c>
      <c r="O545" s="3"/>
      <c r="P545" s="3"/>
      <c r="Q545" s="3"/>
      <c r="R545" s="3"/>
      <c r="S545" s="4" t="s">
        <v>64</v>
      </c>
      <c r="T545" s="3" t="s">
        <v>56</v>
      </c>
      <c r="U545" s="3"/>
      <c r="V545" s="3"/>
      <c r="W545" s="3"/>
      <c r="X545" s="3"/>
      <c r="Y545" s="4" t="s">
        <v>64</v>
      </c>
    </row>
    <row r="546" spans="1:30" x14ac:dyDescent="0.2">
      <c r="A546" s="3"/>
      <c r="B546" s="4" t="s">
        <v>20</v>
      </c>
      <c r="C546" s="4" t="s">
        <v>21</v>
      </c>
      <c r="D546" s="4" t="s">
        <v>60</v>
      </c>
      <c r="E546" s="4" t="s">
        <v>61</v>
      </c>
      <c r="F546" s="4" t="s">
        <v>62</v>
      </c>
      <c r="G546" s="4"/>
      <c r="H546" s="4" t="s">
        <v>20</v>
      </c>
      <c r="I546" s="4" t="s">
        <v>21</v>
      </c>
      <c r="J546" s="4" t="s">
        <v>60</v>
      </c>
      <c r="K546" s="4" t="s">
        <v>61</v>
      </c>
      <c r="L546" s="4" t="s">
        <v>62</v>
      </c>
      <c r="M546" s="4"/>
      <c r="N546" s="4" t="s">
        <v>20</v>
      </c>
      <c r="O546" s="4" t="s">
        <v>21</v>
      </c>
      <c r="P546" s="4" t="s">
        <v>60</v>
      </c>
      <c r="Q546" s="4" t="s">
        <v>61</v>
      </c>
      <c r="R546" s="4" t="s">
        <v>62</v>
      </c>
      <c r="S546" s="4"/>
      <c r="T546" s="4" t="s">
        <v>20</v>
      </c>
      <c r="U546" s="4" t="s">
        <v>21</v>
      </c>
      <c r="V546" s="4" t="s">
        <v>60</v>
      </c>
      <c r="W546" s="4" t="s">
        <v>61</v>
      </c>
      <c r="X546" s="4" t="s">
        <v>62</v>
      </c>
      <c r="Y546" s="4"/>
    </row>
    <row r="547" spans="1:30" x14ac:dyDescent="0.2">
      <c r="A547" s="5" t="s">
        <v>57</v>
      </c>
      <c r="B547" s="8">
        <f>$I$252/$L$252*100</f>
        <v>72.560975609756099</v>
      </c>
      <c r="C547" s="8">
        <f>$I$253/$L$253*100</f>
        <v>10.365853658536585</v>
      </c>
      <c r="D547" s="8">
        <f>$I$254/$L$254*100</f>
        <v>3.6585365853658534</v>
      </c>
      <c r="E547" s="8">
        <f>$I$255/$L$255*100</f>
        <v>13.414634146341465</v>
      </c>
      <c r="F547" s="8">
        <f>$I$256/$L$256*100</f>
        <v>0</v>
      </c>
      <c r="G547" s="8">
        <f>SUM(B547:F547)</f>
        <v>100</v>
      </c>
      <c r="H547" s="8">
        <f>$I$272/$L$272*100</f>
        <v>84.186046511627907</v>
      </c>
      <c r="I547" s="8">
        <f>$I$273/$L$273*100</f>
        <v>6.9767441860465116</v>
      </c>
      <c r="J547" s="8">
        <f>$I$274/$L$274*100</f>
        <v>3.2558139534883721</v>
      </c>
      <c r="K547" s="8">
        <f t="shared" ref="K547" si="16">$I$275/$L$275*100</f>
        <v>5.5813953488372094</v>
      </c>
      <c r="L547" s="8">
        <f>$I$276/$L$276*100</f>
        <v>0</v>
      </c>
      <c r="M547" s="8">
        <f>SUM(H547:L547)</f>
        <v>100</v>
      </c>
      <c r="N547" s="8">
        <f>$I$292/$L$292*100</f>
        <v>79.104477611940297</v>
      </c>
      <c r="O547" s="8">
        <f>$I$293/$L$293*100</f>
        <v>9.4527363184079594</v>
      </c>
      <c r="P547" s="8">
        <f>$I$294/$L$294*100</f>
        <v>1.9900497512437811</v>
      </c>
      <c r="Q547" s="8">
        <f>$I$295/$L$295*100</f>
        <v>9.4527363184079594</v>
      </c>
      <c r="R547" s="8">
        <f>$I$296/$L$296*100</f>
        <v>0</v>
      </c>
      <c r="S547" s="8">
        <f>SUM(N547:R547)</f>
        <v>100</v>
      </c>
      <c r="T547" s="8">
        <f>$I$312/$L$312*100</f>
        <v>77.5</v>
      </c>
      <c r="U547" s="8">
        <f>$I$313/$L$313*100</f>
        <v>12.5</v>
      </c>
      <c r="V547" s="8">
        <f>$I$314/$L$314*100</f>
        <v>5</v>
      </c>
      <c r="W547" s="8">
        <f>$I$315/$L$315*100</f>
        <v>5</v>
      </c>
      <c r="X547" s="8">
        <f>$I$316/$L$316*100</f>
        <v>0</v>
      </c>
      <c r="Y547" s="8">
        <f>SUM(T547:X547)</f>
        <v>100</v>
      </c>
    </row>
    <row r="548" spans="1:30" x14ac:dyDescent="0.2">
      <c r="A548" s="5" t="s">
        <v>58</v>
      </c>
      <c r="B548" s="8">
        <f>$I$332/$L$332*100</f>
        <v>83.766233766233768</v>
      </c>
      <c r="C548" s="8">
        <f>$I$333/$L$333*100</f>
        <v>8.1168831168831161</v>
      </c>
      <c r="D548" s="8">
        <f>$I$334/$L$334*100</f>
        <v>2.2727272727272729</v>
      </c>
      <c r="E548" s="8">
        <f>$I$335/$L$335*100</f>
        <v>5.8441558441558437</v>
      </c>
      <c r="F548" s="8">
        <f>$I$336/$L$336*100</f>
        <v>0</v>
      </c>
      <c r="G548" s="8">
        <f>SUM(B548:F548)</f>
        <v>100</v>
      </c>
      <c r="H548" s="8">
        <f>$I$352/$L$352*100</f>
        <v>69.924812030075188</v>
      </c>
      <c r="I548" s="8">
        <f>$I$353/$L$353*100</f>
        <v>14.661654135338345</v>
      </c>
      <c r="J548" s="8">
        <f>$I$354/$L$354*100</f>
        <v>7.1428571428571423</v>
      </c>
      <c r="K548" s="8">
        <f t="shared" ref="K548" si="17">$I$355/$L$355*100</f>
        <v>8.2706766917293226</v>
      </c>
      <c r="L548" s="8">
        <f>$I$356/$L$356*100</f>
        <v>0</v>
      </c>
      <c r="M548" s="8">
        <f>SUM(H548:L548)</f>
        <v>99.999999999999986</v>
      </c>
      <c r="N548" s="8">
        <f>$I$372/$L$372*100</f>
        <v>80.582524271844662</v>
      </c>
      <c r="O548" s="8">
        <f>$I$373/$L$373*100</f>
        <v>8.7378640776699026</v>
      </c>
      <c r="P548" s="8">
        <f>$I$374/$L$374*100</f>
        <v>2.912621359223301</v>
      </c>
      <c r="Q548" s="8">
        <f>$I$375/$L$375*100</f>
        <v>7.7669902912621351</v>
      </c>
      <c r="R548" s="8">
        <f>$I$376/$L$376*100</f>
        <v>0</v>
      </c>
      <c r="S548" s="8">
        <f>SUM(N548:R548)</f>
        <v>99.999999999999986</v>
      </c>
      <c r="T548" s="8">
        <f>$I$392/$L$392*100</f>
        <v>91.397849462365585</v>
      </c>
      <c r="U548" s="8">
        <f>$I$393/$L$393*100</f>
        <v>5.376344086021505</v>
      </c>
      <c r="V548" s="8">
        <f>$I$394/$L$394*100</f>
        <v>1.0752688172043012</v>
      </c>
      <c r="W548" s="8">
        <f>$I$395/$L$395*100</f>
        <v>2.1505376344086025</v>
      </c>
      <c r="X548" s="8">
        <f>$I$396/$L$396*100</f>
        <v>0</v>
      </c>
      <c r="Y548" s="8">
        <f>SUM(T548:X548)</f>
        <v>100</v>
      </c>
    </row>
    <row r="549" spans="1:30" ht="16" thickBot="1" x14ac:dyDescent="0.25">
      <c r="A549" s="9" t="s">
        <v>59</v>
      </c>
      <c r="B549" s="8">
        <f>$I$412/$L$412*100</f>
        <v>64.444444444444443</v>
      </c>
      <c r="C549" s="8">
        <f>$I$413/$L$413*100</f>
        <v>11.111111111111111</v>
      </c>
      <c r="D549" s="8">
        <f>$I$414/$L$414*100</f>
        <v>6.666666666666667</v>
      </c>
      <c r="E549" s="8">
        <f>$I$415/$L$415*100</f>
        <v>17.777777777777779</v>
      </c>
      <c r="F549" s="8">
        <f>$I$416/$L$416*100</f>
        <v>0</v>
      </c>
      <c r="G549" s="8">
        <f>SUM(B549:F549)</f>
        <v>100</v>
      </c>
      <c r="H549" s="8">
        <f>$I$432/$L$432*100</f>
        <v>79.775280898876403</v>
      </c>
      <c r="I549" s="8">
        <f>$I$433/$L$433*100</f>
        <v>12.921348314606742</v>
      </c>
      <c r="J549" s="8">
        <f>$I$434/$L$434*100</f>
        <v>3.3707865168539324</v>
      </c>
      <c r="K549" s="8">
        <f t="shared" ref="K549" si="18">$I$435/$L$435*100</f>
        <v>3.9325842696629212</v>
      </c>
      <c r="L549" s="8">
        <f>$I$436/$L$436*100</f>
        <v>0</v>
      </c>
      <c r="M549" s="8">
        <f>SUM(H549:L549)</f>
        <v>100</v>
      </c>
      <c r="N549" s="8">
        <f>$I$452/$L$452*100</f>
        <v>88.043478260869563</v>
      </c>
      <c r="O549" s="8">
        <f>$I$453/$L$453*100</f>
        <v>3.2608695652173911</v>
      </c>
      <c r="P549" s="8">
        <f>$I$454/$L$454*100</f>
        <v>2.1739130434782608</v>
      </c>
      <c r="Q549" s="8">
        <f>$I$455/$L$455*100</f>
        <v>6.5217391304347823</v>
      </c>
      <c r="R549" s="8">
        <f>$I$456/$L$456*100</f>
        <v>0</v>
      </c>
      <c r="S549" s="8">
        <f>SUM(N549:R549)</f>
        <v>100</v>
      </c>
      <c r="T549" s="8">
        <f>$I$472/$L$472*100</f>
        <v>70</v>
      </c>
      <c r="U549" s="8">
        <f>$I$473/$L$473*100</f>
        <v>20</v>
      </c>
      <c r="V549" s="8">
        <f>$I$474/$L$474*100</f>
        <v>0</v>
      </c>
      <c r="W549" s="8">
        <f>$I$475/$L$475*100</f>
        <v>10</v>
      </c>
      <c r="X549" s="8">
        <f>$I$476/$L$476*100</f>
        <v>0</v>
      </c>
      <c r="Y549" s="8">
        <f>SUM(T549:X549)</f>
        <v>100</v>
      </c>
    </row>
    <row r="550" spans="1:30" x14ac:dyDescent="0.2">
      <c r="A550" s="10" t="s">
        <v>50</v>
      </c>
      <c r="B550" s="12">
        <f>AVERAGE(B547:B549)</f>
        <v>73.590551273478113</v>
      </c>
      <c r="C550" s="12">
        <f>AVERAGE(C547:C549)</f>
        <v>9.8646159621769378</v>
      </c>
      <c r="D550" s="11">
        <f>AVERAGE(D547:D549)</f>
        <v>4.1993101749199306</v>
      </c>
      <c r="E550" s="11">
        <f>AVERAGE(E547:E549)</f>
        <v>12.34552258942503</v>
      </c>
      <c r="F550" s="11">
        <f>AVERAGE(F547:F549)</f>
        <v>0</v>
      </c>
      <c r="G550" s="12"/>
      <c r="H550" s="11">
        <f>AVERAGE(H547:H549)</f>
        <v>77.962046480193166</v>
      </c>
      <c r="I550" s="13">
        <f>AVERAGE(I547:I549)</f>
        <v>11.519915545330534</v>
      </c>
      <c r="J550" s="14">
        <f>AVERAGE(J547:J549)</f>
        <v>4.5898192043998156</v>
      </c>
      <c r="K550" s="14">
        <f>AVERAGE(K547:K549)</f>
        <v>5.9282187700764846</v>
      </c>
      <c r="L550" s="14">
        <f>AVERAGE(L547:L549)</f>
        <v>0</v>
      </c>
      <c r="M550" s="12"/>
      <c r="N550" s="14">
        <f>AVERAGE(N547:N549)</f>
        <v>82.576826714884831</v>
      </c>
      <c r="O550" s="12">
        <f>AVERAGE(O547:O549)</f>
        <v>7.1504899870984175</v>
      </c>
      <c r="P550" s="11">
        <f>AVERAGE(P547:P549)</f>
        <v>2.3588613846484479</v>
      </c>
      <c r="Q550" s="11">
        <f>AVERAGE(Q547:Q549)</f>
        <v>7.9138219133682917</v>
      </c>
      <c r="R550" s="11">
        <f>AVERAGE(R547:R549)</f>
        <v>0</v>
      </c>
      <c r="S550" s="15"/>
      <c r="T550" s="14">
        <f>AVERAGE(T547:T549)</f>
        <v>79.632616487455195</v>
      </c>
      <c r="U550" s="12">
        <f>AVERAGE(U547:U549)</f>
        <v>12.625448028673835</v>
      </c>
      <c r="V550" s="11">
        <f>AVERAGE(V547:V549)</f>
        <v>2.0250896057347672</v>
      </c>
      <c r="W550" s="11">
        <f>AVERAGE(W547:W549)</f>
        <v>5.7168458781362004</v>
      </c>
      <c r="X550" s="11">
        <f>AVERAGE(X547:X549)</f>
        <v>0</v>
      </c>
      <c r="Y550" s="15"/>
      <c r="Z550" s="8">
        <f>AVERAGE(B550,H550,N550,T550)</f>
        <v>78.440510239002833</v>
      </c>
      <c r="AA550" s="8">
        <f>AVERAGE(C550,I550,O550,U550)</f>
        <v>10.290117380819931</v>
      </c>
      <c r="AB550" s="8">
        <f>AVERAGE(D550,J550,P550,V550)</f>
        <v>3.2932700924257401</v>
      </c>
      <c r="AC550" s="8">
        <f>AVERAGE(E550,K550,Q550,W550)</f>
        <v>7.9761022877515018</v>
      </c>
      <c r="AD550" s="8">
        <f>AVERAGE(F550,L550,R550,X550)</f>
        <v>0</v>
      </c>
    </row>
    <row r="553" spans="1:30" ht="32" x14ac:dyDescent="0.2">
      <c r="A553" s="2" t="s">
        <v>219</v>
      </c>
      <c r="B553" s="3" t="s">
        <v>53</v>
      </c>
      <c r="C553" s="3"/>
      <c r="D553" s="3"/>
      <c r="E553" s="3"/>
      <c r="F553" s="3"/>
      <c r="G553" s="4" t="s">
        <v>64</v>
      </c>
      <c r="H553" s="3" t="s">
        <v>54</v>
      </c>
      <c r="I553" s="3"/>
      <c r="J553" s="3"/>
      <c r="K553" s="3"/>
      <c r="L553" s="3"/>
      <c r="M553" s="4" t="s">
        <v>64</v>
      </c>
      <c r="N553" s="3" t="s">
        <v>55</v>
      </c>
      <c r="O553" s="3"/>
      <c r="P553" s="3"/>
      <c r="Q553" s="3"/>
      <c r="R553" s="3"/>
      <c r="S553" s="4" t="s">
        <v>64</v>
      </c>
      <c r="T553" s="3" t="s">
        <v>56</v>
      </c>
      <c r="U553" s="3"/>
      <c r="V553" s="3"/>
      <c r="W553" s="3"/>
      <c r="X553" s="3"/>
      <c r="Y553" s="4" t="s">
        <v>64</v>
      </c>
    </row>
    <row r="554" spans="1:30" x14ac:dyDescent="0.2">
      <c r="A554" s="3"/>
      <c r="B554" s="4" t="s">
        <v>20</v>
      </c>
      <c r="C554" s="4" t="s">
        <v>21</v>
      </c>
      <c r="D554" s="4" t="s">
        <v>60</v>
      </c>
      <c r="E554" s="4" t="s">
        <v>61</v>
      </c>
      <c r="F554" s="4" t="s">
        <v>62</v>
      </c>
      <c r="G554" s="4"/>
      <c r="H554" s="4" t="s">
        <v>20</v>
      </c>
      <c r="I554" s="4" t="s">
        <v>21</v>
      </c>
      <c r="J554" s="4" t="s">
        <v>60</v>
      </c>
      <c r="K554" s="4" t="s">
        <v>61</v>
      </c>
      <c r="L554" s="4" t="s">
        <v>62</v>
      </c>
      <c r="M554" s="4"/>
      <c r="N554" s="4" t="s">
        <v>20</v>
      </c>
      <c r="O554" s="4" t="s">
        <v>21</v>
      </c>
      <c r="P554" s="4" t="s">
        <v>60</v>
      </c>
      <c r="Q554" s="4" t="s">
        <v>61</v>
      </c>
      <c r="R554" s="4" t="s">
        <v>62</v>
      </c>
      <c r="S554" s="4"/>
      <c r="T554" s="4" t="s">
        <v>20</v>
      </c>
      <c r="U554" s="4" t="s">
        <v>21</v>
      </c>
      <c r="V554" s="4" t="s">
        <v>60</v>
      </c>
      <c r="W554" s="4" t="s">
        <v>61</v>
      </c>
      <c r="X554" s="4" t="s">
        <v>62</v>
      </c>
      <c r="Y554" s="4"/>
    </row>
    <row r="555" spans="1:30" x14ac:dyDescent="0.2">
      <c r="A555" s="5" t="s">
        <v>57</v>
      </c>
      <c r="B555" s="8">
        <f>$I$257/$L$257*100</f>
        <v>42.063492063492063</v>
      </c>
      <c r="C555" s="8">
        <f>$I$258/$L$258*100</f>
        <v>37.301587301587304</v>
      </c>
      <c r="D555" s="8">
        <f>$I$259/$L$259*100</f>
        <v>6.3492063492063489</v>
      </c>
      <c r="E555" s="8">
        <f>$I$260/$L$260*100</f>
        <v>14.285714285714285</v>
      </c>
      <c r="F555" s="8">
        <f>$I$261/$L$261*100</f>
        <v>0</v>
      </c>
      <c r="G555" s="8">
        <f>SUM(B555:F555)</f>
        <v>100</v>
      </c>
      <c r="H555" s="8">
        <f>$I$277/$L$277*100</f>
        <v>5.2631578947368416</v>
      </c>
      <c r="I555" s="8">
        <f>$I$278/$L$278*100</f>
        <v>74.162679425837325</v>
      </c>
      <c r="J555" s="8">
        <f>$I$279/$L$279*100</f>
        <v>10.047846889952153</v>
      </c>
      <c r="K555" s="8">
        <f>$I$280/$L$280*100</f>
        <v>10.526315789473683</v>
      </c>
      <c r="L555" s="8">
        <f>$I$281/$L$281*100</f>
        <v>0</v>
      </c>
      <c r="M555" s="8">
        <f>SUM(H555:L555)</f>
        <v>100</v>
      </c>
      <c r="N555" s="8">
        <f>$I$297/$L$297*100</f>
        <v>22.872340425531913</v>
      </c>
      <c r="O555" s="8">
        <f>$I$298/$L$298*100</f>
        <v>55.851063829787229</v>
      </c>
      <c r="P555" s="8">
        <f>$I$299/$L$299*100</f>
        <v>6.3829787234042552</v>
      </c>
      <c r="Q555" s="8">
        <f>$I$300/$L$300*100</f>
        <v>14.893617021276595</v>
      </c>
      <c r="R555" s="8">
        <f>$I$311/$L$311*100</f>
        <v>0</v>
      </c>
      <c r="S555" s="8">
        <f>SUM(N555:R555)</f>
        <v>99.999999999999986</v>
      </c>
      <c r="T555" s="8">
        <f>$I$317/$L$317*100</f>
        <v>41.463414634146339</v>
      </c>
      <c r="U555" s="8">
        <f>$I$318/$L$318*100</f>
        <v>51.219512195121951</v>
      </c>
      <c r="V555" s="8">
        <f>$I$319/$L$319*100</f>
        <v>2.4390243902439024</v>
      </c>
      <c r="W555" s="8">
        <f>$I$320/$L$320*100</f>
        <v>4.8780487804878048</v>
      </c>
      <c r="X555" s="8">
        <f>$I$321/$L$321*100</f>
        <v>0</v>
      </c>
      <c r="Y555" s="8">
        <f>SUM(T555:X555)</f>
        <v>100</v>
      </c>
    </row>
    <row r="556" spans="1:30" x14ac:dyDescent="0.2">
      <c r="A556" s="5" t="s">
        <v>58</v>
      </c>
      <c r="B556" s="8">
        <f>$I$337/$L$337*100</f>
        <v>58.153846153846153</v>
      </c>
      <c r="C556" s="8">
        <f>$I$338/$L$338*100</f>
        <v>28.615384615384613</v>
      </c>
      <c r="D556" s="8">
        <f>$I$339/$L$339*100</f>
        <v>5.2307692307692308</v>
      </c>
      <c r="E556" s="8">
        <f>$I$340/$L$340*100</f>
        <v>8</v>
      </c>
      <c r="F556" s="8">
        <f>$I$341/$L$341*100</f>
        <v>0</v>
      </c>
      <c r="G556" s="8">
        <f>SUM(B556:F556)</f>
        <v>100</v>
      </c>
      <c r="H556" s="8">
        <f>$I$357/$L$357*100</f>
        <v>7.4324324324324325</v>
      </c>
      <c r="I556" s="8">
        <f>$I$358/$L$358*100</f>
        <v>58.108108108108105</v>
      </c>
      <c r="J556" s="8">
        <f>$I$359/$L$359*100</f>
        <v>16.216216216216218</v>
      </c>
      <c r="K556" s="8">
        <f>$I$360/$L$360*100</f>
        <v>18.243243243243242</v>
      </c>
      <c r="L556" s="8">
        <f>$I$361/$L$361*100</f>
        <v>0</v>
      </c>
      <c r="M556" s="8">
        <f>SUM(H556:L556)</f>
        <v>99.999999999999986</v>
      </c>
      <c r="N556" s="8">
        <f>$I$377/$L$377*100</f>
        <v>23.52941176470588</v>
      </c>
      <c r="O556" s="8">
        <f>$I$378/$L$378*100</f>
        <v>39.705882352941174</v>
      </c>
      <c r="P556" s="8">
        <f>$I$379/$L$379*100</f>
        <v>14.705882352941178</v>
      </c>
      <c r="Q556" s="8">
        <f>$I$380/$L$380*100</f>
        <v>22.058823529411764</v>
      </c>
      <c r="R556" s="8">
        <f>$I$381/$L$381*100</f>
        <v>0</v>
      </c>
      <c r="S556" s="8">
        <f>SUM(N556:R556)</f>
        <v>100</v>
      </c>
      <c r="T556" s="8">
        <f>$I$397/$L$397*100</f>
        <v>30.666666666666664</v>
      </c>
      <c r="U556" s="8">
        <f>$I$398/$L$398*100</f>
        <v>45.333333333333329</v>
      </c>
      <c r="V556" s="8">
        <f>$I$399/$L$399*100</f>
        <v>4</v>
      </c>
      <c r="W556" s="8">
        <f>$I$400/$L$400*100</f>
        <v>20</v>
      </c>
      <c r="X556" s="8">
        <f>$I$411/$L$411*100</f>
        <v>0</v>
      </c>
      <c r="Y556" s="8">
        <f>SUM(T556:X556)</f>
        <v>100</v>
      </c>
    </row>
    <row r="557" spans="1:30" ht="16" thickBot="1" x14ac:dyDescent="0.25">
      <c r="A557" s="9" t="s">
        <v>59</v>
      </c>
      <c r="B557" s="8">
        <f>$I$417/$L$417*100</f>
        <v>6.3829787234042552</v>
      </c>
      <c r="C557" s="8">
        <f>$I$418/$L$418*100</f>
        <v>48.936170212765958</v>
      </c>
      <c r="D557" s="8">
        <f>$I$419/$L$419*100</f>
        <v>12.76595744680851</v>
      </c>
      <c r="E557" s="8">
        <f>$I$420/$L$420*100</f>
        <v>31.914893617021278</v>
      </c>
      <c r="F557" s="8">
        <f>$I$421/$L$421*100</f>
        <v>0</v>
      </c>
      <c r="G557" s="8">
        <f>SUM(B557:F557)</f>
        <v>100</v>
      </c>
      <c r="H557" s="8">
        <f>$I$437/$L$437*100</f>
        <v>1.1627906976744187</v>
      </c>
      <c r="I557" s="8">
        <f>$I$438/$L$438*100</f>
        <v>67.441860465116278</v>
      </c>
      <c r="J557" s="8">
        <f>$I$439/$L$439*100</f>
        <v>8.1395348837209305</v>
      </c>
      <c r="K557" s="8">
        <f>$I$440/$L$440*100</f>
        <v>23.255813953488371</v>
      </c>
      <c r="L557" s="8">
        <f>$I$441/$L$441*100</f>
        <v>0</v>
      </c>
      <c r="M557" s="8">
        <f>SUM(H557:L557)</f>
        <v>100</v>
      </c>
      <c r="N557" s="8">
        <f>$I$457/$L$457*100</f>
        <v>16.326530612244898</v>
      </c>
      <c r="O557" s="8">
        <f>$I$458/$L$458*100</f>
        <v>42.857142857142854</v>
      </c>
      <c r="P557" s="8">
        <f>$I$459/$L$459*100</f>
        <v>8.1632653061224492</v>
      </c>
      <c r="Q557" s="8">
        <f>$I$460/$L$460*100</f>
        <v>32.653061224489797</v>
      </c>
      <c r="R557" s="8">
        <f>$I$461/$L$461*100</f>
        <v>0</v>
      </c>
      <c r="S557" s="8">
        <f>SUM(N557:R557)</f>
        <v>100</v>
      </c>
      <c r="T557" s="8">
        <f>$I$477/$L$477*100</f>
        <v>7.6923076923076925</v>
      </c>
      <c r="U557" s="8">
        <f>$I$478/$L$478*100</f>
        <v>57.692307692307686</v>
      </c>
      <c r="V557" s="8">
        <f>$I$479/$L$479*100</f>
        <v>7.6923076923076925</v>
      </c>
      <c r="W557" s="8">
        <f>$I$480/$L$480*100</f>
        <v>26.923076923076923</v>
      </c>
      <c r="X557" s="8">
        <f>$I$481/$L$481*100</f>
        <v>0</v>
      </c>
      <c r="Y557" s="8">
        <f>SUM(T557:X557)</f>
        <v>99.999999999999986</v>
      </c>
    </row>
    <row r="558" spans="1:30" x14ac:dyDescent="0.2">
      <c r="A558" s="10" t="s">
        <v>50</v>
      </c>
      <c r="B558" s="12">
        <f>AVERAGE(B555:B557)</f>
        <v>35.533438980247489</v>
      </c>
      <c r="C558" s="12">
        <f>AVERAGE(C555:C557)</f>
        <v>38.284380709912625</v>
      </c>
      <c r="D558" s="11">
        <f>AVERAGE(D555:D557)</f>
        <v>8.11531100892803</v>
      </c>
      <c r="E558" s="11">
        <f>AVERAGE(E555:E557)</f>
        <v>18.066869300911854</v>
      </c>
      <c r="F558" s="11">
        <f>AVERAGE(F555:F557)</f>
        <v>0</v>
      </c>
      <c r="G558" s="12"/>
      <c r="H558" s="11">
        <f>AVERAGE(H555:H557)</f>
        <v>4.6194603416145643</v>
      </c>
      <c r="I558" s="13">
        <f>AVERAGE(I555:I557)</f>
        <v>66.570882666353896</v>
      </c>
      <c r="J558" s="14">
        <f>AVERAGE(J555:J557)</f>
        <v>11.467865996629769</v>
      </c>
      <c r="K558" s="14">
        <f>AVERAGE(K555:K557)</f>
        <v>17.341790995401766</v>
      </c>
      <c r="L558" s="14">
        <f>AVERAGE(L555:L557)</f>
        <v>0</v>
      </c>
      <c r="M558" s="12"/>
      <c r="N558" s="14">
        <f>AVERAGE(N555:N557)</f>
        <v>20.909427600827566</v>
      </c>
      <c r="O558" s="12">
        <f>AVERAGE(O555:O557)</f>
        <v>46.138029679957093</v>
      </c>
      <c r="P558" s="11">
        <f>AVERAGE(P555:P557)</f>
        <v>9.75070879415596</v>
      </c>
      <c r="Q558" s="11">
        <f>AVERAGE(Q555:Q557)</f>
        <v>23.201833925059386</v>
      </c>
      <c r="R558" s="11">
        <f>AVERAGE(R555:R557)</f>
        <v>0</v>
      </c>
      <c r="S558" s="15"/>
      <c r="T558" s="14">
        <f>AVERAGE(T555:T557)</f>
        <v>26.6074629977069</v>
      </c>
      <c r="U558" s="12">
        <f>AVERAGE(U555:U557)</f>
        <v>51.415051073587655</v>
      </c>
      <c r="V558" s="11">
        <f>AVERAGE(V555:V557)</f>
        <v>4.7104440275171982</v>
      </c>
      <c r="W558" s="11">
        <f>AVERAGE(W555:W557)</f>
        <v>17.267041901188243</v>
      </c>
      <c r="X558" s="11">
        <f>AVERAGE(X555:X557)</f>
        <v>0</v>
      </c>
      <c r="Y558" s="15"/>
      <c r="Z558" s="8">
        <f>AVERAGE(B558,H558,N558,T558)</f>
        <v>21.917447480099131</v>
      </c>
      <c r="AA558" s="8">
        <f>AVERAGE(C558,I558,O558,U558)</f>
        <v>50.602086032452817</v>
      </c>
      <c r="AB558" s="8">
        <f>AVERAGE(D558,J558,P558,V558)</f>
        <v>8.5110824568077401</v>
      </c>
      <c r="AC558" s="8">
        <f>AVERAGE(E558,K558,Q558,W558)</f>
        <v>18.969384030640313</v>
      </c>
      <c r="AD558" s="8">
        <f>AVERAGE(F558,L558,R558,X558)</f>
        <v>0</v>
      </c>
    </row>
    <row r="561" spans="1:30" ht="32" x14ac:dyDescent="0.2">
      <c r="A561" s="2" t="s">
        <v>220</v>
      </c>
      <c r="B561" s="3" t="s">
        <v>53</v>
      </c>
      <c r="C561" s="3"/>
      <c r="D561" s="3"/>
      <c r="E561" s="3"/>
      <c r="F561" s="3"/>
      <c r="G561" s="4" t="s">
        <v>64</v>
      </c>
      <c r="H561" s="3" t="s">
        <v>54</v>
      </c>
      <c r="I561" s="3"/>
      <c r="J561" s="3"/>
      <c r="K561" s="3"/>
      <c r="L561" s="3"/>
      <c r="M561" s="4" t="s">
        <v>64</v>
      </c>
      <c r="N561" s="3" t="s">
        <v>55</v>
      </c>
      <c r="O561" s="3"/>
      <c r="P561" s="3"/>
      <c r="Q561" s="3"/>
      <c r="R561" s="3"/>
      <c r="S561" s="4" t="s">
        <v>64</v>
      </c>
      <c r="T561" s="3" t="s">
        <v>56</v>
      </c>
      <c r="U561" s="3"/>
      <c r="V561" s="3"/>
      <c r="W561" s="3"/>
      <c r="X561" s="3"/>
      <c r="Y561" s="4" t="s">
        <v>64</v>
      </c>
    </row>
    <row r="562" spans="1:30" x14ac:dyDescent="0.2">
      <c r="A562" s="3"/>
      <c r="B562" s="4" t="s">
        <v>20</v>
      </c>
      <c r="C562" s="4" t="s">
        <v>21</v>
      </c>
      <c r="D562" s="4" t="s">
        <v>60</v>
      </c>
      <c r="E562" s="4" t="s">
        <v>61</v>
      </c>
      <c r="F562" s="4" t="s">
        <v>62</v>
      </c>
      <c r="G562" s="4"/>
      <c r="H562" s="4" t="s">
        <v>20</v>
      </c>
      <c r="I562" s="4" t="s">
        <v>21</v>
      </c>
      <c r="J562" s="4" t="s">
        <v>60</v>
      </c>
      <c r="K562" s="4" t="s">
        <v>61</v>
      </c>
      <c r="L562" s="4" t="s">
        <v>62</v>
      </c>
      <c r="M562" s="4"/>
      <c r="N562" s="4" t="s">
        <v>20</v>
      </c>
      <c r="O562" s="4" t="s">
        <v>21</v>
      </c>
      <c r="P562" s="4" t="s">
        <v>60</v>
      </c>
      <c r="Q562" s="4" t="s">
        <v>61</v>
      </c>
      <c r="R562" s="4" t="s">
        <v>62</v>
      </c>
      <c r="S562" s="4"/>
      <c r="T562" s="4" t="s">
        <v>20</v>
      </c>
      <c r="U562" s="4" t="s">
        <v>21</v>
      </c>
      <c r="V562" s="4" t="s">
        <v>60</v>
      </c>
      <c r="W562" s="4" t="s">
        <v>61</v>
      </c>
      <c r="X562" s="4" t="s">
        <v>62</v>
      </c>
      <c r="Y562" s="4"/>
    </row>
    <row r="563" spans="1:30" x14ac:dyDescent="0.2">
      <c r="A563" s="5" t="s">
        <v>57</v>
      </c>
      <c r="B563" s="8">
        <f>$J$247/$M$247*100</f>
        <v>52.777777777777779</v>
      </c>
      <c r="C563" s="8">
        <f>$J$248/$M$248*100</f>
        <v>28.472222222222221</v>
      </c>
      <c r="D563" s="8">
        <f>$J$249/$M$249*100</f>
        <v>15.972222222222221</v>
      </c>
      <c r="E563" s="8">
        <f>$J$250/$M$250*100</f>
        <v>2.7777777777777777</v>
      </c>
      <c r="F563" s="8">
        <f>$J$251/$M$251*100</f>
        <v>0</v>
      </c>
      <c r="G563" s="8">
        <f>SUM(B563:F563)</f>
        <v>100</v>
      </c>
      <c r="H563" s="8">
        <f>$J$267/$M$267*100</f>
        <v>50</v>
      </c>
      <c r="I563" s="8">
        <f>$J$268/$M$268*100</f>
        <v>25</v>
      </c>
      <c r="J563" s="8">
        <f>$J$269/$M$269*100</f>
        <v>16.666666666666664</v>
      </c>
      <c r="K563" s="8">
        <f>$J$270/$M$270*100</f>
        <v>8.3333333333333321</v>
      </c>
      <c r="L563" s="8">
        <f>$J$271/$M$271*100</f>
        <v>0</v>
      </c>
      <c r="M563" s="8">
        <f>SUM(H563:L563)</f>
        <v>99.999999999999986</v>
      </c>
      <c r="N563" s="8">
        <f>$J$287/$M$287*100</f>
        <v>76.344086021505376</v>
      </c>
      <c r="O563" s="8">
        <f>$J$288/$M$288*100</f>
        <v>13.978494623655912</v>
      </c>
      <c r="P563" s="8">
        <f>$J$289/$M$289*100</f>
        <v>5.376344086021505</v>
      </c>
      <c r="Q563" s="8">
        <f>$J$290/$M$290*100</f>
        <v>4.3010752688172049</v>
      </c>
      <c r="R563" s="8">
        <f>$J$291/$M$291*100</f>
        <v>0</v>
      </c>
      <c r="S563" s="8">
        <f>SUM(N563:R563)</f>
        <v>99.999999999999986</v>
      </c>
      <c r="T563" s="8">
        <f>$J$307/$M$307*100</f>
        <v>18.75</v>
      </c>
      <c r="U563" s="8">
        <f>$J$308/$M$308*100</f>
        <v>56.25</v>
      </c>
      <c r="V563" s="8">
        <f>$J$309/$M$309*100</f>
        <v>25</v>
      </c>
      <c r="W563" s="8">
        <f>$J$310/$M$310*100</f>
        <v>0</v>
      </c>
      <c r="X563" s="8">
        <f>$J$311/$M$311*100</f>
        <v>0</v>
      </c>
      <c r="Y563" s="8">
        <f>SUM(T563:X563)</f>
        <v>100</v>
      </c>
    </row>
    <row r="564" spans="1:30" x14ac:dyDescent="0.2">
      <c r="A564" s="5" t="s">
        <v>58</v>
      </c>
      <c r="B564" s="8">
        <f>$J$327/$M$327*100</f>
        <v>55.882352941176471</v>
      </c>
      <c r="C564" s="8">
        <f>$J$328/$M$328*100</f>
        <v>13.23529411764706</v>
      </c>
      <c r="D564" s="8">
        <f>$J$329/$M$329*100</f>
        <v>8.8235294117647065</v>
      </c>
      <c r="E564" s="8">
        <f>$J$330/$M$330*100</f>
        <v>22.058823529411764</v>
      </c>
      <c r="F564" s="8">
        <f>$J$331/$M$331*100</f>
        <v>0</v>
      </c>
      <c r="G564" s="8">
        <f>SUM(B564:F564)</f>
        <v>100.00000000000001</v>
      </c>
      <c r="H564" s="8">
        <f>$J$347/$M$347*100</f>
        <v>33.333333333333329</v>
      </c>
      <c r="I564" s="8">
        <f>$J$348/$M$348*100</f>
        <v>0</v>
      </c>
      <c r="J564" s="8">
        <f>$J$349/$M$349*100</f>
        <v>66.666666666666657</v>
      </c>
      <c r="K564" s="8">
        <f>$J$350/$M$350*100</f>
        <v>0</v>
      </c>
      <c r="L564" s="8">
        <f>$J$351/$M$351*100</f>
        <v>0</v>
      </c>
      <c r="M564" s="8">
        <f t="shared" ref="M564:M565" si="19">SUM(H564:L564)</f>
        <v>99.999999999999986</v>
      </c>
      <c r="N564" s="8">
        <f>$J$367/$M$367*100</f>
        <v>13.333333333333334</v>
      </c>
      <c r="O564" s="8">
        <f>$J$368/$M$368*100</f>
        <v>15.555555555555555</v>
      </c>
      <c r="P564" s="8">
        <f>$J$369/$M$369*100</f>
        <v>3.3333333333333335</v>
      </c>
      <c r="Q564" s="8">
        <f>$J$370/$M$370*100</f>
        <v>67.777777777777786</v>
      </c>
      <c r="R564" s="8">
        <f>$J$371/$M$371*100</f>
        <v>0</v>
      </c>
      <c r="S564" s="8">
        <f>SUM(N564:R564)</f>
        <v>100</v>
      </c>
      <c r="T564" s="8">
        <f>$J$387/$M$387*100</f>
        <v>0</v>
      </c>
      <c r="U564" s="8">
        <f>$J$388/$M$388*100</f>
        <v>14.285714285714285</v>
      </c>
      <c r="V564" s="8">
        <f>$J$389/$M$389*100</f>
        <v>14.285714285714285</v>
      </c>
      <c r="W564" s="8">
        <f>$J$390/$M$390*100</f>
        <v>71.428571428571431</v>
      </c>
      <c r="X564" s="8">
        <f>$J$391/$M$391*100</f>
        <v>0</v>
      </c>
      <c r="Y564" s="8">
        <f>SUM(T564:X564)</f>
        <v>100</v>
      </c>
    </row>
    <row r="565" spans="1:30" ht="16" thickBot="1" x14ac:dyDescent="0.25">
      <c r="A565" s="9" t="s">
        <v>59</v>
      </c>
      <c r="B565" s="8">
        <f>$J$407/$M$407*100</f>
        <v>51.23456790123457</v>
      </c>
      <c r="C565" s="8">
        <f>$J$408/$M$408*100</f>
        <v>29.629629629629626</v>
      </c>
      <c r="D565" s="8">
        <f>$J$409/$M$409*100</f>
        <v>11.728395061728394</v>
      </c>
      <c r="E565" s="8">
        <f>$J$410/$M$410*100</f>
        <v>7.4074074074074066</v>
      </c>
      <c r="F565" s="8">
        <f>$J$411/$M$411*100</f>
        <v>0</v>
      </c>
      <c r="G565" s="8">
        <f>SUM(B565:F565)</f>
        <v>100</v>
      </c>
      <c r="H565" s="8">
        <f>$J$427/$M$427*100</f>
        <v>20</v>
      </c>
      <c r="I565" s="8">
        <f>$J$428/$M$428*100</f>
        <v>30</v>
      </c>
      <c r="J565" s="8">
        <f>$J$429/$M$429*100</f>
        <v>40</v>
      </c>
      <c r="K565" s="8">
        <f>$J$430/$M$430*100</f>
        <v>10</v>
      </c>
      <c r="L565" s="8">
        <f>$J$431/$M$431*100</f>
        <v>0</v>
      </c>
      <c r="M565" s="8">
        <f t="shared" si="19"/>
        <v>100</v>
      </c>
      <c r="N565" s="8">
        <f>$J$447/$M$447*100</f>
        <v>21.276595744680851</v>
      </c>
      <c r="O565" s="8">
        <f>$J$448/$M$448*100</f>
        <v>38.297872340425535</v>
      </c>
      <c r="P565" s="8">
        <f>$J$449/$M$449*100</f>
        <v>14.893617021276595</v>
      </c>
      <c r="Q565" s="8">
        <f>$J$450/$M$450*100</f>
        <v>25.531914893617021</v>
      </c>
      <c r="R565" s="8">
        <f>$J$451/$M$451*100</f>
        <v>0</v>
      </c>
      <c r="S565" s="8">
        <f>SUM(N565:R565)</f>
        <v>100</v>
      </c>
      <c r="T565" s="8">
        <f>$J$467/$M$467*100</f>
        <v>24.489795918367346</v>
      </c>
      <c r="U565" s="8">
        <f>$J$468/$M$468*100</f>
        <v>48.979591836734691</v>
      </c>
      <c r="V565" s="8">
        <f>$J$469/$M$469*100</f>
        <v>18.367346938775512</v>
      </c>
      <c r="W565" s="8">
        <f>$J$470/$M$470*100</f>
        <v>8.1632653061224492</v>
      </c>
      <c r="X565" s="8">
        <f>$J$471/$M$471*100</f>
        <v>0</v>
      </c>
      <c r="Y565" s="8">
        <f>SUM(T565:X565)</f>
        <v>100</v>
      </c>
    </row>
    <row r="566" spans="1:30" x14ac:dyDescent="0.2">
      <c r="A566" s="10" t="s">
        <v>50</v>
      </c>
      <c r="B566" s="12">
        <f>AVERAGE(B563:B565)</f>
        <v>53.298232873396273</v>
      </c>
      <c r="C566" s="12">
        <f>AVERAGE(C563:C565)</f>
        <v>23.779048656499636</v>
      </c>
      <c r="D566" s="11">
        <f>AVERAGE(D563:D565)</f>
        <v>12.174715565238442</v>
      </c>
      <c r="E566" s="11">
        <f>AVERAGE(E563:E565)</f>
        <v>10.74800290486565</v>
      </c>
      <c r="F566" s="11">
        <f>AVERAGE(F563:F565)</f>
        <v>0</v>
      </c>
      <c r="G566" s="12"/>
      <c r="H566" s="11">
        <f>AVERAGE(H563:H565)</f>
        <v>34.444444444444443</v>
      </c>
      <c r="I566" s="13">
        <f>AVERAGE(I563:I565)</f>
        <v>18.333333333333332</v>
      </c>
      <c r="J566" s="14">
        <f>AVERAGE(J563:J565)</f>
        <v>41.111111111111107</v>
      </c>
      <c r="K566" s="14">
        <f>AVERAGE(K563:K565)</f>
        <v>6.1111111111111107</v>
      </c>
      <c r="L566" s="14">
        <f>AVERAGE(L563:L565)</f>
        <v>0</v>
      </c>
      <c r="M566" s="12"/>
      <c r="N566" s="14">
        <f>AVERAGE(N563:N565)</f>
        <v>36.984671699839851</v>
      </c>
      <c r="O566" s="12">
        <f>AVERAGE(O563:O565)</f>
        <v>22.610640839879</v>
      </c>
      <c r="P566" s="11">
        <f>AVERAGE(P563:P565)</f>
        <v>7.8677648135438112</v>
      </c>
      <c r="Q566" s="11">
        <f>AVERAGE(Q563:Q565)</f>
        <v>32.536922646737338</v>
      </c>
      <c r="R566" s="11">
        <f>AVERAGE(R563:R565)</f>
        <v>0</v>
      </c>
      <c r="S566" s="15"/>
      <c r="T566" s="14">
        <f>AVERAGE(T563:T565)</f>
        <v>14.413265306122449</v>
      </c>
      <c r="U566" s="12">
        <f>AVERAGE(U563:U565)</f>
        <v>39.838435374149661</v>
      </c>
      <c r="V566" s="11">
        <f>AVERAGE(V563:V565)</f>
        <v>19.217687074829932</v>
      </c>
      <c r="W566" s="11">
        <f>AVERAGE(W563:W565)</f>
        <v>26.530612244897963</v>
      </c>
      <c r="X566" s="11">
        <f>AVERAGE(X563:X565)</f>
        <v>0</v>
      </c>
      <c r="Y566" s="15"/>
      <c r="Z566" s="8">
        <f>AVERAGE(B566,H566,N566,T566)</f>
        <v>34.785153580950755</v>
      </c>
      <c r="AA566" s="8">
        <f>AVERAGE(C566,I566,O566,U566)</f>
        <v>26.140364550965408</v>
      </c>
      <c r="AB566" s="8">
        <f>AVERAGE(D566,J566,P566,V566)</f>
        <v>20.092819641180824</v>
      </c>
      <c r="AC566" s="8">
        <f>AVERAGE(E566,K566,Q566,W566)</f>
        <v>18.981662226903016</v>
      </c>
      <c r="AD566" s="8">
        <f>AVERAGE(F566,L566,R566,X566)</f>
        <v>0</v>
      </c>
    </row>
    <row r="569" spans="1:30" ht="32" x14ac:dyDescent="0.2">
      <c r="A569" s="2" t="s">
        <v>221</v>
      </c>
      <c r="B569" s="3" t="s">
        <v>53</v>
      </c>
      <c r="C569" s="3"/>
      <c r="D569" s="3"/>
      <c r="E569" s="3"/>
      <c r="F569" s="3"/>
      <c r="G569" s="4" t="s">
        <v>64</v>
      </c>
      <c r="H569" s="3" t="s">
        <v>54</v>
      </c>
      <c r="I569" s="3"/>
      <c r="J569" s="3"/>
      <c r="K569" s="3"/>
      <c r="L569" s="3"/>
      <c r="M569" s="4" t="s">
        <v>64</v>
      </c>
      <c r="N569" s="3" t="s">
        <v>55</v>
      </c>
      <c r="O569" s="3"/>
      <c r="P569" s="3"/>
      <c r="Q569" s="3"/>
      <c r="R569" s="3"/>
      <c r="S569" s="4" t="s">
        <v>64</v>
      </c>
      <c r="T569" s="3" t="s">
        <v>56</v>
      </c>
      <c r="U569" s="3"/>
      <c r="V569" s="3"/>
      <c r="W569" s="3"/>
      <c r="X569" s="3"/>
      <c r="Y569" s="4" t="s">
        <v>64</v>
      </c>
    </row>
    <row r="570" spans="1:30" x14ac:dyDescent="0.2">
      <c r="A570" s="3"/>
      <c r="B570" s="4" t="s">
        <v>20</v>
      </c>
      <c r="C570" s="4" t="s">
        <v>21</v>
      </c>
      <c r="D570" s="4" t="s">
        <v>60</v>
      </c>
      <c r="E570" s="4" t="s">
        <v>61</v>
      </c>
      <c r="F570" s="4" t="s">
        <v>62</v>
      </c>
      <c r="G570" s="4"/>
      <c r="H570" s="4" t="s">
        <v>20</v>
      </c>
      <c r="I570" s="4" t="s">
        <v>21</v>
      </c>
      <c r="J570" s="4" t="s">
        <v>60</v>
      </c>
      <c r="K570" s="4" t="s">
        <v>61</v>
      </c>
      <c r="L570" s="4" t="s">
        <v>62</v>
      </c>
      <c r="M570" s="4"/>
      <c r="N570" s="4" t="s">
        <v>20</v>
      </c>
      <c r="O570" s="4" t="s">
        <v>21</v>
      </c>
      <c r="P570" s="4" t="s">
        <v>60</v>
      </c>
      <c r="Q570" s="4" t="s">
        <v>61</v>
      </c>
      <c r="R570" s="4" t="s">
        <v>62</v>
      </c>
      <c r="S570" s="4"/>
      <c r="T570" s="4" t="s">
        <v>20</v>
      </c>
      <c r="U570" s="4" t="s">
        <v>21</v>
      </c>
      <c r="V570" s="4" t="s">
        <v>60</v>
      </c>
      <c r="W570" s="4" t="s">
        <v>61</v>
      </c>
      <c r="X570" s="4" t="s">
        <v>62</v>
      </c>
      <c r="Y570" s="4"/>
    </row>
    <row r="571" spans="1:30" x14ac:dyDescent="0.2">
      <c r="A571" s="5" t="s">
        <v>57</v>
      </c>
      <c r="B571" s="8">
        <f>$J$252/$M$252*100</f>
        <v>28.749999999999996</v>
      </c>
      <c r="C571" s="8">
        <f>$J$253/$M$253*100</f>
        <v>42.5</v>
      </c>
      <c r="D571" s="8">
        <f>$J$254/$M$254*100</f>
        <v>19.375</v>
      </c>
      <c r="E571" s="8">
        <f>$J$255/$M$255*100</f>
        <v>9.375</v>
      </c>
      <c r="F571" s="8">
        <f>$J$256/$M$256*100</f>
        <v>0</v>
      </c>
      <c r="G571" s="8">
        <f>SUM(B571:F571)</f>
        <v>100</v>
      </c>
      <c r="H571" s="8">
        <f>$J$272/$M$272*100</f>
        <v>41.379310344827587</v>
      </c>
      <c r="I571" s="8">
        <f>$J$273/$M$273*100</f>
        <v>41.379310344827587</v>
      </c>
      <c r="J571" s="8">
        <f>$J$274/$M$274*100</f>
        <v>10.344827586206897</v>
      </c>
      <c r="K571" s="8">
        <f>$J$275/$M$275*100</f>
        <v>6.8965517241379306</v>
      </c>
      <c r="L571" s="8">
        <f>$J$276/$M$276*100</f>
        <v>0</v>
      </c>
      <c r="M571" s="8">
        <f>SUM(H571:L571)</f>
        <v>100</v>
      </c>
      <c r="N571" s="8">
        <f>$J$292/$M$292*100</f>
        <v>62.857142857142854</v>
      </c>
      <c r="O571" s="8">
        <f>$J$293/$M$293*100</f>
        <v>28.571428571428569</v>
      </c>
      <c r="P571" s="8">
        <f>$J$294/$M$294*100</f>
        <v>4.2857142857142856</v>
      </c>
      <c r="Q571" s="8">
        <f>$J$295/$M$295*100</f>
        <v>4.2857142857142856</v>
      </c>
      <c r="R571" s="8">
        <f>$J$296/$M$296*100</f>
        <v>0</v>
      </c>
      <c r="S571" s="8">
        <f>SUM(N571:R571)</f>
        <v>100</v>
      </c>
      <c r="T571" s="8">
        <f>$J$312/$M$312*100</f>
        <v>25</v>
      </c>
      <c r="U571" s="8">
        <f>$J$313/$M$313*100</f>
        <v>37.5</v>
      </c>
      <c r="V571" s="8">
        <f>$J$314/$M$314*100</f>
        <v>12.5</v>
      </c>
      <c r="W571" s="8">
        <f>$J$315/$M$315*100</f>
        <v>25</v>
      </c>
      <c r="X571" s="8">
        <f>$J$316/$M$316*100</f>
        <v>0</v>
      </c>
      <c r="Y571" s="8">
        <f>SUM(T571:X571)</f>
        <v>100</v>
      </c>
    </row>
    <row r="572" spans="1:30" x14ac:dyDescent="0.2">
      <c r="A572" s="5" t="s">
        <v>58</v>
      </c>
      <c r="B572" s="8">
        <f>$J$332/$M$332*100</f>
        <v>28.571428571428569</v>
      </c>
      <c r="C572" s="8">
        <f>$J$333/$M$333*100</f>
        <v>26.530612244897959</v>
      </c>
      <c r="D572" s="8">
        <f>$J$334/$M$334*100</f>
        <v>8.1632653061224492</v>
      </c>
      <c r="E572" s="8">
        <f>$J$335/$M$335*100</f>
        <v>36.734693877551024</v>
      </c>
      <c r="F572" s="8">
        <f>$J$336/$M$336*100</f>
        <v>0</v>
      </c>
      <c r="G572" s="8">
        <f>SUM(B572:F572)</f>
        <v>100</v>
      </c>
      <c r="H572" s="8">
        <f>$J$352/$M$352*100</f>
        <v>0</v>
      </c>
      <c r="I572" s="8">
        <f>$J$353/$M$353*100</f>
        <v>50</v>
      </c>
      <c r="J572" s="8">
        <f>$J$354/$M$354*100</f>
        <v>0</v>
      </c>
      <c r="K572" s="8">
        <f>$J$355/$M$355*100</f>
        <v>50</v>
      </c>
      <c r="L572" s="8">
        <f>$J$356/$M$356*100</f>
        <v>0</v>
      </c>
      <c r="M572" s="8">
        <f t="shared" ref="M572:M573" si="20">SUM(H572:L572)</f>
        <v>100</v>
      </c>
      <c r="N572" s="8">
        <f>$J$372/$M$372*100</f>
        <v>5.4945054945054945</v>
      </c>
      <c r="O572" s="8">
        <f>$J$373/$M$373*100</f>
        <v>15.384615384615385</v>
      </c>
      <c r="P572" s="8">
        <f>$J$374/$M$374*100</f>
        <v>2.197802197802198</v>
      </c>
      <c r="Q572" s="8">
        <f>$J$375/$M$375*100</f>
        <v>74.72527472527473</v>
      </c>
      <c r="R572" s="8">
        <f>$J$376/$M$376*100</f>
        <v>2.197802197802198</v>
      </c>
      <c r="S572" s="8">
        <f>SUM(N572:R572)</f>
        <v>100.00000000000001</v>
      </c>
      <c r="T572" s="8">
        <f>$J$392/$M$392*100</f>
        <v>9.0909090909090917</v>
      </c>
      <c r="U572" s="8">
        <f>$J$393/$M$393*100</f>
        <v>9.0909090909090917</v>
      </c>
      <c r="V572" s="8">
        <f>$J$394/$M$394*100</f>
        <v>0</v>
      </c>
      <c r="W572" s="8">
        <f>$J$395/$M$395*100</f>
        <v>81.818181818181827</v>
      </c>
      <c r="X572" s="8">
        <f>$J$396/$M$396*100</f>
        <v>0</v>
      </c>
      <c r="Y572" s="8">
        <f>SUM(T572:X572)</f>
        <v>100.00000000000001</v>
      </c>
    </row>
    <row r="573" spans="1:30" ht="16" thickBot="1" x14ac:dyDescent="0.25">
      <c r="A573" s="9" t="s">
        <v>59</v>
      </c>
      <c r="B573" s="8">
        <f>$J$412/$M$412*100</f>
        <v>57.02479338842975</v>
      </c>
      <c r="C573" s="8">
        <f>$J$413/$M$413*100</f>
        <v>27.27272727272727</v>
      </c>
      <c r="D573" s="8">
        <f>$J$414/$M$414*100</f>
        <v>3.3057851239669422</v>
      </c>
      <c r="E573" s="8">
        <f>$J$415/$M$415*100</f>
        <v>12.396694214876034</v>
      </c>
      <c r="F573" s="8">
        <f>$J$416/$M$416*100</f>
        <v>0</v>
      </c>
      <c r="G573" s="8">
        <f>SUM(B573:F573)</f>
        <v>100</v>
      </c>
      <c r="H573" s="8">
        <f>$J$432/$M$432*100</f>
        <v>50</v>
      </c>
      <c r="I573" s="8">
        <f>$J$433/$M$433*100</f>
        <v>20</v>
      </c>
      <c r="J573" s="8">
        <f>$J$434/$M$434*100</f>
        <v>10</v>
      </c>
      <c r="K573" s="8">
        <f>$J$435/$M$435*100</f>
        <v>20</v>
      </c>
      <c r="L573" s="8">
        <f>$J$436/$M$436*100</f>
        <v>0</v>
      </c>
      <c r="M573" s="8">
        <f t="shared" si="20"/>
        <v>100</v>
      </c>
      <c r="N573" s="8">
        <f>$J$452/$M$452*100</f>
        <v>32</v>
      </c>
      <c r="O573" s="8">
        <f>$J$453/$M$453*100</f>
        <v>44</v>
      </c>
      <c r="P573" s="8">
        <f>$J$454/$M$454*100</f>
        <v>12</v>
      </c>
      <c r="Q573" s="8">
        <f>$J$455/$M$455*100</f>
        <v>12</v>
      </c>
      <c r="R573" s="8">
        <f>$J$456/$M$456*100</f>
        <v>0</v>
      </c>
      <c r="S573" s="8">
        <f>SUM(N573:R573)</f>
        <v>100</v>
      </c>
      <c r="T573" s="8">
        <f>$J$472/$M$472*100</f>
        <v>10.869565217391305</v>
      </c>
      <c r="U573" s="8">
        <f>$J$473/$M$473*100</f>
        <v>41.304347826086953</v>
      </c>
      <c r="V573" s="8">
        <f>$J$474/$M$474*100</f>
        <v>39.130434782608695</v>
      </c>
      <c r="W573" s="8">
        <f>$J$475/$M$475*100</f>
        <v>8.695652173913043</v>
      </c>
      <c r="X573" s="8">
        <f>$J$476/$M$476*100</f>
        <v>0</v>
      </c>
      <c r="Y573" s="8">
        <f>SUM(T573:X573)</f>
        <v>100</v>
      </c>
    </row>
    <row r="574" spans="1:30" x14ac:dyDescent="0.2">
      <c r="A574" s="10" t="s">
        <v>50</v>
      </c>
      <c r="B574" s="12">
        <f>AVERAGE(B571:B573)</f>
        <v>38.115407319952773</v>
      </c>
      <c r="C574" s="12">
        <f>AVERAGE(C571:C573)</f>
        <v>32.101113172541737</v>
      </c>
      <c r="D574" s="11">
        <f>AVERAGE(D571:D573)</f>
        <v>10.281350143363129</v>
      </c>
      <c r="E574" s="11">
        <f>AVERAGE(E571:E573)</f>
        <v>19.502129364142352</v>
      </c>
      <c r="F574" s="11">
        <f>AVERAGE(F571:F573)</f>
        <v>0</v>
      </c>
      <c r="G574" s="12"/>
      <c r="H574" s="11">
        <f>AVERAGE(H571:H573)</f>
        <v>30.459770114942529</v>
      </c>
      <c r="I574" s="13">
        <f>AVERAGE(I571:I573)</f>
        <v>37.126436781609193</v>
      </c>
      <c r="J574" s="14">
        <f>AVERAGE(J571:J573)</f>
        <v>6.7816091954022992</v>
      </c>
      <c r="K574" s="14">
        <f>AVERAGE(K571:K573)</f>
        <v>25.632183908045977</v>
      </c>
      <c r="L574" s="14">
        <f>AVERAGE(L571:L573)</f>
        <v>0</v>
      </c>
      <c r="M574" s="12"/>
      <c r="N574" s="14">
        <f>AVERAGE(N571:N573)</f>
        <v>33.450549450549453</v>
      </c>
      <c r="O574" s="12">
        <f>AVERAGE(O571:O573)</f>
        <v>29.318681318681318</v>
      </c>
      <c r="P574" s="11">
        <f>AVERAGE(P571:P573)</f>
        <v>6.1611721611721606</v>
      </c>
      <c r="Q574" s="11">
        <f>AVERAGE(Q571:Q573)</f>
        <v>30.336996336996339</v>
      </c>
      <c r="R574" s="11">
        <f>AVERAGE(R571:R573)</f>
        <v>0.73260073260073266</v>
      </c>
      <c r="S574" s="15"/>
      <c r="T574" s="14">
        <f>AVERAGE(T571:T573)</f>
        <v>14.986824769433467</v>
      </c>
      <c r="U574" s="12">
        <f>AVERAGE(U571:U573)</f>
        <v>29.298418972332016</v>
      </c>
      <c r="V574" s="11">
        <f>AVERAGE(V571:V573)</f>
        <v>17.210144927536231</v>
      </c>
      <c r="W574" s="11">
        <f>AVERAGE(W571:W573)</f>
        <v>38.504611330698289</v>
      </c>
      <c r="X574" s="11">
        <f>AVERAGE(X571:X573)</f>
        <v>0</v>
      </c>
      <c r="Y574" s="15"/>
      <c r="Z574" s="8">
        <f>AVERAGE(B574,H574,N574,T574)</f>
        <v>29.253137913719556</v>
      </c>
      <c r="AA574" s="8">
        <f>AVERAGE(C574,I574,O574,U574)</f>
        <v>31.961162561291065</v>
      </c>
      <c r="AB574" s="8">
        <f>AVERAGE(D574,J574,P574,V574)</f>
        <v>10.108569106868455</v>
      </c>
      <c r="AC574" s="8">
        <f>AVERAGE(E574,K574,Q574,W574)</f>
        <v>28.493980234970742</v>
      </c>
      <c r="AD574" s="8">
        <f>AVERAGE(F574,L574,R574,X574)</f>
        <v>0.18315018315018317</v>
      </c>
    </row>
    <row r="577" spans="1:40" ht="32" x14ac:dyDescent="0.2">
      <c r="A577" s="2" t="s">
        <v>222</v>
      </c>
      <c r="B577" s="3" t="s">
        <v>53</v>
      </c>
      <c r="C577" s="3"/>
      <c r="D577" s="3"/>
      <c r="E577" s="3"/>
      <c r="F577" s="3"/>
      <c r="G577" s="4" t="s">
        <v>64</v>
      </c>
      <c r="H577" s="3" t="s">
        <v>54</v>
      </c>
      <c r="I577" s="3"/>
      <c r="J577" s="3"/>
      <c r="K577" s="3"/>
      <c r="L577" s="3"/>
      <c r="M577" s="4" t="s">
        <v>64</v>
      </c>
      <c r="N577" s="3" t="s">
        <v>55</v>
      </c>
      <c r="O577" s="3"/>
      <c r="P577" s="3"/>
      <c r="Q577" s="3"/>
      <c r="R577" s="3"/>
      <c r="S577" s="4" t="s">
        <v>64</v>
      </c>
      <c r="T577" s="3" t="s">
        <v>56</v>
      </c>
      <c r="U577" s="3"/>
      <c r="V577" s="3"/>
      <c r="W577" s="3"/>
      <c r="X577" s="3"/>
      <c r="Y577" s="4" t="s">
        <v>64</v>
      </c>
    </row>
    <row r="578" spans="1:40" x14ac:dyDescent="0.2">
      <c r="A578" s="3"/>
      <c r="B578" s="4" t="s">
        <v>20</v>
      </c>
      <c r="C578" s="4" t="s">
        <v>21</v>
      </c>
      <c r="D578" s="4" t="s">
        <v>60</v>
      </c>
      <c r="E578" s="4" t="s">
        <v>61</v>
      </c>
      <c r="F578" s="4" t="s">
        <v>62</v>
      </c>
      <c r="G578" s="4"/>
      <c r="H578" s="4" t="s">
        <v>20</v>
      </c>
      <c r="I578" s="4" t="s">
        <v>21</v>
      </c>
      <c r="J578" s="4" t="s">
        <v>60</v>
      </c>
      <c r="K578" s="4" t="s">
        <v>61</v>
      </c>
      <c r="L578" s="4" t="s">
        <v>62</v>
      </c>
      <c r="M578" s="4"/>
      <c r="N578" s="4" t="s">
        <v>20</v>
      </c>
      <c r="O578" s="4" t="s">
        <v>21</v>
      </c>
      <c r="P578" s="4" t="s">
        <v>60</v>
      </c>
      <c r="Q578" s="4" t="s">
        <v>61</v>
      </c>
      <c r="R578" s="4" t="s">
        <v>62</v>
      </c>
      <c r="S578" s="4"/>
      <c r="T578" s="4" t="s">
        <v>20</v>
      </c>
      <c r="U578" s="4" t="s">
        <v>21</v>
      </c>
      <c r="V578" s="4" t="s">
        <v>60</v>
      </c>
      <c r="W578" s="4" t="s">
        <v>61</v>
      </c>
      <c r="X578" s="4" t="s">
        <v>62</v>
      </c>
      <c r="Y578" s="4"/>
    </row>
    <row r="579" spans="1:40" x14ac:dyDescent="0.2">
      <c r="A579" s="5" t="s">
        <v>57</v>
      </c>
      <c r="B579" s="8">
        <f>$J$257/$M$257*100</f>
        <v>20.300751879699249</v>
      </c>
      <c r="C579" s="8">
        <f>$J$258/$M$258*100</f>
        <v>52.631578947368418</v>
      </c>
      <c r="D579" s="8">
        <f>$J$259/$M$259*100</f>
        <v>12.781954887218044</v>
      </c>
      <c r="E579" s="8">
        <f>$J$260/$M$260*100</f>
        <v>14.285714285714285</v>
      </c>
      <c r="F579" s="8">
        <f>$J$261/$M$261*100</f>
        <v>0</v>
      </c>
      <c r="G579" s="8">
        <f>SUM(B579:F579)</f>
        <v>100</v>
      </c>
      <c r="H579" s="8">
        <f>$J$277/$M$277*100</f>
        <v>15.384615384615385</v>
      </c>
      <c r="I579" s="8">
        <f>$J$278/$M$278*100</f>
        <v>53.846153846153847</v>
      </c>
      <c r="J579" s="8">
        <f>$J$279/$M$279*100</f>
        <v>7.6923076923076925</v>
      </c>
      <c r="K579" s="8">
        <f>$J$280/$M$280*100</f>
        <v>23.076923076923077</v>
      </c>
      <c r="L579" s="8">
        <f>$J$281/$M$281*100</f>
        <v>0</v>
      </c>
      <c r="M579" s="8">
        <f>SUM(H579:L579)</f>
        <v>100</v>
      </c>
      <c r="N579" s="8">
        <f>$J$297/$M$297*100</f>
        <v>76.811594202898547</v>
      </c>
      <c r="O579" s="8">
        <f>$J$298/$M$298*100</f>
        <v>13.043478260869565</v>
      </c>
      <c r="P579" s="8">
        <f>$J$299/$M$299*100</f>
        <v>1.4492753623188406</v>
      </c>
      <c r="Q579" s="8">
        <f>$J$300/$M$300*100</f>
        <v>8.695652173913043</v>
      </c>
      <c r="R579" s="8">
        <f>$J$311/$M$311*100</f>
        <v>0</v>
      </c>
      <c r="S579" s="8">
        <f>SUM(N579:R579)</f>
        <v>100</v>
      </c>
      <c r="T579" s="8">
        <f>$J$317/$M$317*100</f>
        <v>16.666666666666664</v>
      </c>
      <c r="U579" s="8">
        <f>$J$318/$M$318*100</f>
        <v>37.5</v>
      </c>
      <c r="V579" s="8">
        <f>$J$319/$M$319*100</f>
        <v>29.166666666666668</v>
      </c>
      <c r="W579" s="8">
        <f>$J$320/$M$320*100</f>
        <v>16.666666666666664</v>
      </c>
      <c r="X579" s="8">
        <f>$J$321/$M$321*100</f>
        <v>0</v>
      </c>
      <c r="Y579" s="8">
        <f>SUM(T579:X579)</f>
        <v>100</v>
      </c>
    </row>
    <row r="580" spans="1:40" x14ac:dyDescent="0.2">
      <c r="A580" s="5" t="s">
        <v>58</v>
      </c>
      <c r="B580" s="8">
        <f>$J$337/$M$337*100</f>
        <v>39.473684210526315</v>
      </c>
      <c r="C580" s="8">
        <f>$J$338/$M$338*100</f>
        <v>28.947368421052634</v>
      </c>
      <c r="D580" s="8">
        <f>$J$339/$M$339*100</f>
        <v>7.8947368421052628</v>
      </c>
      <c r="E580" s="8">
        <f>$J$340/$M$340*100</f>
        <v>23.684210526315788</v>
      </c>
      <c r="F580" s="8">
        <f>$J$341/$M$341*100</f>
        <v>0</v>
      </c>
      <c r="G580" s="8">
        <f>SUM(B580:F580)</f>
        <v>100</v>
      </c>
      <c r="H580" s="8">
        <f>$J$357/$M$357*100</f>
        <v>0</v>
      </c>
      <c r="I580" s="8">
        <f>$J$358/$M$358*100</f>
        <v>50</v>
      </c>
      <c r="J580" s="8">
        <f>$J$359/$M$359*100</f>
        <v>0</v>
      </c>
      <c r="K580" s="8">
        <f>$J$360/$M$360*100</f>
        <v>50</v>
      </c>
      <c r="L580" s="8">
        <f>$J$361/$M$361*100</f>
        <v>0</v>
      </c>
      <c r="M580" s="8">
        <f t="shared" ref="M580:M581" si="21">SUM(H580:L580)</f>
        <v>100</v>
      </c>
      <c r="N580" s="8">
        <f>$J$377/$M$377*100</f>
        <v>9.5238095238095237</v>
      </c>
      <c r="O580" s="8">
        <f>$J$378/$M$378*100</f>
        <v>17.460317460317459</v>
      </c>
      <c r="P580" s="8">
        <f>$J$379/$M$379*100</f>
        <v>4.7619047619047619</v>
      </c>
      <c r="Q580" s="8">
        <f>$J$380/$M$380*100</f>
        <v>68.253968253968253</v>
      </c>
      <c r="R580" s="8">
        <f>$J$381/$M$381*100</f>
        <v>0</v>
      </c>
      <c r="S580" s="8">
        <f>SUM(N580:R580)</f>
        <v>100</v>
      </c>
      <c r="T580" s="8">
        <f>$J$397/$M$397*100</f>
        <v>11.111111111111111</v>
      </c>
      <c r="U580" s="8">
        <f>$J$398/$M$398*100</f>
        <v>44.444444444444443</v>
      </c>
      <c r="V580" s="8">
        <f>$J$399/$M$399*100</f>
        <v>22.222222222222221</v>
      </c>
      <c r="W580" s="8">
        <f>$J$400/$M$400*100</f>
        <v>22.222222222222221</v>
      </c>
      <c r="X580" s="8">
        <f>$J$411/$M$411*100</f>
        <v>0</v>
      </c>
      <c r="Y580" s="8">
        <f>SUM(T580:X580)</f>
        <v>100</v>
      </c>
    </row>
    <row r="581" spans="1:40" ht="16" thickBot="1" x14ac:dyDescent="0.25">
      <c r="A581" s="9" t="s">
        <v>59</v>
      </c>
      <c r="B581" s="8">
        <f>$J$417/$M$417*100</f>
        <v>37.234042553191486</v>
      </c>
      <c r="C581" s="8">
        <f>$J$418/$M$418*100</f>
        <v>41.48936170212766</v>
      </c>
      <c r="D581" s="8">
        <f>$J$419/$M$419*100</f>
        <v>6.3829787234042552</v>
      </c>
      <c r="E581" s="8">
        <f>$J$420/$M$420*100</f>
        <v>14.893617021276595</v>
      </c>
      <c r="F581" s="8">
        <f>$J$421/$M$421*100</f>
        <v>0</v>
      </c>
      <c r="G581" s="8">
        <f>SUM(B581:F581)</f>
        <v>99.999999999999986</v>
      </c>
      <c r="H581" s="8">
        <f>$J$437/$M$437*100</f>
        <v>20</v>
      </c>
      <c r="I581" s="8">
        <f>$J$438/$M$438*100</f>
        <v>80</v>
      </c>
      <c r="J581" s="8">
        <f>$J$439/$M$439*100</f>
        <v>0</v>
      </c>
      <c r="K581" s="8">
        <f>$J$440/$M$440*100</f>
        <v>0</v>
      </c>
      <c r="L581" s="8">
        <f>$J$441/$M$441*100</f>
        <v>0</v>
      </c>
      <c r="M581" s="8">
        <f t="shared" si="21"/>
        <v>100</v>
      </c>
      <c r="N581" s="8">
        <f>$J$457/$M$457*100</f>
        <v>28.205128205128204</v>
      </c>
      <c r="O581" s="8">
        <f>$J$458/$M$458*100</f>
        <v>58.974358974358978</v>
      </c>
      <c r="P581" s="8">
        <f>$J$459/$M$459*100</f>
        <v>5.1282051282051277</v>
      </c>
      <c r="Q581" s="8">
        <f>$J$460/$M$460*100</f>
        <v>7.6923076923076925</v>
      </c>
      <c r="R581" s="8">
        <f>$J$461/$M$461*100</f>
        <v>0</v>
      </c>
      <c r="S581" s="8">
        <f>SUM(N581:R581)</f>
        <v>100</v>
      </c>
      <c r="T581" s="8">
        <f>$J$477/$M$477*100</f>
        <v>26.190476190476193</v>
      </c>
      <c r="U581" s="8">
        <f>$J$478/$M$478*100</f>
        <v>40.476190476190474</v>
      </c>
      <c r="V581" s="8">
        <f>$J$479/$M$479*100</f>
        <v>28.571428571428569</v>
      </c>
      <c r="W581" s="8">
        <f>$J$480/$M$480*100</f>
        <v>4.7619047619047619</v>
      </c>
      <c r="X581" s="8">
        <f>$J$481/$M$481*100</f>
        <v>0</v>
      </c>
      <c r="Y581" s="8">
        <f>SUM(T581:X581)</f>
        <v>100</v>
      </c>
      <c r="AF581" t="s">
        <v>150</v>
      </c>
      <c r="AG581" s="3" t="s">
        <v>20</v>
      </c>
      <c r="AH581" s="3" t="s">
        <v>21</v>
      </c>
      <c r="AI581" s="3" t="s">
        <v>60</v>
      </c>
      <c r="AJ581" s="3" t="s">
        <v>61</v>
      </c>
      <c r="AK581" s="3" t="s">
        <v>62</v>
      </c>
      <c r="AL581" s="29" t="s">
        <v>200</v>
      </c>
      <c r="AM581" s="29" t="s">
        <v>201</v>
      </c>
    </row>
    <row r="582" spans="1:40" x14ac:dyDescent="0.2">
      <c r="A582" s="10" t="s">
        <v>50</v>
      </c>
      <c r="B582" s="12">
        <f>AVERAGE(B579:B581)</f>
        <v>32.336159547805686</v>
      </c>
      <c r="C582" s="12">
        <f>AVERAGE(C579:C581)</f>
        <v>41.022769690182905</v>
      </c>
      <c r="D582" s="11">
        <f>AVERAGE(D579:D581)</f>
        <v>9.0198901509091858</v>
      </c>
      <c r="E582" s="11">
        <f>AVERAGE(E579:E581)</f>
        <v>17.621180611102222</v>
      </c>
      <c r="F582" s="11">
        <f>AVERAGE(F579:F581)</f>
        <v>0</v>
      </c>
      <c r="G582" s="12"/>
      <c r="H582" s="11">
        <f>AVERAGE(H579:H581)</f>
        <v>11.794871794871796</v>
      </c>
      <c r="I582" s="13">
        <f>AVERAGE(I579:I581)</f>
        <v>61.282051282051277</v>
      </c>
      <c r="J582" s="14">
        <f>AVERAGE(J579:J581)</f>
        <v>2.5641025641025643</v>
      </c>
      <c r="K582" s="14">
        <f>AVERAGE(K579:K581)</f>
        <v>24.358974358974361</v>
      </c>
      <c r="L582" s="14">
        <f>AVERAGE(L579:L581)</f>
        <v>0</v>
      </c>
      <c r="M582" s="12"/>
      <c r="N582" s="14">
        <f>AVERAGE(N579:N581)</f>
        <v>38.180177310612088</v>
      </c>
      <c r="O582" s="12">
        <f>AVERAGE(O579:O581)</f>
        <v>29.826051565182002</v>
      </c>
      <c r="P582" s="11">
        <f>AVERAGE(P579:P581)</f>
        <v>3.77979508414291</v>
      </c>
      <c r="Q582" s="11">
        <f>AVERAGE(Q579:Q581)</f>
        <v>28.213976040062999</v>
      </c>
      <c r="R582" s="11">
        <f>AVERAGE(R579:R581)</f>
        <v>0</v>
      </c>
      <c r="S582" s="15"/>
      <c r="T582" s="14">
        <f>AVERAGE(T579:T581)</f>
        <v>17.989417989417991</v>
      </c>
      <c r="U582" s="12">
        <f>AVERAGE(U579:U581)</f>
        <v>40.806878306878303</v>
      </c>
      <c r="V582" s="11">
        <f>AVERAGE(V579:V581)</f>
        <v>26.653439153439152</v>
      </c>
      <c r="W582" s="11">
        <f>AVERAGE(W579:W581)</f>
        <v>14.550264550264549</v>
      </c>
      <c r="X582" s="11">
        <f>AVERAGE(X579:X581)</f>
        <v>0</v>
      </c>
      <c r="Y582" s="15"/>
      <c r="Z582" s="8">
        <f>AVERAGE(B582,H582,N582,T582)</f>
        <v>25.075156660676889</v>
      </c>
      <c r="AA582" s="8">
        <f>AVERAGE(C582,I582,O582,U582)</f>
        <v>43.234437711073625</v>
      </c>
      <c r="AB582" s="8">
        <f>AVERAGE(D582,J582,P582,V582)</f>
        <v>10.504306738148452</v>
      </c>
      <c r="AC582" s="8">
        <f>AVERAGE(E582,K582,Q582,W582)</f>
        <v>21.186098890101032</v>
      </c>
      <c r="AD582" s="8">
        <f>AVERAGE(F582,L582,R582,X582)</f>
        <v>0</v>
      </c>
      <c r="AF582" s="18" t="s">
        <v>223</v>
      </c>
      <c r="AG582" s="8">
        <f>Z542</f>
        <v>81.302550745949247</v>
      </c>
      <c r="AH582" s="8">
        <f t="shared" ref="AH582:AK582" si="22">AA542</f>
        <v>10.250480270509689</v>
      </c>
      <c r="AI582" s="8">
        <f t="shared" si="22"/>
        <v>3.9894281689529447</v>
      </c>
      <c r="AJ582" s="8">
        <f t="shared" si="22"/>
        <v>4.4575408145881195</v>
      </c>
      <c r="AK582" s="8">
        <f t="shared" si="22"/>
        <v>0</v>
      </c>
      <c r="AL582" s="8">
        <f>SUM(AG582:AH582)</f>
        <v>91.553031016458931</v>
      </c>
      <c r="AM582" s="8">
        <f>SUM(AG582:AI582)</f>
        <v>95.542459185411872</v>
      </c>
      <c r="AN582" s="8"/>
    </row>
    <row r="583" spans="1:40" x14ac:dyDescent="0.2">
      <c r="AF583" s="18" t="s">
        <v>224</v>
      </c>
      <c r="AG583" s="8">
        <f>Z550</f>
        <v>78.440510239002833</v>
      </c>
      <c r="AH583" s="8">
        <f t="shared" ref="AH583:AK583" si="23">AA550</f>
        <v>10.290117380819931</v>
      </c>
      <c r="AI583" s="8">
        <f t="shared" si="23"/>
        <v>3.2932700924257401</v>
      </c>
      <c r="AJ583" s="8">
        <f t="shared" si="23"/>
        <v>7.9761022877515018</v>
      </c>
      <c r="AK583" s="8">
        <f t="shared" si="23"/>
        <v>0</v>
      </c>
      <c r="AL583" s="8">
        <f>SUM(AG583:AH583)</f>
        <v>88.730627619822769</v>
      </c>
      <c r="AM583" s="8">
        <f t="shared" ref="AM583" si="24">SUM(AG583:AI583)</f>
        <v>92.023897712248512</v>
      </c>
    </row>
    <row r="584" spans="1:40" x14ac:dyDescent="0.2">
      <c r="AF584" s="18" t="s">
        <v>225</v>
      </c>
      <c r="AG584" s="8">
        <f>Z558</f>
        <v>21.917447480099131</v>
      </c>
      <c r="AH584" s="8">
        <f t="shared" ref="AH584:AK584" si="25">AA558</f>
        <v>50.602086032452817</v>
      </c>
      <c r="AI584" s="8">
        <f t="shared" si="25"/>
        <v>8.5110824568077401</v>
      </c>
      <c r="AJ584" s="8">
        <f t="shared" si="25"/>
        <v>18.969384030640313</v>
      </c>
      <c r="AK584" s="8">
        <f t="shared" si="25"/>
        <v>0</v>
      </c>
      <c r="AL584" s="8">
        <f t="shared" ref="AL584" si="26">SUM(AG584:AH584)</f>
        <v>72.519533512551945</v>
      </c>
      <c r="AM584" s="8">
        <f>SUM(AG584:AI584)</f>
        <v>81.030615969359687</v>
      </c>
    </row>
    <row r="585" spans="1:40" x14ac:dyDescent="0.2">
      <c r="AL585" s="30"/>
      <c r="AM585" s="30"/>
    </row>
    <row r="586" spans="1:40" x14ac:dyDescent="0.2">
      <c r="AF586" t="s">
        <v>151</v>
      </c>
      <c r="AG586" s="3" t="s">
        <v>20</v>
      </c>
      <c r="AH586" s="3" t="s">
        <v>21</v>
      </c>
      <c r="AI586" s="3" t="s">
        <v>60</v>
      </c>
      <c r="AJ586" s="3" t="s">
        <v>61</v>
      </c>
      <c r="AK586" s="3" t="s">
        <v>62</v>
      </c>
      <c r="AL586" s="30"/>
      <c r="AM586" s="30"/>
    </row>
    <row r="587" spans="1:40" x14ac:dyDescent="0.2">
      <c r="AF587" s="18" t="s">
        <v>223</v>
      </c>
      <c r="AG587" s="8">
        <f>Z566</f>
        <v>34.785153580950755</v>
      </c>
      <c r="AH587" s="8">
        <f t="shared" ref="AH587:AK587" si="27">AA566</f>
        <v>26.140364550965408</v>
      </c>
      <c r="AI587" s="8">
        <f t="shared" si="27"/>
        <v>20.092819641180824</v>
      </c>
      <c r="AJ587" s="8">
        <f t="shared" si="27"/>
        <v>18.981662226903016</v>
      </c>
      <c r="AK587" s="8">
        <f t="shared" si="27"/>
        <v>0</v>
      </c>
      <c r="AL587" s="8">
        <f>SUM(AG587:AH587)</f>
        <v>60.925518131916164</v>
      </c>
      <c r="AM587" s="8">
        <f>SUM(AG587:AI587)</f>
        <v>81.018337773096988</v>
      </c>
    </row>
    <row r="588" spans="1:40" x14ac:dyDescent="0.2">
      <c r="AF588" s="18" t="s">
        <v>224</v>
      </c>
      <c r="AG588" s="8">
        <f>Z574</f>
        <v>29.253137913719556</v>
      </c>
      <c r="AH588" s="8">
        <f>AA574</f>
        <v>31.961162561291065</v>
      </c>
      <c r="AI588" s="8">
        <f>AB574</f>
        <v>10.108569106868455</v>
      </c>
      <c r="AJ588" s="8">
        <f t="shared" ref="AH588:AK588" si="28">AC574</f>
        <v>28.493980234970742</v>
      </c>
      <c r="AK588" s="8">
        <f t="shared" si="28"/>
        <v>0.18315018315018317</v>
      </c>
      <c r="AL588" s="8">
        <f>SUM(AG588:AH588)</f>
        <v>61.214300475010617</v>
      </c>
      <c r="AM588" s="8">
        <f t="shared" ref="AM588" si="29">SUM(AG588:AI588)</f>
        <v>71.322869581879075</v>
      </c>
    </row>
    <row r="589" spans="1:40" x14ac:dyDescent="0.2">
      <c r="AF589" s="18" t="s">
        <v>225</v>
      </c>
      <c r="AG589" s="8">
        <f>Z582</f>
        <v>25.075156660676889</v>
      </c>
      <c r="AH589" s="8">
        <f>AA582</f>
        <v>43.234437711073625</v>
      </c>
      <c r="AI589" s="8">
        <f t="shared" ref="AH589:AK589" si="30">AB582</f>
        <v>10.504306738148452</v>
      </c>
      <c r="AJ589" s="8">
        <f t="shared" si="30"/>
        <v>21.186098890101032</v>
      </c>
      <c r="AK589" s="8">
        <f t="shared" si="30"/>
        <v>0</v>
      </c>
      <c r="AL589" s="8">
        <f t="shared" ref="AL589" si="31">SUM(AG589:AH589)</f>
        <v>68.309594371750507</v>
      </c>
      <c r="AM589" s="8">
        <f>SUM(AG589:AI589)</f>
        <v>78.813901109898964</v>
      </c>
    </row>
  </sheetData>
  <mergeCells count="5">
    <mergeCell ref="A486:A487"/>
    <mergeCell ref="B486:F486"/>
    <mergeCell ref="H486:L486"/>
    <mergeCell ref="N486:R486"/>
    <mergeCell ref="T486:X486"/>
  </mergeCells>
  <phoneticPr fontId="6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644F-9AE5-AA44-BE51-5903B1CF752D}">
  <dimension ref="A1:AY812"/>
  <sheetViews>
    <sheetView topLeftCell="AE1" zoomScale="60" zoomScaleNormal="40" workbookViewId="0">
      <pane ySplit="1" topLeftCell="A623" activePane="bottomLeft" state="frozen"/>
      <selection pane="bottomLeft" activeCell="BZ727" sqref="BZ727"/>
    </sheetView>
  </sheetViews>
  <sheetFormatPr baseColWidth="10" defaultColWidth="8.83203125" defaultRowHeight="15" x14ac:dyDescent="0.2"/>
  <cols>
    <col min="1" max="1" width="22.5" customWidth="1"/>
    <col min="2" max="2" width="20" customWidth="1"/>
    <col min="3" max="3" width="8" customWidth="1"/>
    <col min="4" max="4" width="12" customWidth="1"/>
    <col min="5" max="5" width="35" bestFit="1" customWidth="1"/>
    <col min="6" max="6" width="12" customWidth="1"/>
    <col min="7" max="7" width="18" customWidth="1"/>
    <col min="8" max="8" width="14" customWidth="1"/>
    <col min="9" max="14" width="20" customWidth="1"/>
    <col min="15" max="15" width="13" customWidth="1"/>
    <col min="18" max="18" width="10.5" customWidth="1"/>
    <col min="20" max="21" width="9.6640625" bestFit="1" customWidth="1"/>
    <col min="22" max="22" width="9" bestFit="1" customWidth="1"/>
    <col min="24" max="24" width="10.5" bestFit="1" customWidth="1"/>
    <col min="27" max="30" width="9.6640625" bestFit="1" customWidth="1"/>
    <col min="32" max="32" width="13.83203125" customWidth="1"/>
    <col min="33" max="33" width="14.83203125" customWidth="1"/>
    <col min="34" max="34" width="12.6640625" customWidth="1"/>
    <col min="35" max="35" width="11.6640625" customWidth="1"/>
    <col min="36" max="36" width="13" customWidth="1"/>
    <col min="37" max="38" width="12.6640625" bestFit="1" customWidth="1"/>
    <col min="39" max="39" width="14" bestFit="1" customWidth="1"/>
    <col min="40" max="40" width="15.1640625" bestFit="1" customWidth="1"/>
    <col min="42" max="42" width="12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115</v>
      </c>
      <c r="B2" t="s">
        <v>16</v>
      </c>
      <c r="C2" t="s">
        <v>17</v>
      </c>
      <c r="D2" t="s">
        <v>75</v>
      </c>
      <c r="E2" t="s">
        <v>123</v>
      </c>
      <c r="F2">
        <v>3</v>
      </c>
      <c r="G2" t="s">
        <v>19</v>
      </c>
      <c r="H2" t="s">
        <v>20</v>
      </c>
      <c r="I2">
        <v>80</v>
      </c>
      <c r="J2">
        <v>48</v>
      </c>
      <c r="K2">
        <v>0</v>
      </c>
      <c r="L2">
        <v>81</v>
      </c>
      <c r="M2">
        <v>49</v>
      </c>
      <c r="N2">
        <v>0</v>
      </c>
      <c r="O2">
        <v>196</v>
      </c>
    </row>
    <row r="3" spans="1:15" x14ac:dyDescent="0.2">
      <c r="A3" t="s">
        <v>115</v>
      </c>
      <c r="B3" t="s">
        <v>16</v>
      </c>
      <c r="C3" t="s">
        <v>17</v>
      </c>
      <c r="D3" t="s">
        <v>75</v>
      </c>
      <c r="E3" t="s">
        <v>123</v>
      </c>
      <c r="F3">
        <v>3</v>
      </c>
      <c r="G3" t="s">
        <v>19</v>
      </c>
      <c r="H3" t="s">
        <v>21</v>
      </c>
      <c r="I3">
        <v>1</v>
      </c>
      <c r="J3">
        <v>0</v>
      </c>
      <c r="K3">
        <v>0</v>
      </c>
      <c r="L3">
        <v>81</v>
      </c>
      <c r="M3">
        <v>49</v>
      </c>
      <c r="N3">
        <v>0</v>
      </c>
      <c r="O3">
        <v>196</v>
      </c>
    </row>
    <row r="4" spans="1:15" x14ac:dyDescent="0.2">
      <c r="A4" t="s">
        <v>115</v>
      </c>
      <c r="B4" t="s">
        <v>16</v>
      </c>
      <c r="C4" t="s">
        <v>17</v>
      </c>
      <c r="D4" t="s">
        <v>75</v>
      </c>
      <c r="E4" t="s">
        <v>123</v>
      </c>
      <c r="F4">
        <v>3</v>
      </c>
      <c r="G4" t="s">
        <v>19</v>
      </c>
      <c r="H4" t="s">
        <v>22</v>
      </c>
      <c r="I4">
        <v>0</v>
      </c>
      <c r="J4">
        <v>0</v>
      </c>
      <c r="K4">
        <v>0</v>
      </c>
      <c r="L4">
        <v>81</v>
      </c>
      <c r="M4">
        <v>49</v>
      </c>
      <c r="N4">
        <v>0</v>
      </c>
      <c r="O4">
        <v>196</v>
      </c>
    </row>
    <row r="5" spans="1:15" x14ac:dyDescent="0.2">
      <c r="A5" t="s">
        <v>115</v>
      </c>
      <c r="B5" t="s">
        <v>16</v>
      </c>
      <c r="C5" t="s">
        <v>17</v>
      </c>
      <c r="D5" t="s">
        <v>75</v>
      </c>
      <c r="E5" t="s">
        <v>123</v>
      </c>
      <c r="F5">
        <v>3</v>
      </c>
      <c r="G5" t="s">
        <v>19</v>
      </c>
      <c r="H5" t="s">
        <v>23</v>
      </c>
      <c r="I5">
        <v>0</v>
      </c>
      <c r="J5">
        <v>1</v>
      </c>
      <c r="K5">
        <v>0</v>
      </c>
      <c r="L5">
        <v>81</v>
      </c>
      <c r="M5">
        <v>49</v>
      </c>
      <c r="N5">
        <v>0</v>
      </c>
      <c r="O5">
        <v>196</v>
      </c>
    </row>
    <row r="6" spans="1:15" x14ac:dyDescent="0.2">
      <c r="A6" t="s">
        <v>115</v>
      </c>
      <c r="B6" t="s">
        <v>16</v>
      </c>
      <c r="C6" t="s">
        <v>17</v>
      </c>
      <c r="D6" t="s">
        <v>75</v>
      </c>
      <c r="E6" t="s">
        <v>123</v>
      </c>
      <c r="F6">
        <v>3</v>
      </c>
      <c r="G6" t="s">
        <v>19</v>
      </c>
      <c r="H6" t="s">
        <v>24</v>
      </c>
      <c r="I6">
        <v>0</v>
      </c>
      <c r="J6">
        <v>0</v>
      </c>
      <c r="K6">
        <v>0</v>
      </c>
      <c r="L6">
        <v>81</v>
      </c>
      <c r="M6">
        <v>49</v>
      </c>
      <c r="N6">
        <v>0</v>
      </c>
      <c r="O6">
        <v>196</v>
      </c>
    </row>
    <row r="7" spans="1:15" x14ac:dyDescent="0.2">
      <c r="A7" t="s">
        <v>115</v>
      </c>
      <c r="B7" t="s">
        <v>16</v>
      </c>
      <c r="C7" t="s">
        <v>17</v>
      </c>
      <c r="D7" t="s">
        <v>75</v>
      </c>
      <c r="E7" t="s">
        <v>140</v>
      </c>
      <c r="F7">
        <v>3</v>
      </c>
      <c r="G7" t="s">
        <v>130</v>
      </c>
      <c r="H7" t="s">
        <v>20</v>
      </c>
      <c r="I7">
        <v>20</v>
      </c>
      <c r="J7">
        <v>42</v>
      </c>
      <c r="K7">
        <v>42</v>
      </c>
      <c r="L7">
        <v>25</v>
      </c>
      <c r="M7">
        <v>65</v>
      </c>
      <c r="N7">
        <v>63</v>
      </c>
      <c r="O7">
        <v>118</v>
      </c>
    </row>
    <row r="8" spans="1:15" x14ac:dyDescent="0.2">
      <c r="A8" t="s">
        <v>115</v>
      </c>
      <c r="B8" t="s">
        <v>16</v>
      </c>
      <c r="C8" t="s">
        <v>17</v>
      </c>
      <c r="D8" t="s">
        <v>75</v>
      </c>
      <c r="E8" t="s">
        <v>140</v>
      </c>
      <c r="F8">
        <v>3</v>
      </c>
      <c r="G8" t="s">
        <v>130</v>
      </c>
      <c r="H8" t="s">
        <v>21</v>
      </c>
      <c r="I8">
        <v>1</v>
      </c>
      <c r="J8">
        <v>10</v>
      </c>
      <c r="K8">
        <v>8</v>
      </c>
      <c r="L8">
        <v>25</v>
      </c>
      <c r="M8">
        <v>65</v>
      </c>
      <c r="N8">
        <v>63</v>
      </c>
      <c r="O8">
        <v>118</v>
      </c>
    </row>
    <row r="9" spans="1:15" x14ac:dyDescent="0.2">
      <c r="A9" t="s">
        <v>115</v>
      </c>
      <c r="B9" t="s">
        <v>16</v>
      </c>
      <c r="C9" t="s">
        <v>17</v>
      </c>
      <c r="D9" t="s">
        <v>75</v>
      </c>
      <c r="E9" t="s">
        <v>140</v>
      </c>
      <c r="F9">
        <v>3</v>
      </c>
      <c r="G9" t="s">
        <v>130</v>
      </c>
      <c r="H9" t="s">
        <v>22</v>
      </c>
      <c r="I9">
        <v>0</v>
      </c>
      <c r="J9">
        <v>13</v>
      </c>
      <c r="K9">
        <v>13</v>
      </c>
      <c r="L9">
        <v>25</v>
      </c>
      <c r="M9">
        <v>65</v>
      </c>
      <c r="N9">
        <v>63</v>
      </c>
      <c r="O9">
        <v>118</v>
      </c>
    </row>
    <row r="10" spans="1:15" x14ac:dyDescent="0.2">
      <c r="A10" t="s">
        <v>115</v>
      </c>
      <c r="B10" t="s">
        <v>16</v>
      </c>
      <c r="C10" t="s">
        <v>17</v>
      </c>
      <c r="D10" t="s">
        <v>75</v>
      </c>
      <c r="E10" t="s">
        <v>140</v>
      </c>
      <c r="F10">
        <v>3</v>
      </c>
      <c r="G10" t="s">
        <v>130</v>
      </c>
      <c r="H10" t="s">
        <v>23</v>
      </c>
      <c r="I10">
        <v>4</v>
      </c>
      <c r="J10">
        <v>0</v>
      </c>
      <c r="K10">
        <v>0</v>
      </c>
      <c r="L10">
        <v>25</v>
      </c>
      <c r="M10">
        <v>65</v>
      </c>
      <c r="N10">
        <v>63</v>
      </c>
      <c r="O10">
        <v>118</v>
      </c>
    </row>
    <row r="11" spans="1:15" x14ac:dyDescent="0.2">
      <c r="A11" t="s">
        <v>115</v>
      </c>
      <c r="B11" t="s">
        <v>16</v>
      </c>
      <c r="C11" t="s">
        <v>17</v>
      </c>
      <c r="D11" t="s">
        <v>75</v>
      </c>
      <c r="E11" t="s">
        <v>140</v>
      </c>
      <c r="F11">
        <v>3</v>
      </c>
      <c r="G11" t="s">
        <v>130</v>
      </c>
      <c r="H11" t="s">
        <v>24</v>
      </c>
      <c r="I11">
        <v>0</v>
      </c>
      <c r="J11">
        <v>0</v>
      </c>
      <c r="K11">
        <v>0</v>
      </c>
      <c r="L11">
        <v>25</v>
      </c>
      <c r="M11">
        <v>65</v>
      </c>
      <c r="N11">
        <v>63</v>
      </c>
      <c r="O11">
        <v>118</v>
      </c>
    </row>
    <row r="12" spans="1:15" x14ac:dyDescent="0.2">
      <c r="A12" t="s">
        <v>115</v>
      </c>
      <c r="B12" t="s">
        <v>16</v>
      </c>
      <c r="C12" t="s">
        <v>17</v>
      </c>
      <c r="D12" t="s">
        <v>75</v>
      </c>
      <c r="E12" t="s">
        <v>139</v>
      </c>
      <c r="F12">
        <v>3</v>
      </c>
      <c r="G12" t="s">
        <v>128</v>
      </c>
      <c r="H12" t="s">
        <v>20</v>
      </c>
      <c r="I12">
        <v>21</v>
      </c>
      <c r="J12">
        <v>20</v>
      </c>
      <c r="K12">
        <v>19</v>
      </c>
      <c r="L12">
        <v>27</v>
      </c>
      <c r="M12">
        <v>53</v>
      </c>
      <c r="N12">
        <v>49</v>
      </c>
      <c r="O12">
        <v>124</v>
      </c>
    </row>
    <row r="13" spans="1:15" x14ac:dyDescent="0.2">
      <c r="A13" t="s">
        <v>115</v>
      </c>
      <c r="B13" t="s">
        <v>16</v>
      </c>
      <c r="C13" t="s">
        <v>17</v>
      </c>
      <c r="D13" t="s">
        <v>75</v>
      </c>
      <c r="E13" t="s">
        <v>139</v>
      </c>
      <c r="F13">
        <v>3</v>
      </c>
      <c r="G13" t="s">
        <v>128</v>
      </c>
      <c r="H13" t="s">
        <v>21</v>
      </c>
      <c r="I13">
        <v>6</v>
      </c>
      <c r="J13">
        <v>24</v>
      </c>
      <c r="K13">
        <v>23</v>
      </c>
      <c r="L13">
        <v>27</v>
      </c>
      <c r="M13">
        <v>53</v>
      </c>
      <c r="N13">
        <v>49</v>
      </c>
      <c r="O13">
        <v>124</v>
      </c>
    </row>
    <row r="14" spans="1:15" x14ac:dyDescent="0.2">
      <c r="A14" t="s">
        <v>115</v>
      </c>
      <c r="B14" t="s">
        <v>16</v>
      </c>
      <c r="C14" t="s">
        <v>17</v>
      </c>
      <c r="D14" t="s">
        <v>75</v>
      </c>
      <c r="E14" t="s">
        <v>139</v>
      </c>
      <c r="F14">
        <v>3</v>
      </c>
      <c r="G14" t="s">
        <v>128</v>
      </c>
      <c r="H14" t="s">
        <v>22</v>
      </c>
      <c r="I14">
        <v>0</v>
      </c>
      <c r="J14">
        <v>6</v>
      </c>
      <c r="K14">
        <v>4</v>
      </c>
      <c r="L14">
        <v>27</v>
      </c>
      <c r="M14">
        <v>53</v>
      </c>
      <c r="N14">
        <v>49</v>
      </c>
      <c r="O14">
        <v>124</v>
      </c>
    </row>
    <row r="15" spans="1:15" x14ac:dyDescent="0.2">
      <c r="A15" t="s">
        <v>115</v>
      </c>
      <c r="B15" t="s">
        <v>16</v>
      </c>
      <c r="C15" t="s">
        <v>17</v>
      </c>
      <c r="D15" t="s">
        <v>75</v>
      </c>
      <c r="E15" t="s">
        <v>139</v>
      </c>
      <c r="F15">
        <v>3</v>
      </c>
      <c r="G15" t="s">
        <v>128</v>
      </c>
      <c r="H15" t="s">
        <v>23</v>
      </c>
      <c r="I15">
        <v>0</v>
      </c>
      <c r="J15">
        <v>3</v>
      </c>
      <c r="K15">
        <v>3</v>
      </c>
      <c r="L15">
        <v>27</v>
      </c>
      <c r="M15">
        <v>53</v>
      </c>
      <c r="N15">
        <v>49</v>
      </c>
      <c r="O15">
        <v>124</v>
      </c>
    </row>
    <row r="16" spans="1:15" x14ac:dyDescent="0.2">
      <c r="A16" t="s">
        <v>115</v>
      </c>
      <c r="B16" t="s">
        <v>16</v>
      </c>
      <c r="C16" t="s">
        <v>17</v>
      </c>
      <c r="D16" t="s">
        <v>75</v>
      </c>
      <c r="E16" t="s">
        <v>139</v>
      </c>
      <c r="F16">
        <v>3</v>
      </c>
      <c r="G16" t="s">
        <v>128</v>
      </c>
      <c r="H16" t="s">
        <v>24</v>
      </c>
      <c r="I16">
        <v>0</v>
      </c>
      <c r="J16">
        <v>0</v>
      </c>
      <c r="K16">
        <v>0</v>
      </c>
      <c r="L16">
        <v>27</v>
      </c>
      <c r="M16">
        <v>53</v>
      </c>
      <c r="N16">
        <v>49</v>
      </c>
      <c r="O16">
        <v>124</v>
      </c>
    </row>
    <row r="17" spans="1:15" x14ac:dyDescent="0.2">
      <c r="A17" t="s">
        <v>115</v>
      </c>
      <c r="B17" t="s">
        <v>16</v>
      </c>
      <c r="C17" t="s">
        <v>17</v>
      </c>
      <c r="D17" t="s">
        <v>75</v>
      </c>
      <c r="E17" t="s">
        <v>138</v>
      </c>
      <c r="F17">
        <v>3</v>
      </c>
      <c r="G17" t="s">
        <v>126</v>
      </c>
      <c r="H17" t="s">
        <v>20</v>
      </c>
      <c r="I17">
        <v>31</v>
      </c>
      <c r="J17">
        <v>6</v>
      </c>
      <c r="K17">
        <v>2</v>
      </c>
      <c r="L17">
        <v>43</v>
      </c>
      <c r="M17">
        <v>64</v>
      </c>
      <c r="N17">
        <v>43</v>
      </c>
      <c r="O17">
        <v>135</v>
      </c>
    </row>
    <row r="18" spans="1:15" x14ac:dyDescent="0.2">
      <c r="A18" t="s">
        <v>115</v>
      </c>
      <c r="B18" t="s">
        <v>16</v>
      </c>
      <c r="C18" t="s">
        <v>17</v>
      </c>
      <c r="D18" t="s">
        <v>75</v>
      </c>
      <c r="E18" t="s">
        <v>138</v>
      </c>
      <c r="F18">
        <v>3</v>
      </c>
      <c r="G18" t="s">
        <v>126</v>
      </c>
      <c r="H18" t="s">
        <v>21</v>
      </c>
      <c r="I18">
        <v>4</v>
      </c>
      <c r="J18">
        <v>27</v>
      </c>
      <c r="K18">
        <v>21</v>
      </c>
      <c r="L18">
        <v>43</v>
      </c>
      <c r="M18">
        <v>64</v>
      </c>
      <c r="N18">
        <v>43</v>
      </c>
      <c r="O18">
        <v>135</v>
      </c>
    </row>
    <row r="19" spans="1:15" x14ac:dyDescent="0.2">
      <c r="A19" t="s">
        <v>115</v>
      </c>
      <c r="B19" t="s">
        <v>16</v>
      </c>
      <c r="C19" t="s">
        <v>17</v>
      </c>
      <c r="D19" t="s">
        <v>75</v>
      </c>
      <c r="E19" t="s">
        <v>138</v>
      </c>
      <c r="F19">
        <v>3</v>
      </c>
      <c r="G19" t="s">
        <v>126</v>
      </c>
      <c r="H19" t="s">
        <v>22</v>
      </c>
      <c r="I19">
        <v>2</v>
      </c>
      <c r="J19">
        <v>15</v>
      </c>
      <c r="K19">
        <v>9</v>
      </c>
      <c r="L19">
        <v>43</v>
      </c>
      <c r="M19">
        <v>64</v>
      </c>
      <c r="N19">
        <v>43</v>
      </c>
      <c r="O19">
        <v>135</v>
      </c>
    </row>
    <row r="20" spans="1:15" x14ac:dyDescent="0.2">
      <c r="A20" t="s">
        <v>115</v>
      </c>
      <c r="B20" t="s">
        <v>16</v>
      </c>
      <c r="C20" t="s">
        <v>17</v>
      </c>
      <c r="D20" t="s">
        <v>75</v>
      </c>
      <c r="E20" t="s">
        <v>138</v>
      </c>
      <c r="F20">
        <v>3</v>
      </c>
      <c r="G20" t="s">
        <v>126</v>
      </c>
      <c r="H20" t="s">
        <v>23</v>
      </c>
      <c r="I20">
        <v>6</v>
      </c>
      <c r="J20">
        <v>15</v>
      </c>
      <c r="K20">
        <v>11</v>
      </c>
      <c r="L20">
        <v>43</v>
      </c>
      <c r="M20">
        <v>64</v>
      </c>
      <c r="N20">
        <v>43</v>
      </c>
      <c r="O20">
        <v>135</v>
      </c>
    </row>
    <row r="21" spans="1:15" x14ac:dyDescent="0.2">
      <c r="A21" t="s">
        <v>115</v>
      </c>
      <c r="B21" t="s">
        <v>16</v>
      </c>
      <c r="C21" t="s">
        <v>17</v>
      </c>
      <c r="D21" t="s">
        <v>75</v>
      </c>
      <c r="E21" t="s">
        <v>138</v>
      </c>
      <c r="F21">
        <v>3</v>
      </c>
      <c r="G21" t="s">
        <v>126</v>
      </c>
      <c r="H21" t="s">
        <v>24</v>
      </c>
      <c r="I21">
        <v>0</v>
      </c>
      <c r="J21">
        <v>1</v>
      </c>
      <c r="K21">
        <v>0</v>
      </c>
      <c r="L21">
        <v>43</v>
      </c>
      <c r="M21">
        <v>64</v>
      </c>
      <c r="N21">
        <v>43</v>
      </c>
      <c r="O21">
        <v>135</v>
      </c>
    </row>
    <row r="22" spans="1:15" x14ac:dyDescent="0.2">
      <c r="A22" t="s">
        <v>124</v>
      </c>
      <c r="B22" t="s">
        <v>37</v>
      </c>
      <c r="C22" t="s">
        <v>17</v>
      </c>
      <c r="D22" t="s">
        <v>75</v>
      </c>
      <c r="E22" t="s">
        <v>123</v>
      </c>
      <c r="F22">
        <v>3</v>
      </c>
      <c r="G22" t="s">
        <v>19</v>
      </c>
      <c r="H22" t="s">
        <v>20</v>
      </c>
      <c r="I22">
        <v>85</v>
      </c>
      <c r="J22">
        <v>9</v>
      </c>
      <c r="K22">
        <v>0</v>
      </c>
      <c r="L22">
        <v>109</v>
      </c>
      <c r="M22">
        <v>34</v>
      </c>
      <c r="N22">
        <v>0</v>
      </c>
      <c r="O22">
        <v>196</v>
      </c>
    </row>
    <row r="23" spans="1:15" x14ac:dyDescent="0.2">
      <c r="A23" t="s">
        <v>124</v>
      </c>
      <c r="B23" t="s">
        <v>37</v>
      </c>
      <c r="C23" t="s">
        <v>17</v>
      </c>
      <c r="D23" t="s">
        <v>75</v>
      </c>
      <c r="E23" t="s">
        <v>123</v>
      </c>
      <c r="F23">
        <v>3</v>
      </c>
      <c r="G23" t="s">
        <v>19</v>
      </c>
      <c r="H23" t="s">
        <v>21</v>
      </c>
      <c r="I23">
        <v>17</v>
      </c>
      <c r="J23">
        <v>8</v>
      </c>
      <c r="K23">
        <v>0</v>
      </c>
      <c r="L23">
        <v>109</v>
      </c>
      <c r="M23">
        <v>34</v>
      </c>
      <c r="N23">
        <v>0</v>
      </c>
      <c r="O23">
        <v>196</v>
      </c>
    </row>
    <row r="24" spans="1:15" x14ac:dyDescent="0.2">
      <c r="A24" t="s">
        <v>124</v>
      </c>
      <c r="B24" t="s">
        <v>37</v>
      </c>
      <c r="C24" t="s">
        <v>17</v>
      </c>
      <c r="D24" t="s">
        <v>75</v>
      </c>
      <c r="E24" t="s">
        <v>123</v>
      </c>
      <c r="F24">
        <v>3</v>
      </c>
      <c r="G24" t="s">
        <v>19</v>
      </c>
      <c r="H24" t="s">
        <v>22</v>
      </c>
      <c r="I24">
        <v>4</v>
      </c>
      <c r="J24">
        <v>3</v>
      </c>
      <c r="K24">
        <v>0</v>
      </c>
      <c r="L24">
        <v>109</v>
      </c>
      <c r="M24">
        <v>34</v>
      </c>
      <c r="N24">
        <v>0</v>
      </c>
      <c r="O24">
        <v>196</v>
      </c>
    </row>
    <row r="25" spans="1:15" x14ac:dyDescent="0.2">
      <c r="A25" t="s">
        <v>124</v>
      </c>
      <c r="B25" t="s">
        <v>37</v>
      </c>
      <c r="C25" t="s">
        <v>17</v>
      </c>
      <c r="D25" t="s">
        <v>75</v>
      </c>
      <c r="E25" t="s">
        <v>123</v>
      </c>
      <c r="F25">
        <v>3</v>
      </c>
      <c r="G25" t="s">
        <v>19</v>
      </c>
      <c r="H25" t="s">
        <v>23</v>
      </c>
      <c r="I25">
        <v>3</v>
      </c>
      <c r="J25">
        <v>14</v>
      </c>
      <c r="K25">
        <v>0</v>
      </c>
      <c r="L25">
        <v>109</v>
      </c>
      <c r="M25">
        <v>34</v>
      </c>
      <c r="N25">
        <v>0</v>
      </c>
      <c r="O25">
        <v>196</v>
      </c>
    </row>
    <row r="26" spans="1:15" x14ac:dyDescent="0.2">
      <c r="A26" t="s">
        <v>124</v>
      </c>
      <c r="B26" t="s">
        <v>37</v>
      </c>
      <c r="C26" t="s">
        <v>17</v>
      </c>
      <c r="D26" t="s">
        <v>75</v>
      </c>
      <c r="E26" t="s">
        <v>123</v>
      </c>
      <c r="F26">
        <v>3</v>
      </c>
      <c r="G26" t="s">
        <v>19</v>
      </c>
      <c r="H26" t="s">
        <v>24</v>
      </c>
      <c r="I26">
        <v>0</v>
      </c>
      <c r="J26">
        <v>0</v>
      </c>
      <c r="K26">
        <v>0</v>
      </c>
      <c r="L26">
        <v>109</v>
      </c>
      <c r="M26">
        <v>34</v>
      </c>
      <c r="N26">
        <v>0</v>
      </c>
      <c r="O26">
        <v>196</v>
      </c>
    </row>
    <row r="27" spans="1:15" x14ac:dyDescent="0.2">
      <c r="A27" t="s">
        <v>124</v>
      </c>
      <c r="B27" t="s">
        <v>37</v>
      </c>
      <c r="C27" t="s">
        <v>17</v>
      </c>
      <c r="D27" t="s">
        <v>75</v>
      </c>
      <c r="E27" t="s">
        <v>140</v>
      </c>
      <c r="F27">
        <v>3</v>
      </c>
      <c r="G27" t="s">
        <v>130</v>
      </c>
      <c r="H27" t="s">
        <v>20</v>
      </c>
      <c r="I27">
        <v>29</v>
      </c>
      <c r="J27">
        <v>17</v>
      </c>
      <c r="K27">
        <v>3</v>
      </c>
      <c r="L27">
        <v>53</v>
      </c>
      <c r="M27">
        <v>29</v>
      </c>
      <c r="N27">
        <v>11</v>
      </c>
      <c r="O27">
        <v>151</v>
      </c>
    </row>
    <row r="28" spans="1:15" x14ac:dyDescent="0.2">
      <c r="A28" t="s">
        <v>124</v>
      </c>
      <c r="B28" t="s">
        <v>37</v>
      </c>
      <c r="C28" t="s">
        <v>17</v>
      </c>
      <c r="D28" t="s">
        <v>75</v>
      </c>
      <c r="E28" t="s">
        <v>140</v>
      </c>
      <c r="F28">
        <v>3</v>
      </c>
      <c r="G28" t="s">
        <v>130</v>
      </c>
      <c r="H28" t="s">
        <v>21</v>
      </c>
      <c r="I28">
        <v>13</v>
      </c>
      <c r="J28">
        <v>6</v>
      </c>
      <c r="K28">
        <v>3</v>
      </c>
      <c r="L28">
        <v>53</v>
      </c>
      <c r="M28">
        <v>29</v>
      </c>
      <c r="N28">
        <v>11</v>
      </c>
      <c r="O28">
        <v>151</v>
      </c>
    </row>
    <row r="29" spans="1:15" x14ac:dyDescent="0.2">
      <c r="A29" t="s">
        <v>124</v>
      </c>
      <c r="B29" t="s">
        <v>37</v>
      </c>
      <c r="C29" t="s">
        <v>17</v>
      </c>
      <c r="D29" t="s">
        <v>75</v>
      </c>
      <c r="E29" t="s">
        <v>140</v>
      </c>
      <c r="F29">
        <v>3</v>
      </c>
      <c r="G29" t="s">
        <v>130</v>
      </c>
      <c r="H29" t="s">
        <v>22</v>
      </c>
      <c r="I29">
        <v>6</v>
      </c>
      <c r="J29">
        <v>3</v>
      </c>
      <c r="K29">
        <v>2</v>
      </c>
      <c r="L29">
        <v>53</v>
      </c>
      <c r="M29">
        <v>29</v>
      </c>
      <c r="N29">
        <v>11</v>
      </c>
      <c r="O29">
        <v>151</v>
      </c>
    </row>
    <row r="30" spans="1:15" x14ac:dyDescent="0.2">
      <c r="A30" t="s">
        <v>124</v>
      </c>
      <c r="B30" t="s">
        <v>37</v>
      </c>
      <c r="C30" t="s">
        <v>17</v>
      </c>
      <c r="D30" t="s">
        <v>75</v>
      </c>
      <c r="E30" t="s">
        <v>140</v>
      </c>
      <c r="F30">
        <v>3</v>
      </c>
      <c r="G30" t="s">
        <v>130</v>
      </c>
      <c r="H30" t="s">
        <v>23</v>
      </c>
      <c r="I30">
        <v>5</v>
      </c>
      <c r="J30">
        <v>3</v>
      </c>
      <c r="K30">
        <v>3</v>
      </c>
      <c r="L30">
        <v>53</v>
      </c>
      <c r="M30">
        <v>29</v>
      </c>
      <c r="N30">
        <v>11</v>
      </c>
      <c r="O30">
        <v>151</v>
      </c>
    </row>
    <row r="31" spans="1:15" x14ac:dyDescent="0.2">
      <c r="A31" t="s">
        <v>124</v>
      </c>
      <c r="B31" t="s">
        <v>37</v>
      </c>
      <c r="C31" t="s">
        <v>17</v>
      </c>
      <c r="D31" t="s">
        <v>75</v>
      </c>
      <c r="E31" t="s">
        <v>140</v>
      </c>
      <c r="F31">
        <v>3</v>
      </c>
      <c r="G31" t="s">
        <v>130</v>
      </c>
      <c r="H31" t="s">
        <v>24</v>
      </c>
      <c r="I31">
        <v>0</v>
      </c>
      <c r="J31">
        <v>0</v>
      </c>
      <c r="K31">
        <v>0</v>
      </c>
      <c r="L31">
        <v>53</v>
      </c>
      <c r="M31">
        <v>29</v>
      </c>
      <c r="N31">
        <v>11</v>
      </c>
      <c r="O31">
        <v>151</v>
      </c>
    </row>
    <row r="32" spans="1:15" x14ac:dyDescent="0.2">
      <c r="A32" t="s">
        <v>124</v>
      </c>
      <c r="B32" t="s">
        <v>37</v>
      </c>
      <c r="C32" t="s">
        <v>17</v>
      </c>
      <c r="D32" t="s">
        <v>75</v>
      </c>
      <c r="E32" t="s">
        <v>139</v>
      </c>
      <c r="F32">
        <v>3</v>
      </c>
      <c r="G32" t="s">
        <v>128</v>
      </c>
      <c r="H32" t="s">
        <v>20</v>
      </c>
      <c r="I32">
        <v>28</v>
      </c>
      <c r="J32">
        <v>5</v>
      </c>
      <c r="K32">
        <v>3</v>
      </c>
      <c r="L32">
        <v>47</v>
      </c>
      <c r="M32">
        <v>19</v>
      </c>
      <c r="N32">
        <v>13</v>
      </c>
      <c r="O32">
        <v>110</v>
      </c>
    </row>
    <row r="33" spans="1:15" x14ac:dyDescent="0.2">
      <c r="A33" t="s">
        <v>124</v>
      </c>
      <c r="B33" t="s">
        <v>37</v>
      </c>
      <c r="C33" t="s">
        <v>17</v>
      </c>
      <c r="D33" t="s">
        <v>75</v>
      </c>
      <c r="E33" t="s">
        <v>139</v>
      </c>
      <c r="F33">
        <v>3</v>
      </c>
      <c r="G33" t="s">
        <v>128</v>
      </c>
      <c r="H33" t="s">
        <v>21</v>
      </c>
      <c r="I33">
        <v>10</v>
      </c>
      <c r="J33">
        <v>4</v>
      </c>
      <c r="K33">
        <v>3</v>
      </c>
      <c r="L33">
        <v>47</v>
      </c>
      <c r="M33">
        <v>19</v>
      </c>
      <c r="N33">
        <v>13</v>
      </c>
      <c r="O33">
        <v>110</v>
      </c>
    </row>
    <row r="34" spans="1:15" x14ac:dyDescent="0.2">
      <c r="A34" t="s">
        <v>124</v>
      </c>
      <c r="B34" t="s">
        <v>37</v>
      </c>
      <c r="C34" t="s">
        <v>17</v>
      </c>
      <c r="D34" t="s">
        <v>75</v>
      </c>
      <c r="E34" t="s">
        <v>139</v>
      </c>
      <c r="F34">
        <v>3</v>
      </c>
      <c r="G34" t="s">
        <v>128</v>
      </c>
      <c r="H34" t="s">
        <v>22</v>
      </c>
      <c r="I34">
        <v>5</v>
      </c>
      <c r="J34">
        <v>2</v>
      </c>
      <c r="K34">
        <v>0</v>
      </c>
      <c r="L34">
        <v>47</v>
      </c>
      <c r="M34">
        <v>19</v>
      </c>
      <c r="N34">
        <v>13</v>
      </c>
      <c r="O34">
        <v>110</v>
      </c>
    </row>
    <row r="35" spans="1:15" x14ac:dyDescent="0.2">
      <c r="A35" t="s">
        <v>124</v>
      </c>
      <c r="B35" t="s">
        <v>37</v>
      </c>
      <c r="C35" t="s">
        <v>17</v>
      </c>
      <c r="D35" t="s">
        <v>75</v>
      </c>
      <c r="E35" t="s">
        <v>139</v>
      </c>
      <c r="F35">
        <v>3</v>
      </c>
      <c r="G35" t="s">
        <v>128</v>
      </c>
      <c r="H35" t="s">
        <v>23</v>
      </c>
      <c r="I35">
        <v>4</v>
      </c>
      <c r="J35">
        <v>8</v>
      </c>
      <c r="K35">
        <v>7</v>
      </c>
      <c r="L35">
        <v>47</v>
      </c>
      <c r="M35">
        <v>19</v>
      </c>
      <c r="N35">
        <v>13</v>
      </c>
      <c r="O35">
        <v>110</v>
      </c>
    </row>
    <row r="36" spans="1:15" x14ac:dyDescent="0.2">
      <c r="A36" t="s">
        <v>124</v>
      </c>
      <c r="B36" t="s">
        <v>37</v>
      </c>
      <c r="C36" t="s">
        <v>17</v>
      </c>
      <c r="D36" t="s">
        <v>75</v>
      </c>
      <c r="E36" t="s">
        <v>139</v>
      </c>
      <c r="F36">
        <v>3</v>
      </c>
      <c r="G36" t="s">
        <v>128</v>
      </c>
      <c r="H36" t="s">
        <v>24</v>
      </c>
      <c r="I36">
        <v>0</v>
      </c>
      <c r="J36">
        <v>0</v>
      </c>
      <c r="K36">
        <v>0</v>
      </c>
      <c r="L36">
        <v>47</v>
      </c>
      <c r="M36">
        <v>19</v>
      </c>
      <c r="N36">
        <v>13</v>
      </c>
      <c r="O36">
        <v>110</v>
      </c>
    </row>
    <row r="37" spans="1:15" x14ac:dyDescent="0.2">
      <c r="A37" t="s">
        <v>124</v>
      </c>
      <c r="B37" t="s">
        <v>37</v>
      </c>
      <c r="C37" t="s">
        <v>17</v>
      </c>
      <c r="D37" t="s">
        <v>75</v>
      </c>
      <c r="E37" t="s">
        <v>138</v>
      </c>
      <c r="F37">
        <v>3</v>
      </c>
      <c r="G37" t="s">
        <v>126</v>
      </c>
      <c r="H37" t="s">
        <v>20</v>
      </c>
      <c r="I37">
        <v>22</v>
      </c>
      <c r="J37">
        <v>2</v>
      </c>
      <c r="K37">
        <v>0</v>
      </c>
      <c r="L37">
        <v>41</v>
      </c>
      <c r="M37">
        <v>14</v>
      </c>
      <c r="N37">
        <v>5</v>
      </c>
      <c r="O37">
        <v>110</v>
      </c>
    </row>
    <row r="38" spans="1:15" x14ac:dyDescent="0.2">
      <c r="A38" t="s">
        <v>124</v>
      </c>
      <c r="B38" t="s">
        <v>37</v>
      </c>
      <c r="C38" t="s">
        <v>17</v>
      </c>
      <c r="D38" t="s">
        <v>75</v>
      </c>
      <c r="E38" t="s">
        <v>138</v>
      </c>
      <c r="F38">
        <v>3</v>
      </c>
      <c r="G38" t="s">
        <v>126</v>
      </c>
      <c r="H38" t="s">
        <v>21</v>
      </c>
      <c r="I38">
        <v>12</v>
      </c>
      <c r="J38">
        <v>5</v>
      </c>
      <c r="K38">
        <v>1</v>
      </c>
      <c r="L38">
        <v>41</v>
      </c>
      <c r="M38">
        <v>14</v>
      </c>
      <c r="N38">
        <v>5</v>
      </c>
      <c r="O38">
        <v>110</v>
      </c>
    </row>
    <row r="39" spans="1:15" x14ac:dyDescent="0.2">
      <c r="A39" t="s">
        <v>124</v>
      </c>
      <c r="B39" t="s">
        <v>37</v>
      </c>
      <c r="C39" t="s">
        <v>17</v>
      </c>
      <c r="D39" t="s">
        <v>75</v>
      </c>
      <c r="E39" t="s">
        <v>138</v>
      </c>
      <c r="F39">
        <v>3</v>
      </c>
      <c r="G39" t="s">
        <v>126</v>
      </c>
      <c r="H39" t="s">
        <v>22</v>
      </c>
      <c r="I39">
        <v>2</v>
      </c>
      <c r="J39">
        <v>2</v>
      </c>
      <c r="K39">
        <v>1</v>
      </c>
      <c r="L39">
        <v>41</v>
      </c>
      <c r="M39">
        <v>14</v>
      </c>
      <c r="N39">
        <v>5</v>
      </c>
      <c r="O39">
        <v>110</v>
      </c>
    </row>
    <row r="40" spans="1:15" x14ac:dyDescent="0.2">
      <c r="A40" t="s">
        <v>124</v>
      </c>
      <c r="B40" t="s">
        <v>37</v>
      </c>
      <c r="C40" t="s">
        <v>17</v>
      </c>
      <c r="D40" t="s">
        <v>75</v>
      </c>
      <c r="E40" t="s">
        <v>138</v>
      </c>
      <c r="F40">
        <v>3</v>
      </c>
      <c r="G40" t="s">
        <v>126</v>
      </c>
      <c r="H40" t="s">
        <v>23</v>
      </c>
      <c r="I40">
        <v>5</v>
      </c>
      <c r="J40">
        <v>5</v>
      </c>
      <c r="K40">
        <v>3</v>
      </c>
      <c r="L40">
        <v>41</v>
      </c>
      <c r="M40">
        <v>14</v>
      </c>
      <c r="N40">
        <v>5</v>
      </c>
      <c r="O40">
        <v>110</v>
      </c>
    </row>
    <row r="41" spans="1:15" x14ac:dyDescent="0.2">
      <c r="A41" t="s">
        <v>124</v>
      </c>
      <c r="B41" t="s">
        <v>37</v>
      </c>
      <c r="C41" t="s">
        <v>17</v>
      </c>
      <c r="D41" t="s">
        <v>75</v>
      </c>
      <c r="E41" t="s">
        <v>138</v>
      </c>
      <c r="F41">
        <v>3</v>
      </c>
      <c r="G41" t="s">
        <v>126</v>
      </c>
      <c r="H41" t="s">
        <v>24</v>
      </c>
      <c r="I41">
        <v>0</v>
      </c>
      <c r="J41">
        <v>0</v>
      </c>
      <c r="K41">
        <v>0</v>
      </c>
      <c r="L41">
        <v>41</v>
      </c>
      <c r="M41">
        <v>14</v>
      </c>
      <c r="N41">
        <v>5</v>
      </c>
      <c r="O41">
        <v>110</v>
      </c>
    </row>
    <row r="42" spans="1:15" x14ac:dyDescent="0.2">
      <c r="A42" t="s">
        <v>120</v>
      </c>
      <c r="B42" t="s">
        <v>83</v>
      </c>
      <c r="C42" t="s">
        <v>17</v>
      </c>
      <c r="D42" t="s">
        <v>75</v>
      </c>
      <c r="E42" t="s">
        <v>123</v>
      </c>
      <c r="F42">
        <v>3</v>
      </c>
      <c r="G42" t="s">
        <v>19</v>
      </c>
      <c r="H42" t="s">
        <v>20</v>
      </c>
      <c r="I42">
        <v>39</v>
      </c>
      <c r="J42">
        <v>29</v>
      </c>
      <c r="K42">
        <v>0</v>
      </c>
      <c r="L42">
        <v>46</v>
      </c>
      <c r="M42">
        <v>41</v>
      </c>
      <c r="N42">
        <v>0</v>
      </c>
      <c r="O42">
        <v>166</v>
      </c>
    </row>
    <row r="43" spans="1:15" x14ac:dyDescent="0.2">
      <c r="A43" t="s">
        <v>120</v>
      </c>
      <c r="B43" t="s">
        <v>83</v>
      </c>
      <c r="C43" t="s">
        <v>17</v>
      </c>
      <c r="D43" t="s">
        <v>75</v>
      </c>
      <c r="E43" t="s">
        <v>123</v>
      </c>
      <c r="F43">
        <v>3</v>
      </c>
      <c r="G43" t="s">
        <v>19</v>
      </c>
      <c r="H43" t="s">
        <v>21</v>
      </c>
      <c r="I43">
        <v>6</v>
      </c>
      <c r="J43">
        <v>4</v>
      </c>
      <c r="K43">
        <v>0</v>
      </c>
      <c r="L43">
        <v>46</v>
      </c>
      <c r="M43">
        <v>41</v>
      </c>
      <c r="N43">
        <v>0</v>
      </c>
      <c r="O43">
        <v>166</v>
      </c>
    </row>
    <row r="44" spans="1:15" x14ac:dyDescent="0.2">
      <c r="A44" t="s">
        <v>120</v>
      </c>
      <c r="B44" t="s">
        <v>83</v>
      </c>
      <c r="C44" t="s">
        <v>17</v>
      </c>
      <c r="D44" t="s">
        <v>75</v>
      </c>
      <c r="E44" t="s">
        <v>123</v>
      </c>
      <c r="F44">
        <v>3</v>
      </c>
      <c r="G44" t="s">
        <v>19</v>
      </c>
      <c r="H44" t="s">
        <v>22</v>
      </c>
      <c r="I44">
        <v>1</v>
      </c>
      <c r="J44">
        <v>0</v>
      </c>
      <c r="K44">
        <v>0</v>
      </c>
      <c r="L44">
        <v>46</v>
      </c>
      <c r="M44">
        <v>41</v>
      </c>
      <c r="N44">
        <v>0</v>
      </c>
      <c r="O44">
        <v>166</v>
      </c>
    </row>
    <row r="45" spans="1:15" x14ac:dyDescent="0.2">
      <c r="A45" t="s">
        <v>120</v>
      </c>
      <c r="B45" t="s">
        <v>83</v>
      </c>
      <c r="C45" t="s">
        <v>17</v>
      </c>
      <c r="D45" t="s">
        <v>75</v>
      </c>
      <c r="E45" t="s">
        <v>123</v>
      </c>
      <c r="F45">
        <v>3</v>
      </c>
      <c r="G45" t="s">
        <v>19</v>
      </c>
      <c r="H45" t="s">
        <v>23</v>
      </c>
      <c r="I45">
        <v>0</v>
      </c>
      <c r="J45">
        <v>7</v>
      </c>
      <c r="K45">
        <v>0</v>
      </c>
      <c r="L45">
        <v>46</v>
      </c>
      <c r="M45">
        <v>41</v>
      </c>
      <c r="N45">
        <v>0</v>
      </c>
      <c r="O45">
        <v>166</v>
      </c>
    </row>
    <row r="46" spans="1:15" x14ac:dyDescent="0.2">
      <c r="A46" t="s">
        <v>120</v>
      </c>
      <c r="B46" t="s">
        <v>83</v>
      </c>
      <c r="C46" t="s">
        <v>17</v>
      </c>
      <c r="D46" t="s">
        <v>75</v>
      </c>
      <c r="E46" t="s">
        <v>123</v>
      </c>
      <c r="F46">
        <v>3</v>
      </c>
      <c r="G46" t="s">
        <v>19</v>
      </c>
      <c r="H46" t="s">
        <v>24</v>
      </c>
      <c r="I46">
        <v>0</v>
      </c>
      <c r="J46">
        <v>1</v>
      </c>
      <c r="K46">
        <v>0</v>
      </c>
      <c r="L46">
        <v>46</v>
      </c>
      <c r="M46">
        <v>41</v>
      </c>
      <c r="N46">
        <v>0</v>
      </c>
      <c r="O46">
        <v>166</v>
      </c>
    </row>
    <row r="47" spans="1:15" x14ac:dyDescent="0.2">
      <c r="A47" t="s">
        <v>120</v>
      </c>
      <c r="B47" t="s">
        <v>83</v>
      </c>
      <c r="C47" t="s">
        <v>17</v>
      </c>
      <c r="D47" t="s">
        <v>75</v>
      </c>
      <c r="E47" t="s">
        <v>140</v>
      </c>
      <c r="F47">
        <v>3</v>
      </c>
      <c r="G47" t="s">
        <v>130</v>
      </c>
      <c r="H47" t="s">
        <v>20</v>
      </c>
      <c r="I47">
        <v>9</v>
      </c>
      <c r="J47">
        <v>26</v>
      </c>
      <c r="K47">
        <v>15</v>
      </c>
      <c r="L47">
        <v>14</v>
      </c>
      <c r="M47">
        <v>42</v>
      </c>
      <c r="N47">
        <v>20</v>
      </c>
      <c r="O47">
        <v>72</v>
      </c>
    </row>
    <row r="48" spans="1:15" x14ac:dyDescent="0.2">
      <c r="A48" t="s">
        <v>120</v>
      </c>
      <c r="B48" t="s">
        <v>83</v>
      </c>
      <c r="C48" t="s">
        <v>17</v>
      </c>
      <c r="D48" t="s">
        <v>75</v>
      </c>
      <c r="E48" t="s">
        <v>140</v>
      </c>
      <c r="F48">
        <v>3</v>
      </c>
      <c r="G48" t="s">
        <v>130</v>
      </c>
      <c r="H48" t="s">
        <v>21</v>
      </c>
      <c r="I48">
        <v>5</v>
      </c>
      <c r="J48">
        <v>3</v>
      </c>
      <c r="K48">
        <v>2</v>
      </c>
      <c r="L48">
        <v>14</v>
      </c>
      <c r="M48">
        <v>42</v>
      </c>
      <c r="N48">
        <v>20</v>
      </c>
      <c r="O48">
        <v>72</v>
      </c>
    </row>
    <row r="49" spans="1:15" x14ac:dyDescent="0.2">
      <c r="A49" t="s">
        <v>120</v>
      </c>
      <c r="B49" t="s">
        <v>83</v>
      </c>
      <c r="C49" t="s">
        <v>17</v>
      </c>
      <c r="D49" t="s">
        <v>75</v>
      </c>
      <c r="E49" t="s">
        <v>140</v>
      </c>
      <c r="F49">
        <v>3</v>
      </c>
      <c r="G49" t="s">
        <v>130</v>
      </c>
      <c r="H49" t="s">
        <v>22</v>
      </c>
      <c r="I49">
        <v>0</v>
      </c>
      <c r="J49">
        <v>4</v>
      </c>
      <c r="K49">
        <v>0</v>
      </c>
      <c r="L49">
        <v>14</v>
      </c>
      <c r="M49">
        <v>42</v>
      </c>
      <c r="N49">
        <v>20</v>
      </c>
      <c r="O49">
        <v>72</v>
      </c>
    </row>
    <row r="50" spans="1:15" x14ac:dyDescent="0.2">
      <c r="A50" t="s">
        <v>120</v>
      </c>
      <c r="B50" t="s">
        <v>83</v>
      </c>
      <c r="C50" t="s">
        <v>17</v>
      </c>
      <c r="D50" t="s">
        <v>75</v>
      </c>
      <c r="E50" t="s">
        <v>140</v>
      </c>
      <c r="F50">
        <v>3</v>
      </c>
      <c r="G50" t="s">
        <v>130</v>
      </c>
      <c r="H50" t="s">
        <v>23</v>
      </c>
      <c r="I50">
        <v>0</v>
      </c>
      <c r="J50">
        <v>8</v>
      </c>
      <c r="K50">
        <v>3</v>
      </c>
      <c r="L50">
        <v>14</v>
      </c>
      <c r="M50">
        <v>42</v>
      </c>
      <c r="N50">
        <v>20</v>
      </c>
      <c r="O50">
        <v>72</v>
      </c>
    </row>
    <row r="51" spans="1:15" x14ac:dyDescent="0.2">
      <c r="A51" t="s">
        <v>120</v>
      </c>
      <c r="B51" t="s">
        <v>83</v>
      </c>
      <c r="C51" t="s">
        <v>17</v>
      </c>
      <c r="D51" t="s">
        <v>75</v>
      </c>
      <c r="E51" t="s">
        <v>140</v>
      </c>
      <c r="F51">
        <v>3</v>
      </c>
      <c r="G51" t="s">
        <v>130</v>
      </c>
      <c r="H51" t="s">
        <v>24</v>
      </c>
      <c r="I51">
        <v>0</v>
      </c>
      <c r="J51">
        <v>1</v>
      </c>
      <c r="K51">
        <v>0</v>
      </c>
      <c r="L51">
        <v>14</v>
      </c>
      <c r="M51">
        <v>42</v>
      </c>
      <c r="N51">
        <v>20</v>
      </c>
      <c r="O51">
        <v>72</v>
      </c>
    </row>
    <row r="52" spans="1:15" x14ac:dyDescent="0.2">
      <c r="A52" t="s">
        <v>120</v>
      </c>
      <c r="B52" t="s">
        <v>83</v>
      </c>
      <c r="C52" t="s">
        <v>17</v>
      </c>
      <c r="D52" t="s">
        <v>75</v>
      </c>
      <c r="E52" t="s">
        <v>139</v>
      </c>
      <c r="F52">
        <v>3</v>
      </c>
      <c r="G52" t="s">
        <v>128</v>
      </c>
      <c r="H52" t="s">
        <v>20</v>
      </c>
      <c r="I52">
        <v>1</v>
      </c>
      <c r="J52">
        <v>4</v>
      </c>
      <c r="K52">
        <v>2</v>
      </c>
      <c r="L52">
        <v>1</v>
      </c>
      <c r="M52">
        <v>18</v>
      </c>
      <c r="N52">
        <v>11</v>
      </c>
      <c r="O52">
        <v>45</v>
      </c>
    </row>
    <row r="53" spans="1:15" x14ac:dyDescent="0.2">
      <c r="A53" t="s">
        <v>120</v>
      </c>
      <c r="B53" t="s">
        <v>83</v>
      </c>
      <c r="C53" t="s">
        <v>17</v>
      </c>
      <c r="D53" t="s">
        <v>75</v>
      </c>
      <c r="E53" t="s">
        <v>139</v>
      </c>
      <c r="F53">
        <v>3</v>
      </c>
      <c r="G53" t="s">
        <v>128</v>
      </c>
      <c r="H53" t="s">
        <v>21</v>
      </c>
      <c r="I53">
        <v>0</v>
      </c>
      <c r="J53">
        <v>7</v>
      </c>
      <c r="K53">
        <v>5</v>
      </c>
      <c r="L53">
        <v>1</v>
      </c>
      <c r="M53">
        <v>18</v>
      </c>
      <c r="N53">
        <v>11</v>
      </c>
      <c r="O53">
        <v>45</v>
      </c>
    </row>
    <row r="54" spans="1:15" x14ac:dyDescent="0.2">
      <c r="A54" t="s">
        <v>120</v>
      </c>
      <c r="B54" t="s">
        <v>83</v>
      </c>
      <c r="C54" t="s">
        <v>17</v>
      </c>
      <c r="D54" t="s">
        <v>75</v>
      </c>
      <c r="E54" t="s">
        <v>139</v>
      </c>
      <c r="F54">
        <v>3</v>
      </c>
      <c r="G54" t="s">
        <v>128</v>
      </c>
      <c r="H54" t="s">
        <v>22</v>
      </c>
      <c r="I54">
        <v>0</v>
      </c>
      <c r="J54">
        <v>1</v>
      </c>
      <c r="K54">
        <v>1</v>
      </c>
      <c r="L54">
        <v>1</v>
      </c>
      <c r="M54">
        <v>18</v>
      </c>
      <c r="N54">
        <v>11</v>
      </c>
      <c r="O54">
        <v>45</v>
      </c>
    </row>
    <row r="55" spans="1:15" x14ac:dyDescent="0.2">
      <c r="A55" t="s">
        <v>120</v>
      </c>
      <c r="B55" t="s">
        <v>83</v>
      </c>
      <c r="C55" t="s">
        <v>17</v>
      </c>
      <c r="D55" t="s">
        <v>75</v>
      </c>
      <c r="E55" t="s">
        <v>139</v>
      </c>
      <c r="F55">
        <v>3</v>
      </c>
      <c r="G55" t="s">
        <v>128</v>
      </c>
      <c r="H55" t="s">
        <v>23</v>
      </c>
      <c r="I55">
        <v>0</v>
      </c>
      <c r="J55">
        <v>6</v>
      </c>
      <c r="K55">
        <v>3</v>
      </c>
      <c r="L55">
        <v>1</v>
      </c>
      <c r="M55">
        <v>18</v>
      </c>
      <c r="N55">
        <v>11</v>
      </c>
      <c r="O55">
        <v>45</v>
      </c>
    </row>
    <row r="56" spans="1:15" x14ac:dyDescent="0.2">
      <c r="A56" t="s">
        <v>120</v>
      </c>
      <c r="B56" t="s">
        <v>83</v>
      </c>
      <c r="C56" t="s">
        <v>17</v>
      </c>
      <c r="D56" t="s">
        <v>75</v>
      </c>
      <c r="E56" t="s">
        <v>139</v>
      </c>
      <c r="F56">
        <v>3</v>
      </c>
      <c r="G56" t="s">
        <v>128</v>
      </c>
      <c r="H56" t="s">
        <v>24</v>
      </c>
      <c r="I56">
        <v>0</v>
      </c>
      <c r="J56">
        <v>0</v>
      </c>
      <c r="K56">
        <v>0</v>
      </c>
      <c r="L56">
        <v>1</v>
      </c>
      <c r="M56">
        <v>18</v>
      </c>
      <c r="N56">
        <v>11</v>
      </c>
      <c r="O56">
        <v>45</v>
      </c>
    </row>
    <row r="57" spans="1:15" x14ac:dyDescent="0.2">
      <c r="A57" t="s">
        <v>120</v>
      </c>
      <c r="B57" t="s">
        <v>83</v>
      </c>
      <c r="C57" t="s">
        <v>17</v>
      </c>
      <c r="D57" t="s">
        <v>75</v>
      </c>
      <c r="E57" t="s">
        <v>138</v>
      </c>
      <c r="F57">
        <v>3</v>
      </c>
      <c r="G57" t="s">
        <v>126</v>
      </c>
      <c r="H57" t="s">
        <v>20</v>
      </c>
      <c r="I57">
        <v>2</v>
      </c>
      <c r="J57">
        <v>0</v>
      </c>
      <c r="K57">
        <v>0</v>
      </c>
      <c r="L57">
        <v>3</v>
      </c>
      <c r="M57">
        <v>20</v>
      </c>
      <c r="N57">
        <v>18</v>
      </c>
      <c r="O57">
        <v>49</v>
      </c>
    </row>
    <row r="58" spans="1:15" x14ac:dyDescent="0.2">
      <c r="A58" t="s">
        <v>120</v>
      </c>
      <c r="B58" t="s">
        <v>83</v>
      </c>
      <c r="C58" t="s">
        <v>17</v>
      </c>
      <c r="D58" t="s">
        <v>75</v>
      </c>
      <c r="E58" t="s">
        <v>138</v>
      </c>
      <c r="F58">
        <v>3</v>
      </c>
      <c r="G58" t="s">
        <v>126</v>
      </c>
      <c r="H58" t="s">
        <v>21</v>
      </c>
      <c r="I58">
        <v>0</v>
      </c>
      <c r="J58">
        <v>7</v>
      </c>
      <c r="K58">
        <v>7</v>
      </c>
      <c r="L58">
        <v>3</v>
      </c>
      <c r="M58">
        <v>20</v>
      </c>
      <c r="N58">
        <v>18</v>
      </c>
      <c r="O58">
        <v>49</v>
      </c>
    </row>
    <row r="59" spans="1:15" x14ac:dyDescent="0.2">
      <c r="A59" t="s">
        <v>120</v>
      </c>
      <c r="B59" t="s">
        <v>83</v>
      </c>
      <c r="C59" t="s">
        <v>17</v>
      </c>
      <c r="D59" t="s">
        <v>75</v>
      </c>
      <c r="E59" t="s">
        <v>138</v>
      </c>
      <c r="F59">
        <v>3</v>
      </c>
      <c r="G59" t="s">
        <v>126</v>
      </c>
      <c r="H59" t="s">
        <v>22</v>
      </c>
      <c r="I59">
        <v>1</v>
      </c>
      <c r="J59">
        <v>4</v>
      </c>
      <c r="K59">
        <v>4</v>
      </c>
      <c r="L59">
        <v>3</v>
      </c>
      <c r="M59">
        <v>20</v>
      </c>
      <c r="N59">
        <v>18</v>
      </c>
      <c r="O59">
        <v>49</v>
      </c>
    </row>
    <row r="60" spans="1:15" x14ac:dyDescent="0.2">
      <c r="A60" t="s">
        <v>120</v>
      </c>
      <c r="B60" t="s">
        <v>83</v>
      </c>
      <c r="C60" t="s">
        <v>17</v>
      </c>
      <c r="D60" t="s">
        <v>75</v>
      </c>
      <c r="E60" t="s">
        <v>138</v>
      </c>
      <c r="F60">
        <v>3</v>
      </c>
      <c r="G60" t="s">
        <v>126</v>
      </c>
      <c r="H60" t="s">
        <v>23</v>
      </c>
      <c r="I60">
        <v>0</v>
      </c>
      <c r="J60">
        <v>9</v>
      </c>
      <c r="K60">
        <v>7</v>
      </c>
      <c r="L60">
        <v>3</v>
      </c>
      <c r="M60">
        <v>20</v>
      </c>
      <c r="N60">
        <v>18</v>
      </c>
      <c r="O60">
        <v>49</v>
      </c>
    </row>
    <row r="61" spans="1:15" x14ac:dyDescent="0.2">
      <c r="A61" t="s">
        <v>120</v>
      </c>
      <c r="B61" t="s">
        <v>83</v>
      </c>
      <c r="C61" t="s">
        <v>17</v>
      </c>
      <c r="D61" t="s">
        <v>75</v>
      </c>
      <c r="E61" t="s">
        <v>138</v>
      </c>
      <c r="F61">
        <v>3</v>
      </c>
      <c r="G61" t="s">
        <v>126</v>
      </c>
      <c r="H61" t="s">
        <v>24</v>
      </c>
      <c r="I61">
        <v>0</v>
      </c>
      <c r="J61">
        <v>0</v>
      </c>
      <c r="K61">
        <v>0</v>
      </c>
      <c r="L61">
        <v>3</v>
      </c>
      <c r="M61">
        <v>20</v>
      </c>
      <c r="N61">
        <v>18</v>
      </c>
      <c r="O61">
        <v>49</v>
      </c>
    </row>
    <row r="62" spans="1:15" x14ac:dyDescent="0.2">
      <c r="A62" t="s">
        <v>125</v>
      </c>
      <c r="B62" t="s">
        <v>45</v>
      </c>
      <c r="C62" t="s">
        <v>17</v>
      </c>
      <c r="D62" t="s">
        <v>75</v>
      </c>
      <c r="E62" t="s">
        <v>123</v>
      </c>
      <c r="F62">
        <v>3</v>
      </c>
      <c r="G62" t="s">
        <v>19</v>
      </c>
      <c r="H62" t="s">
        <v>20</v>
      </c>
      <c r="I62">
        <v>18</v>
      </c>
      <c r="J62">
        <v>19</v>
      </c>
      <c r="K62">
        <v>0</v>
      </c>
      <c r="L62">
        <v>38</v>
      </c>
      <c r="M62">
        <v>40</v>
      </c>
      <c r="N62">
        <v>0</v>
      </c>
      <c r="O62">
        <v>145</v>
      </c>
    </row>
    <row r="63" spans="1:15" x14ac:dyDescent="0.2">
      <c r="A63" t="s">
        <v>125</v>
      </c>
      <c r="B63" t="s">
        <v>45</v>
      </c>
      <c r="C63" t="s">
        <v>17</v>
      </c>
      <c r="D63" t="s">
        <v>75</v>
      </c>
      <c r="E63" t="s">
        <v>123</v>
      </c>
      <c r="F63">
        <v>3</v>
      </c>
      <c r="G63" t="s">
        <v>19</v>
      </c>
      <c r="H63" t="s">
        <v>21</v>
      </c>
      <c r="I63">
        <v>10</v>
      </c>
      <c r="J63">
        <v>8</v>
      </c>
      <c r="K63">
        <v>0</v>
      </c>
      <c r="L63">
        <v>38</v>
      </c>
      <c r="M63">
        <v>40</v>
      </c>
      <c r="N63">
        <v>0</v>
      </c>
      <c r="O63">
        <v>145</v>
      </c>
    </row>
    <row r="64" spans="1:15" x14ac:dyDescent="0.2">
      <c r="A64" t="s">
        <v>125</v>
      </c>
      <c r="B64" t="s">
        <v>45</v>
      </c>
      <c r="C64" t="s">
        <v>17</v>
      </c>
      <c r="D64" t="s">
        <v>75</v>
      </c>
      <c r="E64" t="s">
        <v>123</v>
      </c>
      <c r="F64">
        <v>3</v>
      </c>
      <c r="G64" t="s">
        <v>19</v>
      </c>
      <c r="H64" t="s">
        <v>22</v>
      </c>
      <c r="I64">
        <v>3</v>
      </c>
      <c r="J64">
        <v>3</v>
      </c>
      <c r="K64">
        <v>0</v>
      </c>
      <c r="L64">
        <v>38</v>
      </c>
      <c r="M64">
        <v>40</v>
      </c>
      <c r="N64">
        <v>0</v>
      </c>
      <c r="O64">
        <v>145</v>
      </c>
    </row>
    <row r="65" spans="1:15" x14ac:dyDescent="0.2">
      <c r="A65" t="s">
        <v>125</v>
      </c>
      <c r="B65" t="s">
        <v>45</v>
      </c>
      <c r="C65" t="s">
        <v>17</v>
      </c>
      <c r="D65" t="s">
        <v>75</v>
      </c>
      <c r="E65" t="s">
        <v>123</v>
      </c>
      <c r="F65">
        <v>3</v>
      </c>
      <c r="G65" t="s">
        <v>19</v>
      </c>
      <c r="H65" t="s">
        <v>23</v>
      </c>
      <c r="I65">
        <v>7</v>
      </c>
      <c r="J65">
        <v>10</v>
      </c>
      <c r="K65">
        <v>0</v>
      </c>
      <c r="L65">
        <v>38</v>
      </c>
      <c r="M65">
        <v>40</v>
      </c>
      <c r="N65">
        <v>0</v>
      </c>
      <c r="O65">
        <v>145</v>
      </c>
    </row>
    <row r="66" spans="1:15" x14ac:dyDescent="0.2">
      <c r="A66" t="s">
        <v>125</v>
      </c>
      <c r="B66" t="s">
        <v>45</v>
      </c>
      <c r="C66" t="s">
        <v>17</v>
      </c>
      <c r="D66" t="s">
        <v>75</v>
      </c>
      <c r="E66" t="s">
        <v>123</v>
      </c>
      <c r="F66">
        <v>3</v>
      </c>
      <c r="G66" t="s">
        <v>19</v>
      </c>
      <c r="H66" t="s">
        <v>24</v>
      </c>
      <c r="I66">
        <v>0</v>
      </c>
      <c r="J66">
        <v>0</v>
      </c>
      <c r="K66">
        <v>0</v>
      </c>
      <c r="L66">
        <v>38</v>
      </c>
      <c r="M66">
        <v>40</v>
      </c>
      <c r="N66">
        <v>0</v>
      </c>
      <c r="O66">
        <v>145</v>
      </c>
    </row>
    <row r="67" spans="1:15" x14ac:dyDescent="0.2">
      <c r="A67" t="s">
        <v>125</v>
      </c>
      <c r="B67" t="s">
        <v>45</v>
      </c>
      <c r="C67" t="s">
        <v>17</v>
      </c>
      <c r="D67" t="s">
        <v>75</v>
      </c>
      <c r="E67" t="s">
        <v>140</v>
      </c>
      <c r="F67">
        <v>3</v>
      </c>
      <c r="G67" t="s">
        <v>130</v>
      </c>
      <c r="H67" t="s">
        <v>20</v>
      </c>
      <c r="I67">
        <v>5</v>
      </c>
      <c r="J67">
        <v>51</v>
      </c>
      <c r="K67">
        <v>11</v>
      </c>
      <c r="L67">
        <v>24</v>
      </c>
      <c r="M67">
        <v>73</v>
      </c>
      <c r="N67">
        <v>17</v>
      </c>
      <c r="O67">
        <v>93</v>
      </c>
    </row>
    <row r="68" spans="1:15" x14ac:dyDescent="0.2">
      <c r="A68" t="s">
        <v>125</v>
      </c>
      <c r="B68" t="s">
        <v>45</v>
      </c>
      <c r="C68" t="s">
        <v>17</v>
      </c>
      <c r="D68" t="s">
        <v>75</v>
      </c>
      <c r="E68" t="s">
        <v>140</v>
      </c>
      <c r="F68">
        <v>3</v>
      </c>
      <c r="G68" t="s">
        <v>130</v>
      </c>
      <c r="H68" t="s">
        <v>21</v>
      </c>
      <c r="I68">
        <v>9</v>
      </c>
      <c r="J68">
        <v>16</v>
      </c>
      <c r="K68">
        <v>2</v>
      </c>
      <c r="L68">
        <v>24</v>
      </c>
      <c r="M68">
        <v>73</v>
      </c>
      <c r="N68">
        <v>17</v>
      </c>
      <c r="O68">
        <v>93</v>
      </c>
    </row>
    <row r="69" spans="1:15" x14ac:dyDescent="0.2">
      <c r="A69" t="s">
        <v>125</v>
      </c>
      <c r="B69" t="s">
        <v>45</v>
      </c>
      <c r="C69" t="s">
        <v>17</v>
      </c>
      <c r="D69" t="s">
        <v>75</v>
      </c>
      <c r="E69" t="s">
        <v>140</v>
      </c>
      <c r="F69">
        <v>3</v>
      </c>
      <c r="G69" t="s">
        <v>130</v>
      </c>
      <c r="H69" t="s">
        <v>22</v>
      </c>
      <c r="I69">
        <v>9</v>
      </c>
      <c r="J69">
        <v>4</v>
      </c>
      <c r="K69">
        <v>2</v>
      </c>
      <c r="L69">
        <v>24</v>
      </c>
      <c r="M69">
        <v>73</v>
      </c>
      <c r="N69">
        <v>17</v>
      </c>
      <c r="O69">
        <v>93</v>
      </c>
    </row>
    <row r="70" spans="1:15" x14ac:dyDescent="0.2">
      <c r="A70" t="s">
        <v>125</v>
      </c>
      <c r="B70" t="s">
        <v>45</v>
      </c>
      <c r="C70" t="s">
        <v>17</v>
      </c>
      <c r="D70" t="s">
        <v>75</v>
      </c>
      <c r="E70" t="s">
        <v>140</v>
      </c>
      <c r="F70">
        <v>3</v>
      </c>
      <c r="G70" t="s">
        <v>130</v>
      </c>
      <c r="H70" t="s">
        <v>23</v>
      </c>
      <c r="I70">
        <v>1</v>
      </c>
      <c r="J70">
        <v>2</v>
      </c>
      <c r="K70">
        <v>2</v>
      </c>
      <c r="L70">
        <v>24</v>
      </c>
      <c r="M70">
        <v>73</v>
      </c>
      <c r="N70">
        <v>17</v>
      </c>
      <c r="O70">
        <v>93</v>
      </c>
    </row>
    <row r="71" spans="1:15" x14ac:dyDescent="0.2">
      <c r="A71" t="s">
        <v>125</v>
      </c>
      <c r="B71" t="s">
        <v>45</v>
      </c>
      <c r="C71" t="s">
        <v>17</v>
      </c>
      <c r="D71" t="s">
        <v>75</v>
      </c>
      <c r="E71" t="s">
        <v>140</v>
      </c>
      <c r="F71">
        <v>3</v>
      </c>
      <c r="G71" t="s">
        <v>130</v>
      </c>
      <c r="H71" t="s">
        <v>24</v>
      </c>
      <c r="I71">
        <v>0</v>
      </c>
      <c r="J71">
        <v>0</v>
      </c>
      <c r="K71">
        <v>0</v>
      </c>
      <c r="L71">
        <v>24</v>
      </c>
      <c r="M71">
        <v>73</v>
      </c>
      <c r="N71">
        <v>17</v>
      </c>
      <c r="O71">
        <v>93</v>
      </c>
    </row>
    <row r="72" spans="1:15" x14ac:dyDescent="0.2">
      <c r="A72" t="s">
        <v>125</v>
      </c>
      <c r="B72" t="s">
        <v>45</v>
      </c>
      <c r="C72" t="s">
        <v>17</v>
      </c>
      <c r="D72" t="s">
        <v>75</v>
      </c>
      <c r="E72" t="s">
        <v>139</v>
      </c>
      <c r="F72">
        <v>3</v>
      </c>
      <c r="G72" t="s">
        <v>128</v>
      </c>
      <c r="H72" t="s">
        <v>20</v>
      </c>
      <c r="I72">
        <v>9</v>
      </c>
      <c r="J72">
        <v>32</v>
      </c>
      <c r="K72">
        <v>2</v>
      </c>
      <c r="L72">
        <v>30</v>
      </c>
      <c r="M72">
        <v>59</v>
      </c>
      <c r="N72">
        <v>9</v>
      </c>
      <c r="O72">
        <v>93</v>
      </c>
    </row>
    <row r="73" spans="1:15" x14ac:dyDescent="0.2">
      <c r="A73" t="s">
        <v>125</v>
      </c>
      <c r="B73" t="s">
        <v>45</v>
      </c>
      <c r="C73" t="s">
        <v>17</v>
      </c>
      <c r="D73" t="s">
        <v>75</v>
      </c>
      <c r="E73" t="s">
        <v>139</v>
      </c>
      <c r="F73">
        <v>3</v>
      </c>
      <c r="G73" t="s">
        <v>128</v>
      </c>
      <c r="H73" t="s">
        <v>21</v>
      </c>
      <c r="I73">
        <v>10</v>
      </c>
      <c r="J73">
        <v>14</v>
      </c>
      <c r="K73">
        <v>3</v>
      </c>
      <c r="L73">
        <v>30</v>
      </c>
      <c r="M73">
        <v>59</v>
      </c>
      <c r="N73">
        <v>9</v>
      </c>
      <c r="O73">
        <v>93</v>
      </c>
    </row>
    <row r="74" spans="1:15" x14ac:dyDescent="0.2">
      <c r="A74" t="s">
        <v>125</v>
      </c>
      <c r="B74" t="s">
        <v>45</v>
      </c>
      <c r="C74" t="s">
        <v>17</v>
      </c>
      <c r="D74" t="s">
        <v>75</v>
      </c>
      <c r="E74" t="s">
        <v>139</v>
      </c>
      <c r="F74">
        <v>3</v>
      </c>
      <c r="G74" t="s">
        <v>128</v>
      </c>
      <c r="H74" t="s">
        <v>22</v>
      </c>
      <c r="I74">
        <v>5</v>
      </c>
      <c r="J74">
        <v>10</v>
      </c>
      <c r="K74">
        <v>1</v>
      </c>
      <c r="L74">
        <v>30</v>
      </c>
      <c r="M74">
        <v>59</v>
      </c>
      <c r="N74">
        <v>9</v>
      </c>
      <c r="O74">
        <v>93</v>
      </c>
    </row>
    <row r="75" spans="1:15" x14ac:dyDescent="0.2">
      <c r="A75" t="s">
        <v>125</v>
      </c>
      <c r="B75" t="s">
        <v>45</v>
      </c>
      <c r="C75" t="s">
        <v>17</v>
      </c>
      <c r="D75" t="s">
        <v>75</v>
      </c>
      <c r="E75" t="s">
        <v>139</v>
      </c>
      <c r="F75">
        <v>3</v>
      </c>
      <c r="G75" t="s">
        <v>128</v>
      </c>
      <c r="H75" t="s">
        <v>23</v>
      </c>
      <c r="I75">
        <v>6</v>
      </c>
      <c r="J75">
        <v>3</v>
      </c>
      <c r="K75">
        <v>3</v>
      </c>
      <c r="L75">
        <v>30</v>
      </c>
      <c r="M75">
        <v>59</v>
      </c>
      <c r="N75">
        <v>9</v>
      </c>
      <c r="O75">
        <v>93</v>
      </c>
    </row>
    <row r="76" spans="1:15" x14ac:dyDescent="0.2">
      <c r="A76" t="s">
        <v>125</v>
      </c>
      <c r="B76" t="s">
        <v>45</v>
      </c>
      <c r="C76" t="s">
        <v>17</v>
      </c>
      <c r="D76" t="s">
        <v>75</v>
      </c>
      <c r="E76" t="s">
        <v>139</v>
      </c>
      <c r="F76">
        <v>3</v>
      </c>
      <c r="G76" t="s">
        <v>128</v>
      </c>
      <c r="H76" t="s">
        <v>24</v>
      </c>
      <c r="I76">
        <v>0</v>
      </c>
      <c r="J76">
        <v>0</v>
      </c>
      <c r="K76">
        <v>0</v>
      </c>
      <c r="L76">
        <v>30</v>
      </c>
      <c r="M76">
        <v>59</v>
      </c>
      <c r="N76">
        <v>9</v>
      </c>
      <c r="O76">
        <v>93</v>
      </c>
    </row>
    <row r="77" spans="1:15" x14ac:dyDescent="0.2">
      <c r="A77" t="s">
        <v>125</v>
      </c>
      <c r="B77" t="s">
        <v>45</v>
      </c>
      <c r="C77" t="s">
        <v>17</v>
      </c>
      <c r="D77" t="s">
        <v>75</v>
      </c>
      <c r="E77" t="s">
        <v>138</v>
      </c>
      <c r="F77">
        <v>3</v>
      </c>
      <c r="G77" t="s">
        <v>126</v>
      </c>
      <c r="H77" t="s">
        <v>20</v>
      </c>
      <c r="I77">
        <v>1</v>
      </c>
      <c r="J77">
        <v>15</v>
      </c>
      <c r="K77">
        <v>0</v>
      </c>
      <c r="L77">
        <v>30</v>
      </c>
      <c r="M77">
        <v>80</v>
      </c>
      <c r="N77">
        <v>21</v>
      </c>
      <c r="O77">
        <v>100</v>
      </c>
    </row>
    <row r="78" spans="1:15" x14ac:dyDescent="0.2">
      <c r="A78" t="s">
        <v>125</v>
      </c>
      <c r="B78" t="s">
        <v>45</v>
      </c>
      <c r="C78" t="s">
        <v>17</v>
      </c>
      <c r="D78" t="s">
        <v>75</v>
      </c>
      <c r="E78" t="s">
        <v>138</v>
      </c>
      <c r="F78">
        <v>3</v>
      </c>
      <c r="G78" t="s">
        <v>126</v>
      </c>
      <c r="H78" t="s">
        <v>21</v>
      </c>
      <c r="I78">
        <v>19</v>
      </c>
      <c r="J78">
        <v>33</v>
      </c>
      <c r="K78">
        <v>7</v>
      </c>
      <c r="L78">
        <v>30</v>
      </c>
      <c r="M78">
        <v>80</v>
      </c>
      <c r="N78">
        <v>21</v>
      </c>
      <c r="O78">
        <v>100</v>
      </c>
    </row>
    <row r="79" spans="1:15" x14ac:dyDescent="0.2">
      <c r="A79" t="s">
        <v>125</v>
      </c>
      <c r="B79" t="s">
        <v>45</v>
      </c>
      <c r="C79" t="s">
        <v>17</v>
      </c>
      <c r="D79" t="s">
        <v>75</v>
      </c>
      <c r="E79" t="s">
        <v>138</v>
      </c>
      <c r="F79">
        <v>3</v>
      </c>
      <c r="G79" t="s">
        <v>126</v>
      </c>
      <c r="H79" t="s">
        <v>22</v>
      </c>
      <c r="I79">
        <v>4</v>
      </c>
      <c r="J79">
        <v>11</v>
      </c>
      <c r="K79">
        <v>3</v>
      </c>
      <c r="L79">
        <v>30</v>
      </c>
      <c r="M79">
        <v>80</v>
      </c>
      <c r="N79">
        <v>21</v>
      </c>
      <c r="O79">
        <v>100</v>
      </c>
    </row>
    <row r="80" spans="1:15" x14ac:dyDescent="0.2">
      <c r="A80" t="s">
        <v>125</v>
      </c>
      <c r="B80" t="s">
        <v>45</v>
      </c>
      <c r="C80" t="s">
        <v>17</v>
      </c>
      <c r="D80" t="s">
        <v>75</v>
      </c>
      <c r="E80" t="s">
        <v>138</v>
      </c>
      <c r="F80">
        <v>3</v>
      </c>
      <c r="G80" t="s">
        <v>126</v>
      </c>
      <c r="H80" t="s">
        <v>23</v>
      </c>
      <c r="I80">
        <v>6</v>
      </c>
      <c r="J80">
        <v>21</v>
      </c>
      <c r="K80">
        <v>11</v>
      </c>
      <c r="L80">
        <v>30</v>
      </c>
      <c r="M80">
        <v>80</v>
      </c>
      <c r="N80">
        <v>21</v>
      </c>
      <c r="O80">
        <v>100</v>
      </c>
    </row>
    <row r="81" spans="1:15" x14ac:dyDescent="0.2">
      <c r="A81" t="s">
        <v>125</v>
      </c>
      <c r="B81" t="s">
        <v>45</v>
      </c>
      <c r="C81" t="s">
        <v>17</v>
      </c>
      <c r="D81" t="s">
        <v>75</v>
      </c>
      <c r="E81" t="s">
        <v>138</v>
      </c>
      <c r="F81">
        <v>3</v>
      </c>
      <c r="G81" t="s">
        <v>126</v>
      </c>
      <c r="H81" t="s">
        <v>24</v>
      </c>
      <c r="I81">
        <v>0</v>
      </c>
      <c r="J81">
        <v>0</v>
      </c>
      <c r="K81">
        <v>0</v>
      </c>
      <c r="L81">
        <v>30</v>
      </c>
      <c r="M81">
        <v>80</v>
      </c>
      <c r="N81">
        <v>21</v>
      </c>
      <c r="O81">
        <v>100</v>
      </c>
    </row>
    <row r="82" spans="1:15" x14ac:dyDescent="0.2">
      <c r="A82" t="s">
        <v>103</v>
      </c>
      <c r="B82" t="s">
        <v>16</v>
      </c>
      <c r="C82" t="s">
        <v>17</v>
      </c>
      <c r="D82" t="s">
        <v>75</v>
      </c>
      <c r="E82" t="s">
        <v>111</v>
      </c>
      <c r="F82">
        <v>3</v>
      </c>
      <c r="G82" t="s">
        <v>19</v>
      </c>
      <c r="H82" t="s">
        <v>20</v>
      </c>
      <c r="I82">
        <v>212</v>
      </c>
      <c r="J82">
        <v>85</v>
      </c>
      <c r="K82">
        <v>0</v>
      </c>
      <c r="L82">
        <v>261</v>
      </c>
      <c r="M82">
        <v>98</v>
      </c>
      <c r="N82">
        <v>0</v>
      </c>
      <c r="O82">
        <v>997</v>
      </c>
    </row>
    <row r="83" spans="1:15" x14ac:dyDescent="0.2">
      <c r="A83" t="s">
        <v>103</v>
      </c>
      <c r="B83" t="s">
        <v>16</v>
      </c>
      <c r="C83" t="s">
        <v>17</v>
      </c>
      <c r="D83" t="s">
        <v>75</v>
      </c>
      <c r="E83" t="s">
        <v>111</v>
      </c>
      <c r="F83">
        <v>3</v>
      </c>
      <c r="G83" t="s">
        <v>19</v>
      </c>
      <c r="H83" t="s">
        <v>21</v>
      </c>
      <c r="I83">
        <v>17</v>
      </c>
      <c r="J83">
        <v>9</v>
      </c>
      <c r="K83">
        <v>0</v>
      </c>
      <c r="L83">
        <v>261</v>
      </c>
      <c r="M83">
        <v>98</v>
      </c>
      <c r="N83">
        <v>0</v>
      </c>
      <c r="O83">
        <v>997</v>
      </c>
    </row>
    <row r="84" spans="1:15" x14ac:dyDescent="0.2">
      <c r="A84" t="s">
        <v>103</v>
      </c>
      <c r="B84" t="s">
        <v>16</v>
      </c>
      <c r="C84" t="s">
        <v>17</v>
      </c>
      <c r="D84" t="s">
        <v>75</v>
      </c>
      <c r="E84" t="s">
        <v>111</v>
      </c>
      <c r="F84">
        <v>3</v>
      </c>
      <c r="G84" t="s">
        <v>19</v>
      </c>
      <c r="H84" t="s">
        <v>22</v>
      </c>
      <c r="I84">
        <v>2</v>
      </c>
      <c r="J84">
        <v>0</v>
      </c>
      <c r="K84">
        <v>0</v>
      </c>
      <c r="L84">
        <v>261</v>
      </c>
      <c r="M84">
        <v>98</v>
      </c>
      <c r="N84">
        <v>0</v>
      </c>
      <c r="O84">
        <v>997</v>
      </c>
    </row>
    <row r="85" spans="1:15" x14ac:dyDescent="0.2">
      <c r="A85" t="s">
        <v>103</v>
      </c>
      <c r="B85" t="s">
        <v>16</v>
      </c>
      <c r="C85" t="s">
        <v>17</v>
      </c>
      <c r="D85" t="s">
        <v>75</v>
      </c>
      <c r="E85" t="s">
        <v>111</v>
      </c>
      <c r="F85">
        <v>3</v>
      </c>
      <c r="G85" t="s">
        <v>19</v>
      </c>
      <c r="H85" t="s">
        <v>23</v>
      </c>
      <c r="I85">
        <v>30</v>
      </c>
      <c r="J85">
        <v>4</v>
      </c>
      <c r="K85">
        <v>0</v>
      </c>
      <c r="L85">
        <v>261</v>
      </c>
      <c r="M85">
        <v>98</v>
      </c>
      <c r="N85">
        <v>0</v>
      </c>
      <c r="O85">
        <v>997</v>
      </c>
    </row>
    <row r="86" spans="1:15" x14ac:dyDescent="0.2">
      <c r="A86" t="s">
        <v>103</v>
      </c>
      <c r="B86" t="s">
        <v>16</v>
      </c>
      <c r="C86" t="s">
        <v>17</v>
      </c>
      <c r="D86" t="s">
        <v>75</v>
      </c>
      <c r="E86" t="s">
        <v>111</v>
      </c>
      <c r="F86">
        <v>3</v>
      </c>
      <c r="G86" t="s">
        <v>19</v>
      </c>
      <c r="H86" t="s">
        <v>24</v>
      </c>
      <c r="I86">
        <v>0</v>
      </c>
      <c r="J86">
        <v>0</v>
      </c>
      <c r="K86">
        <v>0</v>
      </c>
      <c r="L86">
        <v>261</v>
      </c>
      <c r="M86">
        <v>98</v>
      </c>
      <c r="N86">
        <v>0</v>
      </c>
      <c r="O86">
        <v>997</v>
      </c>
    </row>
    <row r="87" spans="1:15" x14ac:dyDescent="0.2">
      <c r="A87" t="s">
        <v>103</v>
      </c>
      <c r="B87" t="s">
        <v>16</v>
      </c>
      <c r="C87" t="s">
        <v>17</v>
      </c>
      <c r="D87" t="s">
        <v>75</v>
      </c>
      <c r="E87" t="s">
        <v>137</v>
      </c>
      <c r="F87">
        <v>3</v>
      </c>
      <c r="G87" t="s">
        <v>130</v>
      </c>
      <c r="H87" t="s">
        <v>20</v>
      </c>
      <c r="I87">
        <v>137</v>
      </c>
      <c r="J87">
        <v>180</v>
      </c>
      <c r="K87">
        <v>48</v>
      </c>
      <c r="L87">
        <v>198</v>
      </c>
      <c r="M87">
        <v>496</v>
      </c>
      <c r="N87">
        <v>134</v>
      </c>
      <c r="O87">
        <v>944</v>
      </c>
    </row>
    <row r="88" spans="1:15" x14ac:dyDescent="0.2">
      <c r="A88" t="s">
        <v>103</v>
      </c>
      <c r="B88" t="s">
        <v>16</v>
      </c>
      <c r="C88" t="s">
        <v>17</v>
      </c>
      <c r="D88" t="s">
        <v>75</v>
      </c>
      <c r="E88" t="s">
        <v>137</v>
      </c>
      <c r="F88">
        <v>3</v>
      </c>
      <c r="G88" t="s">
        <v>130</v>
      </c>
      <c r="H88" t="s">
        <v>21</v>
      </c>
      <c r="I88">
        <v>31</v>
      </c>
      <c r="J88">
        <v>225</v>
      </c>
      <c r="K88">
        <v>52</v>
      </c>
      <c r="L88">
        <v>198</v>
      </c>
      <c r="M88">
        <v>496</v>
      </c>
      <c r="N88">
        <v>134</v>
      </c>
      <c r="O88">
        <v>944</v>
      </c>
    </row>
    <row r="89" spans="1:15" x14ac:dyDescent="0.2">
      <c r="A89" t="s">
        <v>103</v>
      </c>
      <c r="B89" t="s">
        <v>16</v>
      </c>
      <c r="C89" t="s">
        <v>17</v>
      </c>
      <c r="D89" t="s">
        <v>75</v>
      </c>
      <c r="E89" t="s">
        <v>137</v>
      </c>
      <c r="F89">
        <v>3</v>
      </c>
      <c r="G89" t="s">
        <v>130</v>
      </c>
      <c r="H89" t="s">
        <v>22</v>
      </c>
      <c r="I89">
        <v>6</v>
      </c>
      <c r="J89">
        <v>81</v>
      </c>
      <c r="K89">
        <v>28</v>
      </c>
      <c r="L89">
        <v>198</v>
      </c>
      <c r="M89">
        <v>496</v>
      </c>
      <c r="N89">
        <v>134</v>
      </c>
      <c r="O89">
        <v>944</v>
      </c>
    </row>
    <row r="90" spans="1:15" x14ac:dyDescent="0.2">
      <c r="A90" t="s">
        <v>103</v>
      </c>
      <c r="B90" t="s">
        <v>16</v>
      </c>
      <c r="C90" t="s">
        <v>17</v>
      </c>
      <c r="D90" t="s">
        <v>75</v>
      </c>
      <c r="E90" t="s">
        <v>137</v>
      </c>
      <c r="F90">
        <v>3</v>
      </c>
      <c r="G90" t="s">
        <v>130</v>
      </c>
      <c r="H90" t="s">
        <v>23</v>
      </c>
      <c r="I90">
        <v>24</v>
      </c>
      <c r="J90">
        <v>10</v>
      </c>
      <c r="K90">
        <v>6</v>
      </c>
      <c r="L90">
        <v>198</v>
      </c>
      <c r="M90">
        <v>496</v>
      </c>
      <c r="N90">
        <v>134</v>
      </c>
      <c r="O90">
        <v>944</v>
      </c>
    </row>
    <row r="91" spans="1:15" x14ac:dyDescent="0.2">
      <c r="A91" t="s">
        <v>103</v>
      </c>
      <c r="B91" t="s">
        <v>16</v>
      </c>
      <c r="C91" t="s">
        <v>17</v>
      </c>
      <c r="D91" t="s">
        <v>75</v>
      </c>
      <c r="E91" t="s">
        <v>137</v>
      </c>
      <c r="F91">
        <v>3</v>
      </c>
      <c r="G91" t="s">
        <v>130</v>
      </c>
      <c r="H91" t="s">
        <v>24</v>
      </c>
      <c r="I91">
        <v>0</v>
      </c>
      <c r="J91">
        <v>0</v>
      </c>
      <c r="K91">
        <v>0</v>
      </c>
      <c r="L91">
        <v>198</v>
      </c>
      <c r="M91">
        <v>496</v>
      </c>
      <c r="N91">
        <v>134</v>
      </c>
      <c r="O91">
        <v>944</v>
      </c>
    </row>
    <row r="92" spans="1:15" x14ac:dyDescent="0.2">
      <c r="A92" t="s">
        <v>103</v>
      </c>
      <c r="B92" t="s">
        <v>16</v>
      </c>
      <c r="C92" t="s">
        <v>17</v>
      </c>
      <c r="D92" t="s">
        <v>75</v>
      </c>
      <c r="E92" t="s">
        <v>136</v>
      </c>
      <c r="F92">
        <v>3</v>
      </c>
      <c r="G92" t="s">
        <v>128</v>
      </c>
      <c r="H92" t="s">
        <v>20</v>
      </c>
      <c r="I92">
        <v>115</v>
      </c>
      <c r="J92">
        <v>183</v>
      </c>
      <c r="K92">
        <v>31</v>
      </c>
      <c r="L92">
        <v>185</v>
      </c>
      <c r="M92">
        <v>423</v>
      </c>
      <c r="N92">
        <v>96</v>
      </c>
      <c r="O92">
        <v>957</v>
      </c>
    </row>
    <row r="93" spans="1:15" x14ac:dyDescent="0.2">
      <c r="A93" t="s">
        <v>103</v>
      </c>
      <c r="B93" t="s">
        <v>16</v>
      </c>
      <c r="C93" t="s">
        <v>17</v>
      </c>
      <c r="D93" t="s">
        <v>75</v>
      </c>
      <c r="E93" t="s">
        <v>136</v>
      </c>
      <c r="F93">
        <v>3</v>
      </c>
      <c r="G93" t="s">
        <v>128</v>
      </c>
      <c r="H93" t="s">
        <v>21</v>
      </c>
      <c r="I93">
        <v>27</v>
      </c>
      <c r="J93">
        <v>146</v>
      </c>
      <c r="K93">
        <v>35</v>
      </c>
      <c r="L93">
        <v>185</v>
      </c>
      <c r="M93">
        <v>423</v>
      </c>
      <c r="N93">
        <v>96</v>
      </c>
      <c r="O93">
        <v>957</v>
      </c>
    </row>
    <row r="94" spans="1:15" x14ac:dyDescent="0.2">
      <c r="A94" t="s">
        <v>103</v>
      </c>
      <c r="B94" t="s">
        <v>16</v>
      </c>
      <c r="C94" t="s">
        <v>17</v>
      </c>
      <c r="D94" t="s">
        <v>75</v>
      </c>
      <c r="E94" t="s">
        <v>136</v>
      </c>
      <c r="F94">
        <v>3</v>
      </c>
      <c r="G94" t="s">
        <v>128</v>
      </c>
      <c r="H94" t="s">
        <v>22</v>
      </c>
      <c r="I94">
        <v>5</v>
      </c>
      <c r="J94">
        <v>62</v>
      </c>
      <c r="K94">
        <v>17</v>
      </c>
      <c r="L94">
        <v>185</v>
      </c>
      <c r="M94">
        <v>423</v>
      </c>
      <c r="N94">
        <v>96</v>
      </c>
      <c r="O94">
        <v>957</v>
      </c>
    </row>
    <row r="95" spans="1:15" x14ac:dyDescent="0.2">
      <c r="A95" t="s">
        <v>103</v>
      </c>
      <c r="B95" t="s">
        <v>16</v>
      </c>
      <c r="C95" t="s">
        <v>17</v>
      </c>
      <c r="D95" t="s">
        <v>75</v>
      </c>
      <c r="E95" t="s">
        <v>136</v>
      </c>
      <c r="F95">
        <v>3</v>
      </c>
      <c r="G95" t="s">
        <v>128</v>
      </c>
      <c r="H95" t="s">
        <v>23</v>
      </c>
      <c r="I95">
        <v>38</v>
      </c>
      <c r="J95">
        <v>32</v>
      </c>
      <c r="K95">
        <v>13</v>
      </c>
      <c r="L95">
        <v>185</v>
      </c>
      <c r="M95">
        <v>423</v>
      </c>
      <c r="N95">
        <v>96</v>
      </c>
      <c r="O95">
        <v>957</v>
      </c>
    </row>
    <row r="96" spans="1:15" x14ac:dyDescent="0.2">
      <c r="A96" t="s">
        <v>103</v>
      </c>
      <c r="B96" t="s">
        <v>16</v>
      </c>
      <c r="C96" t="s">
        <v>17</v>
      </c>
      <c r="D96" t="s">
        <v>75</v>
      </c>
      <c r="E96" t="s">
        <v>136</v>
      </c>
      <c r="F96">
        <v>3</v>
      </c>
      <c r="G96" t="s">
        <v>128</v>
      </c>
      <c r="H96" t="s">
        <v>24</v>
      </c>
      <c r="I96">
        <v>0</v>
      </c>
      <c r="J96">
        <v>0</v>
      </c>
      <c r="K96">
        <v>0</v>
      </c>
      <c r="L96">
        <v>185</v>
      </c>
      <c r="M96">
        <v>423</v>
      </c>
      <c r="N96">
        <v>96</v>
      </c>
      <c r="O96">
        <v>957</v>
      </c>
    </row>
    <row r="97" spans="1:15" x14ac:dyDescent="0.2">
      <c r="A97" t="s">
        <v>103</v>
      </c>
      <c r="B97" t="s">
        <v>16</v>
      </c>
      <c r="C97" t="s">
        <v>17</v>
      </c>
      <c r="D97" t="s">
        <v>75</v>
      </c>
      <c r="E97" t="s">
        <v>135</v>
      </c>
      <c r="F97">
        <v>3</v>
      </c>
      <c r="G97" t="s">
        <v>126</v>
      </c>
      <c r="H97" t="s">
        <v>20</v>
      </c>
      <c r="I97">
        <v>67</v>
      </c>
      <c r="J97">
        <v>110</v>
      </c>
      <c r="K97">
        <v>2</v>
      </c>
      <c r="L97">
        <v>164</v>
      </c>
      <c r="M97">
        <v>591</v>
      </c>
      <c r="N97">
        <v>106</v>
      </c>
      <c r="O97">
        <v>953</v>
      </c>
    </row>
    <row r="98" spans="1:15" x14ac:dyDescent="0.2">
      <c r="A98" t="s">
        <v>103</v>
      </c>
      <c r="B98" t="s">
        <v>16</v>
      </c>
      <c r="C98" t="s">
        <v>17</v>
      </c>
      <c r="D98" t="s">
        <v>75</v>
      </c>
      <c r="E98" t="s">
        <v>135</v>
      </c>
      <c r="F98">
        <v>3</v>
      </c>
      <c r="G98" t="s">
        <v>126</v>
      </c>
      <c r="H98" t="s">
        <v>21</v>
      </c>
      <c r="I98">
        <v>48</v>
      </c>
      <c r="J98">
        <v>331</v>
      </c>
      <c r="K98">
        <v>74</v>
      </c>
      <c r="L98">
        <v>164</v>
      </c>
      <c r="M98">
        <v>591</v>
      </c>
      <c r="N98">
        <v>106</v>
      </c>
      <c r="O98">
        <v>953</v>
      </c>
    </row>
    <row r="99" spans="1:15" x14ac:dyDescent="0.2">
      <c r="A99" t="s">
        <v>103</v>
      </c>
      <c r="B99" t="s">
        <v>16</v>
      </c>
      <c r="C99" t="s">
        <v>17</v>
      </c>
      <c r="D99" t="s">
        <v>75</v>
      </c>
      <c r="E99" t="s">
        <v>135</v>
      </c>
      <c r="F99">
        <v>3</v>
      </c>
      <c r="G99" t="s">
        <v>126</v>
      </c>
      <c r="H99" t="s">
        <v>22</v>
      </c>
      <c r="I99">
        <v>12</v>
      </c>
      <c r="J99">
        <v>69</v>
      </c>
      <c r="K99">
        <v>7</v>
      </c>
      <c r="L99">
        <v>164</v>
      </c>
      <c r="M99">
        <v>591</v>
      </c>
      <c r="N99">
        <v>106</v>
      </c>
      <c r="O99">
        <v>953</v>
      </c>
    </row>
    <row r="100" spans="1:15" x14ac:dyDescent="0.2">
      <c r="A100" t="s">
        <v>103</v>
      </c>
      <c r="B100" t="s">
        <v>16</v>
      </c>
      <c r="C100" t="s">
        <v>17</v>
      </c>
      <c r="D100" t="s">
        <v>75</v>
      </c>
      <c r="E100" t="s">
        <v>135</v>
      </c>
      <c r="F100">
        <v>3</v>
      </c>
      <c r="G100" t="s">
        <v>126</v>
      </c>
      <c r="H100" t="s">
        <v>23</v>
      </c>
      <c r="I100">
        <v>37</v>
      </c>
      <c r="J100">
        <v>81</v>
      </c>
      <c r="K100">
        <v>23</v>
      </c>
      <c r="L100">
        <v>164</v>
      </c>
      <c r="M100">
        <v>591</v>
      </c>
      <c r="N100">
        <v>106</v>
      </c>
      <c r="O100">
        <v>953</v>
      </c>
    </row>
    <row r="101" spans="1:15" x14ac:dyDescent="0.2">
      <c r="A101" t="s">
        <v>103</v>
      </c>
      <c r="B101" t="s">
        <v>16</v>
      </c>
      <c r="C101" t="s">
        <v>17</v>
      </c>
      <c r="D101" t="s">
        <v>75</v>
      </c>
      <c r="E101" t="s">
        <v>135</v>
      </c>
      <c r="F101">
        <v>3</v>
      </c>
      <c r="G101" t="s">
        <v>126</v>
      </c>
      <c r="H101" t="s">
        <v>24</v>
      </c>
      <c r="I101">
        <v>0</v>
      </c>
      <c r="J101">
        <v>0</v>
      </c>
      <c r="K101">
        <v>0</v>
      </c>
      <c r="L101">
        <v>164</v>
      </c>
      <c r="M101">
        <v>591</v>
      </c>
      <c r="N101">
        <v>106</v>
      </c>
      <c r="O101">
        <v>953</v>
      </c>
    </row>
    <row r="102" spans="1:15" x14ac:dyDescent="0.2">
      <c r="A102" t="s">
        <v>112</v>
      </c>
      <c r="B102" t="s">
        <v>37</v>
      </c>
      <c r="C102" t="s">
        <v>17</v>
      </c>
      <c r="D102" t="s">
        <v>75</v>
      </c>
      <c r="E102" t="s">
        <v>111</v>
      </c>
      <c r="F102">
        <v>3</v>
      </c>
      <c r="G102" t="s">
        <v>19</v>
      </c>
      <c r="H102" t="s">
        <v>20</v>
      </c>
      <c r="I102">
        <v>668</v>
      </c>
      <c r="J102">
        <v>43</v>
      </c>
      <c r="K102">
        <v>0</v>
      </c>
      <c r="L102">
        <v>879</v>
      </c>
      <c r="M102">
        <v>79</v>
      </c>
      <c r="N102">
        <v>0</v>
      </c>
      <c r="O102">
        <v>995</v>
      </c>
    </row>
    <row r="103" spans="1:15" x14ac:dyDescent="0.2">
      <c r="A103" t="s">
        <v>112</v>
      </c>
      <c r="B103" t="s">
        <v>37</v>
      </c>
      <c r="C103" t="s">
        <v>17</v>
      </c>
      <c r="D103" t="s">
        <v>75</v>
      </c>
      <c r="E103" t="s">
        <v>111</v>
      </c>
      <c r="F103">
        <v>3</v>
      </c>
      <c r="G103" t="s">
        <v>19</v>
      </c>
      <c r="H103" t="s">
        <v>21</v>
      </c>
      <c r="I103">
        <v>104</v>
      </c>
      <c r="J103">
        <v>12</v>
      </c>
      <c r="K103">
        <v>0</v>
      </c>
      <c r="L103">
        <v>879</v>
      </c>
      <c r="M103">
        <v>79</v>
      </c>
      <c r="N103">
        <v>0</v>
      </c>
      <c r="O103">
        <v>995</v>
      </c>
    </row>
    <row r="104" spans="1:15" x14ac:dyDescent="0.2">
      <c r="A104" t="s">
        <v>112</v>
      </c>
      <c r="B104" t="s">
        <v>37</v>
      </c>
      <c r="C104" t="s">
        <v>17</v>
      </c>
      <c r="D104" t="s">
        <v>75</v>
      </c>
      <c r="E104" t="s">
        <v>111</v>
      </c>
      <c r="F104">
        <v>3</v>
      </c>
      <c r="G104" t="s">
        <v>19</v>
      </c>
      <c r="H104" t="s">
        <v>22</v>
      </c>
      <c r="I104">
        <v>33</v>
      </c>
      <c r="J104">
        <v>7</v>
      </c>
      <c r="K104">
        <v>0</v>
      </c>
      <c r="L104">
        <v>879</v>
      </c>
      <c r="M104">
        <v>79</v>
      </c>
      <c r="N104">
        <v>0</v>
      </c>
      <c r="O104">
        <v>995</v>
      </c>
    </row>
    <row r="105" spans="1:15" x14ac:dyDescent="0.2">
      <c r="A105" t="s">
        <v>112</v>
      </c>
      <c r="B105" t="s">
        <v>37</v>
      </c>
      <c r="C105" t="s">
        <v>17</v>
      </c>
      <c r="D105" t="s">
        <v>75</v>
      </c>
      <c r="E105" t="s">
        <v>111</v>
      </c>
      <c r="F105">
        <v>3</v>
      </c>
      <c r="G105" t="s">
        <v>19</v>
      </c>
      <c r="H105" t="s">
        <v>23</v>
      </c>
      <c r="I105">
        <v>74</v>
      </c>
      <c r="J105">
        <v>17</v>
      </c>
      <c r="K105">
        <v>0</v>
      </c>
      <c r="L105">
        <v>879</v>
      </c>
      <c r="M105">
        <v>79</v>
      </c>
      <c r="N105">
        <v>0</v>
      </c>
      <c r="O105">
        <v>995</v>
      </c>
    </row>
    <row r="106" spans="1:15" x14ac:dyDescent="0.2">
      <c r="A106" t="s">
        <v>112</v>
      </c>
      <c r="B106" t="s">
        <v>37</v>
      </c>
      <c r="C106" t="s">
        <v>17</v>
      </c>
      <c r="D106" t="s">
        <v>75</v>
      </c>
      <c r="E106" t="s">
        <v>111</v>
      </c>
      <c r="F106">
        <v>3</v>
      </c>
      <c r="G106" t="s">
        <v>19</v>
      </c>
      <c r="H106" t="s">
        <v>24</v>
      </c>
      <c r="I106">
        <v>0</v>
      </c>
      <c r="J106">
        <v>0</v>
      </c>
      <c r="K106">
        <v>0</v>
      </c>
      <c r="L106">
        <v>879</v>
      </c>
      <c r="M106">
        <v>79</v>
      </c>
      <c r="N106">
        <v>0</v>
      </c>
      <c r="O106">
        <v>995</v>
      </c>
    </row>
    <row r="107" spans="1:15" x14ac:dyDescent="0.2">
      <c r="A107" t="s">
        <v>112</v>
      </c>
      <c r="B107" t="s">
        <v>37</v>
      </c>
      <c r="C107" t="s">
        <v>17</v>
      </c>
      <c r="D107" t="s">
        <v>75</v>
      </c>
      <c r="E107" t="s">
        <v>137</v>
      </c>
      <c r="F107">
        <v>3</v>
      </c>
      <c r="G107" t="s">
        <v>130</v>
      </c>
      <c r="H107" t="s">
        <v>20</v>
      </c>
      <c r="I107">
        <v>322</v>
      </c>
      <c r="J107">
        <v>75</v>
      </c>
      <c r="K107">
        <v>25</v>
      </c>
      <c r="L107">
        <v>430</v>
      </c>
      <c r="M107">
        <v>167</v>
      </c>
      <c r="N107">
        <v>58</v>
      </c>
      <c r="O107">
        <v>891</v>
      </c>
    </row>
    <row r="108" spans="1:15" x14ac:dyDescent="0.2">
      <c r="A108" t="s">
        <v>112</v>
      </c>
      <c r="B108" t="s">
        <v>37</v>
      </c>
      <c r="C108" t="s">
        <v>17</v>
      </c>
      <c r="D108" t="s">
        <v>75</v>
      </c>
      <c r="E108" t="s">
        <v>137</v>
      </c>
      <c r="F108">
        <v>3</v>
      </c>
      <c r="G108" t="s">
        <v>130</v>
      </c>
      <c r="H108" t="s">
        <v>21</v>
      </c>
      <c r="I108">
        <v>45</v>
      </c>
      <c r="J108">
        <v>40</v>
      </c>
      <c r="K108">
        <v>17</v>
      </c>
      <c r="L108">
        <v>430</v>
      </c>
      <c r="M108">
        <v>167</v>
      </c>
      <c r="N108">
        <v>58</v>
      </c>
      <c r="O108">
        <v>891</v>
      </c>
    </row>
    <row r="109" spans="1:15" x14ac:dyDescent="0.2">
      <c r="A109" t="s">
        <v>112</v>
      </c>
      <c r="B109" t="s">
        <v>37</v>
      </c>
      <c r="C109" t="s">
        <v>17</v>
      </c>
      <c r="D109" t="s">
        <v>75</v>
      </c>
      <c r="E109" t="s">
        <v>137</v>
      </c>
      <c r="F109">
        <v>3</v>
      </c>
      <c r="G109" t="s">
        <v>130</v>
      </c>
      <c r="H109" t="s">
        <v>22</v>
      </c>
      <c r="I109">
        <v>15</v>
      </c>
      <c r="J109">
        <v>28</v>
      </c>
      <c r="K109">
        <v>10</v>
      </c>
      <c r="L109">
        <v>430</v>
      </c>
      <c r="M109">
        <v>167</v>
      </c>
      <c r="N109">
        <v>58</v>
      </c>
      <c r="O109">
        <v>891</v>
      </c>
    </row>
    <row r="110" spans="1:15" x14ac:dyDescent="0.2">
      <c r="A110" t="s">
        <v>112</v>
      </c>
      <c r="B110" t="s">
        <v>37</v>
      </c>
      <c r="C110" t="s">
        <v>17</v>
      </c>
      <c r="D110" t="s">
        <v>75</v>
      </c>
      <c r="E110" t="s">
        <v>137</v>
      </c>
      <c r="F110">
        <v>3</v>
      </c>
      <c r="G110" t="s">
        <v>130</v>
      </c>
      <c r="H110" t="s">
        <v>23</v>
      </c>
      <c r="I110">
        <v>48</v>
      </c>
      <c r="J110">
        <v>24</v>
      </c>
      <c r="K110">
        <v>6</v>
      </c>
      <c r="L110">
        <v>430</v>
      </c>
      <c r="M110">
        <v>167</v>
      </c>
      <c r="N110">
        <v>58</v>
      </c>
      <c r="O110">
        <v>891</v>
      </c>
    </row>
    <row r="111" spans="1:15" x14ac:dyDescent="0.2">
      <c r="A111" t="s">
        <v>112</v>
      </c>
      <c r="B111" t="s">
        <v>37</v>
      </c>
      <c r="C111" t="s">
        <v>17</v>
      </c>
      <c r="D111" t="s">
        <v>75</v>
      </c>
      <c r="E111" t="s">
        <v>137</v>
      </c>
      <c r="F111">
        <v>3</v>
      </c>
      <c r="G111" t="s">
        <v>130</v>
      </c>
      <c r="H111" t="s">
        <v>24</v>
      </c>
      <c r="I111">
        <v>0</v>
      </c>
      <c r="J111">
        <v>0</v>
      </c>
      <c r="K111">
        <v>0</v>
      </c>
      <c r="L111">
        <v>430</v>
      </c>
      <c r="M111">
        <v>167</v>
      </c>
      <c r="N111">
        <v>58</v>
      </c>
      <c r="O111">
        <v>891</v>
      </c>
    </row>
    <row r="112" spans="1:15" x14ac:dyDescent="0.2">
      <c r="A112" t="s">
        <v>112</v>
      </c>
      <c r="B112" t="s">
        <v>37</v>
      </c>
      <c r="C112" t="s">
        <v>17</v>
      </c>
      <c r="D112" t="s">
        <v>75</v>
      </c>
      <c r="E112" t="s">
        <v>136</v>
      </c>
      <c r="F112">
        <v>3</v>
      </c>
      <c r="G112" t="s">
        <v>128</v>
      </c>
      <c r="H112" t="s">
        <v>20</v>
      </c>
      <c r="I112">
        <v>333</v>
      </c>
      <c r="J112">
        <v>44</v>
      </c>
      <c r="K112">
        <v>8</v>
      </c>
      <c r="L112">
        <v>449</v>
      </c>
      <c r="M112">
        <v>141</v>
      </c>
      <c r="N112">
        <v>46</v>
      </c>
      <c r="O112">
        <v>875</v>
      </c>
    </row>
    <row r="113" spans="1:15" x14ac:dyDescent="0.2">
      <c r="A113" t="s">
        <v>112</v>
      </c>
      <c r="B113" t="s">
        <v>37</v>
      </c>
      <c r="C113" t="s">
        <v>17</v>
      </c>
      <c r="D113" t="s">
        <v>75</v>
      </c>
      <c r="E113" t="s">
        <v>136</v>
      </c>
      <c r="F113">
        <v>3</v>
      </c>
      <c r="G113" t="s">
        <v>128</v>
      </c>
      <c r="H113" t="s">
        <v>21</v>
      </c>
      <c r="I113">
        <v>66</v>
      </c>
      <c r="J113">
        <v>36</v>
      </c>
      <c r="K113">
        <v>11</v>
      </c>
      <c r="L113">
        <v>449</v>
      </c>
      <c r="M113">
        <v>141</v>
      </c>
      <c r="N113">
        <v>46</v>
      </c>
      <c r="O113">
        <v>875</v>
      </c>
    </row>
    <row r="114" spans="1:15" x14ac:dyDescent="0.2">
      <c r="A114" t="s">
        <v>112</v>
      </c>
      <c r="B114" t="s">
        <v>37</v>
      </c>
      <c r="C114" t="s">
        <v>17</v>
      </c>
      <c r="D114" t="s">
        <v>75</v>
      </c>
      <c r="E114" t="s">
        <v>136</v>
      </c>
      <c r="F114">
        <v>3</v>
      </c>
      <c r="G114" t="s">
        <v>128</v>
      </c>
      <c r="H114" t="s">
        <v>22</v>
      </c>
      <c r="I114">
        <v>13</v>
      </c>
      <c r="J114">
        <v>25</v>
      </c>
      <c r="K114">
        <v>16</v>
      </c>
      <c r="L114">
        <v>449</v>
      </c>
      <c r="M114">
        <v>141</v>
      </c>
      <c r="N114">
        <v>46</v>
      </c>
      <c r="O114">
        <v>875</v>
      </c>
    </row>
    <row r="115" spans="1:15" x14ac:dyDescent="0.2">
      <c r="A115" t="s">
        <v>112</v>
      </c>
      <c r="B115" t="s">
        <v>37</v>
      </c>
      <c r="C115" t="s">
        <v>17</v>
      </c>
      <c r="D115" t="s">
        <v>75</v>
      </c>
      <c r="E115" t="s">
        <v>136</v>
      </c>
      <c r="F115">
        <v>3</v>
      </c>
      <c r="G115" t="s">
        <v>128</v>
      </c>
      <c r="H115" t="s">
        <v>23</v>
      </c>
      <c r="I115">
        <v>37</v>
      </c>
      <c r="J115">
        <v>36</v>
      </c>
      <c r="K115">
        <v>11</v>
      </c>
      <c r="L115">
        <v>449</v>
      </c>
      <c r="M115">
        <v>141</v>
      </c>
      <c r="N115">
        <v>46</v>
      </c>
      <c r="O115">
        <v>875</v>
      </c>
    </row>
    <row r="116" spans="1:15" x14ac:dyDescent="0.2">
      <c r="A116" t="s">
        <v>112</v>
      </c>
      <c r="B116" t="s">
        <v>37</v>
      </c>
      <c r="C116" t="s">
        <v>17</v>
      </c>
      <c r="D116" t="s">
        <v>75</v>
      </c>
      <c r="E116" t="s">
        <v>136</v>
      </c>
      <c r="F116">
        <v>3</v>
      </c>
      <c r="G116" t="s">
        <v>128</v>
      </c>
      <c r="H116" t="s">
        <v>24</v>
      </c>
      <c r="I116">
        <v>0</v>
      </c>
      <c r="J116">
        <v>0</v>
      </c>
      <c r="K116">
        <v>0</v>
      </c>
      <c r="L116">
        <v>449</v>
      </c>
      <c r="M116">
        <v>141</v>
      </c>
      <c r="N116">
        <v>46</v>
      </c>
      <c r="O116">
        <v>875</v>
      </c>
    </row>
    <row r="117" spans="1:15" x14ac:dyDescent="0.2">
      <c r="A117" t="s">
        <v>112</v>
      </c>
      <c r="B117" t="s">
        <v>37</v>
      </c>
      <c r="C117" t="s">
        <v>17</v>
      </c>
      <c r="D117" t="s">
        <v>75</v>
      </c>
      <c r="E117" t="s">
        <v>135</v>
      </c>
      <c r="F117">
        <v>3</v>
      </c>
      <c r="G117" t="s">
        <v>126</v>
      </c>
      <c r="H117" t="s">
        <v>20</v>
      </c>
      <c r="I117">
        <v>345</v>
      </c>
      <c r="J117">
        <v>29</v>
      </c>
      <c r="K117">
        <v>2</v>
      </c>
      <c r="L117">
        <v>473</v>
      </c>
      <c r="M117">
        <v>135</v>
      </c>
      <c r="N117">
        <v>49</v>
      </c>
      <c r="O117">
        <v>916</v>
      </c>
    </row>
    <row r="118" spans="1:15" x14ac:dyDescent="0.2">
      <c r="A118" t="s">
        <v>112</v>
      </c>
      <c r="B118" t="s">
        <v>37</v>
      </c>
      <c r="C118" t="s">
        <v>17</v>
      </c>
      <c r="D118" t="s">
        <v>75</v>
      </c>
      <c r="E118" t="s">
        <v>135</v>
      </c>
      <c r="F118">
        <v>3</v>
      </c>
      <c r="G118" t="s">
        <v>126</v>
      </c>
      <c r="H118" t="s">
        <v>21</v>
      </c>
      <c r="I118">
        <v>76</v>
      </c>
      <c r="J118">
        <v>43</v>
      </c>
      <c r="K118">
        <v>16</v>
      </c>
      <c r="L118">
        <v>473</v>
      </c>
      <c r="M118">
        <v>135</v>
      </c>
      <c r="N118">
        <v>49</v>
      </c>
      <c r="O118">
        <v>916</v>
      </c>
    </row>
    <row r="119" spans="1:15" x14ac:dyDescent="0.2">
      <c r="A119" t="s">
        <v>112</v>
      </c>
      <c r="B119" t="s">
        <v>37</v>
      </c>
      <c r="C119" t="s">
        <v>17</v>
      </c>
      <c r="D119" t="s">
        <v>75</v>
      </c>
      <c r="E119" t="s">
        <v>135</v>
      </c>
      <c r="F119">
        <v>3</v>
      </c>
      <c r="G119" t="s">
        <v>126</v>
      </c>
      <c r="H119" t="s">
        <v>22</v>
      </c>
      <c r="I119">
        <v>7</v>
      </c>
      <c r="J119">
        <v>24</v>
      </c>
      <c r="K119">
        <v>16</v>
      </c>
      <c r="L119">
        <v>473</v>
      </c>
      <c r="M119">
        <v>135</v>
      </c>
      <c r="N119">
        <v>49</v>
      </c>
      <c r="O119">
        <v>916</v>
      </c>
    </row>
    <row r="120" spans="1:15" x14ac:dyDescent="0.2">
      <c r="A120" t="s">
        <v>112</v>
      </c>
      <c r="B120" t="s">
        <v>37</v>
      </c>
      <c r="C120" t="s">
        <v>17</v>
      </c>
      <c r="D120" t="s">
        <v>75</v>
      </c>
      <c r="E120" t="s">
        <v>135</v>
      </c>
      <c r="F120">
        <v>3</v>
      </c>
      <c r="G120" t="s">
        <v>126</v>
      </c>
      <c r="H120" t="s">
        <v>23</v>
      </c>
      <c r="I120">
        <v>45</v>
      </c>
      <c r="J120">
        <v>39</v>
      </c>
      <c r="K120">
        <v>15</v>
      </c>
      <c r="L120">
        <v>473</v>
      </c>
      <c r="M120">
        <v>135</v>
      </c>
      <c r="N120">
        <v>49</v>
      </c>
      <c r="O120">
        <v>916</v>
      </c>
    </row>
    <row r="121" spans="1:15" x14ac:dyDescent="0.2">
      <c r="A121" t="s">
        <v>112</v>
      </c>
      <c r="B121" t="s">
        <v>37</v>
      </c>
      <c r="C121" t="s">
        <v>17</v>
      </c>
      <c r="D121" t="s">
        <v>75</v>
      </c>
      <c r="E121" t="s">
        <v>135</v>
      </c>
      <c r="F121">
        <v>3</v>
      </c>
      <c r="G121" t="s">
        <v>126</v>
      </c>
      <c r="H121" t="s">
        <v>24</v>
      </c>
      <c r="I121">
        <v>0</v>
      </c>
      <c r="J121">
        <v>0</v>
      </c>
      <c r="K121">
        <v>0</v>
      </c>
      <c r="L121">
        <v>473</v>
      </c>
      <c r="M121">
        <v>135</v>
      </c>
      <c r="N121">
        <v>49</v>
      </c>
      <c r="O121">
        <v>916</v>
      </c>
    </row>
    <row r="122" spans="1:15" x14ac:dyDescent="0.2">
      <c r="A122" t="s">
        <v>108</v>
      </c>
      <c r="B122" t="s">
        <v>83</v>
      </c>
      <c r="C122" t="s">
        <v>17</v>
      </c>
      <c r="D122" t="s">
        <v>75</v>
      </c>
      <c r="E122" t="s">
        <v>111</v>
      </c>
      <c r="F122">
        <v>3</v>
      </c>
      <c r="G122" t="s">
        <v>19</v>
      </c>
      <c r="H122" t="s">
        <v>20</v>
      </c>
      <c r="I122">
        <v>24</v>
      </c>
      <c r="J122">
        <v>43</v>
      </c>
      <c r="K122">
        <v>0</v>
      </c>
      <c r="L122">
        <v>41</v>
      </c>
      <c r="M122">
        <v>133</v>
      </c>
      <c r="N122">
        <v>0</v>
      </c>
      <c r="O122">
        <v>617</v>
      </c>
    </row>
    <row r="123" spans="1:15" x14ac:dyDescent="0.2">
      <c r="A123" t="s">
        <v>108</v>
      </c>
      <c r="B123" t="s">
        <v>83</v>
      </c>
      <c r="C123" t="s">
        <v>17</v>
      </c>
      <c r="D123" t="s">
        <v>75</v>
      </c>
      <c r="E123" t="s">
        <v>111</v>
      </c>
      <c r="F123">
        <v>3</v>
      </c>
      <c r="G123" t="s">
        <v>19</v>
      </c>
      <c r="H123" t="s">
        <v>21</v>
      </c>
      <c r="I123">
        <v>11</v>
      </c>
      <c r="J123">
        <v>20</v>
      </c>
      <c r="K123">
        <v>0</v>
      </c>
      <c r="L123">
        <v>41</v>
      </c>
      <c r="M123">
        <v>133</v>
      </c>
      <c r="N123">
        <v>0</v>
      </c>
      <c r="O123">
        <v>617</v>
      </c>
    </row>
    <row r="124" spans="1:15" x14ac:dyDescent="0.2">
      <c r="A124" t="s">
        <v>108</v>
      </c>
      <c r="B124" t="s">
        <v>83</v>
      </c>
      <c r="C124" t="s">
        <v>17</v>
      </c>
      <c r="D124" t="s">
        <v>75</v>
      </c>
      <c r="E124" t="s">
        <v>111</v>
      </c>
      <c r="F124">
        <v>3</v>
      </c>
      <c r="G124" t="s">
        <v>19</v>
      </c>
      <c r="H124" t="s">
        <v>22</v>
      </c>
      <c r="I124">
        <v>2</v>
      </c>
      <c r="J124">
        <v>9</v>
      </c>
      <c r="K124">
        <v>0</v>
      </c>
      <c r="L124">
        <v>41</v>
      </c>
      <c r="M124">
        <v>133</v>
      </c>
      <c r="N124">
        <v>0</v>
      </c>
      <c r="O124">
        <v>617</v>
      </c>
    </row>
    <row r="125" spans="1:15" x14ac:dyDescent="0.2">
      <c r="A125" t="s">
        <v>108</v>
      </c>
      <c r="B125" t="s">
        <v>83</v>
      </c>
      <c r="C125" t="s">
        <v>17</v>
      </c>
      <c r="D125" t="s">
        <v>75</v>
      </c>
      <c r="E125" t="s">
        <v>111</v>
      </c>
      <c r="F125">
        <v>3</v>
      </c>
      <c r="G125" t="s">
        <v>19</v>
      </c>
      <c r="H125" t="s">
        <v>23</v>
      </c>
      <c r="I125">
        <v>4</v>
      </c>
      <c r="J125">
        <v>61</v>
      </c>
      <c r="K125">
        <v>0</v>
      </c>
      <c r="L125">
        <v>41</v>
      </c>
      <c r="M125">
        <v>133</v>
      </c>
      <c r="N125">
        <v>0</v>
      </c>
      <c r="O125">
        <v>617</v>
      </c>
    </row>
    <row r="126" spans="1:15" x14ac:dyDescent="0.2">
      <c r="A126" t="s">
        <v>108</v>
      </c>
      <c r="B126" t="s">
        <v>83</v>
      </c>
      <c r="C126" t="s">
        <v>17</v>
      </c>
      <c r="D126" t="s">
        <v>75</v>
      </c>
      <c r="E126" t="s">
        <v>111</v>
      </c>
      <c r="F126">
        <v>3</v>
      </c>
      <c r="G126" t="s">
        <v>19</v>
      </c>
      <c r="H126" t="s">
        <v>24</v>
      </c>
      <c r="I126">
        <v>0</v>
      </c>
      <c r="J126">
        <v>0</v>
      </c>
      <c r="K126">
        <v>0</v>
      </c>
      <c r="L126">
        <v>41</v>
      </c>
      <c r="M126">
        <v>133</v>
      </c>
      <c r="N126">
        <v>0</v>
      </c>
      <c r="O126">
        <v>617</v>
      </c>
    </row>
    <row r="127" spans="1:15" x14ac:dyDescent="0.2">
      <c r="A127" t="s">
        <v>108</v>
      </c>
      <c r="B127" t="s">
        <v>83</v>
      </c>
      <c r="C127" t="s">
        <v>17</v>
      </c>
      <c r="D127" t="s">
        <v>75</v>
      </c>
      <c r="E127" t="s">
        <v>137</v>
      </c>
      <c r="F127">
        <v>3</v>
      </c>
      <c r="G127" t="s">
        <v>130</v>
      </c>
      <c r="H127" t="s">
        <v>20</v>
      </c>
      <c r="I127">
        <v>5</v>
      </c>
      <c r="J127">
        <v>27</v>
      </c>
      <c r="K127">
        <v>13</v>
      </c>
      <c r="L127">
        <v>8</v>
      </c>
      <c r="M127">
        <v>56</v>
      </c>
      <c r="N127">
        <v>21</v>
      </c>
      <c r="O127">
        <v>89</v>
      </c>
    </row>
    <row r="128" spans="1:15" x14ac:dyDescent="0.2">
      <c r="A128" t="s">
        <v>108</v>
      </c>
      <c r="B128" t="s">
        <v>83</v>
      </c>
      <c r="C128" t="s">
        <v>17</v>
      </c>
      <c r="D128" t="s">
        <v>75</v>
      </c>
      <c r="E128" t="s">
        <v>137</v>
      </c>
      <c r="F128">
        <v>3</v>
      </c>
      <c r="G128" t="s">
        <v>130</v>
      </c>
      <c r="H128" t="s">
        <v>21</v>
      </c>
      <c r="I128">
        <v>3</v>
      </c>
      <c r="J128">
        <v>11</v>
      </c>
      <c r="K128">
        <v>4</v>
      </c>
      <c r="L128">
        <v>8</v>
      </c>
      <c r="M128">
        <v>56</v>
      </c>
      <c r="N128">
        <v>21</v>
      </c>
      <c r="O128">
        <v>89</v>
      </c>
    </row>
    <row r="129" spans="1:15" x14ac:dyDescent="0.2">
      <c r="A129" t="s">
        <v>108</v>
      </c>
      <c r="B129" t="s">
        <v>83</v>
      </c>
      <c r="C129" t="s">
        <v>17</v>
      </c>
      <c r="D129" t="s">
        <v>75</v>
      </c>
      <c r="E129" t="s">
        <v>137</v>
      </c>
      <c r="F129">
        <v>3</v>
      </c>
      <c r="G129" t="s">
        <v>130</v>
      </c>
      <c r="H129" t="s">
        <v>22</v>
      </c>
      <c r="I129">
        <v>0</v>
      </c>
      <c r="J129">
        <v>7</v>
      </c>
      <c r="K129">
        <v>3</v>
      </c>
      <c r="L129">
        <v>8</v>
      </c>
      <c r="M129">
        <v>56</v>
      </c>
      <c r="N129">
        <v>21</v>
      </c>
      <c r="O129">
        <v>89</v>
      </c>
    </row>
    <row r="130" spans="1:15" x14ac:dyDescent="0.2">
      <c r="A130" t="s">
        <v>108</v>
      </c>
      <c r="B130" t="s">
        <v>83</v>
      </c>
      <c r="C130" t="s">
        <v>17</v>
      </c>
      <c r="D130" t="s">
        <v>75</v>
      </c>
      <c r="E130" t="s">
        <v>137</v>
      </c>
      <c r="F130">
        <v>3</v>
      </c>
      <c r="G130" t="s">
        <v>130</v>
      </c>
      <c r="H130" t="s">
        <v>23</v>
      </c>
      <c r="I130">
        <v>0</v>
      </c>
      <c r="J130">
        <v>11</v>
      </c>
      <c r="K130">
        <v>1</v>
      </c>
      <c r="L130">
        <v>8</v>
      </c>
      <c r="M130">
        <v>56</v>
      </c>
      <c r="N130">
        <v>21</v>
      </c>
      <c r="O130">
        <v>89</v>
      </c>
    </row>
    <row r="131" spans="1:15" x14ac:dyDescent="0.2">
      <c r="A131" t="s">
        <v>108</v>
      </c>
      <c r="B131" t="s">
        <v>83</v>
      </c>
      <c r="C131" t="s">
        <v>17</v>
      </c>
      <c r="D131" t="s">
        <v>75</v>
      </c>
      <c r="E131" t="s">
        <v>137</v>
      </c>
      <c r="F131">
        <v>3</v>
      </c>
      <c r="G131" t="s">
        <v>130</v>
      </c>
      <c r="H131" t="s">
        <v>24</v>
      </c>
      <c r="I131">
        <v>0</v>
      </c>
      <c r="J131">
        <v>0</v>
      </c>
      <c r="K131">
        <v>0</v>
      </c>
      <c r="L131">
        <v>8</v>
      </c>
      <c r="M131">
        <v>56</v>
      </c>
      <c r="N131">
        <v>21</v>
      </c>
      <c r="O131">
        <v>89</v>
      </c>
    </row>
    <row r="132" spans="1:15" x14ac:dyDescent="0.2">
      <c r="A132" t="s">
        <v>108</v>
      </c>
      <c r="B132" t="s">
        <v>83</v>
      </c>
      <c r="C132" t="s">
        <v>17</v>
      </c>
      <c r="D132" t="s">
        <v>75</v>
      </c>
      <c r="E132" t="s">
        <v>136</v>
      </c>
      <c r="F132">
        <v>3</v>
      </c>
      <c r="G132" t="s">
        <v>128</v>
      </c>
      <c r="H132" t="s">
        <v>20</v>
      </c>
      <c r="I132">
        <v>2</v>
      </c>
      <c r="J132">
        <v>11</v>
      </c>
      <c r="K132">
        <v>3</v>
      </c>
      <c r="L132">
        <v>2</v>
      </c>
      <c r="M132">
        <v>36</v>
      </c>
      <c r="N132">
        <v>17</v>
      </c>
      <c r="O132">
        <v>78</v>
      </c>
    </row>
    <row r="133" spans="1:15" x14ac:dyDescent="0.2">
      <c r="A133" t="s">
        <v>108</v>
      </c>
      <c r="B133" t="s">
        <v>83</v>
      </c>
      <c r="C133" t="s">
        <v>17</v>
      </c>
      <c r="D133" t="s">
        <v>75</v>
      </c>
      <c r="E133" t="s">
        <v>136</v>
      </c>
      <c r="F133">
        <v>3</v>
      </c>
      <c r="G133" t="s">
        <v>128</v>
      </c>
      <c r="H133" t="s">
        <v>21</v>
      </c>
      <c r="I133">
        <v>0</v>
      </c>
      <c r="J133">
        <v>10</v>
      </c>
      <c r="K133">
        <v>7</v>
      </c>
      <c r="L133">
        <v>2</v>
      </c>
      <c r="M133">
        <v>36</v>
      </c>
      <c r="N133">
        <v>17</v>
      </c>
      <c r="O133">
        <v>78</v>
      </c>
    </row>
    <row r="134" spans="1:15" x14ac:dyDescent="0.2">
      <c r="A134" t="s">
        <v>108</v>
      </c>
      <c r="B134" t="s">
        <v>83</v>
      </c>
      <c r="C134" t="s">
        <v>17</v>
      </c>
      <c r="D134" t="s">
        <v>75</v>
      </c>
      <c r="E134" t="s">
        <v>136</v>
      </c>
      <c r="F134">
        <v>3</v>
      </c>
      <c r="G134" t="s">
        <v>128</v>
      </c>
      <c r="H134" t="s">
        <v>22</v>
      </c>
      <c r="I134">
        <v>0</v>
      </c>
      <c r="J134">
        <v>8</v>
      </c>
      <c r="K134">
        <v>6</v>
      </c>
      <c r="L134">
        <v>2</v>
      </c>
      <c r="M134">
        <v>36</v>
      </c>
      <c r="N134">
        <v>17</v>
      </c>
      <c r="O134">
        <v>78</v>
      </c>
    </row>
    <row r="135" spans="1:15" x14ac:dyDescent="0.2">
      <c r="A135" t="s">
        <v>108</v>
      </c>
      <c r="B135" t="s">
        <v>83</v>
      </c>
      <c r="C135" t="s">
        <v>17</v>
      </c>
      <c r="D135" t="s">
        <v>75</v>
      </c>
      <c r="E135" t="s">
        <v>136</v>
      </c>
      <c r="F135">
        <v>3</v>
      </c>
      <c r="G135" t="s">
        <v>128</v>
      </c>
      <c r="H135" t="s">
        <v>23</v>
      </c>
      <c r="I135">
        <v>0</v>
      </c>
      <c r="J135">
        <v>7</v>
      </c>
      <c r="K135">
        <v>1</v>
      </c>
      <c r="L135">
        <v>2</v>
      </c>
      <c r="M135">
        <v>36</v>
      </c>
      <c r="N135">
        <v>17</v>
      </c>
      <c r="O135">
        <v>78</v>
      </c>
    </row>
    <row r="136" spans="1:15" x14ac:dyDescent="0.2">
      <c r="A136" t="s">
        <v>108</v>
      </c>
      <c r="B136" t="s">
        <v>83</v>
      </c>
      <c r="C136" t="s">
        <v>17</v>
      </c>
      <c r="D136" t="s">
        <v>75</v>
      </c>
      <c r="E136" t="s">
        <v>136</v>
      </c>
      <c r="F136">
        <v>3</v>
      </c>
      <c r="G136" t="s">
        <v>128</v>
      </c>
      <c r="H136" t="s">
        <v>24</v>
      </c>
      <c r="I136">
        <v>0</v>
      </c>
      <c r="J136">
        <v>0</v>
      </c>
      <c r="K136">
        <v>0</v>
      </c>
      <c r="L136">
        <v>2</v>
      </c>
      <c r="M136">
        <v>36</v>
      </c>
      <c r="N136">
        <v>17</v>
      </c>
      <c r="O136">
        <v>78</v>
      </c>
    </row>
    <row r="137" spans="1:15" x14ac:dyDescent="0.2">
      <c r="A137" t="s">
        <v>108</v>
      </c>
      <c r="B137" t="s">
        <v>83</v>
      </c>
      <c r="C137" t="s">
        <v>17</v>
      </c>
      <c r="D137" t="s">
        <v>75</v>
      </c>
      <c r="E137" t="s">
        <v>135</v>
      </c>
      <c r="F137">
        <v>3</v>
      </c>
      <c r="G137" t="s">
        <v>126</v>
      </c>
      <c r="H137" t="s">
        <v>20</v>
      </c>
      <c r="I137">
        <v>1</v>
      </c>
      <c r="J137">
        <v>3</v>
      </c>
      <c r="K137">
        <v>0</v>
      </c>
      <c r="L137">
        <v>6</v>
      </c>
      <c r="M137">
        <v>39</v>
      </c>
      <c r="N137">
        <v>17</v>
      </c>
      <c r="O137">
        <v>93</v>
      </c>
    </row>
    <row r="138" spans="1:15" x14ac:dyDescent="0.2">
      <c r="A138" t="s">
        <v>108</v>
      </c>
      <c r="B138" t="s">
        <v>83</v>
      </c>
      <c r="C138" t="s">
        <v>17</v>
      </c>
      <c r="D138" t="s">
        <v>75</v>
      </c>
      <c r="E138" t="s">
        <v>135</v>
      </c>
      <c r="F138">
        <v>3</v>
      </c>
      <c r="G138" t="s">
        <v>126</v>
      </c>
      <c r="H138" t="s">
        <v>21</v>
      </c>
      <c r="I138">
        <v>4</v>
      </c>
      <c r="J138">
        <v>11</v>
      </c>
      <c r="K138">
        <v>5</v>
      </c>
      <c r="L138">
        <v>6</v>
      </c>
      <c r="M138">
        <v>39</v>
      </c>
      <c r="N138">
        <v>17</v>
      </c>
      <c r="O138">
        <v>93</v>
      </c>
    </row>
    <row r="139" spans="1:15" x14ac:dyDescent="0.2">
      <c r="A139" t="s">
        <v>108</v>
      </c>
      <c r="B139" t="s">
        <v>83</v>
      </c>
      <c r="C139" t="s">
        <v>17</v>
      </c>
      <c r="D139" t="s">
        <v>75</v>
      </c>
      <c r="E139" t="s">
        <v>135</v>
      </c>
      <c r="F139">
        <v>3</v>
      </c>
      <c r="G139" t="s">
        <v>126</v>
      </c>
      <c r="H139" t="s">
        <v>22</v>
      </c>
      <c r="I139">
        <v>1</v>
      </c>
      <c r="J139">
        <v>14</v>
      </c>
      <c r="K139">
        <v>7</v>
      </c>
      <c r="L139">
        <v>6</v>
      </c>
      <c r="M139">
        <v>39</v>
      </c>
      <c r="N139">
        <v>17</v>
      </c>
      <c r="O139">
        <v>93</v>
      </c>
    </row>
    <row r="140" spans="1:15" x14ac:dyDescent="0.2">
      <c r="A140" t="s">
        <v>108</v>
      </c>
      <c r="B140" t="s">
        <v>83</v>
      </c>
      <c r="C140" t="s">
        <v>17</v>
      </c>
      <c r="D140" t="s">
        <v>75</v>
      </c>
      <c r="E140" t="s">
        <v>135</v>
      </c>
      <c r="F140">
        <v>3</v>
      </c>
      <c r="G140" t="s">
        <v>126</v>
      </c>
      <c r="H140" t="s">
        <v>23</v>
      </c>
      <c r="I140">
        <v>0</v>
      </c>
      <c r="J140">
        <v>11</v>
      </c>
      <c r="K140">
        <v>5</v>
      </c>
      <c r="L140">
        <v>6</v>
      </c>
      <c r="M140">
        <v>39</v>
      </c>
      <c r="N140">
        <v>17</v>
      </c>
      <c r="O140">
        <v>93</v>
      </c>
    </row>
    <row r="141" spans="1:15" x14ac:dyDescent="0.2">
      <c r="A141" t="s">
        <v>108</v>
      </c>
      <c r="B141" t="s">
        <v>83</v>
      </c>
      <c r="C141" t="s">
        <v>17</v>
      </c>
      <c r="D141" t="s">
        <v>75</v>
      </c>
      <c r="E141" t="s">
        <v>135</v>
      </c>
      <c r="F141">
        <v>3</v>
      </c>
      <c r="G141" t="s">
        <v>126</v>
      </c>
      <c r="H141" t="s">
        <v>24</v>
      </c>
      <c r="I141">
        <v>0</v>
      </c>
      <c r="J141">
        <v>0</v>
      </c>
      <c r="K141">
        <v>0</v>
      </c>
      <c r="L141">
        <v>6</v>
      </c>
      <c r="M141">
        <v>39</v>
      </c>
      <c r="N141">
        <v>17</v>
      </c>
      <c r="O141">
        <v>93</v>
      </c>
    </row>
    <row r="142" spans="1:15" x14ac:dyDescent="0.2">
      <c r="A142" t="s">
        <v>113</v>
      </c>
      <c r="B142" t="s">
        <v>45</v>
      </c>
      <c r="C142" t="s">
        <v>17</v>
      </c>
      <c r="D142" t="s">
        <v>75</v>
      </c>
      <c r="E142" t="s">
        <v>111</v>
      </c>
      <c r="F142">
        <v>3</v>
      </c>
      <c r="G142" t="s">
        <v>19</v>
      </c>
      <c r="H142" t="s">
        <v>20</v>
      </c>
      <c r="I142">
        <v>54</v>
      </c>
      <c r="J142">
        <v>82</v>
      </c>
      <c r="K142">
        <v>0</v>
      </c>
      <c r="L142">
        <v>162</v>
      </c>
      <c r="M142">
        <v>209</v>
      </c>
      <c r="N142">
        <v>0</v>
      </c>
      <c r="O142">
        <v>869</v>
      </c>
    </row>
    <row r="143" spans="1:15" x14ac:dyDescent="0.2">
      <c r="A143" t="s">
        <v>113</v>
      </c>
      <c r="B143" t="s">
        <v>45</v>
      </c>
      <c r="C143" t="s">
        <v>17</v>
      </c>
      <c r="D143" t="s">
        <v>75</v>
      </c>
      <c r="E143" t="s">
        <v>111</v>
      </c>
      <c r="F143">
        <v>3</v>
      </c>
      <c r="G143" t="s">
        <v>19</v>
      </c>
      <c r="H143" t="s">
        <v>21</v>
      </c>
      <c r="I143">
        <v>54</v>
      </c>
      <c r="J143">
        <v>72</v>
      </c>
      <c r="K143">
        <v>0</v>
      </c>
      <c r="L143">
        <v>162</v>
      </c>
      <c r="M143">
        <v>209</v>
      </c>
      <c r="N143">
        <v>0</v>
      </c>
      <c r="O143">
        <v>869</v>
      </c>
    </row>
    <row r="144" spans="1:15" x14ac:dyDescent="0.2">
      <c r="A144" t="s">
        <v>113</v>
      </c>
      <c r="B144" t="s">
        <v>45</v>
      </c>
      <c r="C144" t="s">
        <v>17</v>
      </c>
      <c r="D144" t="s">
        <v>75</v>
      </c>
      <c r="E144" t="s">
        <v>111</v>
      </c>
      <c r="F144">
        <v>3</v>
      </c>
      <c r="G144" t="s">
        <v>19</v>
      </c>
      <c r="H144" t="s">
        <v>22</v>
      </c>
      <c r="I144">
        <v>24</v>
      </c>
      <c r="J144">
        <v>40</v>
      </c>
      <c r="K144">
        <v>0</v>
      </c>
      <c r="L144">
        <v>162</v>
      </c>
      <c r="M144">
        <v>209</v>
      </c>
      <c r="N144">
        <v>0</v>
      </c>
      <c r="O144">
        <v>869</v>
      </c>
    </row>
    <row r="145" spans="1:15" x14ac:dyDescent="0.2">
      <c r="A145" t="s">
        <v>113</v>
      </c>
      <c r="B145" t="s">
        <v>45</v>
      </c>
      <c r="C145" t="s">
        <v>17</v>
      </c>
      <c r="D145" t="s">
        <v>75</v>
      </c>
      <c r="E145" t="s">
        <v>111</v>
      </c>
      <c r="F145">
        <v>3</v>
      </c>
      <c r="G145" t="s">
        <v>19</v>
      </c>
      <c r="H145" t="s">
        <v>23</v>
      </c>
      <c r="I145">
        <v>30</v>
      </c>
      <c r="J145">
        <v>15</v>
      </c>
      <c r="K145">
        <v>0</v>
      </c>
      <c r="L145">
        <v>162</v>
      </c>
      <c r="M145">
        <v>209</v>
      </c>
      <c r="N145">
        <v>0</v>
      </c>
      <c r="O145">
        <v>869</v>
      </c>
    </row>
    <row r="146" spans="1:15" x14ac:dyDescent="0.2">
      <c r="A146" t="s">
        <v>113</v>
      </c>
      <c r="B146" t="s">
        <v>45</v>
      </c>
      <c r="C146" t="s">
        <v>17</v>
      </c>
      <c r="D146" t="s">
        <v>75</v>
      </c>
      <c r="E146" t="s">
        <v>111</v>
      </c>
      <c r="F146">
        <v>3</v>
      </c>
      <c r="G146" t="s">
        <v>19</v>
      </c>
      <c r="H146" t="s">
        <v>24</v>
      </c>
      <c r="I146">
        <v>0</v>
      </c>
      <c r="J146">
        <v>0</v>
      </c>
      <c r="K146">
        <v>0</v>
      </c>
      <c r="L146">
        <v>162</v>
      </c>
      <c r="M146">
        <v>209</v>
      </c>
      <c r="N146">
        <v>0</v>
      </c>
      <c r="O146">
        <v>869</v>
      </c>
    </row>
    <row r="147" spans="1:15" x14ac:dyDescent="0.2">
      <c r="A147" t="s">
        <v>113</v>
      </c>
      <c r="B147" t="s">
        <v>45</v>
      </c>
      <c r="C147" t="s">
        <v>17</v>
      </c>
      <c r="D147" t="s">
        <v>75</v>
      </c>
      <c r="E147" t="s">
        <v>137</v>
      </c>
      <c r="F147">
        <v>3</v>
      </c>
      <c r="G147" t="s">
        <v>130</v>
      </c>
      <c r="H147" t="s">
        <v>20</v>
      </c>
      <c r="I147">
        <v>34</v>
      </c>
      <c r="J147">
        <v>192</v>
      </c>
      <c r="K147">
        <v>28</v>
      </c>
      <c r="L147">
        <v>70</v>
      </c>
      <c r="M147">
        <v>313</v>
      </c>
      <c r="N147">
        <v>48</v>
      </c>
      <c r="O147">
        <v>615</v>
      </c>
    </row>
    <row r="148" spans="1:15" x14ac:dyDescent="0.2">
      <c r="A148" t="s">
        <v>113</v>
      </c>
      <c r="B148" t="s">
        <v>45</v>
      </c>
      <c r="C148" t="s">
        <v>17</v>
      </c>
      <c r="D148" t="s">
        <v>75</v>
      </c>
      <c r="E148" t="s">
        <v>137</v>
      </c>
      <c r="F148">
        <v>3</v>
      </c>
      <c r="G148" t="s">
        <v>130</v>
      </c>
      <c r="H148" t="s">
        <v>21</v>
      </c>
      <c r="I148">
        <v>15</v>
      </c>
      <c r="J148">
        <v>81</v>
      </c>
      <c r="K148">
        <v>9</v>
      </c>
      <c r="L148">
        <v>70</v>
      </c>
      <c r="M148">
        <v>313</v>
      </c>
      <c r="N148">
        <v>48</v>
      </c>
      <c r="O148">
        <v>615</v>
      </c>
    </row>
    <row r="149" spans="1:15" x14ac:dyDescent="0.2">
      <c r="A149" t="s">
        <v>113</v>
      </c>
      <c r="B149" t="s">
        <v>45</v>
      </c>
      <c r="C149" t="s">
        <v>17</v>
      </c>
      <c r="D149" t="s">
        <v>75</v>
      </c>
      <c r="E149" t="s">
        <v>137</v>
      </c>
      <c r="F149">
        <v>3</v>
      </c>
      <c r="G149" t="s">
        <v>130</v>
      </c>
      <c r="H149" t="s">
        <v>22</v>
      </c>
      <c r="I149">
        <v>8</v>
      </c>
      <c r="J149">
        <v>27</v>
      </c>
      <c r="K149">
        <v>9</v>
      </c>
      <c r="L149">
        <v>70</v>
      </c>
      <c r="M149">
        <v>313</v>
      </c>
      <c r="N149">
        <v>48</v>
      </c>
      <c r="O149">
        <v>615</v>
      </c>
    </row>
    <row r="150" spans="1:15" x14ac:dyDescent="0.2">
      <c r="A150" t="s">
        <v>113</v>
      </c>
      <c r="B150" t="s">
        <v>45</v>
      </c>
      <c r="C150" t="s">
        <v>17</v>
      </c>
      <c r="D150" t="s">
        <v>75</v>
      </c>
      <c r="E150" t="s">
        <v>137</v>
      </c>
      <c r="F150">
        <v>3</v>
      </c>
      <c r="G150" t="s">
        <v>130</v>
      </c>
      <c r="H150" t="s">
        <v>23</v>
      </c>
      <c r="I150">
        <v>13</v>
      </c>
      <c r="J150">
        <v>13</v>
      </c>
      <c r="K150">
        <v>2</v>
      </c>
      <c r="L150">
        <v>70</v>
      </c>
      <c r="M150">
        <v>313</v>
      </c>
      <c r="N150">
        <v>48</v>
      </c>
      <c r="O150">
        <v>615</v>
      </c>
    </row>
    <row r="151" spans="1:15" x14ac:dyDescent="0.2">
      <c r="A151" t="s">
        <v>113</v>
      </c>
      <c r="B151" t="s">
        <v>45</v>
      </c>
      <c r="C151" t="s">
        <v>17</v>
      </c>
      <c r="D151" t="s">
        <v>75</v>
      </c>
      <c r="E151" t="s">
        <v>137</v>
      </c>
      <c r="F151">
        <v>3</v>
      </c>
      <c r="G151" t="s">
        <v>130</v>
      </c>
      <c r="H151" t="s">
        <v>24</v>
      </c>
      <c r="I151">
        <v>0</v>
      </c>
      <c r="J151">
        <v>0</v>
      </c>
      <c r="K151">
        <v>0</v>
      </c>
      <c r="L151">
        <v>70</v>
      </c>
      <c r="M151">
        <v>313</v>
      </c>
      <c r="N151">
        <v>48</v>
      </c>
      <c r="O151">
        <v>615</v>
      </c>
    </row>
    <row r="152" spans="1:15" x14ac:dyDescent="0.2">
      <c r="A152" t="s">
        <v>113</v>
      </c>
      <c r="B152" t="s">
        <v>45</v>
      </c>
      <c r="C152" t="s">
        <v>17</v>
      </c>
      <c r="D152" t="s">
        <v>75</v>
      </c>
      <c r="E152" t="s">
        <v>136</v>
      </c>
      <c r="F152">
        <v>3</v>
      </c>
      <c r="G152" t="s">
        <v>128</v>
      </c>
      <c r="H152" t="s">
        <v>20</v>
      </c>
      <c r="I152">
        <v>10</v>
      </c>
      <c r="J152">
        <v>113</v>
      </c>
      <c r="K152">
        <v>13</v>
      </c>
      <c r="L152">
        <v>52</v>
      </c>
      <c r="M152">
        <v>304</v>
      </c>
      <c r="N152">
        <v>61</v>
      </c>
      <c r="O152">
        <v>584</v>
      </c>
    </row>
    <row r="153" spans="1:15" x14ac:dyDescent="0.2">
      <c r="A153" t="s">
        <v>113</v>
      </c>
      <c r="B153" t="s">
        <v>45</v>
      </c>
      <c r="C153" t="s">
        <v>17</v>
      </c>
      <c r="D153" t="s">
        <v>75</v>
      </c>
      <c r="E153" t="s">
        <v>136</v>
      </c>
      <c r="F153">
        <v>3</v>
      </c>
      <c r="G153" t="s">
        <v>128</v>
      </c>
      <c r="H153" t="s">
        <v>21</v>
      </c>
      <c r="I153">
        <v>11</v>
      </c>
      <c r="J153">
        <v>123</v>
      </c>
      <c r="K153">
        <v>28</v>
      </c>
      <c r="L153">
        <v>52</v>
      </c>
      <c r="M153">
        <v>304</v>
      </c>
      <c r="N153">
        <v>61</v>
      </c>
      <c r="O153">
        <v>584</v>
      </c>
    </row>
    <row r="154" spans="1:15" x14ac:dyDescent="0.2">
      <c r="A154" t="s">
        <v>113</v>
      </c>
      <c r="B154" t="s">
        <v>45</v>
      </c>
      <c r="C154" t="s">
        <v>17</v>
      </c>
      <c r="D154" t="s">
        <v>75</v>
      </c>
      <c r="E154" t="s">
        <v>136</v>
      </c>
      <c r="F154">
        <v>3</v>
      </c>
      <c r="G154" t="s">
        <v>128</v>
      </c>
      <c r="H154" t="s">
        <v>22</v>
      </c>
      <c r="I154">
        <v>15</v>
      </c>
      <c r="J154">
        <v>37</v>
      </c>
      <c r="K154">
        <v>9</v>
      </c>
      <c r="L154">
        <v>52</v>
      </c>
      <c r="M154">
        <v>304</v>
      </c>
      <c r="N154">
        <v>61</v>
      </c>
      <c r="O154">
        <v>584</v>
      </c>
    </row>
    <row r="155" spans="1:15" x14ac:dyDescent="0.2">
      <c r="A155" t="s">
        <v>113</v>
      </c>
      <c r="B155" t="s">
        <v>45</v>
      </c>
      <c r="C155" t="s">
        <v>17</v>
      </c>
      <c r="D155" t="s">
        <v>75</v>
      </c>
      <c r="E155" t="s">
        <v>136</v>
      </c>
      <c r="F155">
        <v>3</v>
      </c>
      <c r="G155" t="s">
        <v>128</v>
      </c>
      <c r="H155" t="s">
        <v>23</v>
      </c>
      <c r="I155">
        <v>16</v>
      </c>
      <c r="J155">
        <v>31</v>
      </c>
      <c r="K155">
        <v>11</v>
      </c>
      <c r="L155">
        <v>52</v>
      </c>
      <c r="M155">
        <v>304</v>
      </c>
      <c r="N155">
        <v>61</v>
      </c>
      <c r="O155">
        <v>584</v>
      </c>
    </row>
    <row r="156" spans="1:15" x14ac:dyDescent="0.2">
      <c r="A156" t="s">
        <v>113</v>
      </c>
      <c r="B156" t="s">
        <v>45</v>
      </c>
      <c r="C156" t="s">
        <v>17</v>
      </c>
      <c r="D156" t="s">
        <v>75</v>
      </c>
      <c r="E156" t="s">
        <v>136</v>
      </c>
      <c r="F156">
        <v>3</v>
      </c>
      <c r="G156" t="s">
        <v>128</v>
      </c>
      <c r="H156" t="s">
        <v>24</v>
      </c>
      <c r="I156">
        <v>0</v>
      </c>
      <c r="J156">
        <v>0</v>
      </c>
      <c r="K156">
        <v>0</v>
      </c>
      <c r="L156">
        <v>52</v>
      </c>
      <c r="M156">
        <v>304</v>
      </c>
      <c r="N156">
        <v>61</v>
      </c>
      <c r="O156">
        <v>584</v>
      </c>
    </row>
    <row r="157" spans="1:15" x14ac:dyDescent="0.2">
      <c r="A157" t="s">
        <v>113</v>
      </c>
      <c r="B157" t="s">
        <v>45</v>
      </c>
      <c r="C157" t="s">
        <v>17</v>
      </c>
      <c r="D157" t="s">
        <v>75</v>
      </c>
      <c r="E157" t="s">
        <v>135</v>
      </c>
      <c r="F157">
        <v>3</v>
      </c>
      <c r="G157" t="s">
        <v>126</v>
      </c>
      <c r="H157" t="s">
        <v>20</v>
      </c>
      <c r="I157">
        <v>10</v>
      </c>
      <c r="J157">
        <v>82</v>
      </c>
      <c r="K157">
        <v>0</v>
      </c>
      <c r="L157">
        <v>59</v>
      </c>
      <c r="M157">
        <v>279</v>
      </c>
      <c r="N157">
        <v>46</v>
      </c>
      <c r="O157">
        <v>552</v>
      </c>
    </row>
    <row r="158" spans="1:15" x14ac:dyDescent="0.2">
      <c r="A158" t="s">
        <v>113</v>
      </c>
      <c r="B158" t="s">
        <v>45</v>
      </c>
      <c r="C158" t="s">
        <v>17</v>
      </c>
      <c r="D158" t="s">
        <v>75</v>
      </c>
      <c r="E158" t="s">
        <v>135</v>
      </c>
      <c r="F158">
        <v>3</v>
      </c>
      <c r="G158" t="s">
        <v>126</v>
      </c>
      <c r="H158" t="s">
        <v>21</v>
      </c>
      <c r="I158">
        <v>18</v>
      </c>
      <c r="J158">
        <v>108</v>
      </c>
      <c r="K158">
        <v>18</v>
      </c>
      <c r="L158">
        <v>59</v>
      </c>
      <c r="M158">
        <v>279</v>
      </c>
      <c r="N158">
        <v>46</v>
      </c>
      <c r="O158">
        <v>552</v>
      </c>
    </row>
    <row r="159" spans="1:15" x14ac:dyDescent="0.2">
      <c r="A159" t="s">
        <v>113</v>
      </c>
      <c r="B159" t="s">
        <v>45</v>
      </c>
      <c r="C159" t="s">
        <v>17</v>
      </c>
      <c r="D159" t="s">
        <v>75</v>
      </c>
      <c r="E159" t="s">
        <v>135</v>
      </c>
      <c r="F159">
        <v>3</v>
      </c>
      <c r="G159" t="s">
        <v>126</v>
      </c>
      <c r="H159" t="s">
        <v>22</v>
      </c>
      <c r="I159">
        <v>12</v>
      </c>
      <c r="J159">
        <v>34</v>
      </c>
      <c r="K159">
        <v>12</v>
      </c>
      <c r="L159">
        <v>59</v>
      </c>
      <c r="M159">
        <v>279</v>
      </c>
      <c r="N159">
        <v>46</v>
      </c>
      <c r="O159">
        <v>552</v>
      </c>
    </row>
    <row r="160" spans="1:15" x14ac:dyDescent="0.2">
      <c r="A160" t="s">
        <v>113</v>
      </c>
      <c r="B160" t="s">
        <v>45</v>
      </c>
      <c r="C160" t="s">
        <v>17</v>
      </c>
      <c r="D160" t="s">
        <v>75</v>
      </c>
      <c r="E160" t="s">
        <v>135</v>
      </c>
      <c r="F160">
        <v>3</v>
      </c>
      <c r="G160" t="s">
        <v>126</v>
      </c>
      <c r="H160" t="s">
        <v>23</v>
      </c>
      <c r="I160">
        <v>19</v>
      </c>
      <c r="J160">
        <v>55</v>
      </c>
      <c r="K160">
        <v>16</v>
      </c>
      <c r="L160">
        <v>59</v>
      </c>
      <c r="M160">
        <v>279</v>
      </c>
      <c r="N160">
        <v>46</v>
      </c>
      <c r="O160">
        <v>552</v>
      </c>
    </row>
    <row r="161" spans="1:15" x14ac:dyDescent="0.2">
      <c r="A161" t="s">
        <v>113</v>
      </c>
      <c r="B161" t="s">
        <v>45</v>
      </c>
      <c r="C161" t="s">
        <v>17</v>
      </c>
      <c r="D161" t="s">
        <v>75</v>
      </c>
      <c r="E161" t="s">
        <v>135</v>
      </c>
      <c r="F161">
        <v>3</v>
      </c>
      <c r="G161" t="s">
        <v>126</v>
      </c>
      <c r="H161" t="s">
        <v>24</v>
      </c>
      <c r="I161">
        <v>0</v>
      </c>
      <c r="J161">
        <v>0</v>
      </c>
      <c r="K161">
        <v>0</v>
      </c>
      <c r="L161">
        <v>59</v>
      </c>
      <c r="M161">
        <v>279</v>
      </c>
      <c r="N161">
        <v>46</v>
      </c>
      <c r="O161">
        <v>552</v>
      </c>
    </row>
    <row r="162" spans="1:15" x14ac:dyDescent="0.2">
      <c r="A162" t="s">
        <v>91</v>
      </c>
      <c r="B162" t="s">
        <v>16</v>
      </c>
      <c r="C162" t="s">
        <v>17</v>
      </c>
      <c r="D162" t="s">
        <v>75</v>
      </c>
      <c r="E162" t="s">
        <v>99</v>
      </c>
      <c r="F162">
        <v>3</v>
      </c>
      <c r="G162" t="s">
        <v>19</v>
      </c>
      <c r="H162" t="s">
        <v>20</v>
      </c>
      <c r="I162">
        <v>38</v>
      </c>
      <c r="J162">
        <v>15</v>
      </c>
      <c r="K162">
        <v>0</v>
      </c>
      <c r="L162">
        <v>46</v>
      </c>
      <c r="M162">
        <v>18</v>
      </c>
      <c r="N162">
        <v>0</v>
      </c>
      <c r="O162">
        <v>996</v>
      </c>
    </row>
    <row r="163" spans="1:15" x14ac:dyDescent="0.2">
      <c r="A163" t="s">
        <v>91</v>
      </c>
      <c r="B163" t="s">
        <v>16</v>
      </c>
      <c r="C163" t="s">
        <v>17</v>
      </c>
      <c r="D163" t="s">
        <v>75</v>
      </c>
      <c r="E163" t="s">
        <v>99</v>
      </c>
      <c r="F163">
        <v>3</v>
      </c>
      <c r="G163" t="s">
        <v>19</v>
      </c>
      <c r="H163" t="s">
        <v>21</v>
      </c>
      <c r="I163">
        <v>4</v>
      </c>
      <c r="J163">
        <v>0</v>
      </c>
      <c r="K163">
        <v>0</v>
      </c>
      <c r="L163">
        <v>46</v>
      </c>
      <c r="M163">
        <v>18</v>
      </c>
      <c r="N163">
        <v>0</v>
      </c>
      <c r="O163">
        <v>996</v>
      </c>
    </row>
    <row r="164" spans="1:15" x14ac:dyDescent="0.2">
      <c r="A164" t="s">
        <v>91</v>
      </c>
      <c r="B164" t="s">
        <v>16</v>
      </c>
      <c r="C164" t="s">
        <v>17</v>
      </c>
      <c r="D164" t="s">
        <v>75</v>
      </c>
      <c r="E164" t="s">
        <v>99</v>
      </c>
      <c r="F164">
        <v>3</v>
      </c>
      <c r="G164" t="s">
        <v>19</v>
      </c>
      <c r="H164" t="s">
        <v>22</v>
      </c>
      <c r="I164">
        <v>2</v>
      </c>
      <c r="J164">
        <v>0</v>
      </c>
      <c r="K164">
        <v>0</v>
      </c>
      <c r="L164">
        <v>46</v>
      </c>
      <c r="M164">
        <v>18</v>
      </c>
      <c r="N164">
        <v>0</v>
      </c>
      <c r="O164">
        <v>996</v>
      </c>
    </row>
    <row r="165" spans="1:15" x14ac:dyDescent="0.2">
      <c r="A165" t="s">
        <v>91</v>
      </c>
      <c r="B165" t="s">
        <v>16</v>
      </c>
      <c r="C165" t="s">
        <v>17</v>
      </c>
      <c r="D165" t="s">
        <v>75</v>
      </c>
      <c r="E165" t="s">
        <v>99</v>
      </c>
      <c r="F165">
        <v>3</v>
      </c>
      <c r="G165" t="s">
        <v>19</v>
      </c>
      <c r="H165" t="s">
        <v>23</v>
      </c>
      <c r="I165">
        <v>2</v>
      </c>
      <c r="J165">
        <v>3</v>
      </c>
      <c r="K165">
        <v>0</v>
      </c>
      <c r="L165">
        <v>46</v>
      </c>
      <c r="M165">
        <v>18</v>
      </c>
      <c r="N165">
        <v>0</v>
      </c>
      <c r="O165">
        <v>996</v>
      </c>
    </row>
    <row r="166" spans="1:15" x14ac:dyDescent="0.2">
      <c r="A166" t="s">
        <v>91</v>
      </c>
      <c r="B166" t="s">
        <v>16</v>
      </c>
      <c r="C166" t="s">
        <v>17</v>
      </c>
      <c r="D166" t="s">
        <v>75</v>
      </c>
      <c r="E166" t="s">
        <v>99</v>
      </c>
      <c r="F166">
        <v>3</v>
      </c>
      <c r="G166" t="s">
        <v>19</v>
      </c>
      <c r="H166" t="s">
        <v>24</v>
      </c>
      <c r="I166">
        <v>0</v>
      </c>
      <c r="J166">
        <v>0</v>
      </c>
      <c r="K166">
        <v>0</v>
      </c>
      <c r="L166">
        <v>46</v>
      </c>
      <c r="M166">
        <v>18</v>
      </c>
      <c r="N166">
        <v>0</v>
      </c>
      <c r="O166">
        <v>996</v>
      </c>
    </row>
    <row r="167" spans="1:15" x14ac:dyDescent="0.2">
      <c r="A167" t="s">
        <v>91</v>
      </c>
      <c r="B167" t="s">
        <v>16</v>
      </c>
      <c r="C167" t="s">
        <v>17</v>
      </c>
      <c r="D167" t="s">
        <v>75</v>
      </c>
      <c r="E167" t="s">
        <v>134</v>
      </c>
      <c r="F167">
        <v>3</v>
      </c>
      <c r="G167" t="s">
        <v>130</v>
      </c>
      <c r="H167" t="s">
        <v>20</v>
      </c>
      <c r="I167">
        <v>29</v>
      </c>
      <c r="J167">
        <v>46</v>
      </c>
      <c r="K167">
        <v>16</v>
      </c>
      <c r="L167">
        <v>46</v>
      </c>
      <c r="M167">
        <v>64</v>
      </c>
      <c r="N167">
        <v>20</v>
      </c>
      <c r="O167">
        <v>979</v>
      </c>
    </row>
    <row r="168" spans="1:15" x14ac:dyDescent="0.2">
      <c r="A168" t="s">
        <v>91</v>
      </c>
      <c r="B168" t="s">
        <v>16</v>
      </c>
      <c r="C168" t="s">
        <v>17</v>
      </c>
      <c r="D168" t="s">
        <v>75</v>
      </c>
      <c r="E168" t="s">
        <v>134</v>
      </c>
      <c r="F168">
        <v>3</v>
      </c>
      <c r="G168" t="s">
        <v>130</v>
      </c>
      <c r="H168" t="s">
        <v>21</v>
      </c>
      <c r="I168">
        <v>11</v>
      </c>
      <c r="J168">
        <v>12</v>
      </c>
      <c r="K168">
        <v>0</v>
      </c>
      <c r="L168">
        <v>46</v>
      </c>
      <c r="M168">
        <v>64</v>
      </c>
      <c r="N168">
        <v>20</v>
      </c>
      <c r="O168">
        <v>979</v>
      </c>
    </row>
    <row r="169" spans="1:15" x14ac:dyDescent="0.2">
      <c r="A169" t="s">
        <v>91</v>
      </c>
      <c r="B169" t="s">
        <v>16</v>
      </c>
      <c r="C169" t="s">
        <v>17</v>
      </c>
      <c r="D169" t="s">
        <v>75</v>
      </c>
      <c r="E169" t="s">
        <v>134</v>
      </c>
      <c r="F169">
        <v>3</v>
      </c>
      <c r="G169" t="s">
        <v>130</v>
      </c>
      <c r="H169" t="s">
        <v>22</v>
      </c>
      <c r="I169">
        <v>1</v>
      </c>
      <c r="J169">
        <v>6</v>
      </c>
      <c r="K169">
        <v>4</v>
      </c>
      <c r="L169">
        <v>46</v>
      </c>
      <c r="M169">
        <v>64</v>
      </c>
      <c r="N169">
        <v>20</v>
      </c>
      <c r="O169">
        <v>979</v>
      </c>
    </row>
    <row r="170" spans="1:15" x14ac:dyDescent="0.2">
      <c r="A170" t="s">
        <v>91</v>
      </c>
      <c r="B170" t="s">
        <v>16</v>
      </c>
      <c r="C170" t="s">
        <v>17</v>
      </c>
      <c r="D170" t="s">
        <v>75</v>
      </c>
      <c r="E170" t="s">
        <v>134</v>
      </c>
      <c r="F170">
        <v>3</v>
      </c>
      <c r="G170" t="s">
        <v>130</v>
      </c>
      <c r="H170" t="s">
        <v>23</v>
      </c>
      <c r="I170">
        <v>5</v>
      </c>
      <c r="J170">
        <v>0</v>
      </c>
      <c r="K170">
        <v>0</v>
      </c>
      <c r="L170">
        <v>46</v>
      </c>
      <c r="M170">
        <v>64</v>
      </c>
      <c r="N170">
        <v>20</v>
      </c>
      <c r="O170">
        <v>979</v>
      </c>
    </row>
    <row r="171" spans="1:15" x14ac:dyDescent="0.2">
      <c r="A171" t="s">
        <v>91</v>
      </c>
      <c r="B171" t="s">
        <v>16</v>
      </c>
      <c r="C171" t="s">
        <v>17</v>
      </c>
      <c r="D171" t="s">
        <v>75</v>
      </c>
      <c r="E171" t="s">
        <v>134</v>
      </c>
      <c r="F171">
        <v>3</v>
      </c>
      <c r="G171" t="s">
        <v>130</v>
      </c>
      <c r="H171" t="s">
        <v>24</v>
      </c>
      <c r="I171">
        <v>0</v>
      </c>
      <c r="J171">
        <v>0</v>
      </c>
      <c r="K171">
        <v>0</v>
      </c>
      <c r="L171">
        <v>46</v>
      </c>
      <c r="M171">
        <v>64</v>
      </c>
      <c r="N171">
        <v>20</v>
      </c>
      <c r="O171">
        <v>979</v>
      </c>
    </row>
    <row r="172" spans="1:15" x14ac:dyDescent="0.2">
      <c r="A172" t="s">
        <v>91</v>
      </c>
      <c r="B172" t="s">
        <v>16</v>
      </c>
      <c r="C172" t="s">
        <v>17</v>
      </c>
      <c r="D172" t="s">
        <v>75</v>
      </c>
      <c r="E172" t="s">
        <v>133</v>
      </c>
      <c r="F172">
        <v>3</v>
      </c>
      <c r="G172" t="s">
        <v>128</v>
      </c>
      <c r="H172" t="s">
        <v>20</v>
      </c>
      <c r="I172">
        <v>15</v>
      </c>
      <c r="J172">
        <v>21</v>
      </c>
      <c r="K172">
        <v>10</v>
      </c>
      <c r="L172">
        <v>29</v>
      </c>
      <c r="M172">
        <v>59</v>
      </c>
      <c r="N172">
        <v>32</v>
      </c>
      <c r="O172">
        <v>964</v>
      </c>
    </row>
    <row r="173" spans="1:15" x14ac:dyDescent="0.2">
      <c r="A173" t="s">
        <v>91</v>
      </c>
      <c r="B173" t="s">
        <v>16</v>
      </c>
      <c r="C173" t="s">
        <v>17</v>
      </c>
      <c r="D173" t="s">
        <v>75</v>
      </c>
      <c r="E173" t="s">
        <v>133</v>
      </c>
      <c r="F173">
        <v>3</v>
      </c>
      <c r="G173" t="s">
        <v>128</v>
      </c>
      <c r="H173" t="s">
        <v>21</v>
      </c>
      <c r="I173">
        <v>5</v>
      </c>
      <c r="J173">
        <v>22</v>
      </c>
      <c r="K173">
        <v>12</v>
      </c>
      <c r="L173">
        <v>29</v>
      </c>
      <c r="M173">
        <v>59</v>
      </c>
      <c r="N173">
        <v>32</v>
      </c>
      <c r="O173">
        <v>964</v>
      </c>
    </row>
    <row r="174" spans="1:15" x14ac:dyDescent="0.2">
      <c r="A174" t="s">
        <v>91</v>
      </c>
      <c r="B174" t="s">
        <v>16</v>
      </c>
      <c r="C174" t="s">
        <v>17</v>
      </c>
      <c r="D174" t="s">
        <v>75</v>
      </c>
      <c r="E174" t="s">
        <v>133</v>
      </c>
      <c r="F174">
        <v>3</v>
      </c>
      <c r="G174" t="s">
        <v>128</v>
      </c>
      <c r="H174" t="s">
        <v>22</v>
      </c>
      <c r="I174">
        <v>5</v>
      </c>
      <c r="J174">
        <v>10</v>
      </c>
      <c r="K174">
        <v>7</v>
      </c>
      <c r="L174">
        <v>29</v>
      </c>
      <c r="M174">
        <v>59</v>
      </c>
      <c r="N174">
        <v>32</v>
      </c>
      <c r="O174">
        <v>964</v>
      </c>
    </row>
    <row r="175" spans="1:15" x14ac:dyDescent="0.2">
      <c r="A175" t="s">
        <v>91</v>
      </c>
      <c r="B175" t="s">
        <v>16</v>
      </c>
      <c r="C175" t="s">
        <v>17</v>
      </c>
      <c r="D175" t="s">
        <v>75</v>
      </c>
      <c r="E175" t="s">
        <v>133</v>
      </c>
      <c r="F175">
        <v>3</v>
      </c>
      <c r="G175" t="s">
        <v>128</v>
      </c>
      <c r="H175" t="s">
        <v>23</v>
      </c>
      <c r="I175">
        <v>4</v>
      </c>
      <c r="J175">
        <v>6</v>
      </c>
      <c r="K175">
        <v>3</v>
      </c>
      <c r="L175">
        <v>29</v>
      </c>
      <c r="M175">
        <v>59</v>
      </c>
      <c r="N175">
        <v>32</v>
      </c>
      <c r="O175">
        <v>964</v>
      </c>
    </row>
    <row r="176" spans="1:15" x14ac:dyDescent="0.2">
      <c r="A176" t="s">
        <v>91</v>
      </c>
      <c r="B176" t="s">
        <v>16</v>
      </c>
      <c r="C176" t="s">
        <v>17</v>
      </c>
      <c r="D176" t="s">
        <v>75</v>
      </c>
      <c r="E176" t="s">
        <v>133</v>
      </c>
      <c r="F176">
        <v>3</v>
      </c>
      <c r="G176" t="s">
        <v>128</v>
      </c>
      <c r="H176" t="s">
        <v>24</v>
      </c>
      <c r="I176">
        <v>0</v>
      </c>
      <c r="J176">
        <v>0</v>
      </c>
      <c r="K176">
        <v>0</v>
      </c>
      <c r="L176">
        <v>29</v>
      </c>
      <c r="M176">
        <v>59</v>
      </c>
      <c r="N176">
        <v>32</v>
      </c>
      <c r="O176">
        <v>964</v>
      </c>
    </row>
    <row r="177" spans="1:15" x14ac:dyDescent="0.2">
      <c r="A177" t="s">
        <v>91</v>
      </c>
      <c r="B177" t="s">
        <v>16</v>
      </c>
      <c r="C177" t="s">
        <v>17</v>
      </c>
      <c r="D177" t="s">
        <v>75</v>
      </c>
      <c r="E177" t="s">
        <v>132</v>
      </c>
      <c r="F177">
        <v>3</v>
      </c>
      <c r="G177" t="s">
        <v>126</v>
      </c>
      <c r="H177" t="s">
        <v>20</v>
      </c>
      <c r="I177">
        <v>9</v>
      </c>
      <c r="J177">
        <v>6</v>
      </c>
      <c r="K177">
        <v>0</v>
      </c>
      <c r="L177">
        <v>26</v>
      </c>
      <c r="M177">
        <v>74</v>
      </c>
      <c r="N177">
        <v>10</v>
      </c>
      <c r="O177">
        <v>956</v>
      </c>
    </row>
    <row r="178" spans="1:15" x14ac:dyDescent="0.2">
      <c r="A178" t="s">
        <v>91</v>
      </c>
      <c r="B178" t="s">
        <v>16</v>
      </c>
      <c r="C178" t="s">
        <v>17</v>
      </c>
      <c r="D178" t="s">
        <v>75</v>
      </c>
      <c r="E178" t="s">
        <v>132</v>
      </c>
      <c r="F178">
        <v>3</v>
      </c>
      <c r="G178" t="s">
        <v>126</v>
      </c>
      <c r="H178" t="s">
        <v>21</v>
      </c>
      <c r="I178">
        <v>8</v>
      </c>
      <c r="J178">
        <v>43</v>
      </c>
      <c r="K178">
        <v>4</v>
      </c>
      <c r="L178">
        <v>26</v>
      </c>
      <c r="M178">
        <v>74</v>
      </c>
      <c r="N178">
        <v>10</v>
      </c>
      <c r="O178">
        <v>956</v>
      </c>
    </row>
    <row r="179" spans="1:15" x14ac:dyDescent="0.2">
      <c r="A179" t="s">
        <v>91</v>
      </c>
      <c r="B179" t="s">
        <v>16</v>
      </c>
      <c r="C179" t="s">
        <v>17</v>
      </c>
      <c r="D179" t="s">
        <v>75</v>
      </c>
      <c r="E179" t="s">
        <v>132</v>
      </c>
      <c r="F179">
        <v>3</v>
      </c>
      <c r="G179" t="s">
        <v>126</v>
      </c>
      <c r="H179" t="s">
        <v>22</v>
      </c>
      <c r="I179">
        <v>1</v>
      </c>
      <c r="J179">
        <v>6</v>
      </c>
      <c r="K179">
        <v>1</v>
      </c>
      <c r="L179">
        <v>26</v>
      </c>
      <c r="M179">
        <v>74</v>
      </c>
      <c r="N179">
        <v>10</v>
      </c>
      <c r="O179">
        <v>956</v>
      </c>
    </row>
    <row r="180" spans="1:15" x14ac:dyDescent="0.2">
      <c r="A180" t="s">
        <v>91</v>
      </c>
      <c r="B180" t="s">
        <v>16</v>
      </c>
      <c r="C180" t="s">
        <v>17</v>
      </c>
      <c r="D180" t="s">
        <v>75</v>
      </c>
      <c r="E180" t="s">
        <v>132</v>
      </c>
      <c r="F180">
        <v>3</v>
      </c>
      <c r="G180" t="s">
        <v>126</v>
      </c>
      <c r="H180" t="s">
        <v>23</v>
      </c>
      <c r="I180">
        <v>8</v>
      </c>
      <c r="J180">
        <v>19</v>
      </c>
      <c r="K180">
        <v>5</v>
      </c>
      <c r="L180">
        <v>26</v>
      </c>
      <c r="M180">
        <v>74</v>
      </c>
      <c r="N180">
        <v>10</v>
      </c>
      <c r="O180">
        <v>956</v>
      </c>
    </row>
    <row r="181" spans="1:15" x14ac:dyDescent="0.2">
      <c r="A181" t="s">
        <v>91</v>
      </c>
      <c r="B181" t="s">
        <v>16</v>
      </c>
      <c r="C181" t="s">
        <v>17</v>
      </c>
      <c r="D181" t="s">
        <v>75</v>
      </c>
      <c r="E181" t="s">
        <v>132</v>
      </c>
      <c r="F181">
        <v>3</v>
      </c>
      <c r="G181" t="s">
        <v>126</v>
      </c>
      <c r="H181" t="s">
        <v>24</v>
      </c>
      <c r="I181">
        <v>0</v>
      </c>
      <c r="J181">
        <v>0</v>
      </c>
      <c r="K181">
        <v>0</v>
      </c>
      <c r="L181">
        <v>26</v>
      </c>
      <c r="M181">
        <v>74</v>
      </c>
      <c r="N181">
        <v>10</v>
      </c>
      <c r="O181">
        <v>956</v>
      </c>
    </row>
    <row r="182" spans="1:15" x14ac:dyDescent="0.2">
      <c r="A182" t="s">
        <v>91</v>
      </c>
      <c r="B182" t="s">
        <v>37</v>
      </c>
      <c r="C182" t="s">
        <v>17</v>
      </c>
      <c r="D182" t="s">
        <v>75</v>
      </c>
      <c r="E182" t="s">
        <v>99</v>
      </c>
      <c r="F182">
        <v>3</v>
      </c>
      <c r="G182" t="s">
        <v>19</v>
      </c>
      <c r="H182" t="s">
        <v>20</v>
      </c>
      <c r="I182">
        <v>40</v>
      </c>
      <c r="J182">
        <v>16</v>
      </c>
      <c r="K182">
        <v>0</v>
      </c>
      <c r="L182">
        <v>60</v>
      </c>
      <c r="M182">
        <v>19</v>
      </c>
      <c r="N182">
        <v>0</v>
      </c>
      <c r="O182">
        <v>994</v>
      </c>
    </row>
    <row r="183" spans="1:15" x14ac:dyDescent="0.2">
      <c r="A183" t="s">
        <v>91</v>
      </c>
      <c r="B183" t="s">
        <v>37</v>
      </c>
      <c r="C183" t="s">
        <v>17</v>
      </c>
      <c r="D183" t="s">
        <v>75</v>
      </c>
      <c r="E183" t="s">
        <v>99</v>
      </c>
      <c r="F183">
        <v>3</v>
      </c>
      <c r="G183" t="s">
        <v>19</v>
      </c>
      <c r="H183" t="s">
        <v>21</v>
      </c>
      <c r="I183">
        <v>8</v>
      </c>
      <c r="J183">
        <v>1</v>
      </c>
      <c r="K183">
        <v>0</v>
      </c>
      <c r="L183">
        <v>60</v>
      </c>
      <c r="M183">
        <v>19</v>
      </c>
      <c r="N183">
        <v>0</v>
      </c>
      <c r="O183">
        <v>994</v>
      </c>
    </row>
    <row r="184" spans="1:15" x14ac:dyDescent="0.2">
      <c r="A184" t="s">
        <v>91</v>
      </c>
      <c r="B184" t="s">
        <v>37</v>
      </c>
      <c r="C184" t="s">
        <v>17</v>
      </c>
      <c r="D184" t="s">
        <v>75</v>
      </c>
      <c r="E184" t="s">
        <v>99</v>
      </c>
      <c r="F184">
        <v>3</v>
      </c>
      <c r="G184" t="s">
        <v>19</v>
      </c>
      <c r="H184" t="s">
        <v>22</v>
      </c>
      <c r="I184">
        <v>5</v>
      </c>
      <c r="J184">
        <v>1</v>
      </c>
      <c r="K184">
        <v>0</v>
      </c>
      <c r="L184">
        <v>60</v>
      </c>
      <c r="M184">
        <v>19</v>
      </c>
      <c r="N184">
        <v>0</v>
      </c>
      <c r="O184">
        <v>994</v>
      </c>
    </row>
    <row r="185" spans="1:15" x14ac:dyDescent="0.2">
      <c r="A185" t="s">
        <v>91</v>
      </c>
      <c r="B185" t="s">
        <v>37</v>
      </c>
      <c r="C185" t="s">
        <v>17</v>
      </c>
      <c r="D185" t="s">
        <v>75</v>
      </c>
      <c r="E185" t="s">
        <v>99</v>
      </c>
      <c r="F185">
        <v>3</v>
      </c>
      <c r="G185" t="s">
        <v>19</v>
      </c>
      <c r="H185" t="s">
        <v>23</v>
      </c>
      <c r="I185">
        <v>7</v>
      </c>
      <c r="J185">
        <v>1</v>
      </c>
      <c r="K185">
        <v>0</v>
      </c>
      <c r="L185">
        <v>60</v>
      </c>
      <c r="M185">
        <v>19</v>
      </c>
      <c r="N185">
        <v>0</v>
      </c>
      <c r="O185">
        <v>994</v>
      </c>
    </row>
    <row r="186" spans="1:15" x14ac:dyDescent="0.2">
      <c r="A186" t="s">
        <v>91</v>
      </c>
      <c r="B186" t="s">
        <v>37</v>
      </c>
      <c r="C186" t="s">
        <v>17</v>
      </c>
      <c r="D186" t="s">
        <v>75</v>
      </c>
      <c r="E186" t="s">
        <v>99</v>
      </c>
      <c r="F186">
        <v>3</v>
      </c>
      <c r="G186" t="s">
        <v>19</v>
      </c>
      <c r="H186" t="s">
        <v>24</v>
      </c>
      <c r="I186">
        <v>0</v>
      </c>
      <c r="J186">
        <v>0</v>
      </c>
      <c r="K186">
        <v>0</v>
      </c>
      <c r="L186">
        <v>60</v>
      </c>
      <c r="M186">
        <v>19</v>
      </c>
      <c r="N186">
        <v>0</v>
      </c>
      <c r="O186">
        <v>994</v>
      </c>
    </row>
    <row r="187" spans="1:15" x14ac:dyDescent="0.2">
      <c r="A187" t="s">
        <v>91</v>
      </c>
      <c r="B187" t="s">
        <v>37</v>
      </c>
      <c r="C187" t="s">
        <v>17</v>
      </c>
      <c r="D187" t="s">
        <v>75</v>
      </c>
      <c r="E187" t="s">
        <v>134</v>
      </c>
      <c r="F187">
        <v>3</v>
      </c>
      <c r="G187" t="s">
        <v>130</v>
      </c>
      <c r="H187" t="s">
        <v>20</v>
      </c>
      <c r="I187">
        <v>33</v>
      </c>
      <c r="J187">
        <v>22</v>
      </c>
      <c r="K187">
        <v>4</v>
      </c>
      <c r="L187">
        <v>47</v>
      </c>
      <c r="M187">
        <v>34</v>
      </c>
      <c r="N187">
        <v>8</v>
      </c>
      <c r="O187">
        <v>941</v>
      </c>
    </row>
    <row r="188" spans="1:15" x14ac:dyDescent="0.2">
      <c r="A188" t="s">
        <v>91</v>
      </c>
      <c r="B188" t="s">
        <v>37</v>
      </c>
      <c r="C188" t="s">
        <v>17</v>
      </c>
      <c r="D188" t="s">
        <v>75</v>
      </c>
      <c r="E188" t="s">
        <v>134</v>
      </c>
      <c r="F188">
        <v>3</v>
      </c>
      <c r="G188" t="s">
        <v>130</v>
      </c>
      <c r="H188" t="s">
        <v>21</v>
      </c>
      <c r="I188">
        <v>3</v>
      </c>
      <c r="J188">
        <v>8</v>
      </c>
      <c r="K188">
        <v>4</v>
      </c>
      <c r="L188">
        <v>47</v>
      </c>
      <c r="M188">
        <v>34</v>
      </c>
      <c r="N188">
        <v>8</v>
      </c>
      <c r="O188">
        <v>941</v>
      </c>
    </row>
    <row r="189" spans="1:15" x14ac:dyDescent="0.2">
      <c r="A189" t="s">
        <v>91</v>
      </c>
      <c r="B189" t="s">
        <v>37</v>
      </c>
      <c r="C189" t="s">
        <v>17</v>
      </c>
      <c r="D189" t="s">
        <v>75</v>
      </c>
      <c r="E189" t="s">
        <v>134</v>
      </c>
      <c r="F189">
        <v>3</v>
      </c>
      <c r="G189" t="s">
        <v>130</v>
      </c>
      <c r="H189" t="s">
        <v>22</v>
      </c>
      <c r="I189">
        <v>5</v>
      </c>
      <c r="J189">
        <v>3</v>
      </c>
      <c r="K189">
        <v>0</v>
      </c>
      <c r="L189">
        <v>47</v>
      </c>
      <c r="M189">
        <v>34</v>
      </c>
      <c r="N189">
        <v>8</v>
      </c>
      <c r="O189">
        <v>941</v>
      </c>
    </row>
    <row r="190" spans="1:15" x14ac:dyDescent="0.2">
      <c r="A190" t="s">
        <v>91</v>
      </c>
      <c r="B190" t="s">
        <v>37</v>
      </c>
      <c r="C190" t="s">
        <v>17</v>
      </c>
      <c r="D190" t="s">
        <v>75</v>
      </c>
      <c r="E190" t="s">
        <v>134</v>
      </c>
      <c r="F190">
        <v>3</v>
      </c>
      <c r="G190" t="s">
        <v>130</v>
      </c>
      <c r="H190" t="s">
        <v>23</v>
      </c>
      <c r="I190">
        <v>6</v>
      </c>
      <c r="J190">
        <v>1</v>
      </c>
      <c r="K190">
        <v>0</v>
      </c>
      <c r="L190">
        <v>47</v>
      </c>
      <c r="M190">
        <v>34</v>
      </c>
      <c r="N190">
        <v>8</v>
      </c>
      <c r="O190">
        <v>941</v>
      </c>
    </row>
    <row r="191" spans="1:15" x14ac:dyDescent="0.2">
      <c r="A191" t="s">
        <v>91</v>
      </c>
      <c r="B191" t="s">
        <v>37</v>
      </c>
      <c r="C191" t="s">
        <v>17</v>
      </c>
      <c r="D191" t="s">
        <v>75</v>
      </c>
      <c r="E191" t="s">
        <v>134</v>
      </c>
      <c r="F191">
        <v>3</v>
      </c>
      <c r="G191" t="s">
        <v>130</v>
      </c>
      <c r="H191" t="s">
        <v>24</v>
      </c>
      <c r="I191">
        <v>0</v>
      </c>
      <c r="J191">
        <v>0</v>
      </c>
      <c r="K191">
        <v>0</v>
      </c>
      <c r="L191">
        <v>47</v>
      </c>
      <c r="M191">
        <v>34</v>
      </c>
      <c r="N191">
        <v>8</v>
      </c>
      <c r="O191">
        <v>941</v>
      </c>
    </row>
    <row r="192" spans="1:15" x14ac:dyDescent="0.2">
      <c r="A192" t="s">
        <v>91</v>
      </c>
      <c r="B192" t="s">
        <v>37</v>
      </c>
      <c r="C192" t="s">
        <v>17</v>
      </c>
      <c r="D192" t="s">
        <v>75</v>
      </c>
      <c r="E192" t="s">
        <v>133</v>
      </c>
      <c r="F192">
        <v>3</v>
      </c>
      <c r="G192" t="s">
        <v>128</v>
      </c>
      <c r="H192" t="s">
        <v>20</v>
      </c>
      <c r="I192">
        <v>21</v>
      </c>
      <c r="J192">
        <v>11</v>
      </c>
      <c r="K192">
        <v>2</v>
      </c>
      <c r="L192">
        <v>36</v>
      </c>
      <c r="M192">
        <v>25</v>
      </c>
      <c r="N192">
        <v>8</v>
      </c>
      <c r="O192">
        <v>901</v>
      </c>
    </row>
    <row r="193" spans="1:15" x14ac:dyDescent="0.2">
      <c r="A193" t="s">
        <v>91</v>
      </c>
      <c r="B193" t="s">
        <v>37</v>
      </c>
      <c r="C193" t="s">
        <v>17</v>
      </c>
      <c r="D193" t="s">
        <v>75</v>
      </c>
      <c r="E193" t="s">
        <v>133</v>
      </c>
      <c r="F193">
        <v>3</v>
      </c>
      <c r="G193" t="s">
        <v>128</v>
      </c>
      <c r="H193" t="s">
        <v>21</v>
      </c>
      <c r="I193">
        <v>7</v>
      </c>
      <c r="J193">
        <v>9</v>
      </c>
      <c r="K193">
        <v>4</v>
      </c>
      <c r="L193">
        <v>36</v>
      </c>
      <c r="M193">
        <v>25</v>
      </c>
      <c r="N193">
        <v>8</v>
      </c>
      <c r="O193">
        <v>901</v>
      </c>
    </row>
    <row r="194" spans="1:15" x14ac:dyDescent="0.2">
      <c r="A194" t="s">
        <v>91</v>
      </c>
      <c r="B194" t="s">
        <v>37</v>
      </c>
      <c r="C194" t="s">
        <v>17</v>
      </c>
      <c r="D194" t="s">
        <v>75</v>
      </c>
      <c r="E194" t="s">
        <v>133</v>
      </c>
      <c r="F194">
        <v>3</v>
      </c>
      <c r="G194" t="s">
        <v>128</v>
      </c>
      <c r="H194" t="s">
        <v>22</v>
      </c>
      <c r="I194">
        <v>0</v>
      </c>
      <c r="J194">
        <v>4</v>
      </c>
      <c r="K194">
        <v>2</v>
      </c>
      <c r="L194">
        <v>36</v>
      </c>
      <c r="M194">
        <v>25</v>
      </c>
      <c r="N194">
        <v>8</v>
      </c>
      <c r="O194">
        <v>901</v>
      </c>
    </row>
    <row r="195" spans="1:15" x14ac:dyDescent="0.2">
      <c r="A195" t="s">
        <v>91</v>
      </c>
      <c r="B195" t="s">
        <v>37</v>
      </c>
      <c r="C195" t="s">
        <v>17</v>
      </c>
      <c r="D195" t="s">
        <v>75</v>
      </c>
      <c r="E195" t="s">
        <v>133</v>
      </c>
      <c r="F195">
        <v>3</v>
      </c>
      <c r="G195" t="s">
        <v>128</v>
      </c>
      <c r="H195" t="s">
        <v>23</v>
      </c>
      <c r="I195">
        <v>8</v>
      </c>
      <c r="J195">
        <v>1</v>
      </c>
      <c r="K195">
        <v>0</v>
      </c>
      <c r="L195">
        <v>36</v>
      </c>
      <c r="M195">
        <v>25</v>
      </c>
      <c r="N195">
        <v>8</v>
      </c>
      <c r="O195">
        <v>901</v>
      </c>
    </row>
    <row r="196" spans="1:15" x14ac:dyDescent="0.2">
      <c r="A196" t="s">
        <v>91</v>
      </c>
      <c r="B196" t="s">
        <v>37</v>
      </c>
      <c r="C196" t="s">
        <v>17</v>
      </c>
      <c r="D196" t="s">
        <v>75</v>
      </c>
      <c r="E196" t="s">
        <v>133</v>
      </c>
      <c r="F196">
        <v>3</v>
      </c>
      <c r="G196" t="s">
        <v>128</v>
      </c>
      <c r="H196" t="s">
        <v>24</v>
      </c>
      <c r="I196">
        <v>0</v>
      </c>
      <c r="J196">
        <v>0</v>
      </c>
      <c r="K196">
        <v>0</v>
      </c>
      <c r="L196">
        <v>36</v>
      </c>
      <c r="M196">
        <v>25</v>
      </c>
      <c r="N196">
        <v>8</v>
      </c>
      <c r="O196">
        <v>901</v>
      </c>
    </row>
    <row r="197" spans="1:15" x14ac:dyDescent="0.2">
      <c r="A197" t="s">
        <v>91</v>
      </c>
      <c r="B197" t="s">
        <v>37</v>
      </c>
      <c r="C197" t="s">
        <v>17</v>
      </c>
      <c r="D197" t="s">
        <v>75</v>
      </c>
      <c r="E197" t="s">
        <v>132</v>
      </c>
      <c r="F197">
        <v>3</v>
      </c>
      <c r="G197" t="s">
        <v>126</v>
      </c>
      <c r="H197" t="s">
        <v>20</v>
      </c>
      <c r="I197">
        <v>21</v>
      </c>
      <c r="J197">
        <v>10</v>
      </c>
      <c r="K197">
        <v>2</v>
      </c>
      <c r="L197">
        <v>41</v>
      </c>
      <c r="M197">
        <v>33</v>
      </c>
      <c r="N197">
        <v>14</v>
      </c>
      <c r="O197">
        <v>937</v>
      </c>
    </row>
    <row r="198" spans="1:15" x14ac:dyDescent="0.2">
      <c r="A198" t="s">
        <v>91</v>
      </c>
      <c r="B198" t="s">
        <v>37</v>
      </c>
      <c r="C198" t="s">
        <v>17</v>
      </c>
      <c r="D198" t="s">
        <v>75</v>
      </c>
      <c r="E198" t="s">
        <v>132</v>
      </c>
      <c r="F198">
        <v>3</v>
      </c>
      <c r="G198" t="s">
        <v>126</v>
      </c>
      <c r="H198" t="s">
        <v>21</v>
      </c>
      <c r="I198">
        <v>12</v>
      </c>
      <c r="J198">
        <v>11</v>
      </c>
      <c r="K198">
        <v>6</v>
      </c>
      <c r="L198">
        <v>41</v>
      </c>
      <c r="M198">
        <v>33</v>
      </c>
      <c r="N198">
        <v>14</v>
      </c>
      <c r="O198">
        <v>937</v>
      </c>
    </row>
    <row r="199" spans="1:15" x14ac:dyDescent="0.2">
      <c r="A199" t="s">
        <v>91</v>
      </c>
      <c r="B199" t="s">
        <v>37</v>
      </c>
      <c r="C199" t="s">
        <v>17</v>
      </c>
      <c r="D199" t="s">
        <v>75</v>
      </c>
      <c r="E199" t="s">
        <v>132</v>
      </c>
      <c r="F199">
        <v>3</v>
      </c>
      <c r="G199" t="s">
        <v>126</v>
      </c>
      <c r="H199" t="s">
        <v>22</v>
      </c>
      <c r="I199">
        <v>5</v>
      </c>
      <c r="J199">
        <v>6</v>
      </c>
      <c r="K199">
        <v>6</v>
      </c>
      <c r="L199">
        <v>41</v>
      </c>
      <c r="M199">
        <v>33</v>
      </c>
      <c r="N199">
        <v>14</v>
      </c>
      <c r="O199">
        <v>937</v>
      </c>
    </row>
    <row r="200" spans="1:15" x14ac:dyDescent="0.2">
      <c r="A200" t="s">
        <v>91</v>
      </c>
      <c r="B200" t="s">
        <v>37</v>
      </c>
      <c r="C200" t="s">
        <v>17</v>
      </c>
      <c r="D200" t="s">
        <v>75</v>
      </c>
      <c r="E200" t="s">
        <v>132</v>
      </c>
      <c r="F200">
        <v>3</v>
      </c>
      <c r="G200" t="s">
        <v>126</v>
      </c>
      <c r="H200" t="s">
        <v>23</v>
      </c>
      <c r="I200">
        <v>3</v>
      </c>
      <c r="J200">
        <v>6</v>
      </c>
      <c r="K200">
        <v>0</v>
      </c>
      <c r="L200">
        <v>41</v>
      </c>
      <c r="M200">
        <v>33</v>
      </c>
      <c r="N200">
        <v>14</v>
      </c>
      <c r="O200">
        <v>937</v>
      </c>
    </row>
    <row r="201" spans="1:15" x14ac:dyDescent="0.2">
      <c r="A201" t="s">
        <v>91</v>
      </c>
      <c r="B201" t="s">
        <v>37</v>
      </c>
      <c r="C201" t="s">
        <v>17</v>
      </c>
      <c r="D201" t="s">
        <v>75</v>
      </c>
      <c r="E201" t="s">
        <v>132</v>
      </c>
      <c r="F201">
        <v>3</v>
      </c>
      <c r="G201" t="s">
        <v>126</v>
      </c>
      <c r="H201" t="s">
        <v>24</v>
      </c>
      <c r="I201">
        <v>0</v>
      </c>
      <c r="J201">
        <v>0</v>
      </c>
      <c r="K201">
        <v>0</v>
      </c>
      <c r="L201">
        <v>41</v>
      </c>
      <c r="M201">
        <v>33</v>
      </c>
      <c r="N201">
        <v>14</v>
      </c>
      <c r="O201">
        <v>937</v>
      </c>
    </row>
    <row r="202" spans="1:15" x14ac:dyDescent="0.2">
      <c r="A202" t="s">
        <v>96</v>
      </c>
      <c r="B202" t="s">
        <v>83</v>
      </c>
      <c r="C202" t="s">
        <v>17</v>
      </c>
      <c r="D202" t="s">
        <v>75</v>
      </c>
      <c r="E202" t="s">
        <v>99</v>
      </c>
      <c r="F202">
        <v>3</v>
      </c>
      <c r="G202" t="s">
        <v>19</v>
      </c>
      <c r="H202" t="s">
        <v>20</v>
      </c>
      <c r="I202">
        <v>6</v>
      </c>
      <c r="J202">
        <v>0</v>
      </c>
      <c r="K202">
        <v>0</v>
      </c>
      <c r="L202">
        <v>9</v>
      </c>
      <c r="M202">
        <v>5</v>
      </c>
      <c r="N202">
        <v>0</v>
      </c>
      <c r="O202">
        <v>541</v>
      </c>
    </row>
    <row r="203" spans="1:15" x14ac:dyDescent="0.2">
      <c r="A203" t="s">
        <v>96</v>
      </c>
      <c r="B203" t="s">
        <v>83</v>
      </c>
      <c r="C203" t="s">
        <v>17</v>
      </c>
      <c r="D203" t="s">
        <v>75</v>
      </c>
      <c r="E203" t="s">
        <v>99</v>
      </c>
      <c r="F203">
        <v>3</v>
      </c>
      <c r="G203" t="s">
        <v>19</v>
      </c>
      <c r="H203" t="s">
        <v>21</v>
      </c>
      <c r="I203">
        <v>0</v>
      </c>
      <c r="J203">
        <v>0</v>
      </c>
      <c r="K203">
        <v>0</v>
      </c>
      <c r="L203">
        <v>9</v>
      </c>
      <c r="M203">
        <v>5</v>
      </c>
      <c r="N203">
        <v>0</v>
      </c>
      <c r="O203">
        <v>541</v>
      </c>
    </row>
    <row r="204" spans="1:15" x14ac:dyDescent="0.2">
      <c r="A204" t="s">
        <v>96</v>
      </c>
      <c r="B204" t="s">
        <v>83</v>
      </c>
      <c r="C204" t="s">
        <v>17</v>
      </c>
      <c r="D204" t="s">
        <v>75</v>
      </c>
      <c r="E204" t="s">
        <v>99</v>
      </c>
      <c r="F204">
        <v>3</v>
      </c>
      <c r="G204" t="s">
        <v>19</v>
      </c>
      <c r="H204" t="s">
        <v>22</v>
      </c>
      <c r="I204">
        <v>0</v>
      </c>
      <c r="J204">
        <v>0</v>
      </c>
      <c r="K204">
        <v>0</v>
      </c>
      <c r="L204">
        <v>9</v>
      </c>
      <c r="M204">
        <v>5</v>
      </c>
      <c r="N204">
        <v>0</v>
      </c>
      <c r="O204">
        <v>541</v>
      </c>
    </row>
    <row r="205" spans="1:15" x14ac:dyDescent="0.2">
      <c r="A205" t="s">
        <v>96</v>
      </c>
      <c r="B205" t="s">
        <v>83</v>
      </c>
      <c r="C205" t="s">
        <v>17</v>
      </c>
      <c r="D205" t="s">
        <v>75</v>
      </c>
      <c r="E205" t="s">
        <v>99</v>
      </c>
      <c r="F205">
        <v>3</v>
      </c>
      <c r="G205" t="s">
        <v>19</v>
      </c>
      <c r="H205" t="s">
        <v>23</v>
      </c>
      <c r="I205">
        <v>3</v>
      </c>
      <c r="J205">
        <v>5</v>
      </c>
      <c r="K205">
        <v>0</v>
      </c>
      <c r="L205">
        <v>9</v>
      </c>
      <c r="M205">
        <v>5</v>
      </c>
      <c r="N205">
        <v>0</v>
      </c>
      <c r="O205">
        <v>541</v>
      </c>
    </row>
    <row r="206" spans="1:15" x14ac:dyDescent="0.2">
      <c r="A206" t="s">
        <v>96</v>
      </c>
      <c r="B206" t="s">
        <v>83</v>
      </c>
      <c r="C206" t="s">
        <v>17</v>
      </c>
      <c r="D206" t="s">
        <v>75</v>
      </c>
      <c r="E206" t="s">
        <v>99</v>
      </c>
      <c r="F206">
        <v>3</v>
      </c>
      <c r="G206" t="s">
        <v>19</v>
      </c>
      <c r="H206" t="s">
        <v>24</v>
      </c>
      <c r="I206">
        <v>0</v>
      </c>
      <c r="J206">
        <v>0</v>
      </c>
      <c r="K206">
        <v>0</v>
      </c>
      <c r="L206">
        <v>9</v>
      </c>
      <c r="M206">
        <v>5</v>
      </c>
      <c r="N206">
        <v>0</v>
      </c>
      <c r="O206">
        <v>541</v>
      </c>
    </row>
    <row r="207" spans="1:15" x14ac:dyDescent="0.2">
      <c r="A207" t="s">
        <v>96</v>
      </c>
      <c r="B207" t="s">
        <v>83</v>
      </c>
      <c r="C207" t="s">
        <v>17</v>
      </c>
      <c r="D207" t="s">
        <v>75</v>
      </c>
      <c r="E207" t="s">
        <v>134</v>
      </c>
      <c r="F207">
        <v>3</v>
      </c>
      <c r="G207" t="s">
        <v>130</v>
      </c>
      <c r="H207" t="s">
        <v>20</v>
      </c>
      <c r="I207">
        <v>0</v>
      </c>
      <c r="J207">
        <v>4</v>
      </c>
      <c r="K207">
        <v>2</v>
      </c>
      <c r="L207">
        <v>0</v>
      </c>
      <c r="M207">
        <v>6</v>
      </c>
      <c r="N207">
        <v>4</v>
      </c>
      <c r="O207">
        <v>180</v>
      </c>
    </row>
    <row r="208" spans="1:15" x14ac:dyDescent="0.2">
      <c r="A208" t="s">
        <v>96</v>
      </c>
      <c r="B208" t="s">
        <v>83</v>
      </c>
      <c r="C208" t="s">
        <v>17</v>
      </c>
      <c r="D208" t="s">
        <v>75</v>
      </c>
      <c r="E208" t="s">
        <v>134</v>
      </c>
      <c r="F208">
        <v>3</v>
      </c>
      <c r="G208" t="s">
        <v>130</v>
      </c>
      <c r="H208" t="s">
        <v>21</v>
      </c>
      <c r="I208">
        <v>0</v>
      </c>
      <c r="J208">
        <v>0</v>
      </c>
      <c r="K208">
        <v>0</v>
      </c>
      <c r="L208">
        <v>0</v>
      </c>
      <c r="M208">
        <v>6</v>
      </c>
      <c r="N208">
        <v>4</v>
      </c>
      <c r="O208">
        <v>180</v>
      </c>
    </row>
    <row r="209" spans="1:15" x14ac:dyDescent="0.2">
      <c r="A209" t="s">
        <v>96</v>
      </c>
      <c r="B209" t="s">
        <v>83</v>
      </c>
      <c r="C209" t="s">
        <v>17</v>
      </c>
      <c r="D209" t="s">
        <v>75</v>
      </c>
      <c r="E209" t="s">
        <v>134</v>
      </c>
      <c r="F209">
        <v>3</v>
      </c>
      <c r="G209" t="s">
        <v>130</v>
      </c>
      <c r="H209" t="s">
        <v>22</v>
      </c>
      <c r="I209">
        <v>0</v>
      </c>
      <c r="J209">
        <v>2</v>
      </c>
      <c r="K209">
        <v>2</v>
      </c>
      <c r="L209">
        <v>0</v>
      </c>
      <c r="M209">
        <v>6</v>
      </c>
      <c r="N209">
        <v>4</v>
      </c>
      <c r="O209">
        <v>180</v>
      </c>
    </row>
    <row r="210" spans="1:15" x14ac:dyDescent="0.2">
      <c r="A210" t="s">
        <v>96</v>
      </c>
      <c r="B210" t="s">
        <v>83</v>
      </c>
      <c r="C210" t="s">
        <v>17</v>
      </c>
      <c r="D210" t="s">
        <v>75</v>
      </c>
      <c r="E210" t="s">
        <v>134</v>
      </c>
      <c r="F210">
        <v>3</v>
      </c>
      <c r="G210" t="s">
        <v>130</v>
      </c>
      <c r="H210" t="s">
        <v>23</v>
      </c>
      <c r="I210">
        <v>0</v>
      </c>
      <c r="J210">
        <v>0</v>
      </c>
      <c r="K210">
        <v>0</v>
      </c>
      <c r="L210">
        <v>0</v>
      </c>
      <c r="M210">
        <v>6</v>
      </c>
      <c r="N210">
        <v>4</v>
      </c>
      <c r="O210">
        <v>180</v>
      </c>
    </row>
    <row r="211" spans="1:15" x14ac:dyDescent="0.2">
      <c r="A211" t="s">
        <v>96</v>
      </c>
      <c r="B211" t="s">
        <v>83</v>
      </c>
      <c r="C211" t="s">
        <v>17</v>
      </c>
      <c r="D211" t="s">
        <v>75</v>
      </c>
      <c r="E211" t="s">
        <v>134</v>
      </c>
      <c r="F211">
        <v>3</v>
      </c>
      <c r="G211" t="s">
        <v>130</v>
      </c>
      <c r="H211" t="s">
        <v>24</v>
      </c>
      <c r="I211">
        <v>0</v>
      </c>
      <c r="J211">
        <v>0</v>
      </c>
      <c r="K211">
        <v>0</v>
      </c>
      <c r="L211">
        <v>0</v>
      </c>
      <c r="M211">
        <v>6</v>
      </c>
      <c r="N211">
        <v>4</v>
      </c>
      <c r="O211">
        <v>180</v>
      </c>
    </row>
    <row r="212" spans="1:15" x14ac:dyDescent="0.2">
      <c r="A212" t="s">
        <v>96</v>
      </c>
      <c r="B212" t="s">
        <v>83</v>
      </c>
      <c r="C212" t="s">
        <v>17</v>
      </c>
      <c r="D212" t="s">
        <v>75</v>
      </c>
      <c r="E212" t="s">
        <v>133</v>
      </c>
      <c r="F212">
        <v>3</v>
      </c>
      <c r="G212" t="s">
        <v>128</v>
      </c>
      <c r="H212" t="s">
        <v>20</v>
      </c>
      <c r="I212">
        <v>0</v>
      </c>
      <c r="J212">
        <v>3</v>
      </c>
      <c r="K212">
        <v>1</v>
      </c>
      <c r="L212">
        <v>0</v>
      </c>
      <c r="M212">
        <v>12</v>
      </c>
      <c r="N212">
        <v>8</v>
      </c>
      <c r="O212">
        <v>156</v>
      </c>
    </row>
    <row r="213" spans="1:15" x14ac:dyDescent="0.2">
      <c r="A213" t="s">
        <v>96</v>
      </c>
      <c r="B213" t="s">
        <v>83</v>
      </c>
      <c r="C213" t="s">
        <v>17</v>
      </c>
      <c r="D213" t="s">
        <v>75</v>
      </c>
      <c r="E213" t="s">
        <v>133</v>
      </c>
      <c r="F213">
        <v>3</v>
      </c>
      <c r="G213" t="s">
        <v>128</v>
      </c>
      <c r="H213" t="s">
        <v>21</v>
      </c>
      <c r="I213">
        <v>0</v>
      </c>
      <c r="J213">
        <v>5</v>
      </c>
      <c r="K213">
        <v>5</v>
      </c>
      <c r="L213">
        <v>0</v>
      </c>
      <c r="M213">
        <v>12</v>
      </c>
      <c r="N213">
        <v>8</v>
      </c>
      <c r="O213">
        <v>156</v>
      </c>
    </row>
    <row r="214" spans="1:15" x14ac:dyDescent="0.2">
      <c r="A214" t="s">
        <v>96</v>
      </c>
      <c r="B214" t="s">
        <v>83</v>
      </c>
      <c r="C214" t="s">
        <v>17</v>
      </c>
      <c r="D214" t="s">
        <v>75</v>
      </c>
      <c r="E214" t="s">
        <v>133</v>
      </c>
      <c r="F214">
        <v>3</v>
      </c>
      <c r="G214" t="s">
        <v>128</v>
      </c>
      <c r="H214" t="s">
        <v>22</v>
      </c>
      <c r="I214">
        <v>0</v>
      </c>
      <c r="J214">
        <v>3</v>
      </c>
      <c r="K214">
        <v>2</v>
      </c>
      <c r="L214">
        <v>0</v>
      </c>
      <c r="M214">
        <v>12</v>
      </c>
      <c r="N214">
        <v>8</v>
      </c>
      <c r="O214">
        <v>156</v>
      </c>
    </row>
    <row r="215" spans="1:15" x14ac:dyDescent="0.2">
      <c r="A215" t="s">
        <v>96</v>
      </c>
      <c r="B215" t="s">
        <v>83</v>
      </c>
      <c r="C215" t="s">
        <v>17</v>
      </c>
      <c r="D215" t="s">
        <v>75</v>
      </c>
      <c r="E215" t="s">
        <v>133</v>
      </c>
      <c r="F215">
        <v>3</v>
      </c>
      <c r="G215" t="s">
        <v>128</v>
      </c>
      <c r="H215" t="s">
        <v>23</v>
      </c>
      <c r="I215">
        <v>0</v>
      </c>
      <c r="J215">
        <v>1</v>
      </c>
      <c r="K215">
        <v>0</v>
      </c>
      <c r="L215">
        <v>0</v>
      </c>
      <c r="M215">
        <v>12</v>
      </c>
      <c r="N215">
        <v>8</v>
      </c>
      <c r="O215">
        <v>156</v>
      </c>
    </row>
    <row r="216" spans="1:15" x14ac:dyDescent="0.2">
      <c r="A216" t="s">
        <v>96</v>
      </c>
      <c r="B216" t="s">
        <v>83</v>
      </c>
      <c r="C216" t="s">
        <v>17</v>
      </c>
      <c r="D216" t="s">
        <v>75</v>
      </c>
      <c r="E216" t="s">
        <v>133</v>
      </c>
      <c r="F216">
        <v>3</v>
      </c>
      <c r="G216" t="s">
        <v>128</v>
      </c>
      <c r="H216" t="s">
        <v>24</v>
      </c>
      <c r="I216">
        <v>0</v>
      </c>
      <c r="J216">
        <v>0</v>
      </c>
      <c r="K216">
        <v>0</v>
      </c>
      <c r="L216">
        <v>0</v>
      </c>
      <c r="M216">
        <v>12</v>
      </c>
      <c r="N216">
        <v>8</v>
      </c>
      <c r="O216">
        <v>156</v>
      </c>
    </row>
    <row r="217" spans="1:15" x14ac:dyDescent="0.2">
      <c r="A217" t="s">
        <v>96</v>
      </c>
      <c r="B217" t="s">
        <v>83</v>
      </c>
      <c r="C217" t="s">
        <v>17</v>
      </c>
      <c r="D217" t="s">
        <v>75</v>
      </c>
      <c r="E217" t="s">
        <v>132</v>
      </c>
      <c r="F217">
        <v>3</v>
      </c>
      <c r="G217" t="s">
        <v>126</v>
      </c>
      <c r="H217" t="s">
        <v>20</v>
      </c>
      <c r="I217">
        <v>0</v>
      </c>
      <c r="J217">
        <v>0</v>
      </c>
      <c r="K217">
        <v>0</v>
      </c>
      <c r="L217">
        <v>1</v>
      </c>
      <c r="M217">
        <v>19</v>
      </c>
      <c r="N217">
        <v>7</v>
      </c>
      <c r="O217">
        <v>178</v>
      </c>
    </row>
    <row r="218" spans="1:15" x14ac:dyDescent="0.2">
      <c r="A218" t="s">
        <v>96</v>
      </c>
      <c r="B218" t="s">
        <v>83</v>
      </c>
      <c r="C218" t="s">
        <v>17</v>
      </c>
      <c r="D218" t="s">
        <v>75</v>
      </c>
      <c r="E218" t="s">
        <v>132</v>
      </c>
      <c r="F218">
        <v>3</v>
      </c>
      <c r="G218" t="s">
        <v>126</v>
      </c>
      <c r="H218" t="s">
        <v>21</v>
      </c>
      <c r="I218">
        <v>0</v>
      </c>
      <c r="J218">
        <v>14</v>
      </c>
      <c r="K218">
        <v>5</v>
      </c>
      <c r="L218">
        <v>1</v>
      </c>
      <c r="M218">
        <v>19</v>
      </c>
      <c r="N218">
        <v>7</v>
      </c>
      <c r="O218">
        <v>178</v>
      </c>
    </row>
    <row r="219" spans="1:15" x14ac:dyDescent="0.2">
      <c r="A219" t="s">
        <v>96</v>
      </c>
      <c r="B219" t="s">
        <v>83</v>
      </c>
      <c r="C219" t="s">
        <v>17</v>
      </c>
      <c r="D219" t="s">
        <v>75</v>
      </c>
      <c r="E219" t="s">
        <v>132</v>
      </c>
      <c r="F219">
        <v>3</v>
      </c>
      <c r="G219" t="s">
        <v>126</v>
      </c>
      <c r="H219" t="s">
        <v>22</v>
      </c>
      <c r="I219">
        <v>0</v>
      </c>
      <c r="J219">
        <v>4</v>
      </c>
      <c r="K219">
        <v>2</v>
      </c>
      <c r="L219">
        <v>1</v>
      </c>
      <c r="M219">
        <v>19</v>
      </c>
      <c r="N219">
        <v>7</v>
      </c>
      <c r="O219">
        <v>178</v>
      </c>
    </row>
    <row r="220" spans="1:15" x14ac:dyDescent="0.2">
      <c r="A220" t="s">
        <v>96</v>
      </c>
      <c r="B220" t="s">
        <v>83</v>
      </c>
      <c r="C220" t="s">
        <v>17</v>
      </c>
      <c r="D220" t="s">
        <v>75</v>
      </c>
      <c r="E220" t="s">
        <v>132</v>
      </c>
      <c r="F220">
        <v>3</v>
      </c>
      <c r="G220" t="s">
        <v>126</v>
      </c>
      <c r="H220" t="s">
        <v>23</v>
      </c>
      <c r="I220">
        <v>1</v>
      </c>
      <c r="J220">
        <v>1</v>
      </c>
      <c r="K220">
        <v>0</v>
      </c>
      <c r="L220">
        <v>1</v>
      </c>
      <c r="M220">
        <v>19</v>
      </c>
      <c r="N220">
        <v>7</v>
      </c>
      <c r="O220">
        <v>178</v>
      </c>
    </row>
    <row r="221" spans="1:15" x14ac:dyDescent="0.2">
      <c r="A221" t="s">
        <v>96</v>
      </c>
      <c r="B221" t="s">
        <v>83</v>
      </c>
      <c r="C221" t="s">
        <v>17</v>
      </c>
      <c r="D221" t="s">
        <v>75</v>
      </c>
      <c r="E221" t="s">
        <v>132</v>
      </c>
      <c r="F221">
        <v>3</v>
      </c>
      <c r="G221" t="s">
        <v>126</v>
      </c>
      <c r="H221" t="s">
        <v>24</v>
      </c>
      <c r="I221">
        <v>0</v>
      </c>
      <c r="J221">
        <v>0</v>
      </c>
      <c r="K221">
        <v>0</v>
      </c>
      <c r="L221">
        <v>1</v>
      </c>
      <c r="M221">
        <v>19</v>
      </c>
      <c r="N221">
        <v>7</v>
      </c>
      <c r="O221">
        <v>178</v>
      </c>
    </row>
    <row r="222" spans="1:15" x14ac:dyDescent="0.2">
      <c r="A222" t="s">
        <v>101</v>
      </c>
      <c r="B222" t="s">
        <v>45</v>
      </c>
      <c r="C222" t="s">
        <v>17</v>
      </c>
      <c r="D222" t="s">
        <v>75</v>
      </c>
      <c r="E222" t="s">
        <v>99</v>
      </c>
      <c r="F222">
        <v>3</v>
      </c>
      <c r="G222" t="s">
        <v>19</v>
      </c>
      <c r="H222" t="s">
        <v>20</v>
      </c>
      <c r="I222">
        <v>6</v>
      </c>
      <c r="J222">
        <v>4</v>
      </c>
      <c r="K222">
        <v>0</v>
      </c>
      <c r="L222">
        <v>16</v>
      </c>
      <c r="M222">
        <v>27</v>
      </c>
      <c r="N222">
        <v>0</v>
      </c>
      <c r="O222">
        <v>730</v>
      </c>
    </row>
    <row r="223" spans="1:15" x14ac:dyDescent="0.2">
      <c r="A223" t="s">
        <v>101</v>
      </c>
      <c r="B223" t="s">
        <v>45</v>
      </c>
      <c r="C223" t="s">
        <v>17</v>
      </c>
      <c r="D223" t="s">
        <v>75</v>
      </c>
      <c r="E223" t="s">
        <v>99</v>
      </c>
      <c r="F223">
        <v>3</v>
      </c>
      <c r="G223" t="s">
        <v>19</v>
      </c>
      <c r="H223" t="s">
        <v>21</v>
      </c>
      <c r="I223">
        <v>0</v>
      </c>
      <c r="J223">
        <v>16</v>
      </c>
      <c r="K223">
        <v>0</v>
      </c>
      <c r="L223">
        <v>16</v>
      </c>
      <c r="M223">
        <v>27</v>
      </c>
      <c r="N223">
        <v>0</v>
      </c>
      <c r="O223">
        <v>730</v>
      </c>
    </row>
    <row r="224" spans="1:15" x14ac:dyDescent="0.2">
      <c r="A224" t="s">
        <v>101</v>
      </c>
      <c r="B224" t="s">
        <v>45</v>
      </c>
      <c r="C224" t="s">
        <v>17</v>
      </c>
      <c r="D224" t="s">
        <v>75</v>
      </c>
      <c r="E224" t="s">
        <v>99</v>
      </c>
      <c r="F224">
        <v>3</v>
      </c>
      <c r="G224" t="s">
        <v>19</v>
      </c>
      <c r="H224" t="s">
        <v>22</v>
      </c>
      <c r="I224">
        <v>7</v>
      </c>
      <c r="J224">
        <v>6</v>
      </c>
      <c r="K224">
        <v>0</v>
      </c>
      <c r="L224">
        <v>16</v>
      </c>
      <c r="M224">
        <v>27</v>
      </c>
      <c r="N224">
        <v>0</v>
      </c>
      <c r="O224">
        <v>730</v>
      </c>
    </row>
    <row r="225" spans="1:15" x14ac:dyDescent="0.2">
      <c r="A225" t="s">
        <v>101</v>
      </c>
      <c r="B225" t="s">
        <v>45</v>
      </c>
      <c r="C225" t="s">
        <v>17</v>
      </c>
      <c r="D225" t="s">
        <v>75</v>
      </c>
      <c r="E225" t="s">
        <v>99</v>
      </c>
      <c r="F225">
        <v>3</v>
      </c>
      <c r="G225" t="s">
        <v>19</v>
      </c>
      <c r="H225" t="s">
        <v>23</v>
      </c>
      <c r="I225">
        <v>3</v>
      </c>
      <c r="J225">
        <v>1</v>
      </c>
      <c r="K225">
        <v>0</v>
      </c>
      <c r="L225">
        <v>16</v>
      </c>
      <c r="M225">
        <v>27</v>
      </c>
      <c r="N225">
        <v>0</v>
      </c>
      <c r="O225">
        <v>730</v>
      </c>
    </row>
    <row r="226" spans="1:15" x14ac:dyDescent="0.2">
      <c r="A226" t="s">
        <v>101</v>
      </c>
      <c r="B226" t="s">
        <v>45</v>
      </c>
      <c r="C226" t="s">
        <v>17</v>
      </c>
      <c r="D226" t="s">
        <v>75</v>
      </c>
      <c r="E226" t="s">
        <v>99</v>
      </c>
      <c r="F226">
        <v>3</v>
      </c>
      <c r="G226" t="s">
        <v>19</v>
      </c>
      <c r="H226" t="s">
        <v>24</v>
      </c>
      <c r="I226">
        <v>0</v>
      </c>
      <c r="J226">
        <v>0</v>
      </c>
      <c r="K226">
        <v>0</v>
      </c>
      <c r="L226">
        <v>16</v>
      </c>
      <c r="M226">
        <v>27</v>
      </c>
      <c r="N226">
        <v>0</v>
      </c>
      <c r="O226">
        <v>730</v>
      </c>
    </row>
    <row r="227" spans="1:15" x14ac:dyDescent="0.2">
      <c r="A227" t="s">
        <v>101</v>
      </c>
      <c r="B227" t="s">
        <v>45</v>
      </c>
      <c r="C227" t="s">
        <v>17</v>
      </c>
      <c r="D227" t="s">
        <v>75</v>
      </c>
      <c r="E227" t="s">
        <v>134</v>
      </c>
      <c r="F227">
        <v>3</v>
      </c>
      <c r="G227" t="s">
        <v>130</v>
      </c>
      <c r="H227" t="s">
        <v>20</v>
      </c>
      <c r="I227">
        <v>4</v>
      </c>
      <c r="J227">
        <v>5</v>
      </c>
      <c r="K227">
        <v>2</v>
      </c>
      <c r="L227">
        <v>8</v>
      </c>
      <c r="M227">
        <v>10</v>
      </c>
      <c r="N227">
        <v>6</v>
      </c>
      <c r="O227">
        <v>470</v>
      </c>
    </row>
    <row r="228" spans="1:15" x14ac:dyDescent="0.2">
      <c r="A228" t="s">
        <v>101</v>
      </c>
      <c r="B228" t="s">
        <v>45</v>
      </c>
      <c r="C228" t="s">
        <v>17</v>
      </c>
      <c r="D228" t="s">
        <v>75</v>
      </c>
      <c r="E228" t="s">
        <v>134</v>
      </c>
      <c r="F228">
        <v>3</v>
      </c>
      <c r="G228" t="s">
        <v>130</v>
      </c>
      <c r="H228" t="s">
        <v>21</v>
      </c>
      <c r="I228">
        <v>0</v>
      </c>
      <c r="J228">
        <v>1</v>
      </c>
      <c r="K228">
        <v>1</v>
      </c>
      <c r="L228">
        <v>8</v>
      </c>
      <c r="M228">
        <v>10</v>
      </c>
      <c r="N228">
        <v>6</v>
      </c>
      <c r="O228">
        <v>470</v>
      </c>
    </row>
    <row r="229" spans="1:15" x14ac:dyDescent="0.2">
      <c r="A229" t="s">
        <v>101</v>
      </c>
      <c r="B229" t="s">
        <v>45</v>
      </c>
      <c r="C229" t="s">
        <v>17</v>
      </c>
      <c r="D229" t="s">
        <v>75</v>
      </c>
      <c r="E229" t="s">
        <v>134</v>
      </c>
      <c r="F229">
        <v>3</v>
      </c>
      <c r="G229" t="s">
        <v>130</v>
      </c>
      <c r="H229" t="s">
        <v>22</v>
      </c>
      <c r="I229">
        <v>4</v>
      </c>
      <c r="J229">
        <v>3</v>
      </c>
      <c r="K229">
        <v>2</v>
      </c>
      <c r="L229">
        <v>8</v>
      </c>
      <c r="M229">
        <v>10</v>
      </c>
      <c r="N229">
        <v>6</v>
      </c>
      <c r="O229">
        <v>470</v>
      </c>
    </row>
    <row r="230" spans="1:15" x14ac:dyDescent="0.2">
      <c r="A230" t="s">
        <v>101</v>
      </c>
      <c r="B230" t="s">
        <v>45</v>
      </c>
      <c r="C230" t="s">
        <v>17</v>
      </c>
      <c r="D230" t="s">
        <v>75</v>
      </c>
      <c r="E230" t="s">
        <v>134</v>
      </c>
      <c r="F230">
        <v>3</v>
      </c>
      <c r="G230" t="s">
        <v>130</v>
      </c>
      <c r="H230" t="s">
        <v>23</v>
      </c>
      <c r="I230">
        <v>0</v>
      </c>
      <c r="J230">
        <v>1</v>
      </c>
      <c r="K230">
        <v>1</v>
      </c>
      <c r="L230">
        <v>8</v>
      </c>
      <c r="M230">
        <v>10</v>
      </c>
      <c r="N230">
        <v>6</v>
      </c>
      <c r="O230">
        <v>470</v>
      </c>
    </row>
    <row r="231" spans="1:15" x14ac:dyDescent="0.2">
      <c r="A231" t="s">
        <v>101</v>
      </c>
      <c r="B231" t="s">
        <v>45</v>
      </c>
      <c r="C231" t="s">
        <v>17</v>
      </c>
      <c r="D231" t="s">
        <v>75</v>
      </c>
      <c r="E231" t="s">
        <v>134</v>
      </c>
      <c r="F231">
        <v>3</v>
      </c>
      <c r="G231" t="s">
        <v>130</v>
      </c>
      <c r="H231" t="s">
        <v>24</v>
      </c>
      <c r="I231">
        <v>0</v>
      </c>
      <c r="J231">
        <v>0</v>
      </c>
      <c r="K231">
        <v>0</v>
      </c>
      <c r="L231">
        <v>8</v>
      </c>
      <c r="M231">
        <v>10</v>
      </c>
      <c r="N231">
        <v>6</v>
      </c>
      <c r="O231">
        <v>470</v>
      </c>
    </row>
    <row r="232" spans="1:15" x14ac:dyDescent="0.2">
      <c r="A232" t="s">
        <v>101</v>
      </c>
      <c r="B232" t="s">
        <v>45</v>
      </c>
      <c r="C232" t="s">
        <v>17</v>
      </c>
      <c r="D232" t="s">
        <v>75</v>
      </c>
      <c r="E232" t="s">
        <v>133</v>
      </c>
      <c r="F232">
        <v>3</v>
      </c>
      <c r="G232" t="s">
        <v>128</v>
      </c>
      <c r="H232" t="s">
        <v>20</v>
      </c>
      <c r="I232">
        <v>3</v>
      </c>
      <c r="J232">
        <v>3</v>
      </c>
      <c r="K232">
        <v>0</v>
      </c>
      <c r="L232">
        <v>8</v>
      </c>
      <c r="M232">
        <v>16</v>
      </c>
      <c r="N232">
        <v>8</v>
      </c>
      <c r="O232">
        <v>471</v>
      </c>
    </row>
    <row r="233" spans="1:15" x14ac:dyDescent="0.2">
      <c r="A233" t="s">
        <v>101</v>
      </c>
      <c r="B233" t="s">
        <v>45</v>
      </c>
      <c r="C233" t="s">
        <v>17</v>
      </c>
      <c r="D233" t="s">
        <v>75</v>
      </c>
      <c r="E233" t="s">
        <v>133</v>
      </c>
      <c r="F233">
        <v>3</v>
      </c>
      <c r="G233" t="s">
        <v>128</v>
      </c>
      <c r="H233" t="s">
        <v>21</v>
      </c>
      <c r="I233">
        <v>2</v>
      </c>
      <c r="J233">
        <v>8</v>
      </c>
      <c r="K233">
        <v>4</v>
      </c>
      <c r="L233">
        <v>8</v>
      </c>
      <c r="M233">
        <v>16</v>
      </c>
      <c r="N233">
        <v>8</v>
      </c>
      <c r="O233">
        <v>471</v>
      </c>
    </row>
    <row r="234" spans="1:15" x14ac:dyDescent="0.2">
      <c r="A234" t="s">
        <v>101</v>
      </c>
      <c r="B234" t="s">
        <v>45</v>
      </c>
      <c r="C234" t="s">
        <v>17</v>
      </c>
      <c r="D234" t="s">
        <v>75</v>
      </c>
      <c r="E234" t="s">
        <v>133</v>
      </c>
      <c r="F234">
        <v>3</v>
      </c>
      <c r="G234" t="s">
        <v>128</v>
      </c>
      <c r="H234" t="s">
        <v>22</v>
      </c>
      <c r="I234">
        <v>1</v>
      </c>
      <c r="J234">
        <v>4</v>
      </c>
      <c r="K234">
        <v>3</v>
      </c>
      <c r="L234">
        <v>8</v>
      </c>
      <c r="M234">
        <v>16</v>
      </c>
      <c r="N234">
        <v>8</v>
      </c>
      <c r="O234">
        <v>471</v>
      </c>
    </row>
    <row r="235" spans="1:15" x14ac:dyDescent="0.2">
      <c r="A235" t="s">
        <v>101</v>
      </c>
      <c r="B235" t="s">
        <v>45</v>
      </c>
      <c r="C235" t="s">
        <v>17</v>
      </c>
      <c r="D235" t="s">
        <v>75</v>
      </c>
      <c r="E235" t="s">
        <v>133</v>
      </c>
      <c r="F235">
        <v>3</v>
      </c>
      <c r="G235" t="s">
        <v>128</v>
      </c>
      <c r="H235" t="s">
        <v>23</v>
      </c>
      <c r="I235">
        <v>2</v>
      </c>
      <c r="J235">
        <v>1</v>
      </c>
      <c r="K235">
        <v>1</v>
      </c>
      <c r="L235">
        <v>8</v>
      </c>
      <c r="M235">
        <v>16</v>
      </c>
      <c r="N235">
        <v>8</v>
      </c>
      <c r="O235">
        <v>471</v>
      </c>
    </row>
    <row r="236" spans="1:15" x14ac:dyDescent="0.2">
      <c r="A236" t="s">
        <v>101</v>
      </c>
      <c r="B236" t="s">
        <v>45</v>
      </c>
      <c r="C236" t="s">
        <v>17</v>
      </c>
      <c r="D236" t="s">
        <v>75</v>
      </c>
      <c r="E236" t="s">
        <v>133</v>
      </c>
      <c r="F236">
        <v>3</v>
      </c>
      <c r="G236" t="s">
        <v>128</v>
      </c>
      <c r="H236" t="s">
        <v>24</v>
      </c>
      <c r="I236">
        <v>0</v>
      </c>
      <c r="J236">
        <v>0</v>
      </c>
      <c r="K236">
        <v>0</v>
      </c>
      <c r="L236">
        <v>8</v>
      </c>
      <c r="M236">
        <v>16</v>
      </c>
      <c r="N236">
        <v>8</v>
      </c>
      <c r="O236">
        <v>471</v>
      </c>
    </row>
    <row r="237" spans="1:15" x14ac:dyDescent="0.2">
      <c r="A237" t="s">
        <v>101</v>
      </c>
      <c r="B237" t="s">
        <v>45</v>
      </c>
      <c r="C237" t="s">
        <v>17</v>
      </c>
      <c r="D237" t="s">
        <v>75</v>
      </c>
      <c r="E237" t="s">
        <v>132</v>
      </c>
      <c r="F237">
        <v>3</v>
      </c>
      <c r="G237" t="s">
        <v>126</v>
      </c>
      <c r="H237" t="s">
        <v>20</v>
      </c>
      <c r="I237">
        <v>2</v>
      </c>
      <c r="J237">
        <v>1</v>
      </c>
      <c r="K237">
        <v>0</v>
      </c>
      <c r="L237">
        <v>8</v>
      </c>
      <c r="M237">
        <v>12</v>
      </c>
      <c r="N237">
        <v>2</v>
      </c>
      <c r="O237">
        <v>455</v>
      </c>
    </row>
    <row r="238" spans="1:15" x14ac:dyDescent="0.2">
      <c r="A238" t="s">
        <v>101</v>
      </c>
      <c r="B238" t="s">
        <v>45</v>
      </c>
      <c r="C238" t="s">
        <v>17</v>
      </c>
      <c r="D238" t="s">
        <v>75</v>
      </c>
      <c r="E238" t="s">
        <v>132</v>
      </c>
      <c r="F238">
        <v>3</v>
      </c>
      <c r="G238" t="s">
        <v>126</v>
      </c>
      <c r="H238" t="s">
        <v>21</v>
      </c>
      <c r="I238">
        <v>2</v>
      </c>
      <c r="J238">
        <v>5</v>
      </c>
      <c r="K238">
        <v>1</v>
      </c>
      <c r="L238">
        <v>8</v>
      </c>
      <c r="M238">
        <v>12</v>
      </c>
      <c r="N238">
        <v>2</v>
      </c>
      <c r="O238">
        <v>455</v>
      </c>
    </row>
    <row r="239" spans="1:15" x14ac:dyDescent="0.2">
      <c r="A239" t="s">
        <v>101</v>
      </c>
      <c r="B239" t="s">
        <v>45</v>
      </c>
      <c r="C239" t="s">
        <v>17</v>
      </c>
      <c r="D239" t="s">
        <v>75</v>
      </c>
      <c r="E239" t="s">
        <v>132</v>
      </c>
      <c r="F239">
        <v>3</v>
      </c>
      <c r="G239" t="s">
        <v>126</v>
      </c>
      <c r="H239" t="s">
        <v>22</v>
      </c>
      <c r="I239">
        <v>1</v>
      </c>
      <c r="J239">
        <v>1</v>
      </c>
      <c r="K239">
        <v>0</v>
      </c>
      <c r="L239">
        <v>8</v>
      </c>
      <c r="M239">
        <v>12</v>
      </c>
      <c r="N239">
        <v>2</v>
      </c>
      <c r="O239">
        <v>455</v>
      </c>
    </row>
    <row r="240" spans="1:15" x14ac:dyDescent="0.2">
      <c r="A240" t="s">
        <v>101</v>
      </c>
      <c r="B240" t="s">
        <v>45</v>
      </c>
      <c r="C240" t="s">
        <v>17</v>
      </c>
      <c r="D240" t="s">
        <v>75</v>
      </c>
      <c r="E240" t="s">
        <v>132</v>
      </c>
      <c r="F240">
        <v>3</v>
      </c>
      <c r="G240" t="s">
        <v>126</v>
      </c>
      <c r="H240" t="s">
        <v>23</v>
      </c>
      <c r="I240">
        <v>3</v>
      </c>
      <c r="J240">
        <v>5</v>
      </c>
      <c r="K240">
        <v>1</v>
      </c>
      <c r="L240">
        <v>8</v>
      </c>
      <c r="M240">
        <v>12</v>
      </c>
      <c r="N240">
        <v>2</v>
      </c>
      <c r="O240">
        <v>455</v>
      </c>
    </row>
    <row r="241" spans="1:15" x14ac:dyDescent="0.2">
      <c r="A241" t="s">
        <v>101</v>
      </c>
      <c r="B241" t="s">
        <v>45</v>
      </c>
      <c r="C241" t="s">
        <v>17</v>
      </c>
      <c r="D241" t="s">
        <v>75</v>
      </c>
      <c r="E241" t="s">
        <v>132</v>
      </c>
      <c r="F241">
        <v>3</v>
      </c>
      <c r="G241" t="s">
        <v>126</v>
      </c>
      <c r="H241" t="s">
        <v>24</v>
      </c>
      <c r="I241">
        <v>0</v>
      </c>
      <c r="J241">
        <v>0</v>
      </c>
      <c r="K241">
        <v>0</v>
      </c>
      <c r="L241">
        <v>8</v>
      </c>
      <c r="M241">
        <v>12</v>
      </c>
      <c r="N241">
        <v>2</v>
      </c>
      <c r="O241">
        <v>455</v>
      </c>
    </row>
    <row r="242" spans="1:15" x14ac:dyDescent="0.2">
      <c r="A242" t="s">
        <v>76</v>
      </c>
      <c r="B242" t="s">
        <v>16</v>
      </c>
      <c r="C242" t="s">
        <v>17</v>
      </c>
      <c r="D242" t="s">
        <v>75</v>
      </c>
      <c r="E242" t="s">
        <v>87</v>
      </c>
      <c r="F242">
        <v>3</v>
      </c>
      <c r="G242" t="s">
        <v>19</v>
      </c>
      <c r="H242" t="s">
        <v>20</v>
      </c>
      <c r="I242">
        <v>199</v>
      </c>
      <c r="J242">
        <v>258</v>
      </c>
      <c r="K242">
        <v>0</v>
      </c>
      <c r="L242">
        <v>253</v>
      </c>
      <c r="M242">
        <v>273</v>
      </c>
      <c r="N242">
        <v>0</v>
      </c>
      <c r="O242">
        <v>685</v>
      </c>
    </row>
    <row r="243" spans="1:15" x14ac:dyDescent="0.2">
      <c r="A243" t="s">
        <v>76</v>
      </c>
      <c r="B243" t="s">
        <v>16</v>
      </c>
      <c r="C243" t="s">
        <v>17</v>
      </c>
      <c r="D243" t="s">
        <v>75</v>
      </c>
      <c r="E243" t="s">
        <v>87</v>
      </c>
      <c r="F243">
        <v>3</v>
      </c>
      <c r="G243" t="s">
        <v>19</v>
      </c>
      <c r="H243" t="s">
        <v>21</v>
      </c>
      <c r="I243">
        <v>12</v>
      </c>
      <c r="J243">
        <v>6</v>
      </c>
      <c r="K243">
        <v>0</v>
      </c>
      <c r="L243">
        <v>253</v>
      </c>
      <c r="M243">
        <v>273</v>
      </c>
      <c r="N243">
        <v>0</v>
      </c>
      <c r="O243">
        <v>685</v>
      </c>
    </row>
    <row r="244" spans="1:15" x14ac:dyDescent="0.2">
      <c r="A244" t="s">
        <v>76</v>
      </c>
      <c r="B244" t="s">
        <v>16</v>
      </c>
      <c r="C244" t="s">
        <v>17</v>
      </c>
      <c r="D244" t="s">
        <v>75</v>
      </c>
      <c r="E244" t="s">
        <v>87</v>
      </c>
      <c r="F244">
        <v>3</v>
      </c>
      <c r="G244" t="s">
        <v>19</v>
      </c>
      <c r="H244" t="s">
        <v>22</v>
      </c>
      <c r="I244">
        <v>2</v>
      </c>
      <c r="J244">
        <v>3</v>
      </c>
      <c r="K244">
        <v>0</v>
      </c>
      <c r="L244">
        <v>253</v>
      </c>
      <c r="M244">
        <v>273</v>
      </c>
      <c r="N244">
        <v>0</v>
      </c>
      <c r="O244">
        <v>685</v>
      </c>
    </row>
    <row r="245" spans="1:15" x14ac:dyDescent="0.2">
      <c r="A245" t="s">
        <v>76</v>
      </c>
      <c r="B245" t="s">
        <v>16</v>
      </c>
      <c r="C245" t="s">
        <v>17</v>
      </c>
      <c r="D245" t="s">
        <v>75</v>
      </c>
      <c r="E245" t="s">
        <v>87</v>
      </c>
      <c r="F245">
        <v>3</v>
      </c>
      <c r="G245" t="s">
        <v>19</v>
      </c>
      <c r="H245" t="s">
        <v>23</v>
      </c>
      <c r="I245">
        <v>40</v>
      </c>
      <c r="J245">
        <v>6</v>
      </c>
      <c r="K245">
        <v>0</v>
      </c>
      <c r="L245">
        <v>253</v>
      </c>
      <c r="M245">
        <v>273</v>
      </c>
      <c r="N245">
        <v>0</v>
      </c>
      <c r="O245">
        <v>685</v>
      </c>
    </row>
    <row r="246" spans="1:15" x14ac:dyDescent="0.2">
      <c r="A246" t="s">
        <v>76</v>
      </c>
      <c r="B246" t="s">
        <v>16</v>
      </c>
      <c r="C246" t="s">
        <v>17</v>
      </c>
      <c r="D246" t="s">
        <v>75</v>
      </c>
      <c r="E246" t="s">
        <v>87</v>
      </c>
      <c r="F246">
        <v>3</v>
      </c>
      <c r="G246" t="s">
        <v>19</v>
      </c>
      <c r="H246" t="s">
        <v>24</v>
      </c>
      <c r="I246">
        <v>0</v>
      </c>
      <c r="J246">
        <v>0</v>
      </c>
      <c r="K246">
        <v>0</v>
      </c>
      <c r="L246">
        <v>253</v>
      </c>
      <c r="M246">
        <v>273</v>
      </c>
      <c r="N246">
        <v>0</v>
      </c>
      <c r="O246">
        <v>685</v>
      </c>
    </row>
    <row r="247" spans="1:15" x14ac:dyDescent="0.2">
      <c r="A247" t="s">
        <v>76</v>
      </c>
      <c r="B247" t="s">
        <v>16</v>
      </c>
      <c r="C247" t="s">
        <v>17</v>
      </c>
      <c r="D247" t="s">
        <v>75</v>
      </c>
      <c r="E247" t="s">
        <v>131</v>
      </c>
      <c r="F247">
        <v>3</v>
      </c>
      <c r="G247" t="s">
        <v>130</v>
      </c>
      <c r="H247" t="s">
        <v>20</v>
      </c>
      <c r="I247">
        <v>56</v>
      </c>
      <c r="J247">
        <v>205</v>
      </c>
      <c r="K247">
        <v>84</v>
      </c>
      <c r="L247">
        <v>98</v>
      </c>
      <c r="M247">
        <v>261</v>
      </c>
      <c r="N247">
        <v>110</v>
      </c>
      <c r="O247">
        <v>612</v>
      </c>
    </row>
    <row r="248" spans="1:15" x14ac:dyDescent="0.2">
      <c r="A248" t="s">
        <v>76</v>
      </c>
      <c r="B248" t="s">
        <v>16</v>
      </c>
      <c r="C248" t="s">
        <v>17</v>
      </c>
      <c r="D248" t="s">
        <v>75</v>
      </c>
      <c r="E248" t="s">
        <v>131</v>
      </c>
      <c r="F248">
        <v>3</v>
      </c>
      <c r="G248" t="s">
        <v>130</v>
      </c>
      <c r="H248" t="s">
        <v>21</v>
      </c>
      <c r="I248">
        <v>6</v>
      </c>
      <c r="J248">
        <v>34</v>
      </c>
      <c r="K248">
        <v>13</v>
      </c>
      <c r="L248">
        <v>98</v>
      </c>
      <c r="M248">
        <v>261</v>
      </c>
      <c r="N248">
        <v>110</v>
      </c>
      <c r="O248">
        <v>612</v>
      </c>
    </row>
    <row r="249" spans="1:15" x14ac:dyDescent="0.2">
      <c r="A249" t="s">
        <v>76</v>
      </c>
      <c r="B249" t="s">
        <v>16</v>
      </c>
      <c r="C249" t="s">
        <v>17</v>
      </c>
      <c r="D249" t="s">
        <v>75</v>
      </c>
      <c r="E249" t="s">
        <v>131</v>
      </c>
      <c r="F249">
        <v>3</v>
      </c>
      <c r="G249" t="s">
        <v>130</v>
      </c>
      <c r="H249" t="s">
        <v>22</v>
      </c>
      <c r="I249">
        <v>8</v>
      </c>
      <c r="J249">
        <v>18</v>
      </c>
      <c r="K249">
        <v>9</v>
      </c>
      <c r="L249">
        <v>98</v>
      </c>
      <c r="M249">
        <v>261</v>
      </c>
      <c r="N249">
        <v>110</v>
      </c>
      <c r="O249">
        <v>612</v>
      </c>
    </row>
    <row r="250" spans="1:15" x14ac:dyDescent="0.2">
      <c r="A250" t="s">
        <v>76</v>
      </c>
      <c r="B250" t="s">
        <v>16</v>
      </c>
      <c r="C250" t="s">
        <v>17</v>
      </c>
      <c r="D250" t="s">
        <v>75</v>
      </c>
      <c r="E250" t="s">
        <v>131</v>
      </c>
      <c r="F250">
        <v>3</v>
      </c>
      <c r="G250" t="s">
        <v>130</v>
      </c>
      <c r="H250" t="s">
        <v>23</v>
      </c>
      <c r="I250">
        <v>28</v>
      </c>
      <c r="J250">
        <v>4</v>
      </c>
      <c r="K250">
        <v>4</v>
      </c>
      <c r="L250">
        <v>98</v>
      </c>
      <c r="M250">
        <v>261</v>
      </c>
      <c r="N250">
        <v>110</v>
      </c>
      <c r="O250">
        <v>612</v>
      </c>
    </row>
    <row r="251" spans="1:15" x14ac:dyDescent="0.2">
      <c r="A251" t="s">
        <v>76</v>
      </c>
      <c r="B251" t="s">
        <v>16</v>
      </c>
      <c r="C251" t="s">
        <v>17</v>
      </c>
      <c r="D251" t="s">
        <v>75</v>
      </c>
      <c r="E251" t="s">
        <v>131</v>
      </c>
      <c r="F251">
        <v>3</v>
      </c>
      <c r="G251" t="s">
        <v>130</v>
      </c>
      <c r="H251" t="s">
        <v>24</v>
      </c>
      <c r="I251">
        <v>0</v>
      </c>
      <c r="J251">
        <v>0</v>
      </c>
      <c r="K251">
        <v>0</v>
      </c>
      <c r="L251">
        <v>98</v>
      </c>
      <c r="M251">
        <v>261</v>
      </c>
      <c r="N251">
        <v>110</v>
      </c>
      <c r="O251">
        <v>612</v>
      </c>
    </row>
    <row r="252" spans="1:15" x14ac:dyDescent="0.2">
      <c r="A252" t="s">
        <v>76</v>
      </c>
      <c r="B252" t="s">
        <v>16</v>
      </c>
      <c r="C252" t="s">
        <v>17</v>
      </c>
      <c r="D252" t="s">
        <v>75</v>
      </c>
      <c r="E252" t="s">
        <v>129</v>
      </c>
      <c r="F252">
        <v>3</v>
      </c>
      <c r="G252" t="s">
        <v>128</v>
      </c>
      <c r="H252" t="s">
        <v>20</v>
      </c>
      <c r="I252">
        <v>72</v>
      </c>
      <c r="J252">
        <v>86</v>
      </c>
      <c r="K252">
        <v>37</v>
      </c>
      <c r="L252">
        <v>110</v>
      </c>
      <c r="M252">
        <v>132</v>
      </c>
      <c r="N252">
        <v>74</v>
      </c>
      <c r="O252">
        <v>543</v>
      </c>
    </row>
    <row r="253" spans="1:15" x14ac:dyDescent="0.2">
      <c r="A253" t="s">
        <v>76</v>
      </c>
      <c r="B253" t="s">
        <v>16</v>
      </c>
      <c r="C253" t="s">
        <v>17</v>
      </c>
      <c r="D253" t="s">
        <v>75</v>
      </c>
      <c r="E253" t="s">
        <v>129</v>
      </c>
      <c r="F253">
        <v>3</v>
      </c>
      <c r="G253" t="s">
        <v>128</v>
      </c>
      <c r="H253" t="s">
        <v>21</v>
      </c>
      <c r="I253">
        <v>15</v>
      </c>
      <c r="J253">
        <v>35</v>
      </c>
      <c r="K253">
        <v>30</v>
      </c>
      <c r="L253">
        <v>110</v>
      </c>
      <c r="M253">
        <v>132</v>
      </c>
      <c r="N253">
        <v>74</v>
      </c>
      <c r="O253">
        <v>543</v>
      </c>
    </row>
    <row r="254" spans="1:15" x14ac:dyDescent="0.2">
      <c r="A254" t="s">
        <v>76</v>
      </c>
      <c r="B254" t="s">
        <v>16</v>
      </c>
      <c r="C254" t="s">
        <v>17</v>
      </c>
      <c r="D254" t="s">
        <v>75</v>
      </c>
      <c r="E254" t="s">
        <v>129</v>
      </c>
      <c r="F254">
        <v>3</v>
      </c>
      <c r="G254" t="s">
        <v>128</v>
      </c>
      <c r="H254" t="s">
        <v>22</v>
      </c>
      <c r="I254">
        <v>4</v>
      </c>
      <c r="J254">
        <v>5</v>
      </c>
      <c r="K254">
        <v>2</v>
      </c>
      <c r="L254">
        <v>110</v>
      </c>
      <c r="M254">
        <v>132</v>
      </c>
      <c r="N254">
        <v>74</v>
      </c>
      <c r="O254">
        <v>543</v>
      </c>
    </row>
    <row r="255" spans="1:15" x14ac:dyDescent="0.2">
      <c r="A255" t="s">
        <v>76</v>
      </c>
      <c r="B255" t="s">
        <v>16</v>
      </c>
      <c r="C255" t="s">
        <v>17</v>
      </c>
      <c r="D255" t="s">
        <v>75</v>
      </c>
      <c r="E255" t="s">
        <v>129</v>
      </c>
      <c r="F255">
        <v>3</v>
      </c>
      <c r="G255" t="s">
        <v>128</v>
      </c>
      <c r="H255" t="s">
        <v>23</v>
      </c>
      <c r="I255">
        <v>19</v>
      </c>
      <c r="J255">
        <v>6</v>
      </c>
      <c r="K255">
        <v>5</v>
      </c>
      <c r="L255">
        <v>110</v>
      </c>
      <c r="M255">
        <v>132</v>
      </c>
      <c r="N255">
        <v>74</v>
      </c>
      <c r="O255">
        <v>543</v>
      </c>
    </row>
    <row r="256" spans="1:15" x14ac:dyDescent="0.2">
      <c r="A256" t="s">
        <v>76</v>
      </c>
      <c r="B256" t="s">
        <v>16</v>
      </c>
      <c r="C256" t="s">
        <v>17</v>
      </c>
      <c r="D256" t="s">
        <v>75</v>
      </c>
      <c r="E256" t="s">
        <v>129</v>
      </c>
      <c r="F256">
        <v>3</v>
      </c>
      <c r="G256" t="s">
        <v>128</v>
      </c>
      <c r="H256" t="s">
        <v>24</v>
      </c>
      <c r="I256">
        <v>0</v>
      </c>
      <c r="J256">
        <v>0</v>
      </c>
      <c r="K256">
        <v>0</v>
      </c>
      <c r="L256">
        <v>110</v>
      </c>
      <c r="M256">
        <v>132</v>
      </c>
      <c r="N256">
        <v>74</v>
      </c>
      <c r="O256">
        <v>543</v>
      </c>
    </row>
    <row r="257" spans="1:15" x14ac:dyDescent="0.2">
      <c r="A257" t="s">
        <v>76</v>
      </c>
      <c r="B257" t="s">
        <v>16</v>
      </c>
      <c r="C257" t="s">
        <v>17</v>
      </c>
      <c r="D257" t="s">
        <v>75</v>
      </c>
      <c r="E257" t="s">
        <v>127</v>
      </c>
      <c r="F257">
        <v>3</v>
      </c>
      <c r="G257" t="s">
        <v>126</v>
      </c>
      <c r="H257" t="s">
        <v>20</v>
      </c>
      <c r="I257">
        <v>63</v>
      </c>
      <c r="J257">
        <v>54</v>
      </c>
      <c r="K257">
        <v>1</v>
      </c>
      <c r="L257">
        <v>111</v>
      </c>
      <c r="M257">
        <v>201</v>
      </c>
      <c r="N257">
        <v>104</v>
      </c>
      <c r="O257">
        <v>539</v>
      </c>
    </row>
    <row r="258" spans="1:15" x14ac:dyDescent="0.2">
      <c r="A258" t="s">
        <v>76</v>
      </c>
      <c r="B258" t="s">
        <v>16</v>
      </c>
      <c r="C258" t="s">
        <v>17</v>
      </c>
      <c r="D258" t="s">
        <v>75</v>
      </c>
      <c r="E258" t="s">
        <v>127</v>
      </c>
      <c r="F258">
        <v>3</v>
      </c>
      <c r="G258" t="s">
        <v>126</v>
      </c>
      <c r="H258" t="s">
        <v>21</v>
      </c>
      <c r="I258">
        <v>15</v>
      </c>
      <c r="J258">
        <v>93</v>
      </c>
      <c r="K258">
        <v>70</v>
      </c>
      <c r="L258">
        <v>111</v>
      </c>
      <c r="M258">
        <v>201</v>
      </c>
      <c r="N258">
        <v>104</v>
      </c>
      <c r="O258">
        <v>539</v>
      </c>
    </row>
    <row r="259" spans="1:15" x14ac:dyDescent="0.2">
      <c r="A259" t="s">
        <v>76</v>
      </c>
      <c r="B259" t="s">
        <v>16</v>
      </c>
      <c r="C259" t="s">
        <v>17</v>
      </c>
      <c r="D259" t="s">
        <v>75</v>
      </c>
      <c r="E259" t="s">
        <v>127</v>
      </c>
      <c r="F259">
        <v>3</v>
      </c>
      <c r="G259" t="s">
        <v>126</v>
      </c>
      <c r="H259" t="s">
        <v>22</v>
      </c>
      <c r="I259">
        <v>2</v>
      </c>
      <c r="J259">
        <v>5</v>
      </c>
      <c r="K259">
        <v>4</v>
      </c>
      <c r="L259">
        <v>111</v>
      </c>
      <c r="M259">
        <v>201</v>
      </c>
      <c r="N259">
        <v>104</v>
      </c>
      <c r="O259">
        <v>539</v>
      </c>
    </row>
    <row r="260" spans="1:15" x14ac:dyDescent="0.2">
      <c r="A260" t="s">
        <v>76</v>
      </c>
      <c r="B260" t="s">
        <v>16</v>
      </c>
      <c r="C260" t="s">
        <v>17</v>
      </c>
      <c r="D260" t="s">
        <v>75</v>
      </c>
      <c r="E260" t="s">
        <v>127</v>
      </c>
      <c r="F260">
        <v>3</v>
      </c>
      <c r="G260" t="s">
        <v>126</v>
      </c>
      <c r="H260" t="s">
        <v>23</v>
      </c>
      <c r="I260">
        <v>31</v>
      </c>
      <c r="J260">
        <v>49</v>
      </c>
      <c r="K260">
        <v>29</v>
      </c>
      <c r="L260">
        <v>111</v>
      </c>
      <c r="M260">
        <v>201</v>
      </c>
      <c r="N260">
        <v>104</v>
      </c>
      <c r="O260">
        <v>539</v>
      </c>
    </row>
    <row r="261" spans="1:15" x14ac:dyDescent="0.2">
      <c r="A261" t="s">
        <v>76</v>
      </c>
      <c r="B261" t="s">
        <v>16</v>
      </c>
      <c r="C261" t="s">
        <v>17</v>
      </c>
      <c r="D261" t="s">
        <v>75</v>
      </c>
      <c r="E261" t="s">
        <v>127</v>
      </c>
      <c r="F261">
        <v>3</v>
      </c>
      <c r="G261" t="s">
        <v>126</v>
      </c>
      <c r="H261" t="s">
        <v>24</v>
      </c>
      <c r="I261">
        <v>0</v>
      </c>
      <c r="J261">
        <v>0</v>
      </c>
      <c r="K261">
        <v>0</v>
      </c>
      <c r="L261">
        <v>111</v>
      </c>
      <c r="M261">
        <v>201</v>
      </c>
      <c r="N261">
        <v>104</v>
      </c>
      <c r="O261">
        <v>539</v>
      </c>
    </row>
    <row r="262" spans="1:15" x14ac:dyDescent="0.2">
      <c r="A262" t="s">
        <v>88</v>
      </c>
      <c r="B262" t="s">
        <v>37</v>
      </c>
      <c r="C262" t="s">
        <v>17</v>
      </c>
      <c r="D262" t="s">
        <v>75</v>
      </c>
      <c r="E262" t="s">
        <v>87</v>
      </c>
      <c r="F262">
        <v>3</v>
      </c>
      <c r="G262" t="s">
        <v>19</v>
      </c>
      <c r="H262" t="s">
        <v>20</v>
      </c>
      <c r="I262">
        <v>74</v>
      </c>
      <c r="J262">
        <v>53</v>
      </c>
      <c r="K262">
        <v>0</v>
      </c>
      <c r="L262">
        <v>89</v>
      </c>
      <c r="M262">
        <v>178</v>
      </c>
      <c r="N262">
        <v>0</v>
      </c>
      <c r="O262">
        <v>681</v>
      </c>
    </row>
    <row r="263" spans="1:15" x14ac:dyDescent="0.2">
      <c r="A263" t="s">
        <v>88</v>
      </c>
      <c r="B263" t="s">
        <v>37</v>
      </c>
      <c r="C263" t="s">
        <v>17</v>
      </c>
      <c r="D263" t="s">
        <v>75</v>
      </c>
      <c r="E263" t="s">
        <v>87</v>
      </c>
      <c r="F263">
        <v>3</v>
      </c>
      <c r="G263" t="s">
        <v>19</v>
      </c>
      <c r="H263" t="s">
        <v>21</v>
      </c>
      <c r="I263">
        <v>6</v>
      </c>
      <c r="J263">
        <v>15</v>
      </c>
      <c r="K263">
        <v>0</v>
      </c>
      <c r="L263">
        <v>89</v>
      </c>
      <c r="M263">
        <v>178</v>
      </c>
      <c r="N263">
        <v>0</v>
      </c>
      <c r="O263">
        <v>681</v>
      </c>
    </row>
    <row r="264" spans="1:15" x14ac:dyDescent="0.2">
      <c r="A264" t="s">
        <v>88</v>
      </c>
      <c r="B264" t="s">
        <v>37</v>
      </c>
      <c r="C264" t="s">
        <v>17</v>
      </c>
      <c r="D264" t="s">
        <v>75</v>
      </c>
      <c r="E264" t="s">
        <v>87</v>
      </c>
      <c r="F264">
        <v>3</v>
      </c>
      <c r="G264" t="s">
        <v>19</v>
      </c>
      <c r="H264" t="s">
        <v>22</v>
      </c>
      <c r="I264">
        <v>0</v>
      </c>
      <c r="J264">
        <v>8</v>
      </c>
      <c r="K264">
        <v>0</v>
      </c>
      <c r="L264">
        <v>89</v>
      </c>
      <c r="M264">
        <v>178</v>
      </c>
      <c r="N264">
        <v>0</v>
      </c>
      <c r="O264">
        <v>681</v>
      </c>
    </row>
    <row r="265" spans="1:15" x14ac:dyDescent="0.2">
      <c r="A265" t="s">
        <v>88</v>
      </c>
      <c r="B265" t="s">
        <v>37</v>
      </c>
      <c r="C265" t="s">
        <v>17</v>
      </c>
      <c r="D265" t="s">
        <v>75</v>
      </c>
      <c r="E265" t="s">
        <v>87</v>
      </c>
      <c r="F265">
        <v>3</v>
      </c>
      <c r="G265" t="s">
        <v>19</v>
      </c>
      <c r="H265" t="s">
        <v>23</v>
      </c>
      <c r="I265">
        <v>9</v>
      </c>
      <c r="J265">
        <v>100</v>
      </c>
      <c r="K265">
        <v>0</v>
      </c>
      <c r="L265">
        <v>89</v>
      </c>
      <c r="M265">
        <v>178</v>
      </c>
      <c r="N265">
        <v>0</v>
      </c>
      <c r="O265">
        <v>681</v>
      </c>
    </row>
    <row r="266" spans="1:15" x14ac:dyDescent="0.2">
      <c r="A266" t="s">
        <v>88</v>
      </c>
      <c r="B266" t="s">
        <v>37</v>
      </c>
      <c r="C266" t="s">
        <v>17</v>
      </c>
      <c r="D266" t="s">
        <v>75</v>
      </c>
      <c r="E266" t="s">
        <v>87</v>
      </c>
      <c r="F266">
        <v>3</v>
      </c>
      <c r="G266" t="s">
        <v>19</v>
      </c>
      <c r="H266" t="s">
        <v>24</v>
      </c>
      <c r="I266">
        <v>0</v>
      </c>
      <c r="J266">
        <v>1</v>
      </c>
      <c r="K266">
        <v>0</v>
      </c>
      <c r="L266">
        <v>89</v>
      </c>
      <c r="M266">
        <v>178</v>
      </c>
      <c r="N266">
        <v>0</v>
      </c>
      <c r="O266">
        <v>681</v>
      </c>
    </row>
    <row r="267" spans="1:15" x14ac:dyDescent="0.2">
      <c r="A267" t="s">
        <v>88</v>
      </c>
      <c r="B267" t="s">
        <v>37</v>
      </c>
      <c r="C267" t="s">
        <v>17</v>
      </c>
      <c r="D267" t="s">
        <v>75</v>
      </c>
      <c r="E267" t="s">
        <v>131</v>
      </c>
      <c r="F267">
        <v>3</v>
      </c>
      <c r="G267" t="s">
        <v>130</v>
      </c>
      <c r="H267" t="s">
        <v>20</v>
      </c>
      <c r="I267">
        <v>26</v>
      </c>
      <c r="J267">
        <v>60</v>
      </c>
      <c r="K267">
        <v>23</v>
      </c>
      <c r="L267">
        <v>51</v>
      </c>
      <c r="M267">
        <v>194</v>
      </c>
      <c r="N267">
        <v>91</v>
      </c>
      <c r="O267">
        <v>546</v>
      </c>
    </row>
    <row r="268" spans="1:15" x14ac:dyDescent="0.2">
      <c r="A268" t="s">
        <v>88</v>
      </c>
      <c r="B268" t="s">
        <v>37</v>
      </c>
      <c r="C268" t="s">
        <v>17</v>
      </c>
      <c r="D268" t="s">
        <v>75</v>
      </c>
      <c r="E268" t="s">
        <v>131</v>
      </c>
      <c r="F268">
        <v>3</v>
      </c>
      <c r="G268" t="s">
        <v>130</v>
      </c>
      <c r="H268" t="s">
        <v>21</v>
      </c>
      <c r="I268">
        <v>13</v>
      </c>
      <c r="J268">
        <v>69</v>
      </c>
      <c r="K268">
        <v>34</v>
      </c>
      <c r="L268">
        <v>51</v>
      </c>
      <c r="M268">
        <v>194</v>
      </c>
      <c r="N268">
        <v>91</v>
      </c>
      <c r="O268">
        <v>546</v>
      </c>
    </row>
    <row r="269" spans="1:15" x14ac:dyDescent="0.2">
      <c r="A269" t="s">
        <v>88</v>
      </c>
      <c r="B269" t="s">
        <v>37</v>
      </c>
      <c r="C269" t="s">
        <v>17</v>
      </c>
      <c r="D269" t="s">
        <v>75</v>
      </c>
      <c r="E269" t="s">
        <v>131</v>
      </c>
      <c r="F269">
        <v>3</v>
      </c>
      <c r="G269" t="s">
        <v>130</v>
      </c>
      <c r="H269" t="s">
        <v>22</v>
      </c>
      <c r="I269">
        <v>4</v>
      </c>
      <c r="J269">
        <v>24</v>
      </c>
      <c r="K269">
        <v>15</v>
      </c>
      <c r="L269">
        <v>51</v>
      </c>
      <c r="M269">
        <v>194</v>
      </c>
      <c r="N269">
        <v>91</v>
      </c>
      <c r="O269">
        <v>546</v>
      </c>
    </row>
    <row r="270" spans="1:15" x14ac:dyDescent="0.2">
      <c r="A270" t="s">
        <v>88</v>
      </c>
      <c r="B270" t="s">
        <v>37</v>
      </c>
      <c r="C270" t="s">
        <v>17</v>
      </c>
      <c r="D270" t="s">
        <v>75</v>
      </c>
      <c r="E270" t="s">
        <v>131</v>
      </c>
      <c r="F270">
        <v>3</v>
      </c>
      <c r="G270" t="s">
        <v>130</v>
      </c>
      <c r="H270" t="s">
        <v>23</v>
      </c>
      <c r="I270">
        <v>8</v>
      </c>
      <c r="J270">
        <v>41</v>
      </c>
      <c r="K270">
        <v>19</v>
      </c>
      <c r="L270">
        <v>51</v>
      </c>
      <c r="M270">
        <v>194</v>
      </c>
      <c r="N270">
        <v>91</v>
      </c>
      <c r="O270">
        <v>546</v>
      </c>
    </row>
    <row r="271" spans="1:15" x14ac:dyDescent="0.2">
      <c r="A271" t="s">
        <v>88</v>
      </c>
      <c r="B271" t="s">
        <v>37</v>
      </c>
      <c r="C271" t="s">
        <v>17</v>
      </c>
      <c r="D271" t="s">
        <v>75</v>
      </c>
      <c r="E271" t="s">
        <v>131</v>
      </c>
      <c r="F271">
        <v>3</v>
      </c>
      <c r="G271" t="s">
        <v>130</v>
      </c>
      <c r="H271" t="s">
        <v>24</v>
      </c>
      <c r="I271">
        <v>0</v>
      </c>
      <c r="J271">
        <v>0</v>
      </c>
      <c r="K271">
        <v>0</v>
      </c>
      <c r="L271">
        <v>51</v>
      </c>
      <c r="M271">
        <v>194</v>
      </c>
      <c r="N271">
        <v>91</v>
      </c>
      <c r="O271">
        <v>546</v>
      </c>
    </row>
    <row r="272" spans="1:15" x14ac:dyDescent="0.2">
      <c r="A272" t="s">
        <v>88</v>
      </c>
      <c r="B272" t="s">
        <v>37</v>
      </c>
      <c r="C272" t="s">
        <v>17</v>
      </c>
      <c r="D272" t="s">
        <v>75</v>
      </c>
      <c r="E272" t="s">
        <v>129</v>
      </c>
      <c r="F272">
        <v>3</v>
      </c>
      <c r="G272" t="s">
        <v>128</v>
      </c>
      <c r="H272" t="s">
        <v>20</v>
      </c>
      <c r="I272">
        <v>29</v>
      </c>
      <c r="J272">
        <v>52</v>
      </c>
      <c r="K272">
        <v>17</v>
      </c>
      <c r="L272">
        <v>43</v>
      </c>
      <c r="M272">
        <v>182</v>
      </c>
      <c r="N272">
        <v>73</v>
      </c>
      <c r="O272">
        <v>480</v>
      </c>
    </row>
    <row r="273" spans="1:15" x14ac:dyDescent="0.2">
      <c r="A273" t="s">
        <v>88</v>
      </c>
      <c r="B273" t="s">
        <v>37</v>
      </c>
      <c r="C273" t="s">
        <v>17</v>
      </c>
      <c r="D273" t="s">
        <v>75</v>
      </c>
      <c r="E273" t="s">
        <v>129</v>
      </c>
      <c r="F273">
        <v>3</v>
      </c>
      <c r="G273" t="s">
        <v>128</v>
      </c>
      <c r="H273" t="s">
        <v>21</v>
      </c>
      <c r="I273">
        <v>5</v>
      </c>
      <c r="J273">
        <v>60</v>
      </c>
      <c r="K273">
        <v>27</v>
      </c>
      <c r="L273">
        <v>43</v>
      </c>
      <c r="M273">
        <v>182</v>
      </c>
      <c r="N273">
        <v>73</v>
      </c>
      <c r="O273">
        <v>480</v>
      </c>
    </row>
    <row r="274" spans="1:15" x14ac:dyDescent="0.2">
      <c r="A274" t="s">
        <v>88</v>
      </c>
      <c r="B274" t="s">
        <v>37</v>
      </c>
      <c r="C274" t="s">
        <v>17</v>
      </c>
      <c r="D274" t="s">
        <v>75</v>
      </c>
      <c r="E274" t="s">
        <v>129</v>
      </c>
      <c r="F274">
        <v>3</v>
      </c>
      <c r="G274" t="s">
        <v>128</v>
      </c>
      <c r="H274" t="s">
        <v>22</v>
      </c>
      <c r="I274">
        <v>3</v>
      </c>
      <c r="J274">
        <v>22</v>
      </c>
      <c r="K274">
        <v>9</v>
      </c>
      <c r="L274">
        <v>43</v>
      </c>
      <c r="M274">
        <v>182</v>
      </c>
      <c r="N274">
        <v>73</v>
      </c>
      <c r="O274">
        <v>480</v>
      </c>
    </row>
    <row r="275" spans="1:15" x14ac:dyDescent="0.2">
      <c r="A275" t="s">
        <v>88</v>
      </c>
      <c r="B275" t="s">
        <v>37</v>
      </c>
      <c r="C275" t="s">
        <v>17</v>
      </c>
      <c r="D275" t="s">
        <v>75</v>
      </c>
      <c r="E275" t="s">
        <v>129</v>
      </c>
      <c r="F275">
        <v>3</v>
      </c>
      <c r="G275" t="s">
        <v>128</v>
      </c>
      <c r="H275" t="s">
        <v>23</v>
      </c>
      <c r="I275">
        <v>6</v>
      </c>
      <c r="J275">
        <v>47</v>
      </c>
      <c r="K275">
        <v>20</v>
      </c>
      <c r="L275">
        <v>43</v>
      </c>
      <c r="M275">
        <v>182</v>
      </c>
      <c r="N275">
        <v>73</v>
      </c>
      <c r="O275">
        <v>480</v>
      </c>
    </row>
    <row r="276" spans="1:15" x14ac:dyDescent="0.2">
      <c r="A276" t="s">
        <v>88</v>
      </c>
      <c r="B276" t="s">
        <v>37</v>
      </c>
      <c r="C276" t="s">
        <v>17</v>
      </c>
      <c r="D276" t="s">
        <v>75</v>
      </c>
      <c r="E276" t="s">
        <v>129</v>
      </c>
      <c r="F276">
        <v>3</v>
      </c>
      <c r="G276" t="s">
        <v>128</v>
      </c>
      <c r="H276" t="s">
        <v>24</v>
      </c>
      <c r="I276">
        <v>0</v>
      </c>
      <c r="J276">
        <v>1</v>
      </c>
      <c r="K276">
        <v>0</v>
      </c>
      <c r="L276">
        <v>43</v>
      </c>
      <c r="M276">
        <v>182</v>
      </c>
      <c r="N276">
        <v>73</v>
      </c>
      <c r="O276">
        <v>480</v>
      </c>
    </row>
    <row r="277" spans="1:15" x14ac:dyDescent="0.2">
      <c r="A277" t="s">
        <v>88</v>
      </c>
      <c r="B277" t="s">
        <v>37</v>
      </c>
      <c r="C277" t="s">
        <v>17</v>
      </c>
      <c r="D277" t="s">
        <v>75</v>
      </c>
      <c r="E277" t="s">
        <v>127</v>
      </c>
      <c r="F277">
        <v>3</v>
      </c>
      <c r="G277" t="s">
        <v>126</v>
      </c>
      <c r="H277" t="s">
        <v>20</v>
      </c>
      <c r="I277">
        <v>25</v>
      </c>
      <c r="J277">
        <v>15</v>
      </c>
      <c r="K277">
        <v>1</v>
      </c>
      <c r="L277">
        <v>38</v>
      </c>
      <c r="M277">
        <v>154</v>
      </c>
      <c r="N277">
        <v>68</v>
      </c>
      <c r="O277">
        <v>514</v>
      </c>
    </row>
    <row r="278" spans="1:15" x14ac:dyDescent="0.2">
      <c r="A278" t="s">
        <v>88</v>
      </c>
      <c r="B278" t="s">
        <v>37</v>
      </c>
      <c r="C278" t="s">
        <v>17</v>
      </c>
      <c r="D278" t="s">
        <v>75</v>
      </c>
      <c r="E278" t="s">
        <v>127</v>
      </c>
      <c r="F278">
        <v>3</v>
      </c>
      <c r="G278" t="s">
        <v>126</v>
      </c>
      <c r="H278" t="s">
        <v>21</v>
      </c>
      <c r="I278">
        <v>3</v>
      </c>
      <c r="J278">
        <v>59</v>
      </c>
      <c r="K278">
        <v>29</v>
      </c>
      <c r="L278">
        <v>38</v>
      </c>
      <c r="M278">
        <v>154</v>
      </c>
      <c r="N278">
        <v>68</v>
      </c>
      <c r="O278">
        <v>514</v>
      </c>
    </row>
    <row r="279" spans="1:15" x14ac:dyDescent="0.2">
      <c r="A279" t="s">
        <v>88</v>
      </c>
      <c r="B279" t="s">
        <v>37</v>
      </c>
      <c r="C279" t="s">
        <v>17</v>
      </c>
      <c r="D279" t="s">
        <v>75</v>
      </c>
      <c r="E279" t="s">
        <v>127</v>
      </c>
      <c r="F279">
        <v>3</v>
      </c>
      <c r="G279" t="s">
        <v>126</v>
      </c>
      <c r="H279" t="s">
        <v>22</v>
      </c>
      <c r="I279">
        <v>3</v>
      </c>
      <c r="J279">
        <v>14</v>
      </c>
      <c r="K279">
        <v>6</v>
      </c>
      <c r="L279">
        <v>38</v>
      </c>
      <c r="M279">
        <v>154</v>
      </c>
      <c r="N279">
        <v>68</v>
      </c>
      <c r="O279">
        <v>514</v>
      </c>
    </row>
    <row r="280" spans="1:15" x14ac:dyDescent="0.2">
      <c r="A280" t="s">
        <v>88</v>
      </c>
      <c r="B280" t="s">
        <v>37</v>
      </c>
      <c r="C280" t="s">
        <v>17</v>
      </c>
      <c r="D280" t="s">
        <v>75</v>
      </c>
      <c r="E280" t="s">
        <v>127</v>
      </c>
      <c r="F280">
        <v>3</v>
      </c>
      <c r="G280" t="s">
        <v>126</v>
      </c>
      <c r="H280" t="s">
        <v>23</v>
      </c>
      <c r="I280">
        <v>7</v>
      </c>
      <c r="J280">
        <v>65</v>
      </c>
      <c r="K280">
        <v>32</v>
      </c>
      <c r="L280">
        <v>38</v>
      </c>
      <c r="M280">
        <v>154</v>
      </c>
      <c r="N280">
        <v>68</v>
      </c>
      <c r="O280">
        <v>514</v>
      </c>
    </row>
    <row r="281" spans="1:15" x14ac:dyDescent="0.2">
      <c r="A281" t="s">
        <v>88</v>
      </c>
      <c r="B281" t="s">
        <v>37</v>
      </c>
      <c r="C281" t="s">
        <v>17</v>
      </c>
      <c r="D281" t="s">
        <v>75</v>
      </c>
      <c r="E281" t="s">
        <v>127</v>
      </c>
      <c r="F281">
        <v>3</v>
      </c>
      <c r="G281" t="s">
        <v>126</v>
      </c>
      <c r="H281" t="s">
        <v>24</v>
      </c>
      <c r="I281">
        <v>0</v>
      </c>
      <c r="J281">
        <v>1</v>
      </c>
      <c r="K281">
        <v>0</v>
      </c>
      <c r="L281">
        <v>38</v>
      </c>
      <c r="M281">
        <v>154</v>
      </c>
      <c r="N281">
        <v>68</v>
      </c>
      <c r="O281">
        <v>514</v>
      </c>
    </row>
    <row r="282" spans="1:15" x14ac:dyDescent="0.2">
      <c r="A282" t="s">
        <v>84</v>
      </c>
      <c r="B282" t="s">
        <v>83</v>
      </c>
      <c r="C282" t="s">
        <v>17</v>
      </c>
      <c r="D282" t="s">
        <v>75</v>
      </c>
      <c r="E282" t="s">
        <v>87</v>
      </c>
      <c r="F282">
        <v>3</v>
      </c>
      <c r="G282" t="s">
        <v>19</v>
      </c>
      <c r="H282" t="s">
        <v>20</v>
      </c>
      <c r="I282">
        <v>62</v>
      </c>
      <c r="J282">
        <v>15</v>
      </c>
      <c r="K282">
        <v>0</v>
      </c>
      <c r="L282">
        <v>81</v>
      </c>
      <c r="M282">
        <v>39</v>
      </c>
      <c r="N282">
        <v>0</v>
      </c>
      <c r="O282">
        <v>499</v>
      </c>
    </row>
    <row r="283" spans="1:15" x14ac:dyDescent="0.2">
      <c r="A283" t="s">
        <v>84</v>
      </c>
      <c r="B283" t="s">
        <v>83</v>
      </c>
      <c r="C283" t="s">
        <v>17</v>
      </c>
      <c r="D283" t="s">
        <v>75</v>
      </c>
      <c r="E283" t="s">
        <v>87</v>
      </c>
      <c r="F283">
        <v>3</v>
      </c>
      <c r="G283" t="s">
        <v>19</v>
      </c>
      <c r="H283" t="s">
        <v>21</v>
      </c>
      <c r="I283">
        <v>11</v>
      </c>
      <c r="J283">
        <v>3</v>
      </c>
      <c r="K283">
        <v>0</v>
      </c>
      <c r="L283">
        <v>81</v>
      </c>
      <c r="M283">
        <v>39</v>
      </c>
      <c r="N283">
        <v>0</v>
      </c>
      <c r="O283">
        <v>499</v>
      </c>
    </row>
    <row r="284" spans="1:15" x14ac:dyDescent="0.2">
      <c r="A284" t="s">
        <v>84</v>
      </c>
      <c r="B284" t="s">
        <v>83</v>
      </c>
      <c r="C284" t="s">
        <v>17</v>
      </c>
      <c r="D284" t="s">
        <v>75</v>
      </c>
      <c r="E284" t="s">
        <v>87</v>
      </c>
      <c r="F284">
        <v>3</v>
      </c>
      <c r="G284" t="s">
        <v>19</v>
      </c>
      <c r="H284" t="s">
        <v>22</v>
      </c>
      <c r="I284">
        <v>4</v>
      </c>
      <c r="J284">
        <v>6</v>
      </c>
      <c r="K284">
        <v>0</v>
      </c>
      <c r="L284">
        <v>81</v>
      </c>
      <c r="M284">
        <v>39</v>
      </c>
      <c r="N284">
        <v>0</v>
      </c>
      <c r="O284">
        <v>499</v>
      </c>
    </row>
    <row r="285" spans="1:15" x14ac:dyDescent="0.2">
      <c r="A285" t="s">
        <v>84</v>
      </c>
      <c r="B285" t="s">
        <v>83</v>
      </c>
      <c r="C285" t="s">
        <v>17</v>
      </c>
      <c r="D285" t="s">
        <v>75</v>
      </c>
      <c r="E285" t="s">
        <v>87</v>
      </c>
      <c r="F285">
        <v>3</v>
      </c>
      <c r="G285" t="s">
        <v>19</v>
      </c>
      <c r="H285" t="s">
        <v>23</v>
      </c>
      <c r="I285">
        <v>4</v>
      </c>
      <c r="J285">
        <v>15</v>
      </c>
      <c r="K285">
        <v>0</v>
      </c>
      <c r="L285">
        <v>81</v>
      </c>
      <c r="M285">
        <v>39</v>
      </c>
      <c r="N285">
        <v>0</v>
      </c>
      <c r="O285">
        <v>499</v>
      </c>
    </row>
    <row r="286" spans="1:15" x14ac:dyDescent="0.2">
      <c r="A286" t="s">
        <v>84</v>
      </c>
      <c r="B286" t="s">
        <v>83</v>
      </c>
      <c r="C286" t="s">
        <v>17</v>
      </c>
      <c r="D286" t="s">
        <v>75</v>
      </c>
      <c r="E286" t="s">
        <v>87</v>
      </c>
      <c r="F286">
        <v>3</v>
      </c>
      <c r="G286" t="s">
        <v>19</v>
      </c>
      <c r="H286" t="s">
        <v>24</v>
      </c>
      <c r="I286">
        <v>0</v>
      </c>
      <c r="J286">
        <v>0</v>
      </c>
      <c r="K286">
        <v>0</v>
      </c>
      <c r="L286">
        <v>81</v>
      </c>
      <c r="M286">
        <v>39</v>
      </c>
      <c r="N286">
        <v>0</v>
      </c>
      <c r="O286">
        <v>499</v>
      </c>
    </row>
    <row r="287" spans="1:15" x14ac:dyDescent="0.2">
      <c r="A287" t="s">
        <v>84</v>
      </c>
      <c r="B287" t="s">
        <v>83</v>
      </c>
      <c r="C287" t="s">
        <v>17</v>
      </c>
      <c r="D287" t="s">
        <v>75</v>
      </c>
      <c r="E287" t="s">
        <v>131</v>
      </c>
      <c r="F287">
        <v>3</v>
      </c>
      <c r="G287" t="s">
        <v>130</v>
      </c>
      <c r="H287" t="s">
        <v>20</v>
      </c>
      <c r="I287">
        <v>6</v>
      </c>
      <c r="J287">
        <v>44</v>
      </c>
      <c r="K287">
        <v>32</v>
      </c>
      <c r="L287">
        <v>12</v>
      </c>
      <c r="M287">
        <v>69</v>
      </c>
      <c r="N287">
        <v>49</v>
      </c>
      <c r="O287">
        <v>171</v>
      </c>
    </row>
    <row r="288" spans="1:15" x14ac:dyDescent="0.2">
      <c r="A288" t="s">
        <v>84</v>
      </c>
      <c r="B288" t="s">
        <v>83</v>
      </c>
      <c r="C288" t="s">
        <v>17</v>
      </c>
      <c r="D288" t="s">
        <v>75</v>
      </c>
      <c r="E288" t="s">
        <v>131</v>
      </c>
      <c r="F288">
        <v>3</v>
      </c>
      <c r="G288" t="s">
        <v>130</v>
      </c>
      <c r="H288" t="s">
        <v>21</v>
      </c>
      <c r="I288">
        <v>6</v>
      </c>
      <c r="J288">
        <v>12</v>
      </c>
      <c r="K288">
        <v>9</v>
      </c>
      <c r="L288">
        <v>12</v>
      </c>
      <c r="M288">
        <v>69</v>
      </c>
      <c r="N288">
        <v>49</v>
      </c>
      <c r="O288">
        <v>171</v>
      </c>
    </row>
    <row r="289" spans="1:15" x14ac:dyDescent="0.2">
      <c r="A289" t="s">
        <v>84</v>
      </c>
      <c r="B289" t="s">
        <v>83</v>
      </c>
      <c r="C289" t="s">
        <v>17</v>
      </c>
      <c r="D289" t="s">
        <v>75</v>
      </c>
      <c r="E289" t="s">
        <v>131</v>
      </c>
      <c r="F289">
        <v>3</v>
      </c>
      <c r="G289" t="s">
        <v>130</v>
      </c>
      <c r="H289" t="s">
        <v>22</v>
      </c>
      <c r="I289">
        <v>0</v>
      </c>
      <c r="J289">
        <v>6</v>
      </c>
      <c r="K289">
        <v>3</v>
      </c>
      <c r="L289">
        <v>12</v>
      </c>
      <c r="M289">
        <v>69</v>
      </c>
      <c r="N289">
        <v>49</v>
      </c>
      <c r="O289">
        <v>171</v>
      </c>
    </row>
    <row r="290" spans="1:15" x14ac:dyDescent="0.2">
      <c r="A290" t="s">
        <v>84</v>
      </c>
      <c r="B290" t="s">
        <v>83</v>
      </c>
      <c r="C290" t="s">
        <v>17</v>
      </c>
      <c r="D290" t="s">
        <v>75</v>
      </c>
      <c r="E290" t="s">
        <v>131</v>
      </c>
      <c r="F290">
        <v>3</v>
      </c>
      <c r="G290" t="s">
        <v>130</v>
      </c>
      <c r="H290" t="s">
        <v>23</v>
      </c>
      <c r="I290">
        <v>0</v>
      </c>
      <c r="J290">
        <v>7</v>
      </c>
      <c r="K290">
        <v>5</v>
      </c>
      <c r="L290">
        <v>12</v>
      </c>
      <c r="M290">
        <v>69</v>
      </c>
      <c r="N290">
        <v>49</v>
      </c>
      <c r="O290">
        <v>171</v>
      </c>
    </row>
    <row r="291" spans="1:15" x14ac:dyDescent="0.2">
      <c r="A291" t="s">
        <v>84</v>
      </c>
      <c r="B291" t="s">
        <v>83</v>
      </c>
      <c r="C291" t="s">
        <v>17</v>
      </c>
      <c r="D291" t="s">
        <v>75</v>
      </c>
      <c r="E291" t="s">
        <v>131</v>
      </c>
      <c r="F291">
        <v>3</v>
      </c>
      <c r="G291" t="s">
        <v>130</v>
      </c>
      <c r="H291" t="s">
        <v>24</v>
      </c>
      <c r="I291">
        <v>0</v>
      </c>
      <c r="J291">
        <v>0</v>
      </c>
      <c r="K291">
        <v>0</v>
      </c>
      <c r="L291">
        <v>12</v>
      </c>
      <c r="M291">
        <v>69</v>
      </c>
      <c r="N291">
        <v>49</v>
      </c>
      <c r="O291">
        <v>171</v>
      </c>
    </row>
    <row r="292" spans="1:15" x14ac:dyDescent="0.2">
      <c r="A292" t="s">
        <v>84</v>
      </c>
      <c r="B292" t="s">
        <v>83</v>
      </c>
      <c r="C292" t="s">
        <v>17</v>
      </c>
      <c r="D292" t="s">
        <v>75</v>
      </c>
      <c r="E292" t="s">
        <v>129</v>
      </c>
      <c r="F292">
        <v>3</v>
      </c>
      <c r="G292" t="s">
        <v>128</v>
      </c>
      <c r="H292" t="s">
        <v>20</v>
      </c>
      <c r="I292">
        <v>5</v>
      </c>
      <c r="J292">
        <v>21</v>
      </c>
      <c r="K292">
        <v>18</v>
      </c>
      <c r="L292">
        <v>12</v>
      </c>
      <c r="M292">
        <v>69</v>
      </c>
      <c r="N292">
        <v>54</v>
      </c>
      <c r="O292">
        <v>138</v>
      </c>
    </row>
    <row r="293" spans="1:15" x14ac:dyDescent="0.2">
      <c r="A293" t="s">
        <v>84</v>
      </c>
      <c r="B293" t="s">
        <v>83</v>
      </c>
      <c r="C293" t="s">
        <v>17</v>
      </c>
      <c r="D293" t="s">
        <v>75</v>
      </c>
      <c r="E293" t="s">
        <v>129</v>
      </c>
      <c r="F293">
        <v>3</v>
      </c>
      <c r="G293" t="s">
        <v>128</v>
      </c>
      <c r="H293" t="s">
        <v>21</v>
      </c>
      <c r="I293">
        <v>4</v>
      </c>
      <c r="J293">
        <v>23</v>
      </c>
      <c r="K293">
        <v>21</v>
      </c>
      <c r="L293">
        <v>12</v>
      </c>
      <c r="M293">
        <v>69</v>
      </c>
      <c r="N293">
        <v>54</v>
      </c>
      <c r="O293">
        <v>138</v>
      </c>
    </row>
    <row r="294" spans="1:15" x14ac:dyDescent="0.2">
      <c r="A294" t="s">
        <v>84</v>
      </c>
      <c r="B294" t="s">
        <v>83</v>
      </c>
      <c r="C294" t="s">
        <v>17</v>
      </c>
      <c r="D294" t="s">
        <v>75</v>
      </c>
      <c r="E294" t="s">
        <v>129</v>
      </c>
      <c r="F294">
        <v>3</v>
      </c>
      <c r="G294" t="s">
        <v>128</v>
      </c>
      <c r="H294" t="s">
        <v>22</v>
      </c>
      <c r="I294">
        <v>2</v>
      </c>
      <c r="J294">
        <v>13</v>
      </c>
      <c r="K294">
        <v>10</v>
      </c>
      <c r="L294">
        <v>12</v>
      </c>
      <c r="M294">
        <v>69</v>
      </c>
      <c r="N294">
        <v>54</v>
      </c>
      <c r="O294">
        <v>138</v>
      </c>
    </row>
    <row r="295" spans="1:15" x14ac:dyDescent="0.2">
      <c r="A295" t="s">
        <v>84</v>
      </c>
      <c r="B295" t="s">
        <v>83</v>
      </c>
      <c r="C295" t="s">
        <v>17</v>
      </c>
      <c r="D295" t="s">
        <v>75</v>
      </c>
      <c r="E295" t="s">
        <v>129</v>
      </c>
      <c r="F295">
        <v>3</v>
      </c>
      <c r="G295" t="s">
        <v>128</v>
      </c>
      <c r="H295" t="s">
        <v>23</v>
      </c>
      <c r="I295">
        <v>1</v>
      </c>
      <c r="J295">
        <v>11</v>
      </c>
      <c r="K295">
        <v>5</v>
      </c>
      <c r="L295">
        <v>12</v>
      </c>
      <c r="M295">
        <v>69</v>
      </c>
      <c r="N295">
        <v>54</v>
      </c>
      <c r="O295">
        <v>138</v>
      </c>
    </row>
    <row r="296" spans="1:15" x14ac:dyDescent="0.2">
      <c r="A296" t="s">
        <v>84</v>
      </c>
      <c r="B296" t="s">
        <v>83</v>
      </c>
      <c r="C296" t="s">
        <v>17</v>
      </c>
      <c r="D296" t="s">
        <v>75</v>
      </c>
      <c r="E296" t="s">
        <v>129</v>
      </c>
      <c r="F296">
        <v>3</v>
      </c>
      <c r="G296" t="s">
        <v>128</v>
      </c>
      <c r="H296" t="s">
        <v>24</v>
      </c>
      <c r="I296">
        <v>0</v>
      </c>
      <c r="J296">
        <v>1</v>
      </c>
      <c r="K296">
        <v>0</v>
      </c>
      <c r="L296">
        <v>12</v>
      </c>
      <c r="M296">
        <v>69</v>
      </c>
      <c r="N296">
        <v>54</v>
      </c>
      <c r="O296">
        <v>138</v>
      </c>
    </row>
    <row r="297" spans="1:15" x14ac:dyDescent="0.2">
      <c r="A297" t="s">
        <v>84</v>
      </c>
      <c r="B297" t="s">
        <v>83</v>
      </c>
      <c r="C297" t="s">
        <v>17</v>
      </c>
      <c r="D297" t="s">
        <v>75</v>
      </c>
      <c r="E297" t="s">
        <v>127</v>
      </c>
      <c r="F297">
        <v>3</v>
      </c>
      <c r="G297" t="s">
        <v>126</v>
      </c>
      <c r="H297" t="s">
        <v>20</v>
      </c>
      <c r="I297">
        <v>13</v>
      </c>
      <c r="J297">
        <v>2</v>
      </c>
      <c r="K297">
        <v>2</v>
      </c>
      <c r="L297">
        <v>24</v>
      </c>
      <c r="M297">
        <v>54</v>
      </c>
      <c r="N297">
        <v>45</v>
      </c>
      <c r="O297">
        <v>158</v>
      </c>
    </row>
    <row r="298" spans="1:15" x14ac:dyDescent="0.2">
      <c r="A298" t="s">
        <v>84</v>
      </c>
      <c r="B298" t="s">
        <v>83</v>
      </c>
      <c r="C298" t="s">
        <v>17</v>
      </c>
      <c r="D298" t="s">
        <v>75</v>
      </c>
      <c r="E298" t="s">
        <v>127</v>
      </c>
      <c r="F298">
        <v>3</v>
      </c>
      <c r="G298" t="s">
        <v>126</v>
      </c>
      <c r="H298" t="s">
        <v>21</v>
      </c>
      <c r="I298">
        <v>8</v>
      </c>
      <c r="J298">
        <v>24</v>
      </c>
      <c r="K298">
        <v>20</v>
      </c>
      <c r="L298">
        <v>24</v>
      </c>
      <c r="M298">
        <v>54</v>
      </c>
      <c r="N298">
        <v>45</v>
      </c>
      <c r="O298">
        <v>158</v>
      </c>
    </row>
    <row r="299" spans="1:15" x14ac:dyDescent="0.2">
      <c r="A299" t="s">
        <v>84</v>
      </c>
      <c r="B299" t="s">
        <v>83</v>
      </c>
      <c r="C299" t="s">
        <v>17</v>
      </c>
      <c r="D299" t="s">
        <v>75</v>
      </c>
      <c r="E299" t="s">
        <v>127</v>
      </c>
      <c r="F299">
        <v>3</v>
      </c>
      <c r="G299" t="s">
        <v>126</v>
      </c>
      <c r="H299" t="s">
        <v>22</v>
      </c>
      <c r="I299">
        <v>0</v>
      </c>
      <c r="J299">
        <v>11</v>
      </c>
      <c r="K299">
        <v>11</v>
      </c>
      <c r="L299">
        <v>24</v>
      </c>
      <c r="M299">
        <v>54</v>
      </c>
      <c r="N299">
        <v>45</v>
      </c>
      <c r="O299">
        <v>158</v>
      </c>
    </row>
    <row r="300" spans="1:15" x14ac:dyDescent="0.2">
      <c r="A300" t="s">
        <v>84</v>
      </c>
      <c r="B300" t="s">
        <v>83</v>
      </c>
      <c r="C300" t="s">
        <v>17</v>
      </c>
      <c r="D300" t="s">
        <v>75</v>
      </c>
      <c r="E300" t="s">
        <v>127</v>
      </c>
      <c r="F300">
        <v>3</v>
      </c>
      <c r="G300" t="s">
        <v>126</v>
      </c>
      <c r="H300" t="s">
        <v>23</v>
      </c>
      <c r="I300">
        <v>3</v>
      </c>
      <c r="J300">
        <v>17</v>
      </c>
      <c r="K300">
        <v>12</v>
      </c>
      <c r="L300">
        <v>24</v>
      </c>
      <c r="M300">
        <v>54</v>
      </c>
      <c r="N300">
        <v>45</v>
      </c>
      <c r="O300">
        <v>158</v>
      </c>
    </row>
    <row r="301" spans="1:15" x14ac:dyDescent="0.2">
      <c r="A301" t="s">
        <v>84</v>
      </c>
      <c r="B301" t="s">
        <v>83</v>
      </c>
      <c r="C301" t="s">
        <v>17</v>
      </c>
      <c r="D301" t="s">
        <v>75</v>
      </c>
      <c r="E301" t="s">
        <v>127</v>
      </c>
      <c r="F301">
        <v>3</v>
      </c>
      <c r="G301" t="s">
        <v>126</v>
      </c>
      <c r="H301" t="s">
        <v>24</v>
      </c>
      <c r="I301">
        <v>0</v>
      </c>
      <c r="J301">
        <v>0</v>
      </c>
      <c r="K301">
        <v>0</v>
      </c>
      <c r="L301">
        <v>24</v>
      </c>
      <c r="M301">
        <v>54</v>
      </c>
      <c r="N301">
        <v>45</v>
      </c>
      <c r="O301">
        <v>158</v>
      </c>
    </row>
    <row r="302" spans="1:15" x14ac:dyDescent="0.2">
      <c r="A302" t="s">
        <v>89</v>
      </c>
      <c r="B302" t="s">
        <v>45</v>
      </c>
      <c r="C302" t="s">
        <v>17</v>
      </c>
      <c r="D302" t="s">
        <v>75</v>
      </c>
      <c r="E302" t="s">
        <v>87</v>
      </c>
      <c r="F302">
        <v>3</v>
      </c>
      <c r="G302" t="s">
        <v>19</v>
      </c>
      <c r="H302" t="s">
        <v>20</v>
      </c>
      <c r="I302">
        <v>34</v>
      </c>
      <c r="J302">
        <v>45</v>
      </c>
      <c r="K302">
        <v>0</v>
      </c>
      <c r="L302">
        <v>85</v>
      </c>
      <c r="M302">
        <v>125</v>
      </c>
      <c r="N302">
        <v>0</v>
      </c>
      <c r="O302">
        <v>498</v>
      </c>
    </row>
    <row r="303" spans="1:15" x14ac:dyDescent="0.2">
      <c r="A303" t="s">
        <v>89</v>
      </c>
      <c r="B303" t="s">
        <v>45</v>
      </c>
      <c r="C303" t="s">
        <v>17</v>
      </c>
      <c r="D303" t="s">
        <v>75</v>
      </c>
      <c r="E303" t="s">
        <v>87</v>
      </c>
      <c r="F303">
        <v>3</v>
      </c>
      <c r="G303" t="s">
        <v>19</v>
      </c>
      <c r="H303" t="s">
        <v>21</v>
      </c>
      <c r="I303">
        <v>22</v>
      </c>
      <c r="J303">
        <v>30</v>
      </c>
      <c r="K303">
        <v>0</v>
      </c>
      <c r="L303">
        <v>85</v>
      </c>
      <c r="M303">
        <v>125</v>
      </c>
      <c r="N303">
        <v>0</v>
      </c>
      <c r="O303">
        <v>498</v>
      </c>
    </row>
    <row r="304" spans="1:15" x14ac:dyDescent="0.2">
      <c r="A304" t="s">
        <v>89</v>
      </c>
      <c r="B304" t="s">
        <v>45</v>
      </c>
      <c r="C304" t="s">
        <v>17</v>
      </c>
      <c r="D304" t="s">
        <v>75</v>
      </c>
      <c r="E304" t="s">
        <v>87</v>
      </c>
      <c r="F304">
        <v>3</v>
      </c>
      <c r="G304" t="s">
        <v>19</v>
      </c>
      <c r="H304" t="s">
        <v>22</v>
      </c>
      <c r="I304">
        <v>12</v>
      </c>
      <c r="J304">
        <v>20</v>
      </c>
      <c r="K304">
        <v>0</v>
      </c>
      <c r="L304">
        <v>85</v>
      </c>
      <c r="M304">
        <v>125</v>
      </c>
      <c r="N304">
        <v>0</v>
      </c>
      <c r="O304">
        <v>498</v>
      </c>
    </row>
    <row r="305" spans="1:15" x14ac:dyDescent="0.2">
      <c r="A305" t="s">
        <v>89</v>
      </c>
      <c r="B305" t="s">
        <v>45</v>
      </c>
      <c r="C305" t="s">
        <v>17</v>
      </c>
      <c r="D305" t="s">
        <v>75</v>
      </c>
      <c r="E305" t="s">
        <v>87</v>
      </c>
      <c r="F305">
        <v>3</v>
      </c>
      <c r="G305" t="s">
        <v>19</v>
      </c>
      <c r="H305" t="s">
        <v>23</v>
      </c>
      <c r="I305">
        <v>17</v>
      </c>
      <c r="J305">
        <v>30</v>
      </c>
      <c r="K305">
        <v>0</v>
      </c>
      <c r="L305">
        <v>85</v>
      </c>
      <c r="M305">
        <v>125</v>
      </c>
      <c r="N305">
        <v>0</v>
      </c>
      <c r="O305">
        <v>498</v>
      </c>
    </row>
    <row r="306" spans="1:15" x14ac:dyDescent="0.2">
      <c r="A306" t="s">
        <v>89</v>
      </c>
      <c r="B306" t="s">
        <v>45</v>
      </c>
      <c r="C306" t="s">
        <v>17</v>
      </c>
      <c r="D306" t="s">
        <v>75</v>
      </c>
      <c r="E306" t="s">
        <v>87</v>
      </c>
      <c r="F306">
        <v>3</v>
      </c>
      <c r="G306" t="s">
        <v>19</v>
      </c>
      <c r="H306" t="s">
        <v>24</v>
      </c>
      <c r="I306">
        <v>0</v>
      </c>
      <c r="J306">
        <v>0</v>
      </c>
      <c r="K306">
        <v>0</v>
      </c>
      <c r="L306">
        <v>85</v>
      </c>
      <c r="M306">
        <v>125</v>
      </c>
      <c r="N306">
        <v>0</v>
      </c>
      <c r="O306">
        <v>498</v>
      </c>
    </row>
    <row r="307" spans="1:15" x14ac:dyDescent="0.2">
      <c r="A307" t="s">
        <v>89</v>
      </c>
      <c r="B307" t="s">
        <v>45</v>
      </c>
      <c r="C307" t="s">
        <v>17</v>
      </c>
      <c r="D307" t="s">
        <v>75</v>
      </c>
      <c r="E307" t="s">
        <v>131</v>
      </c>
      <c r="F307">
        <v>3</v>
      </c>
      <c r="G307" t="s">
        <v>130</v>
      </c>
      <c r="H307" t="s">
        <v>20</v>
      </c>
      <c r="I307">
        <v>10</v>
      </c>
      <c r="J307">
        <v>109</v>
      </c>
      <c r="K307">
        <v>39</v>
      </c>
      <c r="L307">
        <v>19</v>
      </c>
      <c r="M307">
        <v>135</v>
      </c>
      <c r="N307">
        <v>50</v>
      </c>
      <c r="O307">
        <v>328</v>
      </c>
    </row>
    <row r="308" spans="1:15" x14ac:dyDescent="0.2">
      <c r="A308" t="s">
        <v>89</v>
      </c>
      <c r="B308" t="s">
        <v>45</v>
      </c>
      <c r="C308" t="s">
        <v>17</v>
      </c>
      <c r="D308" t="s">
        <v>75</v>
      </c>
      <c r="E308" t="s">
        <v>131</v>
      </c>
      <c r="F308">
        <v>3</v>
      </c>
      <c r="G308" t="s">
        <v>130</v>
      </c>
      <c r="H308" t="s">
        <v>21</v>
      </c>
      <c r="I308">
        <v>5</v>
      </c>
      <c r="J308">
        <v>11</v>
      </c>
      <c r="K308">
        <v>6</v>
      </c>
      <c r="L308">
        <v>19</v>
      </c>
      <c r="M308">
        <v>135</v>
      </c>
      <c r="N308">
        <v>50</v>
      </c>
      <c r="O308">
        <v>328</v>
      </c>
    </row>
    <row r="309" spans="1:15" x14ac:dyDescent="0.2">
      <c r="A309" t="s">
        <v>89</v>
      </c>
      <c r="B309" t="s">
        <v>45</v>
      </c>
      <c r="C309" t="s">
        <v>17</v>
      </c>
      <c r="D309" t="s">
        <v>75</v>
      </c>
      <c r="E309" t="s">
        <v>131</v>
      </c>
      <c r="F309">
        <v>3</v>
      </c>
      <c r="G309" t="s">
        <v>130</v>
      </c>
      <c r="H309" t="s">
        <v>22</v>
      </c>
      <c r="I309">
        <v>3</v>
      </c>
      <c r="J309">
        <v>7</v>
      </c>
      <c r="K309">
        <v>0</v>
      </c>
      <c r="L309">
        <v>19</v>
      </c>
      <c r="M309">
        <v>135</v>
      </c>
      <c r="N309">
        <v>50</v>
      </c>
      <c r="O309">
        <v>328</v>
      </c>
    </row>
    <row r="310" spans="1:15" x14ac:dyDescent="0.2">
      <c r="A310" t="s">
        <v>89</v>
      </c>
      <c r="B310" t="s">
        <v>45</v>
      </c>
      <c r="C310" t="s">
        <v>17</v>
      </c>
      <c r="D310" t="s">
        <v>75</v>
      </c>
      <c r="E310" t="s">
        <v>131</v>
      </c>
      <c r="F310">
        <v>3</v>
      </c>
      <c r="G310" t="s">
        <v>130</v>
      </c>
      <c r="H310" t="s">
        <v>23</v>
      </c>
      <c r="I310">
        <v>1</v>
      </c>
      <c r="J310">
        <v>8</v>
      </c>
      <c r="K310">
        <v>5</v>
      </c>
      <c r="L310">
        <v>19</v>
      </c>
      <c r="M310">
        <v>135</v>
      </c>
      <c r="N310">
        <v>50</v>
      </c>
      <c r="O310">
        <v>328</v>
      </c>
    </row>
    <row r="311" spans="1:15" x14ac:dyDescent="0.2">
      <c r="A311" t="s">
        <v>89</v>
      </c>
      <c r="B311" t="s">
        <v>45</v>
      </c>
      <c r="C311" t="s">
        <v>17</v>
      </c>
      <c r="D311" t="s">
        <v>75</v>
      </c>
      <c r="E311" t="s">
        <v>131</v>
      </c>
      <c r="F311">
        <v>3</v>
      </c>
      <c r="G311" t="s">
        <v>130</v>
      </c>
      <c r="H311" t="s">
        <v>24</v>
      </c>
      <c r="I311">
        <v>0</v>
      </c>
      <c r="J311">
        <v>0</v>
      </c>
      <c r="K311">
        <v>0</v>
      </c>
      <c r="L311">
        <v>19</v>
      </c>
      <c r="M311">
        <v>135</v>
      </c>
      <c r="N311">
        <v>50</v>
      </c>
      <c r="O311">
        <v>328</v>
      </c>
    </row>
    <row r="312" spans="1:15" x14ac:dyDescent="0.2">
      <c r="A312" t="s">
        <v>89</v>
      </c>
      <c r="B312" t="s">
        <v>45</v>
      </c>
      <c r="C312" t="s">
        <v>17</v>
      </c>
      <c r="D312" t="s">
        <v>75</v>
      </c>
      <c r="E312" t="s">
        <v>129</v>
      </c>
      <c r="F312">
        <v>3</v>
      </c>
      <c r="G312" t="s">
        <v>128</v>
      </c>
      <c r="H312" t="s">
        <v>20</v>
      </c>
      <c r="I312">
        <v>10</v>
      </c>
      <c r="J312">
        <v>24</v>
      </c>
      <c r="K312">
        <v>2</v>
      </c>
      <c r="L312">
        <v>28</v>
      </c>
      <c r="M312">
        <v>70</v>
      </c>
      <c r="N312">
        <v>27</v>
      </c>
      <c r="O312">
        <v>318</v>
      </c>
    </row>
    <row r="313" spans="1:15" x14ac:dyDescent="0.2">
      <c r="A313" t="s">
        <v>89</v>
      </c>
      <c r="B313" t="s">
        <v>45</v>
      </c>
      <c r="C313" t="s">
        <v>17</v>
      </c>
      <c r="D313" t="s">
        <v>75</v>
      </c>
      <c r="E313" t="s">
        <v>129</v>
      </c>
      <c r="F313">
        <v>3</v>
      </c>
      <c r="G313" t="s">
        <v>128</v>
      </c>
      <c r="H313" t="s">
        <v>21</v>
      </c>
      <c r="I313">
        <v>11</v>
      </c>
      <c r="J313">
        <v>28</v>
      </c>
      <c r="K313">
        <v>16</v>
      </c>
      <c r="L313">
        <v>28</v>
      </c>
      <c r="M313">
        <v>70</v>
      </c>
      <c r="N313">
        <v>27</v>
      </c>
      <c r="O313">
        <v>318</v>
      </c>
    </row>
    <row r="314" spans="1:15" x14ac:dyDescent="0.2">
      <c r="A314" t="s">
        <v>89</v>
      </c>
      <c r="B314" t="s">
        <v>45</v>
      </c>
      <c r="C314" t="s">
        <v>17</v>
      </c>
      <c r="D314" t="s">
        <v>75</v>
      </c>
      <c r="E314" t="s">
        <v>129</v>
      </c>
      <c r="F314">
        <v>3</v>
      </c>
      <c r="G314" t="s">
        <v>128</v>
      </c>
      <c r="H314" t="s">
        <v>22</v>
      </c>
      <c r="I314">
        <v>4</v>
      </c>
      <c r="J314">
        <v>8</v>
      </c>
      <c r="K314">
        <v>5</v>
      </c>
      <c r="L314">
        <v>28</v>
      </c>
      <c r="M314">
        <v>70</v>
      </c>
      <c r="N314">
        <v>27</v>
      </c>
      <c r="O314">
        <v>318</v>
      </c>
    </row>
    <row r="315" spans="1:15" x14ac:dyDescent="0.2">
      <c r="A315" t="s">
        <v>89</v>
      </c>
      <c r="B315" t="s">
        <v>45</v>
      </c>
      <c r="C315" t="s">
        <v>17</v>
      </c>
      <c r="D315" t="s">
        <v>75</v>
      </c>
      <c r="E315" t="s">
        <v>129</v>
      </c>
      <c r="F315">
        <v>3</v>
      </c>
      <c r="G315" t="s">
        <v>128</v>
      </c>
      <c r="H315" t="s">
        <v>23</v>
      </c>
      <c r="I315">
        <v>3</v>
      </c>
      <c r="J315">
        <v>10</v>
      </c>
      <c r="K315">
        <v>4</v>
      </c>
      <c r="L315">
        <v>28</v>
      </c>
      <c r="M315">
        <v>70</v>
      </c>
      <c r="N315">
        <v>27</v>
      </c>
      <c r="O315">
        <v>318</v>
      </c>
    </row>
    <row r="316" spans="1:15" x14ac:dyDescent="0.2">
      <c r="A316" t="s">
        <v>89</v>
      </c>
      <c r="B316" t="s">
        <v>45</v>
      </c>
      <c r="C316" t="s">
        <v>17</v>
      </c>
      <c r="D316" t="s">
        <v>75</v>
      </c>
      <c r="E316" t="s">
        <v>129</v>
      </c>
      <c r="F316">
        <v>3</v>
      </c>
      <c r="G316" t="s">
        <v>128</v>
      </c>
      <c r="H316" t="s">
        <v>24</v>
      </c>
      <c r="I316">
        <v>0</v>
      </c>
      <c r="J316">
        <v>0</v>
      </c>
      <c r="K316">
        <v>0</v>
      </c>
      <c r="L316">
        <v>28</v>
      </c>
      <c r="M316">
        <v>70</v>
      </c>
      <c r="N316">
        <v>27</v>
      </c>
      <c r="O316">
        <v>318</v>
      </c>
    </row>
    <row r="317" spans="1:15" x14ac:dyDescent="0.2">
      <c r="A317" t="s">
        <v>89</v>
      </c>
      <c r="B317" t="s">
        <v>45</v>
      </c>
      <c r="C317" t="s">
        <v>17</v>
      </c>
      <c r="D317" t="s">
        <v>75</v>
      </c>
      <c r="E317" t="s">
        <v>127</v>
      </c>
      <c r="F317">
        <v>3</v>
      </c>
      <c r="G317" t="s">
        <v>126</v>
      </c>
      <c r="H317" t="s">
        <v>20</v>
      </c>
      <c r="I317">
        <v>4</v>
      </c>
      <c r="J317">
        <v>15</v>
      </c>
      <c r="K317">
        <v>1</v>
      </c>
      <c r="L317">
        <v>24</v>
      </c>
      <c r="M317">
        <v>74</v>
      </c>
      <c r="N317">
        <v>40</v>
      </c>
      <c r="O317">
        <v>280</v>
      </c>
    </row>
    <row r="318" spans="1:15" x14ac:dyDescent="0.2">
      <c r="A318" t="s">
        <v>89</v>
      </c>
      <c r="B318" t="s">
        <v>45</v>
      </c>
      <c r="C318" t="s">
        <v>17</v>
      </c>
      <c r="D318" t="s">
        <v>75</v>
      </c>
      <c r="E318" t="s">
        <v>127</v>
      </c>
      <c r="F318">
        <v>3</v>
      </c>
      <c r="G318" t="s">
        <v>126</v>
      </c>
      <c r="H318" t="s">
        <v>21</v>
      </c>
      <c r="I318">
        <v>16</v>
      </c>
      <c r="J318">
        <v>19</v>
      </c>
      <c r="K318">
        <v>13</v>
      </c>
      <c r="L318">
        <v>24</v>
      </c>
      <c r="M318">
        <v>74</v>
      </c>
      <c r="N318">
        <v>40</v>
      </c>
      <c r="O318">
        <v>280</v>
      </c>
    </row>
    <row r="319" spans="1:15" x14ac:dyDescent="0.2">
      <c r="A319" t="s">
        <v>89</v>
      </c>
      <c r="B319" t="s">
        <v>45</v>
      </c>
      <c r="C319" t="s">
        <v>17</v>
      </c>
      <c r="D319" t="s">
        <v>75</v>
      </c>
      <c r="E319" t="s">
        <v>127</v>
      </c>
      <c r="F319">
        <v>3</v>
      </c>
      <c r="G319" t="s">
        <v>126</v>
      </c>
      <c r="H319" t="s">
        <v>22</v>
      </c>
      <c r="I319">
        <v>0</v>
      </c>
      <c r="J319">
        <v>4</v>
      </c>
      <c r="K319">
        <v>3</v>
      </c>
      <c r="L319">
        <v>24</v>
      </c>
      <c r="M319">
        <v>74</v>
      </c>
      <c r="N319">
        <v>40</v>
      </c>
      <c r="O319">
        <v>280</v>
      </c>
    </row>
    <row r="320" spans="1:15" x14ac:dyDescent="0.2">
      <c r="A320" t="s">
        <v>89</v>
      </c>
      <c r="B320" t="s">
        <v>45</v>
      </c>
      <c r="C320" t="s">
        <v>17</v>
      </c>
      <c r="D320" t="s">
        <v>75</v>
      </c>
      <c r="E320" t="s">
        <v>127</v>
      </c>
      <c r="F320">
        <v>3</v>
      </c>
      <c r="G320" t="s">
        <v>126</v>
      </c>
      <c r="H320" t="s">
        <v>23</v>
      </c>
      <c r="I320">
        <v>4</v>
      </c>
      <c r="J320">
        <v>36</v>
      </c>
      <c r="K320">
        <v>23</v>
      </c>
      <c r="L320">
        <v>24</v>
      </c>
      <c r="M320">
        <v>74</v>
      </c>
      <c r="N320">
        <v>40</v>
      </c>
      <c r="O320">
        <v>280</v>
      </c>
    </row>
    <row r="321" spans="1:15" ht="16" thickBot="1" x14ac:dyDescent="0.25">
      <c r="A321" s="17" t="s">
        <v>89</v>
      </c>
      <c r="B321" s="17" t="s">
        <v>45</v>
      </c>
      <c r="C321" s="17" t="s">
        <v>17</v>
      </c>
      <c r="D321" s="17" t="s">
        <v>75</v>
      </c>
      <c r="E321" s="17" t="s">
        <v>127</v>
      </c>
      <c r="F321" s="17">
        <v>3</v>
      </c>
      <c r="G321" s="17" t="s">
        <v>126</v>
      </c>
      <c r="H321" s="17" t="s">
        <v>24</v>
      </c>
      <c r="I321" s="17">
        <v>0</v>
      </c>
      <c r="J321" s="17">
        <v>0</v>
      </c>
      <c r="K321" s="17">
        <v>0</v>
      </c>
      <c r="L321" s="17">
        <v>24</v>
      </c>
      <c r="M321" s="17">
        <v>74</v>
      </c>
      <c r="N321" s="17">
        <v>40</v>
      </c>
      <c r="O321" s="17">
        <v>280</v>
      </c>
    </row>
    <row r="322" spans="1:15" x14ac:dyDescent="0.2">
      <c r="A322" t="s">
        <v>125</v>
      </c>
      <c r="B322" t="s">
        <v>45</v>
      </c>
      <c r="C322" t="s">
        <v>17</v>
      </c>
      <c r="D322" t="s">
        <v>75</v>
      </c>
      <c r="E322" t="s">
        <v>118</v>
      </c>
      <c r="F322">
        <v>3</v>
      </c>
      <c r="G322" t="s">
        <v>19</v>
      </c>
      <c r="H322" t="s">
        <v>20</v>
      </c>
      <c r="I322">
        <v>18</v>
      </c>
      <c r="J322">
        <v>19</v>
      </c>
      <c r="K322">
        <v>0</v>
      </c>
      <c r="L322">
        <v>38</v>
      </c>
      <c r="M322">
        <v>40</v>
      </c>
      <c r="N322">
        <v>0</v>
      </c>
      <c r="O322">
        <v>145</v>
      </c>
    </row>
    <row r="323" spans="1:15" x14ac:dyDescent="0.2">
      <c r="A323" t="s">
        <v>125</v>
      </c>
      <c r="B323" t="s">
        <v>45</v>
      </c>
      <c r="C323" t="s">
        <v>17</v>
      </c>
      <c r="D323" t="s">
        <v>75</v>
      </c>
      <c r="E323" t="s">
        <v>118</v>
      </c>
      <c r="F323">
        <v>3</v>
      </c>
      <c r="G323" t="s">
        <v>19</v>
      </c>
      <c r="H323" t="s">
        <v>21</v>
      </c>
      <c r="I323">
        <v>10</v>
      </c>
      <c r="J323">
        <v>8</v>
      </c>
      <c r="K323">
        <v>0</v>
      </c>
      <c r="L323">
        <v>38</v>
      </c>
      <c r="M323">
        <v>40</v>
      </c>
      <c r="N323">
        <v>0</v>
      </c>
      <c r="O323">
        <v>145</v>
      </c>
    </row>
    <row r="324" spans="1:15" x14ac:dyDescent="0.2">
      <c r="A324" t="s">
        <v>125</v>
      </c>
      <c r="B324" t="s">
        <v>45</v>
      </c>
      <c r="C324" t="s">
        <v>17</v>
      </c>
      <c r="D324" t="s">
        <v>75</v>
      </c>
      <c r="E324" t="s">
        <v>118</v>
      </c>
      <c r="F324">
        <v>3</v>
      </c>
      <c r="G324" t="s">
        <v>19</v>
      </c>
      <c r="H324" t="s">
        <v>22</v>
      </c>
      <c r="I324">
        <v>3</v>
      </c>
      <c r="J324">
        <v>3</v>
      </c>
      <c r="K324">
        <v>0</v>
      </c>
      <c r="L324">
        <v>38</v>
      </c>
      <c r="M324">
        <v>40</v>
      </c>
      <c r="N324">
        <v>0</v>
      </c>
      <c r="O324">
        <v>145</v>
      </c>
    </row>
    <row r="325" spans="1:15" x14ac:dyDescent="0.2">
      <c r="A325" t="s">
        <v>125</v>
      </c>
      <c r="B325" t="s">
        <v>45</v>
      </c>
      <c r="C325" t="s">
        <v>17</v>
      </c>
      <c r="D325" t="s">
        <v>75</v>
      </c>
      <c r="E325" t="s">
        <v>118</v>
      </c>
      <c r="F325">
        <v>3</v>
      </c>
      <c r="G325" t="s">
        <v>19</v>
      </c>
      <c r="H325" t="s">
        <v>23</v>
      </c>
      <c r="I325">
        <v>7</v>
      </c>
      <c r="J325">
        <v>10</v>
      </c>
      <c r="K325">
        <v>0</v>
      </c>
      <c r="L325">
        <v>38</v>
      </c>
      <c r="M325">
        <v>40</v>
      </c>
      <c r="N325">
        <v>0</v>
      </c>
      <c r="O325">
        <v>145</v>
      </c>
    </row>
    <row r="326" spans="1:15" x14ac:dyDescent="0.2">
      <c r="A326" t="s">
        <v>125</v>
      </c>
      <c r="B326" t="s">
        <v>45</v>
      </c>
      <c r="C326" t="s">
        <v>17</v>
      </c>
      <c r="D326" t="s">
        <v>75</v>
      </c>
      <c r="E326" t="s">
        <v>118</v>
      </c>
      <c r="F326">
        <v>3</v>
      </c>
      <c r="G326" t="s">
        <v>19</v>
      </c>
      <c r="H326" t="s">
        <v>24</v>
      </c>
      <c r="I326">
        <v>0</v>
      </c>
      <c r="J326">
        <v>0</v>
      </c>
      <c r="K326">
        <v>0</v>
      </c>
      <c r="L326">
        <v>38</v>
      </c>
      <c r="M326">
        <v>40</v>
      </c>
      <c r="N326">
        <v>0</v>
      </c>
      <c r="O326">
        <v>145</v>
      </c>
    </row>
    <row r="327" spans="1:15" x14ac:dyDescent="0.2">
      <c r="A327" t="s">
        <v>125</v>
      </c>
      <c r="B327" t="s">
        <v>45</v>
      </c>
      <c r="C327" t="s">
        <v>17</v>
      </c>
      <c r="D327" t="s">
        <v>75</v>
      </c>
      <c r="E327" t="s">
        <v>117</v>
      </c>
      <c r="F327">
        <v>3</v>
      </c>
      <c r="G327" t="s">
        <v>79</v>
      </c>
      <c r="H327" t="s">
        <v>20</v>
      </c>
      <c r="I327">
        <v>7</v>
      </c>
      <c r="J327">
        <v>32</v>
      </c>
      <c r="K327">
        <v>4</v>
      </c>
      <c r="L327">
        <v>16</v>
      </c>
      <c r="M327">
        <v>39</v>
      </c>
      <c r="N327">
        <v>7</v>
      </c>
      <c r="O327">
        <v>83</v>
      </c>
    </row>
    <row r="328" spans="1:15" x14ac:dyDescent="0.2">
      <c r="A328" t="s">
        <v>125</v>
      </c>
      <c r="B328" t="s">
        <v>45</v>
      </c>
      <c r="C328" t="s">
        <v>17</v>
      </c>
      <c r="D328" t="s">
        <v>75</v>
      </c>
      <c r="E328" t="s">
        <v>117</v>
      </c>
      <c r="F328">
        <v>3</v>
      </c>
      <c r="G328" t="s">
        <v>79</v>
      </c>
      <c r="H328" t="s">
        <v>21</v>
      </c>
      <c r="I328">
        <v>6</v>
      </c>
      <c r="J328">
        <v>3</v>
      </c>
      <c r="K328">
        <v>0</v>
      </c>
      <c r="L328">
        <v>16</v>
      </c>
      <c r="M328">
        <v>39</v>
      </c>
      <c r="N328">
        <v>7</v>
      </c>
      <c r="O328">
        <v>83</v>
      </c>
    </row>
    <row r="329" spans="1:15" x14ac:dyDescent="0.2">
      <c r="A329" t="s">
        <v>125</v>
      </c>
      <c r="B329" t="s">
        <v>45</v>
      </c>
      <c r="C329" t="s">
        <v>17</v>
      </c>
      <c r="D329" t="s">
        <v>75</v>
      </c>
      <c r="E329" t="s">
        <v>117</v>
      </c>
      <c r="F329">
        <v>3</v>
      </c>
      <c r="G329" t="s">
        <v>79</v>
      </c>
      <c r="H329" t="s">
        <v>22</v>
      </c>
      <c r="I329">
        <v>2</v>
      </c>
      <c r="J329">
        <v>2</v>
      </c>
      <c r="K329">
        <v>1</v>
      </c>
      <c r="L329">
        <v>16</v>
      </c>
      <c r="M329">
        <v>39</v>
      </c>
      <c r="N329">
        <v>7</v>
      </c>
      <c r="O329">
        <v>83</v>
      </c>
    </row>
    <row r="330" spans="1:15" x14ac:dyDescent="0.2">
      <c r="A330" t="s">
        <v>125</v>
      </c>
      <c r="B330" t="s">
        <v>45</v>
      </c>
      <c r="C330" t="s">
        <v>17</v>
      </c>
      <c r="D330" t="s">
        <v>75</v>
      </c>
      <c r="E330" t="s">
        <v>117</v>
      </c>
      <c r="F330">
        <v>3</v>
      </c>
      <c r="G330" t="s">
        <v>79</v>
      </c>
      <c r="H330" t="s">
        <v>23</v>
      </c>
      <c r="I330">
        <v>1</v>
      </c>
      <c r="J330">
        <v>2</v>
      </c>
      <c r="K330">
        <v>2</v>
      </c>
      <c r="L330">
        <v>16</v>
      </c>
      <c r="M330">
        <v>39</v>
      </c>
      <c r="N330">
        <v>7</v>
      </c>
      <c r="O330">
        <v>83</v>
      </c>
    </row>
    <row r="331" spans="1:15" x14ac:dyDescent="0.2">
      <c r="A331" t="s">
        <v>125</v>
      </c>
      <c r="B331" t="s">
        <v>45</v>
      </c>
      <c r="C331" t="s">
        <v>17</v>
      </c>
      <c r="D331" t="s">
        <v>75</v>
      </c>
      <c r="E331" t="s">
        <v>117</v>
      </c>
      <c r="F331">
        <v>3</v>
      </c>
      <c r="G331" t="s">
        <v>79</v>
      </c>
      <c r="H331" t="s">
        <v>24</v>
      </c>
      <c r="I331">
        <v>0</v>
      </c>
      <c r="J331">
        <v>0</v>
      </c>
      <c r="K331">
        <v>0</v>
      </c>
      <c r="L331">
        <v>16</v>
      </c>
      <c r="M331">
        <v>39</v>
      </c>
      <c r="N331">
        <v>7</v>
      </c>
      <c r="O331">
        <v>83</v>
      </c>
    </row>
    <row r="332" spans="1:15" x14ac:dyDescent="0.2">
      <c r="A332" t="s">
        <v>125</v>
      </c>
      <c r="B332" t="s">
        <v>45</v>
      </c>
      <c r="C332" t="s">
        <v>17</v>
      </c>
      <c r="D332" t="s">
        <v>75</v>
      </c>
      <c r="E332" t="s">
        <v>116</v>
      </c>
      <c r="F332">
        <v>3</v>
      </c>
      <c r="G332" t="s">
        <v>77</v>
      </c>
      <c r="H332" t="s">
        <v>20</v>
      </c>
      <c r="I332">
        <v>6</v>
      </c>
      <c r="J332">
        <v>24</v>
      </c>
      <c r="K332">
        <v>3</v>
      </c>
      <c r="L332">
        <v>12</v>
      </c>
      <c r="M332">
        <v>49</v>
      </c>
      <c r="N332">
        <v>13</v>
      </c>
      <c r="O332">
        <v>90</v>
      </c>
    </row>
    <row r="333" spans="1:15" x14ac:dyDescent="0.2">
      <c r="A333" t="s">
        <v>125</v>
      </c>
      <c r="B333" t="s">
        <v>45</v>
      </c>
      <c r="C333" t="s">
        <v>17</v>
      </c>
      <c r="D333" t="s">
        <v>75</v>
      </c>
      <c r="E333" t="s">
        <v>116</v>
      </c>
      <c r="F333">
        <v>3</v>
      </c>
      <c r="G333" t="s">
        <v>77</v>
      </c>
      <c r="H333" t="s">
        <v>21</v>
      </c>
      <c r="I333">
        <v>3</v>
      </c>
      <c r="J333">
        <v>14</v>
      </c>
      <c r="K333">
        <v>4</v>
      </c>
      <c r="L333">
        <v>12</v>
      </c>
      <c r="M333">
        <v>49</v>
      </c>
      <c r="N333">
        <v>13</v>
      </c>
      <c r="O333">
        <v>90</v>
      </c>
    </row>
    <row r="334" spans="1:15" x14ac:dyDescent="0.2">
      <c r="A334" t="s">
        <v>125</v>
      </c>
      <c r="B334" t="s">
        <v>45</v>
      </c>
      <c r="C334" t="s">
        <v>17</v>
      </c>
      <c r="D334" t="s">
        <v>75</v>
      </c>
      <c r="E334" t="s">
        <v>116</v>
      </c>
      <c r="F334">
        <v>3</v>
      </c>
      <c r="G334" t="s">
        <v>77</v>
      </c>
      <c r="H334" t="s">
        <v>22</v>
      </c>
      <c r="I334">
        <v>3</v>
      </c>
      <c r="J334">
        <v>4</v>
      </c>
      <c r="K334">
        <v>1</v>
      </c>
      <c r="L334">
        <v>12</v>
      </c>
      <c r="M334">
        <v>49</v>
      </c>
      <c r="N334">
        <v>13</v>
      </c>
      <c r="O334">
        <v>90</v>
      </c>
    </row>
    <row r="335" spans="1:15" x14ac:dyDescent="0.2">
      <c r="A335" t="s">
        <v>125</v>
      </c>
      <c r="B335" t="s">
        <v>45</v>
      </c>
      <c r="C335" t="s">
        <v>17</v>
      </c>
      <c r="D335" t="s">
        <v>75</v>
      </c>
      <c r="E335" t="s">
        <v>116</v>
      </c>
      <c r="F335">
        <v>3</v>
      </c>
      <c r="G335" t="s">
        <v>77</v>
      </c>
      <c r="H335" t="s">
        <v>23</v>
      </c>
      <c r="I335">
        <v>0</v>
      </c>
      <c r="J335">
        <v>7</v>
      </c>
      <c r="K335">
        <v>5</v>
      </c>
      <c r="L335">
        <v>12</v>
      </c>
      <c r="M335">
        <v>49</v>
      </c>
      <c r="N335">
        <v>13</v>
      </c>
      <c r="O335">
        <v>90</v>
      </c>
    </row>
    <row r="336" spans="1:15" x14ac:dyDescent="0.2">
      <c r="A336" t="s">
        <v>125</v>
      </c>
      <c r="B336" t="s">
        <v>45</v>
      </c>
      <c r="C336" t="s">
        <v>17</v>
      </c>
      <c r="D336" t="s">
        <v>75</v>
      </c>
      <c r="E336" t="s">
        <v>116</v>
      </c>
      <c r="F336">
        <v>3</v>
      </c>
      <c r="G336" t="s">
        <v>77</v>
      </c>
      <c r="H336" t="s">
        <v>24</v>
      </c>
      <c r="I336">
        <v>0</v>
      </c>
      <c r="J336">
        <v>0</v>
      </c>
      <c r="K336">
        <v>0</v>
      </c>
      <c r="L336">
        <v>12</v>
      </c>
      <c r="M336">
        <v>49</v>
      </c>
      <c r="N336">
        <v>13</v>
      </c>
      <c r="O336">
        <v>90</v>
      </c>
    </row>
    <row r="337" spans="1:15" x14ac:dyDescent="0.2">
      <c r="A337" t="s">
        <v>125</v>
      </c>
      <c r="B337" t="s">
        <v>45</v>
      </c>
      <c r="C337" t="s">
        <v>17</v>
      </c>
      <c r="D337" t="s">
        <v>75</v>
      </c>
      <c r="E337" t="s">
        <v>114</v>
      </c>
      <c r="F337">
        <v>3</v>
      </c>
      <c r="G337" t="s">
        <v>73</v>
      </c>
      <c r="H337" t="s">
        <v>20</v>
      </c>
      <c r="I337">
        <v>3</v>
      </c>
      <c r="J337">
        <v>16</v>
      </c>
      <c r="K337">
        <v>0</v>
      </c>
      <c r="L337">
        <v>18</v>
      </c>
      <c r="M337">
        <v>37</v>
      </c>
      <c r="N337">
        <v>4</v>
      </c>
      <c r="O337">
        <v>105</v>
      </c>
    </row>
    <row r="338" spans="1:15" x14ac:dyDescent="0.2">
      <c r="A338" t="s">
        <v>125</v>
      </c>
      <c r="B338" t="s">
        <v>45</v>
      </c>
      <c r="C338" t="s">
        <v>17</v>
      </c>
      <c r="D338" t="s">
        <v>75</v>
      </c>
      <c r="E338" t="s">
        <v>114</v>
      </c>
      <c r="F338">
        <v>3</v>
      </c>
      <c r="G338" t="s">
        <v>73</v>
      </c>
      <c r="H338" t="s">
        <v>21</v>
      </c>
      <c r="I338">
        <v>12</v>
      </c>
      <c r="J338">
        <v>14</v>
      </c>
      <c r="K338">
        <v>0</v>
      </c>
      <c r="L338">
        <v>18</v>
      </c>
      <c r="M338">
        <v>37</v>
      </c>
      <c r="N338">
        <v>4</v>
      </c>
      <c r="O338">
        <v>105</v>
      </c>
    </row>
    <row r="339" spans="1:15" x14ac:dyDescent="0.2">
      <c r="A339" t="s">
        <v>125</v>
      </c>
      <c r="B339" t="s">
        <v>45</v>
      </c>
      <c r="C339" t="s">
        <v>17</v>
      </c>
      <c r="D339" t="s">
        <v>75</v>
      </c>
      <c r="E339" t="s">
        <v>114</v>
      </c>
      <c r="F339">
        <v>3</v>
      </c>
      <c r="G339" t="s">
        <v>73</v>
      </c>
      <c r="H339" t="s">
        <v>22</v>
      </c>
      <c r="I339">
        <v>0</v>
      </c>
      <c r="J339">
        <v>2</v>
      </c>
      <c r="K339">
        <v>1</v>
      </c>
      <c r="L339">
        <v>18</v>
      </c>
      <c r="M339">
        <v>37</v>
      </c>
      <c r="N339">
        <v>4</v>
      </c>
      <c r="O339">
        <v>105</v>
      </c>
    </row>
    <row r="340" spans="1:15" x14ac:dyDescent="0.2">
      <c r="A340" t="s">
        <v>125</v>
      </c>
      <c r="B340" t="s">
        <v>45</v>
      </c>
      <c r="C340" t="s">
        <v>17</v>
      </c>
      <c r="D340" t="s">
        <v>75</v>
      </c>
      <c r="E340" t="s">
        <v>114</v>
      </c>
      <c r="F340">
        <v>3</v>
      </c>
      <c r="G340" t="s">
        <v>73</v>
      </c>
      <c r="H340" t="s">
        <v>23</v>
      </c>
      <c r="I340">
        <v>3</v>
      </c>
      <c r="J340">
        <v>5</v>
      </c>
      <c r="K340">
        <v>3</v>
      </c>
      <c r="L340">
        <v>18</v>
      </c>
      <c r="M340">
        <v>37</v>
      </c>
      <c r="N340">
        <v>4</v>
      </c>
      <c r="O340">
        <v>105</v>
      </c>
    </row>
    <row r="341" spans="1:15" x14ac:dyDescent="0.2">
      <c r="A341" t="s">
        <v>125</v>
      </c>
      <c r="B341" t="s">
        <v>45</v>
      </c>
      <c r="C341" t="s">
        <v>17</v>
      </c>
      <c r="D341" t="s">
        <v>75</v>
      </c>
      <c r="E341" t="s">
        <v>114</v>
      </c>
      <c r="F341">
        <v>3</v>
      </c>
      <c r="G341" t="s">
        <v>73</v>
      </c>
      <c r="H341" t="s">
        <v>24</v>
      </c>
      <c r="I341">
        <v>0</v>
      </c>
      <c r="J341">
        <v>0</v>
      </c>
      <c r="K341">
        <v>0</v>
      </c>
      <c r="L341">
        <v>18</v>
      </c>
      <c r="M341">
        <v>37</v>
      </c>
      <c r="N341">
        <v>4</v>
      </c>
      <c r="O341">
        <v>105</v>
      </c>
    </row>
    <row r="342" spans="1:15" x14ac:dyDescent="0.2">
      <c r="A342" t="s">
        <v>124</v>
      </c>
      <c r="B342" t="s">
        <v>37</v>
      </c>
      <c r="C342" t="s">
        <v>17</v>
      </c>
      <c r="D342" t="s">
        <v>75</v>
      </c>
      <c r="E342" t="s">
        <v>118</v>
      </c>
      <c r="F342">
        <v>3</v>
      </c>
      <c r="G342" t="s">
        <v>19</v>
      </c>
      <c r="H342" t="s">
        <v>20</v>
      </c>
      <c r="I342">
        <v>85</v>
      </c>
      <c r="J342">
        <v>9</v>
      </c>
      <c r="K342">
        <v>0</v>
      </c>
      <c r="L342">
        <v>109</v>
      </c>
      <c r="M342">
        <v>34</v>
      </c>
      <c r="N342">
        <v>0</v>
      </c>
      <c r="O342">
        <v>196</v>
      </c>
    </row>
    <row r="343" spans="1:15" x14ac:dyDescent="0.2">
      <c r="A343" t="s">
        <v>124</v>
      </c>
      <c r="B343" t="s">
        <v>37</v>
      </c>
      <c r="C343" t="s">
        <v>17</v>
      </c>
      <c r="D343" t="s">
        <v>75</v>
      </c>
      <c r="E343" t="s">
        <v>118</v>
      </c>
      <c r="F343">
        <v>3</v>
      </c>
      <c r="G343" t="s">
        <v>19</v>
      </c>
      <c r="H343" t="s">
        <v>21</v>
      </c>
      <c r="I343">
        <v>17</v>
      </c>
      <c r="J343">
        <v>8</v>
      </c>
      <c r="K343">
        <v>0</v>
      </c>
      <c r="L343">
        <v>109</v>
      </c>
      <c r="M343">
        <v>34</v>
      </c>
      <c r="N343">
        <v>0</v>
      </c>
      <c r="O343">
        <v>196</v>
      </c>
    </row>
    <row r="344" spans="1:15" x14ac:dyDescent="0.2">
      <c r="A344" t="s">
        <v>124</v>
      </c>
      <c r="B344" t="s">
        <v>37</v>
      </c>
      <c r="C344" t="s">
        <v>17</v>
      </c>
      <c r="D344" t="s">
        <v>75</v>
      </c>
      <c r="E344" t="s">
        <v>118</v>
      </c>
      <c r="F344">
        <v>3</v>
      </c>
      <c r="G344" t="s">
        <v>19</v>
      </c>
      <c r="H344" t="s">
        <v>22</v>
      </c>
      <c r="I344">
        <v>4</v>
      </c>
      <c r="J344">
        <v>3</v>
      </c>
      <c r="K344">
        <v>0</v>
      </c>
      <c r="L344">
        <v>109</v>
      </c>
      <c r="M344">
        <v>34</v>
      </c>
      <c r="N344">
        <v>0</v>
      </c>
      <c r="O344">
        <v>196</v>
      </c>
    </row>
    <row r="345" spans="1:15" x14ac:dyDescent="0.2">
      <c r="A345" t="s">
        <v>124</v>
      </c>
      <c r="B345" t="s">
        <v>37</v>
      </c>
      <c r="C345" t="s">
        <v>17</v>
      </c>
      <c r="D345" t="s">
        <v>75</v>
      </c>
      <c r="E345" t="s">
        <v>118</v>
      </c>
      <c r="F345">
        <v>3</v>
      </c>
      <c r="G345" t="s">
        <v>19</v>
      </c>
      <c r="H345" t="s">
        <v>23</v>
      </c>
      <c r="I345">
        <v>3</v>
      </c>
      <c r="J345">
        <v>14</v>
      </c>
      <c r="K345">
        <v>0</v>
      </c>
      <c r="L345">
        <v>109</v>
      </c>
      <c r="M345">
        <v>34</v>
      </c>
      <c r="N345">
        <v>0</v>
      </c>
      <c r="O345">
        <v>196</v>
      </c>
    </row>
    <row r="346" spans="1:15" x14ac:dyDescent="0.2">
      <c r="A346" t="s">
        <v>124</v>
      </c>
      <c r="B346" t="s">
        <v>37</v>
      </c>
      <c r="C346" t="s">
        <v>17</v>
      </c>
      <c r="D346" t="s">
        <v>75</v>
      </c>
      <c r="E346" t="s">
        <v>118</v>
      </c>
      <c r="F346">
        <v>3</v>
      </c>
      <c r="G346" t="s">
        <v>19</v>
      </c>
      <c r="H346" t="s">
        <v>24</v>
      </c>
      <c r="I346">
        <v>0</v>
      </c>
      <c r="J346">
        <v>0</v>
      </c>
      <c r="K346">
        <v>0</v>
      </c>
      <c r="L346">
        <v>109</v>
      </c>
      <c r="M346">
        <v>34</v>
      </c>
      <c r="N346">
        <v>0</v>
      </c>
      <c r="O346">
        <v>196</v>
      </c>
    </row>
    <row r="347" spans="1:15" x14ac:dyDescent="0.2">
      <c r="A347" t="s">
        <v>124</v>
      </c>
      <c r="B347" t="s">
        <v>37</v>
      </c>
      <c r="C347" t="s">
        <v>17</v>
      </c>
      <c r="D347" t="s">
        <v>75</v>
      </c>
      <c r="E347" t="s">
        <v>117</v>
      </c>
      <c r="F347">
        <v>3</v>
      </c>
      <c r="G347" t="s">
        <v>79</v>
      </c>
      <c r="H347" t="s">
        <v>20</v>
      </c>
      <c r="I347">
        <v>16</v>
      </c>
      <c r="J347">
        <v>11</v>
      </c>
      <c r="K347">
        <v>5</v>
      </c>
      <c r="L347">
        <v>20</v>
      </c>
      <c r="M347">
        <v>26</v>
      </c>
      <c r="N347">
        <v>13</v>
      </c>
      <c r="O347">
        <v>143</v>
      </c>
    </row>
    <row r="348" spans="1:15" x14ac:dyDescent="0.2">
      <c r="A348" t="s">
        <v>124</v>
      </c>
      <c r="B348" t="s">
        <v>37</v>
      </c>
      <c r="C348" t="s">
        <v>17</v>
      </c>
      <c r="D348" t="s">
        <v>75</v>
      </c>
      <c r="E348" t="s">
        <v>117</v>
      </c>
      <c r="F348">
        <v>3</v>
      </c>
      <c r="G348" t="s">
        <v>79</v>
      </c>
      <c r="H348" t="s">
        <v>21</v>
      </c>
      <c r="I348">
        <v>1</v>
      </c>
      <c r="J348">
        <v>3</v>
      </c>
      <c r="K348">
        <v>0</v>
      </c>
      <c r="L348">
        <v>20</v>
      </c>
      <c r="M348">
        <v>26</v>
      </c>
      <c r="N348">
        <v>13</v>
      </c>
      <c r="O348">
        <v>143</v>
      </c>
    </row>
    <row r="349" spans="1:15" x14ac:dyDescent="0.2">
      <c r="A349" t="s">
        <v>124</v>
      </c>
      <c r="B349" t="s">
        <v>37</v>
      </c>
      <c r="C349" t="s">
        <v>17</v>
      </c>
      <c r="D349" t="s">
        <v>75</v>
      </c>
      <c r="E349" t="s">
        <v>117</v>
      </c>
      <c r="F349">
        <v>3</v>
      </c>
      <c r="G349" t="s">
        <v>79</v>
      </c>
      <c r="H349" t="s">
        <v>22</v>
      </c>
      <c r="I349">
        <v>0</v>
      </c>
      <c r="J349">
        <v>1</v>
      </c>
      <c r="K349">
        <v>1</v>
      </c>
      <c r="L349">
        <v>20</v>
      </c>
      <c r="M349">
        <v>26</v>
      </c>
      <c r="N349">
        <v>13</v>
      </c>
      <c r="O349">
        <v>143</v>
      </c>
    </row>
    <row r="350" spans="1:15" x14ac:dyDescent="0.2">
      <c r="A350" t="s">
        <v>124</v>
      </c>
      <c r="B350" t="s">
        <v>37</v>
      </c>
      <c r="C350" t="s">
        <v>17</v>
      </c>
      <c r="D350" t="s">
        <v>75</v>
      </c>
      <c r="E350" t="s">
        <v>117</v>
      </c>
      <c r="F350">
        <v>3</v>
      </c>
      <c r="G350" t="s">
        <v>79</v>
      </c>
      <c r="H350" t="s">
        <v>23</v>
      </c>
      <c r="I350">
        <v>3</v>
      </c>
      <c r="J350">
        <v>11</v>
      </c>
      <c r="K350">
        <v>7</v>
      </c>
      <c r="L350">
        <v>20</v>
      </c>
      <c r="M350">
        <v>26</v>
      </c>
      <c r="N350">
        <v>13</v>
      </c>
      <c r="O350">
        <v>143</v>
      </c>
    </row>
    <row r="351" spans="1:15" x14ac:dyDescent="0.2">
      <c r="A351" t="s">
        <v>124</v>
      </c>
      <c r="B351" t="s">
        <v>37</v>
      </c>
      <c r="C351" t="s">
        <v>17</v>
      </c>
      <c r="D351" t="s">
        <v>75</v>
      </c>
      <c r="E351" t="s">
        <v>117</v>
      </c>
      <c r="F351">
        <v>3</v>
      </c>
      <c r="G351" t="s">
        <v>79</v>
      </c>
      <c r="H351" t="s">
        <v>24</v>
      </c>
      <c r="I351">
        <v>0</v>
      </c>
      <c r="J351">
        <v>0</v>
      </c>
      <c r="K351">
        <v>0</v>
      </c>
      <c r="L351">
        <v>20</v>
      </c>
      <c r="M351">
        <v>26</v>
      </c>
      <c r="N351">
        <v>13</v>
      </c>
      <c r="O351">
        <v>143</v>
      </c>
    </row>
    <row r="352" spans="1:15" x14ac:dyDescent="0.2">
      <c r="A352" t="s">
        <v>124</v>
      </c>
      <c r="B352" t="s">
        <v>37</v>
      </c>
      <c r="C352" t="s">
        <v>17</v>
      </c>
      <c r="D352" t="s">
        <v>75</v>
      </c>
      <c r="E352" t="s">
        <v>116</v>
      </c>
      <c r="F352">
        <v>3</v>
      </c>
      <c r="G352" t="s">
        <v>77</v>
      </c>
      <c r="H352" t="s">
        <v>20</v>
      </c>
      <c r="I352">
        <v>7</v>
      </c>
      <c r="J352">
        <v>5</v>
      </c>
      <c r="K352">
        <v>2</v>
      </c>
      <c r="L352">
        <v>9</v>
      </c>
      <c r="M352">
        <v>26</v>
      </c>
      <c r="N352">
        <v>17</v>
      </c>
      <c r="O352">
        <v>127</v>
      </c>
    </row>
    <row r="353" spans="1:15" x14ac:dyDescent="0.2">
      <c r="A353" t="s">
        <v>124</v>
      </c>
      <c r="B353" t="s">
        <v>37</v>
      </c>
      <c r="C353" t="s">
        <v>17</v>
      </c>
      <c r="D353" t="s">
        <v>75</v>
      </c>
      <c r="E353" t="s">
        <v>116</v>
      </c>
      <c r="F353">
        <v>3</v>
      </c>
      <c r="G353" t="s">
        <v>77</v>
      </c>
      <c r="H353" t="s">
        <v>21</v>
      </c>
      <c r="I353">
        <v>2</v>
      </c>
      <c r="J353">
        <v>7</v>
      </c>
      <c r="K353">
        <v>4</v>
      </c>
      <c r="L353">
        <v>9</v>
      </c>
      <c r="M353">
        <v>26</v>
      </c>
      <c r="N353">
        <v>17</v>
      </c>
      <c r="O353">
        <v>127</v>
      </c>
    </row>
    <row r="354" spans="1:15" x14ac:dyDescent="0.2">
      <c r="A354" t="s">
        <v>124</v>
      </c>
      <c r="B354" t="s">
        <v>37</v>
      </c>
      <c r="C354" t="s">
        <v>17</v>
      </c>
      <c r="D354" t="s">
        <v>75</v>
      </c>
      <c r="E354" t="s">
        <v>116</v>
      </c>
      <c r="F354">
        <v>3</v>
      </c>
      <c r="G354" t="s">
        <v>77</v>
      </c>
      <c r="H354" t="s">
        <v>22</v>
      </c>
      <c r="I354">
        <v>0</v>
      </c>
      <c r="J354">
        <v>3</v>
      </c>
      <c r="K354">
        <v>1</v>
      </c>
      <c r="L354">
        <v>9</v>
      </c>
      <c r="M354">
        <v>26</v>
      </c>
      <c r="N354">
        <v>17</v>
      </c>
      <c r="O354">
        <v>127</v>
      </c>
    </row>
    <row r="355" spans="1:15" x14ac:dyDescent="0.2">
      <c r="A355" t="s">
        <v>124</v>
      </c>
      <c r="B355" t="s">
        <v>37</v>
      </c>
      <c r="C355" t="s">
        <v>17</v>
      </c>
      <c r="D355" t="s">
        <v>75</v>
      </c>
      <c r="E355" t="s">
        <v>116</v>
      </c>
      <c r="F355">
        <v>3</v>
      </c>
      <c r="G355" t="s">
        <v>77</v>
      </c>
      <c r="H355" t="s">
        <v>23</v>
      </c>
      <c r="I355">
        <v>0</v>
      </c>
      <c r="J355">
        <v>11</v>
      </c>
      <c r="K355">
        <v>10</v>
      </c>
      <c r="L355">
        <v>9</v>
      </c>
      <c r="M355">
        <v>26</v>
      </c>
      <c r="N355">
        <v>17</v>
      </c>
      <c r="O355">
        <v>127</v>
      </c>
    </row>
    <row r="356" spans="1:15" x14ac:dyDescent="0.2">
      <c r="A356" t="s">
        <v>124</v>
      </c>
      <c r="B356" t="s">
        <v>37</v>
      </c>
      <c r="C356" t="s">
        <v>17</v>
      </c>
      <c r="D356" t="s">
        <v>75</v>
      </c>
      <c r="E356" t="s">
        <v>116</v>
      </c>
      <c r="F356">
        <v>3</v>
      </c>
      <c r="G356" t="s">
        <v>77</v>
      </c>
      <c r="H356" t="s">
        <v>24</v>
      </c>
      <c r="I356">
        <v>0</v>
      </c>
      <c r="J356">
        <v>0</v>
      </c>
      <c r="K356">
        <v>0</v>
      </c>
      <c r="L356">
        <v>9</v>
      </c>
      <c r="M356">
        <v>26</v>
      </c>
      <c r="N356">
        <v>17</v>
      </c>
      <c r="O356">
        <v>127</v>
      </c>
    </row>
    <row r="357" spans="1:15" x14ac:dyDescent="0.2">
      <c r="A357" t="s">
        <v>124</v>
      </c>
      <c r="B357" t="s">
        <v>37</v>
      </c>
      <c r="C357" t="s">
        <v>17</v>
      </c>
      <c r="D357" t="s">
        <v>75</v>
      </c>
      <c r="E357" t="s">
        <v>114</v>
      </c>
      <c r="F357">
        <v>3</v>
      </c>
      <c r="G357" t="s">
        <v>73</v>
      </c>
      <c r="H357" t="s">
        <v>20</v>
      </c>
      <c r="I357">
        <v>8</v>
      </c>
      <c r="J357">
        <v>1</v>
      </c>
      <c r="K357">
        <v>0</v>
      </c>
      <c r="L357">
        <v>16</v>
      </c>
      <c r="M357">
        <v>16</v>
      </c>
      <c r="N357">
        <v>12</v>
      </c>
      <c r="O357">
        <v>100</v>
      </c>
    </row>
    <row r="358" spans="1:15" x14ac:dyDescent="0.2">
      <c r="A358" t="s">
        <v>124</v>
      </c>
      <c r="B358" t="s">
        <v>37</v>
      </c>
      <c r="C358" t="s">
        <v>17</v>
      </c>
      <c r="D358" t="s">
        <v>75</v>
      </c>
      <c r="E358" t="s">
        <v>114</v>
      </c>
      <c r="F358">
        <v>3</v>
      </c>
      <c r="G358" t="s">
        <v>73</v>
      </c>
      <c r="H358" t="s">
        <v>21</v>
      </c>
      <c r="I358">
        <v>7</v>
      </c>
      <c r="J358">
        <v>4</v>
      </c>
      <c r="K358">
        <v>2</v>
      </c>
      <c r="L358">
        <v>16</v>
      </c>
      <c r="M358">
        <v>16</v>
      </c>
      <c r="N358">
        <v>12</v>
      </c>
      <c r="O358">
        <v>100</v>
      </c>
    </row>
    <row r="359" spans="1:15" x14ac:dyDescent="0.2">
      <c r="A359" t="s">
        <v>124</v>
      </c>
      <c r="B359" t="s">
        <v>37</v>
      </c>
      <c r="C359" t="s">
        <v>17</v>
      </c>
      <c r="D359" t="s">
        <v>75</v>
      </c>
      <c r="E359" t="s">
        <v>114</v>
      </c>
      <c r="F359">
        <v>3</v>
      </c>
      <c r="G359" t="s">
        <v>73</v>
      </c>
      <c r="H359" t="s">
        <v>22</v>
      </c>
      <c r="I359">
        <v>1</v>
      </c>
      <c r="J359">
        <v>1</v>
      </c>
      <c r="K359">
        <v>1</v>
      </c>
      <c r="L359">
        <v>16</v>
      </c>
      <c r="M359">
        <v>16</v>
      </c>
      <c r="N359">
        <v>12</v>
      </c>
      <c r="O359">
        <v>100</v>
      </c>
    </row>
    <row r="360" spans="1:15" x14ac:dyDescent="0.2">
      <c r="A360" t="s">
        <v>124</v>
      </c>
      <c r="B360" t="s">
        <v>37</v>
      </c>
      <c r="C360" t="s">
        <v>17</v>
      </c>
      <c r="D360" t="s">
        <v>75</v>
      </c>
      <c r="E360" t="s">
        <v>114</v>
      </c>
      <c r="F360">
        <v>3</v>
      </c>
      <c r="G360" t="s">
        <v>73</v>
      </c>
      <c r="H360" t="s">
        <v>23</v>
      </c>
      <c r="I360">
        <v>0</v>
      </c>
      <c r="J360">
        <v>10</v>
      </c>
      <c r="K360">
        <v>9</v>
      </c>
      <c r="L360">
        <v>16</v>
      </c>
      <c r="M360">
        <v>16</v>
      </c>
      <c r="N360">
        <v>12</v>
      </c>
      <c r="O360">
        <v>100</v>
      </c>
    </row>
    <row r="361" spans="1:15" x14ac:dyDescent="0.2">
      <c r="A361" t="s">
        <v>124</v>
      </c>
      <c r="B361" t="s">
        <v>37</v>
      </c>
      <c r="C361" t="s">
        <v>17</v>
      </c>
      <c r="D361" t="s">
        <v>75</v>
      </c>
      <c r="E361" t="s">
        <v>114</v>
      </c>
      <c r="F361">
        <v>3</v>
      </c>
      <c r="G361" t="s">
        <v>73</v>
      </c>
      <c r="H361" t="s">
        <v>24</v>
      </c>
      <c r="I361">
        <v>0</v>
      </c>
      <c r="J361">
        <v>0</v>
      </c>
      <c r="K361">
        <v>0</v>
      </c>
      <c r="L361">
        <v>16</v>
      </c>
      <c r="M361">
        <v>16</v>
      </c>
      <c r="N361">
        <v>12</v>
      </c>
      <c r="O361">
        <v>100</v>
      </c>
    </row>
    <row r="362" spans="1:15" x14ac:dyDescent="0.2">
      <c r="A362" t="s">
        <v>120</v>
      </c>
      <c r="B362" t="s">
        <v>83</v>
      </c>
      <c r="C362" t="s">
        <v>17</v>
      </c>
      <c r="D362" t="s">
        <v>75</v>
      </c>
      <c r="E362" t="s">
        <v>123</v>
      </c>
      <c r="F362">
        <v>3</v>
      </c>
      <c r="G362" t="s">
        <v>19</v>
      </c>
      <c r="H362" t="s">
        <v>20</v>
      </c>
      <c r="I362">
        <v>39</v>
      </c>
      <c r="J362">
        <v>29</v>
      </c>
      <c r="K362">
        <v>0</v>
      </c>
      <c r="L362">
        <v>46</v>
      </c>
      <c r="M362">
        <v>41</v>
      </c>
      <c r="N362">
        <v>0</v>
      </c>
      <c r="O362">
        <v>166</v>
      </c>
    </row>
    <row r="363" spans="1:15" x14ac:dyDescent="0.2">
      <c r="A363" t="s">
        <v>120</v>
      </c>
      <c r="B363" t="s">
        <v>83</v>
      </c>
      <c r="C363" t="s">
        <v>17</v>
      </c>
      <c r="D363" t="s">
        <v>75</v>
      </c>
      <c r="E363" t="s">
        <v>123</v>
      </c>
      <c r="F363">
        <v>3</v>
      </c>
      <c r="G363" t="s">
        <v>19</v>
      </c>
      <c r="H363" t="s">
        <v>21</v>
      </c>
      <c r="I363">
        <v>6</v>
      </c>
      <c r="J363">
        <v>4</v>
      </c>
      <c r="K363">
        <v>0</v>
      </c>
      <c r="L363">
        <v>46</v>
      </c>
      <c r="M363">
        <v>41</v>
      </c>
      <c r="N363">
        <v>0</v>
      </c>
      <c r="O363">
        <v>166</v>
      </c>
    </row>
    <row r="364" spans="1:15" x14ac:dyDescent="0.2">
      <c r="A364" t="s">
        <v>120</v>
      </c>
      <c r="B364" t="s">
        <v>83</v>
      </c>
      <c r="C364" t="s">
        <v>17</v>
      </c>
      <c r="D364" t="s">
        <v>75</v>
      </c>
      <c r="E364" t="s">
        <v>123</v>
      </c>
      <c r="F364">
        <v>3</v>
      </c>
      <c r="G364" t="s">
        <v>19</v>
      </c>
      <c r="H364" t="s">
        <v>22</v>
      </c>
      <c r="I364">
        <v>1</v>
      </c>
      <c r="J364">
        <v>0</v>
      </c>
      <c r="K364">
        <v>0</v>
      </c>
      <c r="L364">
        <v>46</v>
      </c>
      <c r="M364">
        <v>41</v>
      </c>
      <c r="N364">
        <v>0</v>
      </c>
      <c r="O364">
        <v>166</v>
      </c>
    </row>
    <row r="365" spans="1:15" x14ac:dyDescent="0.2">
      <c r="A365" t="s">
        <v>120</v>
      </c>
      <c r="B365" t="s">
        <v>83</v>
      </c>
      <c r="C365" t="s">
        <v>17</v>
      </c>
      <c r="D365" t="s">
        <v>75</v>
      </c>
      <c r="E365" t="s">
        <v>123</v>
      </c>
      <c r="F365">
        <v>3</v>
      </c>
      <c r="G365" t="s">
        <v>19</v>
      </c>
      <c r="H365" t="s">
        <v>23</v>
      </c>
      <c r="I365">
        <v>0</v>
      </c>
      <c r="J365">
        <v>7</v>
      </c>
      <c r="K365">
        <v>0</v>
      </c>
      <c r="L365">
        <v>46</v>
      </c>
      <c r="M365">
        <v>41</v>
      </c>
      <c r="N365">
        <v>0</v>
      </c>
      <c r="O365">
        <v>166</v>
      </c>
    </row>
    <row r="366" spans="1:15" x14ac:dyDescent="0.2">
      <c r="A366" t="s">
        <v>120</v>
      </c>
      <c r="B366" t="s">
        <v>83</v>
      </c>
      <c r="C366" t="s">
        <v>17</v>
      </c>
      <c r="D366" t="s">
        <v>75</v>
      </c>
      <c r="E366" t="s">
        <v>123</v>
      </c>
      <c r="F366">
        <v>3</v>
      </c>
      <c r="G366" t="s">
        <v>19</v>
      </c>
      <c r="H366" t="s">
        <v>24</v>
      </c>
      <c r="I366">
        <v>0</v>
      </c>
      <c r="J366">
        <v>1</v>
      </c>
      <c r="K366">
        <v>0</v>
      </c>
      <c r="L366">
        <v>46</v>
      </c>
      <c r="M366">
        <v>41</v>
      </c>
      <c r="N366">
        <v>0</v>
      </c>
      <c r="O366">
        <v>166</v>
      </c>
    </row>
    <row r="367" spans="1:15" x14ac:dyDescent="0.2">
      <c r="A367" t="s">
        <v>120</v>
      </c>
      <c r="B367" t="s">
        <v>83</v>
      </c>
      <c r="C367" t="s">
        <v>17</v>
      </c>
      <c r="D367" t="s">
        <v>75</v>
      </c>
      <c r="E367" t="s">
        <v>122</v>
      </c>
      <c r="F367">
        <v>3</v>
      </c>
      <c r="G367" t="s">
        <v>79</v>
      </c>
      <c r="H367" t="s">
        <v>20</v>
      </c>
      <c r="I367">
        <v>0</v>
      </c>
      <c r="J367">
        <v>9</v>
      </c>
      <c r="K367">
        <v>7</v>
      </c>
      <c r="L367">
        <v>1</v>
      </c>
      <c r="M367">
        <v>15</v>
      </c>
      <c r="N367">
        <v>11</v>
      </c>
      <c r="O367">
        <v>41</v>
      </c>
    </row>
    <row r="368" spans="1:15" x14ac:dyDescent="0.2">
      <c r="A368" t="s">
        <v>120</v>
      </c>
      <c r="B368" t="s">
        <v>83</v>
      </c>
      <c r="C368" t="s">
        <v>17</v>
      </c>
      <c r="D368" t="s">
        <v>75</v>
      </c>
      <c r="E368" t="s">
        <v>122</v>
      </c>
      <c r="F368">
        <v>3</v>
      </c>
      <c r="G368" t="s">
        <v>79</v>
      </c>
      <c r="H368" t="s">
        <v>21</v>
      </c>
      <c r="I368">
        <v>1</v>
      </c>
      <c r="J368">
        <v>3</v>
      </c>
      <c r="K368">
        <v>2</v>
      </c>
      <c r="L368">
        <v>1</v>
      </c>
      <c r="M368">
        <v>15</v>
      </c>
      <c r="N368">
        <v>11</v>
      </c>
      <c r="O368">
        <v>41</v>
      </c>
    </row>
    <row r="369" spans="1:15" x14ac:dyDescent="0.2">
      <c r="A369" t="s">
        <v>120</v>
      </c>
      <c r="B369" t="s">
        <v>83</v>
      </c>
      <c r="C369" t="s">
        <v>17</v>
      </c>
      <c r="D369" t="s">
        <v>75</v>
      </c>
      <c r="E369" t="s">
        <v>122</v>
      </c>
      <c r="F369">
        <v>3</v>
      </c>
      <c r="G369" t="s">
        <v>79</v>
      </c>
      <c r="H369" t="s">
        <v>22</v>
      </c>
      <c r="I369">
        <v>0</v>
      </c>
      <c r="J369">
        <v>3</v>
      </c>
      <c r="K369">
        <v>2</v>
      </c>
      <c r="L369">
        <v>1</v>
      </c>
      <c r="M369">
        <v>15</v>
      </c>
      <c r="N369">
        <v>11</v>
      </c>
      <c r="O369">
        <v>41</v>
      </c>
    </row>
    <row r="370" spans="1:15" x14ac:dyDescent="0.2">
      <c r="A370" t="s">
        <v>120</v>
      </c>
      <c r="B370" t="s">
        <v>83</v>
      </c>
      <c r="C370" t="s">
        <v>17</v>
      </c>
      <c r="D370" t="s">
        <v>75</v>
      </c>
      <c r="E370" t="s">
        <v>122</v>
      </c>
      <c r="F370">
        <v>3</v>
      </c>
      <c r="G370" t="s">
        <v>79</v>
      </c>
      <c r="H370" t="s">
        <v>23</v>
      </c>
      <c r="I370">
        <v>0</v>
      </c>
      <c r="J370">
        <v>0</v>
      </c>
      <c r="K370">
        <v>0</v>
      </c>
      <c r="L370">
        <v>1</v>
      </c>
      <c r="M370">
        <v>15</v>
      </c>
      <c r="N370">
        <v>11</v>
      </c>
      <c r="O370">
        <v>41</v>
      </c>
    </row>
    <row r="371" spans="1:15" x14ac:dyDescent="0.2">
      <c r="A371" t="s">
        <v>120</v>
      </c>
      <c r="B371" t="s">
        <v>83</v>
      </c>
      <c r="C371" t="s">
        <v>17</v>
      </c>
      <c r="D371" t="s">
        <v>75</v>
      </c>
      <c r="E371" t="s">
        <v>122</v>
      </c>
      <c r="F371">
        <v>3</v>
      </c>
      <c r="G371" t="s">
        <v>79</v>
      </c>
      <c r="H371" t="s">
        <v>24</v>
      </c>
      <c r="I371">
        <v>0</v>
      </c>
      <c r="J371">
        <v>0</v>
      </c>
      <c r="K371">
        <v>0</v>
      </c>
      <c r="L371">
        <v>1</v>
      </c>
      <c r="M371">
        <v>15</v>
      </c>
      <c r="N371">
        <v>11</v>
      </c>
      <c r="O371">
        <v>41</v>
      </c>
    </row>
    <row r="372" spans="1:15" x14ac:dyDescent="0.2">
      <c r="A372" t="s">
        <v>120</v>
      </c>
      <c r="B372" t="s">
        <v>83</v>
      </c>
      <c r="C372" t="s">
        <v>17</v>
      </c>
      <c r="D372" t="s">
        <v>75</v>
      </c>
      <c r="E372" t="s">
        <v>121</v>
      </c>
      <c r="F372">
        <v>3</v>
      </c>
      <c r="G372" t="s">
        <v>77</v>
      </c>
      <c r="H372" t="s">
        <v>20</v>
      </c>
      <c r="I372">
        <v>0</v>
      </c>
      <c r="J372">
        <v>8</v>
      </c>
      <c r="K372">
        <v>7</v>
      </c>
      <c r="L372">
        <v>1</v>
      </c>
      <c r="M372">
        <v>19</v>
      </c>
      <c r="N372">
        <v>17</v>
      </c>
      <c r="O372">
        <v>43</v>
      </c>
    </row>
    <row r="373" spans="1:15" x14ac:dyDescent="0.2">
      <c r="A373" t="s">
        <v>120</v>
      </c>
      <c r="B373" t="s">
        <v>83</v>
      </c>
      <c r="C373" t="s">
        <v>17</v>
      </c>
      <c r="D373" t="s">
        <v>75</v>
      </c>
      <c r="E373" t="s">
        <v>121</v>
      </c>
      <c r="F373">
        <v>3</v>
      </c>
      <c r="G373" t="s">
        <v>77</v>
      </c>
      <c r="H373" t="s">
        <v>21</v>
      </c>
      <c r="I373">
        <v>1</v>
      </c>
      <c r="J373">
        <v>5</v>
      </c>
      <c r="K373">
        <v>4</v>
      </c>
      <c r="L373">
        <v>1</v>
      </c>
      <c r="M373">
        <v>19</v>
      </c>
      <c r="N373">
        <v>17</v>
      </c>
      <c r="O373">
        <v>43</v>
      </c>
    </row>
    <row r="374" spans="1:15" x14ac:dyDescent="0.2">
      <c r="A374" t="s">
        <v>120</v>
      </c>
      <c r="B374" t="s">
        <v>83</v>
      </c>
      <c r="C374" t="s">
        <v>17</v>
      </c>
      <c r="D374" t="s">
        <v>75</v>
      </c>
      <c r="E374" t="s">
        <v>121</v>
      </c>
      <c r="F374">
        <v>3</v>
      </c>
      <c r="G374" t="s">
        <v>77</v>
      </c>
      <c r="H374" t="s">
        <v>22</v>
      </c>
      <c r="I374">
        <v>0</v>
      </c>
      <c r="J374">
        <v>4</v>
      </c>
      <c r="K374">
        <v>4</v>
      </c>
      <c r="L374">
        <v>1</v>
      </c>
      <c r="M374">
        <v>19</v>
      </c>
      <c r="N374">
        <v>17</v>
      </c>
      <c r="O374">
        <v>43</v>
      </c>
    </row>
    <row r="375" spans="1:15" x14ac:dyDescent="0.2">
      <c r="A375" t="s">
        <v>120</v>
      </c>
      <c r="B375" t="s">
        <v>83</v>
      </c>
      <c r="C375" t="s">
        <v>17</v>
      </c>
      <c r="D375" t="s">
        <v>75</v>
      </c>
      <c r="E375" t="s">
        <v>121</v>
      </c>
      <c r="F375">
        <v>3</v>
      </c>
      <c r="G375" t="s">
        <v>77</v>
      </c>
      <c r="H375" t="s">
        <v>23</v>
      </c>
      <c r="I375">
        <v>0</v>
      </c>
      <c r="J375">
        <v>2</v>
      </c>
      <c r="K375">
        <v>2</v>
      </c>
      <c r="L375">
        <v>1</v>
      </c>
      <c r="M375">
        <v>19</v>
      </c>
      <c r="N375">
        <v>17</v>
      </c>
      <c r="O375">
        <v>43</v>
      </c>
    </row>
    <row r="376" spans="1:15" x14ac:dyDescent="0.2">
      <c r="A376" t="s">
        <v>120</v>
      </c>
      <c r="B376" t="s">
        <v>83</v>
      </c>
      <c r="C376" t="s">
        <v>17</v>
      </c>
      <c r="D376" t="s">
        <v>75</v>
      </c>
      <c r="E376" t="s">
        <v>121</v>
      </c>
      <c r="F376">
        <v>3</v>
      </c>
      <c r="G376" t="s">
        <v>77</v>
      </c>
      <c r="H376" t="s">
        <v>24</v>
      </c>
      <c r="I376">
        <v>0</v>
      </c>
      <c r="J376">
        <v>0</v>
      </c>
      <c r="K376">
        <v>0</v>
      </c>
      <c r="L376">
        <v>1</v>
      </c>
      <c r="M376">
        <v>19</v>
      </c>
      <c r="N376">
        <v>17</v>
      </c>
      <c r="O376">
        <v>43</v>
      </c>
    </row>
    <row r="377" spans="1:15" x14ac:dyDescent="0.2">
      <c r="A377" t="s">
        <v>120</v>
      </c>
      <c r="B377" t="s">
        <v>83</v>
      </c>
      <c r="C377" t="s">
        <v>17</v>
      </c>
      <c r="D377" t="s">
        <v>75</v>
      </c>
      <c r="E377" t="s">
        <v>119</v>
      </c>
      <c r="F377">
        <v>3</v>
      </c>
      <c r="G377" t="s">
        <v>73</v>
      </c>
      <c r="H377" t="s">
        <v>20</v>
      </c>
      <c r="I377">
        <v>0</v>
      </c>
      <c r="J377">
        <v>0</v>
      </c>
      <c r="K377">
        <v>0</v>
      </c>
      <c r="L377">
        <v>2</v>
      </c>
      <c r="M377">
        <v>6</v>
      </c>
      <c r="N377">
        <v>5</v>
      </c>
      <c r="O377">
        <v>25</v>
      </c>
    </row>
    <row r="378" spans="1:15" x14ac:dyDescent="0.2">
      <c r="A378" t="s">
        <v>120</v>
      </c>
      <c r="B378" t="s">
        <v>83</v>
      </c>
      <c r="C378" t="s">
        <v>17</v>
      </c>
      <c r="D378" t="s">
        <v>75</v>
      </c>
      <c r="E378" t="s">
        <v>119</v>
      </c>
      <c r="F378">
        <v>3</v>
      </c>
      <c r="G378" t="s">
        <v>73</v>
      </c>
      <c r="H378" t="s">
        <v>21</v>
      </c>
      <c r="I378">
        <v>2</v>
      </c>
      <c r="J378">
        <v>2</v>
      </c>
      <c r="K378">
        <v>1</v>
      </c>
      <c r="L378">
        <v>2</v>
      </c>
      <c r="M378">
        <v>6</v>
      </c>
      <c r="N378">
        <v>5</v>
      </c>
      <c r="O378">
        <v>25</v>
      </c>
    </row>
    <row r="379" spans="1:15" x14ac:dyDescent="0.2">
      <c r="A379" t="s">
        <v>120</v>
      </c>
      <c r="B379" t="s">
        <v>83</v>
      </c>
      <c r="C379" t="s">
        <v>17</v>
      </c>
      <c r="D379" t="s">
        <v>75</v>
      </c>
      <c r="E379" t="s">
        <v>119</v>
      </c>
      <c r="F379">
        <v>3</v>
      </c>
      <c r="G379" t="s">
        <v>73</v>
      </c>
      <c r="H379" t="s">
        <v>22</v>
      </c>
      <c r="I379">
        <v>0</v>
      </c>
      <c r="J379">
        <v>1</v>
      </c>
      <c r="K379">
        <v>1</v>
      </c>
      <c r="L379">
        <v>2</v>
      </c>
      <c r="M379">
        <v>6</v>
      </c>
      <c r="N379">
        <v>5</v>
      </c>
      <c r="O379">
        <v>25</v>
      </c>
    </row>
    <row r="380" spans="1:15" x14ac:dyDescent="0.2">
      <c r="A380" t="s">
        <v>120</v>
      </c>
      <c r="B380" t="s">
        <v>83</v>
      </c>
      <c r="C380" t="s">
        <v>17</v>
      </c>
      <c r="D380" t="s">
        <v>75</v>
      </c>
      <c r="E380" t="s">
        <v>119</v>
      </c>
      <c r="F380">
        <v>3</v>
      </c>
      <c r="G380" t="s">
        <v>73</v>
      </c>
      <c r="H380" t="s">
        <v>23</v>
      </c>
      <c r="I380">
        <v>0</v>
      </c>
      <c r="J380">
        <v>3</v>
      </c>
      <c r="K380">
        <v>3</v>
      </c>
      <c r="L380">
        <v>2</v>
      </c>
      <c r="M380">
        <v>6</v>
      </c>
      <c r="N380">
        <v>5</v>
      </c>
      <c r="O380">
        <v>25</v>
      </c>
    </row>
    <row r="381" spans="1:15" x14ac:dyDescent="0.2">
      <c r="A381" t="s">
        <v>120</v>
      </c>
      <c r="B381" t="s">
        <v>83</v>
      </c>
      <c r="C381" t="s">
        <v>17</v>
      </c>
      <c r="D381" t="s">
        <v>75</v>
      </c>
      <c r="E381" t="s">
        <v>119</v>
      </c>
      <c r="F381">
        <v>3</v>
      </c>
      <c r="G381" t="s">
        <v>73</v>
      </c>
      <c r="H381" t="s">
        <v>24</v>
      </c>
      <c r="I381">
        <v>0</v>
      </c>
      <c r="J381">
        <v>0</v>
      </c>
      <c r="K381">
        <v>0</v>
      </c>
      <c r="L381">
        <v>2</v>
      </c>
      <c r="M381">
        <v>6</v>
      </c>
      <c r="N381">
        <v>5</v>
      </c>
      <c r="O381">
        <v>25</v>
      </c>
    </row>
    <row r="382" spans="1:15" x14ac:dyDescent="0.2">
      <c r="A382" t="s">
        <v>115</v>
      </c>
      <c r="B382" t="s">
        <v>16</v>
      </c>
      <c r="C382" t="s">
        <v>17</v>
      </c>
      <c r="D382" t="s">
        <v>75</v>
      </c>
      <c r="E382" t="s">
        <v>118</v>
      </c>
      <c r="F382">
        <v>3</v>
      </c>
      <c r="G382" t="s">
        <v>19</v>
      </c>
      <c r="H382" t="s">
        <v>20</v>
      </c>
      <c r="I382">
        <v>80</v>
      </c>
      <c r="J382">
        <v>48</v>
      </c>
      <c r="K382">
        <v>0</v>
      </c>
      <c r="L382">
        <v>81</v>
      </c>
      <c r="M382">
        <v>49</v>
      </c>
      <c r="N382">
        <v>0</v>
      </c>
      <c r="O382">
        <v>196</v>
      </c>
    </row>
    <row r="383" spans="1:15" x14ac:dyDescent="0.2">
      <c r="A383" t="s">
        <v>115</v>
      </c>
      <c r="B383" t="s">
        <v>16</v>
      </c>
      <c r="C383" t="s">
        <v>17</v>
      </c>
      <c r="D383" t="s">
        <v>75</v>
      </c>
      <c r="E383" t="s">
        <v>118</v>
      </c>
      <c r="F383">
        <v>3</v>
      </c>
      <c r="G383" t="s">
        <v>19</v>
      </c>
      <c r="H383" t="s">
        <v>21</v>
      </c>
      <c r="I383">
        <v>1</v>
      </c>
      <c r="J383">
        <v>0</v>
      </c>
      <c r="K383">
        <v>0</v>
      </c>
      <c r="L383">
        <v>81</v>
      </c>
      <c r="M383">
        <v>49</v>
      </c>
      <c r="N383">
        <v>0</v>
      </c>
      <c r="O383">
        <v>196</v>
      </c>
    </row>
    <row r="384" spans="1:15" x14ac:dyDescent="0.2">
      <c r="A384" t="s">
        <v>115</v>
      </c>
      <c r="B384" t="s">
        <v>16</v>
      </c>
      <c r="C384" t="s">
        <v>17</v>
      </c>
      <c r="D384" t="s">
        <v>75</v>
      </c>
      <c r="E384" t="s">
        <v>118</v>
      </c>
      <c r="F384">
        <v>3</v>
      </c>
      <c r="G384" t="s">
        <v>19</v>
      </c>
      <c r="H384" t="s">
        <v>22</v>
      </c>
      <c r="I384">
        <v>0</v>
      </c>
      <c r="J384">
        <v>0</v>
      </c>
      <c r="K384">
        <v>0</v>
      </c>
      <c r="L384">
        <v>81</v>
      </c>
      <c r="M384">
        <v>49</v>
      </c>
      <c r="N384">
        <v>0</v>
      </c>
      <c r="O384">
        <v>196</v>
      </c>
    </row>
    <row r="385" spans="1:15" x14ac:dyDescent="0.2">
      <c r="A385" t="s">
        <v>115</v>
      </c>
      <c r="B385" t="s">
        <v>16</v>
      </c>
      <c r="C385" t="s">
        <v>17</v>
      </c>
      <c r="D385" t="s">
        <v>75</v>
      </c>
      <c r="E385" t="s">
        <v>118</v>
      </c>
      <c r="F385">
        <v>3</v>
      </c>
      <c r="G385" t="s">
        <v>19</v>
      </c>
      <c r="H385" t="s">
        <v>23</v>
      </c>
      <c r="I385">
        <v>0</v>
      </c>
      <c r="J385">
        <v>1</v>
      </c>
      <c r="K385">
        <v>0</v>
      </c>
      <c r="L385">
        <v>81</v>
      </c>
      <c r="M385">
        <v>49</v>
      </c>
      <c r="N385">
        <v>0</v>
      </c>
      <c r="O385">
        <v>196</v>
      </c>
    </row>
    <row r="386" spans="1:15" x14ac:dyDescent="0.2">
      <c r="A386" t="s">
        <v>115</v>
      </c>
      <c r="B386" t="s">
        <v>16</v>
      </c>
      <c r="C386" t="s">
        <v>17</v>
      </c>
      <c r="D386" t="s">
        <v>75</v>
      </c>
      <c r="E386" t="s">
        <v>118</v>
      </c>
      <c r="F386">
        <v>3</v>
      </c>
      <c r="G386" t="s">
        <v>19</v>
      </c>
      <c r="H386" t="s">
        <v>24</v>
      </c>
      <c r="I386">
        <v>0</v>
      </c>
      <c r="J386">
        <v>0</v>
      </c>
      <c r="K386">
        <v>0</v>
      </c>
      <c r="L386">
        <v>81</v>
      </c>
      <c r="M386">
        <v>49</v>
      </c>
      <c r="N386">
        <v>0</v>
      </c>
      <c r="O386">
        <v>196</v>
      </c>
    </row>
    <row r="387" spans="1:15" x14ac:dyDescent="0.2">
      <c r="A387" t="s">
        <v>115</v>
      </c>
      <c r="B387" t="s">
        <v>16</v>
      </c>
      <c r="C387" t="s">
        <v>17</v>
      </c>
      <c r="D387" t="s">
        <v>75</v>
      </c>
      <c r="E387" t="s">
        <v>117</v>
      </c>
      <c r="F387">
        <v>3</v>
      </c>
      <c r="G387" t="s">
        <v>79</v>
      </c>
      <c r="H387" t="s">
        <v>20</v>
      </c>
      <c r="I387">
        <v>3</v>
      </c>
      <c r="J387">
        <v>8</v>
      </c>
      <c r="K387">
        <v>7</v>
      </c>
      <c r="L387">
        <v>7</v>
      </c>
      <c r="M387">
        <v>14</v>
      </c>
      <c r="N387">
        <v>11</v>
      </c>
      <c r="O387">
        <v>97</v>
      </c>
    </row>
    <row r="388" spans="1:15" x14ac:dyDescent="0.2">
      <c r="A388" t="s">
        <v>115</v>
      </c>
      <c r="B388" t="s">
        <v>16</v>
      </c>
      <c r="C388" t="s">
        <v>17</v>
      </c>
      <c r="D388" t="s">
        <v>75</v>
      </c>
      <c r="E388" t="s">
        <v>117</v>
      </c>
      <c r="F388">
        <v>3</v>
      </c>
      <c r="G388" t="s">
        <v>79</v>
      </c>
      <c r="H388" t="s">
        <v>21</v>
      </c>
      <c r="I388">
        <v>4</v>
      </c>
      <c r="J388">
        <v>5</v>
      </c>
      <c r="K388">
        <v>4</v>
      </c>
      <c r="L388">
        <v>7</v>
      </c>
      <c r="M388">
        <v>14</v>
      </c>
      <c r="N388">
        <v>11</v>
      </c>
      <c r="O388">
        <v>97</v>
      </c>
    </row>
    <row r="389" spans="1:15" x14ac:dyDescent="0.2">
      <c r="A389" t="s">
        <v>115</v>
      </c>
      <c r="B389" t="s">
        <v>16</v>
      </c>
      <c r="C389" t="s">
        <v>17</v>
      </c>
      <c r="D389" t="s">
        <v>75</v>
      </c>
      <c r="E389" t="s">
        <v>117</v>
      </c>
      <c r="F389">
        <v>3</v>
      </c>
      <c r="G389" t="s">
        <v>79</v>
      </c>
      <c r="H389" t="s">
        <v>22</v>
      </c>
      <c r="I389">
        <v>0</v>
      </c>
      <c r="J389">
        <v>0</v>
      </c>
      <c r="K389">
        <v>0</v>
      </c>
      <c r="L389">
        <v>7</v>
      </c>
      <c r="M389">
        <v>14</v>
      </c>
      <c r="N389">
        <v>11</v>
      </c>
      <c r="O389">
        <v>97</v>
      </c>
    </row>
    <row r="390" spans="1:15" x14ac:dyDescent="0.2">
      <c r="A390" t="s">
        <v>115</v>
      </c>
      <c r="B390" t="s">
        <v>16</v>
      </c>
      <c r="C390" t="s">
        <v>17</v>
      </c>
      <c r="D390" t="s">
        <v>75</v>
      </c>
      <c r="E390" t="s">
        <v>117</v>
      </c>
      <c r="F390">
        <v>3</v>
      </c>
      <c r="G390" t="s">
        <v>79</v>
      </c>
      <c r="H390" t="s">
        <v>23</v>
      </c>
      <c r="I390">
        <v>0</v>
      </c>
      <c r="J390">
        <v>1</v>
      </c>
      <c r="K390">
        <v>0</v>
      </c>
      <c r="L390">
        <v>7</v>
      </c>
      <c r="M390">
        <v>14</v>
      </c>
      <c r="N390">
        <v>11</v>
      </c>
      <c r="O390">
        <v>97</v>
      </c>
    </row>
    <row r="391" spans="1:15" x14ac:dyDescent="0.2">
      <c r="A391" t="s">
        <v>115</v>
      </c>
      <c r="B391" t="s">
        <v>16</v>
      </c>
      <c r="C391" t="s">
        <v>17</v>
      </c>
      <c r="D391" t="s">
        <v>75</v>
      </c>
      <c r="E391" t="s">
        <v>117</v>
      </c>
      <c r="F391">
        <v>3</v>
      </c>
      <c r="G391" t="s">
        <v>79</v>
      </c>
      <c r="H391" t="s">
        <v>24</v>
      </c>
      <c r="I391">
        <v>0</v>
      </c>
      <c r="J391">
        <v>0</v>
      </c>
      <c r="K391">
        <v>0</v>
      </c>
      <c r="L391">
        <v>7</v>
      </c>
      <c r="M391">
        <v>14</v>
      </c>
      <c r="N391">
        <v>11</v>
      </c>
      <c r="O391">
        <v>97</v>
      </c>
    </row>
    <row r="392" spans="1:15" x14ac:dyDescent="0.2">
      <c r="A392" t="s">
        <v>115</v>
      </c>
      <c r="B392" t="s">
        <v>16</v>
      </c>
      <c r="C392" t="s">
        <v>17</v>
      </c>
      <c r="D392" t="s">
        <v>75</v>
      </c>
      <c r="E392" t="s">
        <v>116</v>
      </c>
      <c r="F392">
        <v>3</v>
      </c>
      <c r="G392" t="s">
        <v>77</v>
      </c>
      <c r="H392" t="s">
        <v>20</v>
      </c>
      <c r="I392">
        <v>7</v>
      </c>
      <c r="J392">
        <v>11</v>
      </c>
      <c r="K392">
        <v>11</v>
      </c>
      <c r="L392">
        <v>10</v>
      </c>
      <c r="M392">
        <v>18</v>
      </c>
      <c r="N392">
        <v>16</v>
      </c>
      <c r="O392">
        <v>104</v>
      </c>
    </row>
    <row r="393" spans="1:15" x14ac:dyDescent="0.2">
      <c r="A393" t="s">
        <v>115</v>
      </c>
      <c r="B393" t="s">
        <v>16</v>
      </c>
      <c r="C393" t="s">
        <v>17</v>
      </c>
      <c r="D393" t="s">
        <v>75</v>
      </c>
      <c r="E393" t="s">
        <v>116</v>
      </c>
      <c r="F393">
        <v>3</v>
      </c>
      <c r="G393" t="s">
        <v>77</v>
      </c>
      <c r="H393" t="s">
        <v>21</v>
      </c>
      <c r="I393">
        <v>2</v>
      </c>
      <c r="J393">
        <v>3</v>
      </c>
      <c r="K393">
        <v>2</v>
      </c>
      <c r="L393">
        <v>10</v>
      </c>
      <c r="M393">
        <v>18</v>
      </c>
      <c r="N393">
        <v>16</v>
      </c>
      <c r="O393">
        <v>104</v>
      </c>
    </row>
    <row r="394" spans="1:15" x14ac:dyDescent="0.2">
      <c r="A394" t="s">
        <v>115</v>
      </c>
      <c r="B394" t="s">
        <v>16</v>
      </c>
      <c r="C394" t="s">
        <v>17</v>
      </c>
      <c r="D394" t="s">
        <v>75</v>
      </c>
      <c r="E394" t="s">
        <v>116</v>
      </c>
      <c r="F394">
        <v>3</v>
      </c>
      <c r="G394" t="s">
        <v>77</v>
      </c>
      <c r="H394" t="s">
        <v>22</v>
      </c>
      <c r="I394">
        <v>0</v>
      </c>
      <c r="J394">
        <v>2</v>
      </c>
      <c r="K394">
        <v>2</v>
      </c>
      <c r="L394">
        <v>10</v>
      </c>
      <c r="M394">
        <v>18</v>
      </c>
      <c r="N394">
        <v>16</v>
      </c>
      <c r="O394">
        <v>104</v>
      </c>
    </row>
    <row r="395" spans="1:15" x14ac:dyDescent="0.2">
      <c r="A395" t="s">
        <v>115</v>
      </c>
      <c r="B395" t="s">
        <v>16</v>
      </c>
      <c r="C395" t="s">
        <v>17</v>
      </c>
      <c r="D395" t="s">
        <v>75</v>
      </c>
      <c r="E395" t="s">
        <v>116</v>
      </c>
      <c r="F395">
        <v>3</v>
      </c>
      <c r="G395" t="s">
        <v>77</v>
      </c>
      <c r="H395" t="s">
        <v>23</v>
      </c>
      <c r="I395">
        <v>1</v>
      </c>
      <c r="J395">
        <v>2</v>
      </c>
      <c r="K395">
        <v>1</v>
      </c>
      <c r="L395">
        <v>10</v>
      </c>
      <c r="M395">
        <v>18</v>
      </c>
      <c r="N395">
        <v>16</v>
      </c>
      <c r="O395">
        <v>104</v>
      </c>
    </row>
    <row r="396" spans="1:15" x14ac:dyDescent="0.2">
      <c r="A396" t="s">
        <v>115</v>
      </c>
      <c r="B396" t="s">
        <v>16</v>
      </c>
      <c r="C396" t="s">
        <v>17</v>
      </c>
      <c r="D396" t="s">
        <v>75</v>
      </c>
      <c r="E396" t="s">
        <v>116</v>
      </c>
      <c r="F396">
        <v>3</v>
      </c>
      <c r="G396" t="s">
        <v>77</v>
      </c>
      <c r="H396" t="s">
        <v>24</v>
      </c>
      <c r="I396">
        <v>0</v>
      </c>
      <c r="J396">
        <v>0</v>
      </c>
      <c r="K396">
        <v>0</v>
      </c>
      <c r="L396">
        <v>10</v>
      </c>
      <c r="M396">
        <v>18</v>
      </c>
      <c r="N396">
        <v>16</v>
      </c>
      <c r="O396">
        <v>104</v>
      </c>
    </row>
    <row r="397" spans="1:15" x14ac:dyDescent="0.2">
      <c r="A397" t="s">
        <v>115</v>
      </c>
      <c r="B397" t="s">
        <v>16</v>
      </c>
      <c r="C397" t="s">
        <v>17</v>
      </c>
      <c r="D397" t="s">
        <v>75</v>
      </c>
      <c r="E397" t="s">
        <v>114</v>
      </c>
      <c r="F397">
        <v>3</v>
      </c>
      <c r="G397" t="s">
        <v>73</v>
      </c>
      <c r="H397" t="s">
        <v>20</v>
      </c>
      <c r="I397">
        <v>6</v>
      </c>
      <c r="J397">
        <v>0</v>
      </c>
      <c r="K397">
        <v>0</v>
      </c>
      <c r="L397">
        <v>7</v>
      </c>
      <c r="M397">
        <v>17</v>
      </c>
      <c r="N397">
        <v>17</v>
      </c>
      <c r="O397">
        <v>92</v>
      </c>
    </row>
    <row r="398" spans="1:15" x14ac:dyDescent="0.2">
      <c r="A398" t="s">
        <v>115</v>
      </c>
      <c r="B398" t="s">
        <v>16</v>
      </c>
      <c r="C398" t="s">
        <v>17</v>
      </c>
      <c r="D398" t="s">
        <v>75</v>
      </c>
      <c r="E398" t="s">
        <v>114</v>
      </c>
      <c r="F398">
        <v>3</v>
      </c>
      <c r="G398" t="s">
        <v>73</v>
      </c>
      <c r="H398" t="s">
        <v>21</v>
      </c>
      <c r="I398">
        <v>0</v>
      </c>
      <c r="J398">
        <v>8</v>
      </c>
      <c r="K398">
        <v>8</v>
      </c>
      <c r="L398">
        <v>7</v>
      </c>
      <c r="M398">
        <v>17</v>
      </c>
      <c r="N398">
        <v>17</v>
      </c>
      <c r="O398">
        <v>92</v>
      </c>
    </row>
    <row r="399" spans="1:15" x14ac:dyDescent="0.2">
      <c r="A399" t="s">
        <v>115</v>
      </c>
      <c r="B399" t="s">
        <v>16</v>
      </c>
      <c r="C399" t="s">
        <v>17</v>
      </c>
      <c r="D399" t="s">
        <v>75</v>
      </c>
      <c r="E399" t="s">
        <v>114</v>
      </c>
      <c r="F399">
        <v>3</v>
      </c>
      <c r="G399" t="s">
        <v>73</v>
      </c>
      <c r="H399" t="s">
        <v>22</v>
      </c>
      <c r="I399">
        <v>0</v>
      </c>
      <c r="J399">
        <v>5</v>
      </c>
      <c r="K399">
        <v>5</v>
      </c>
      <c r="L399">
        <v>7</v>
      </c>
      <c r="M399">
        <v>17</v>
      </c>
      <c r="N399">
        <v>17</v>
      </c>
      <c r="O399">
        <v>92</v>
      </c>
    </row>
    <row r="400" spans="1:15" x14ac:dyDescent="0.2">
      <c r="A400" t="s">
        <v>115</v>
      </c>
      <c r="B400" t="s">
        <v>16</v>
      </c>
      <c r="C400" t="s">
        <v>17</v>
      </c>
      <c r="D400" t="s">
        <v>75</v>
      </c>
      <c r="E400" t="s">
        <v>114</v>
      </c>
      <c r="F400">
        <v>3</v>
      </c>
      <c r="G400" t="s">
        <v>73</v>
      </c>
      <c r="H400" t="s">
        <v>23</v>
      </c>
      <c r="I400">
        <v>1</v>
      </c>
      <c r="J400">
        <v>4</v>
      </c>
      <c r="K400">
        <v>4</v>
      </c>
      <c r="L400">
        <v>7</v>
      </c>
      <c r="M400">
        <v>17</v>
      </c>
      <c r="N400">
        <v>17</v>
      </c>
      <c r="O400">
        <v>92</v>
      </c>
    </row>
    <row r="401" spans="1:15" x14ac:dyDescent="0.2">
      <c r="A401" t="s">
        <v>115</v>
      </c>
      <c r="B401" t="s">
        <v>16</v>
      </c>
      <c r="C401" t="s">
        <v>17</v>
      </c>
      <c r="D401" t="s">
        <v>75</v>
      </c>
      <c r="E401" t="s">
        <v>114</v>
      </c>
      <c r="F401">
        <v>3</v>
      </c>
      <c r="G401" t="s">
        <v>73</v>
      </c>
      <c r="H401" t="s">
        <v>24</v>
      </c>
      <c r="I401">
        <v>0</v>
      </c>
      <c r="J401">
        <v>0</v>
      </c>
      <c r="K401">
        <v>0</v>
      </c>
      <c r="L401">
        <v>7</v>
      </c>
      <c r="M401">
        <v>17</v>
      </c>
      <c r="N401">
        <v>17</v>
      </c>
      <c r="O401">
        <v>92</v>
      </c>
    </row>
    <row r="402" spans="1:15" x14ac:dyDescent="0.2">
      <c r="A402" t="s">
        <v>113</v>
      </c>
      <c r="B402" t="s">
        <v>45</v>
      </c>
      <c r="C402" t="s">
        <v>17</v>
      </c>
      <c r="D402" t="s">
        <v>75</v>
      </c>
      <c r="E402" t="s">
        <v>106</v>
      </c>
      <c r="F402">
        <v>3</v>
      </c>
      <c r="G402" t="s">
        <v>19</v>
      </c>
      <c r="H402" t="s">
        <v>20</v>
      </c>
      <c r="I402">
        <v>54</v>
      </c>
      <c r="J402">
        <v>82</v>
      </c>
      <c r="K402">
        <v>0</v>
      </c>
      <c r="L402">
        <v>162</v>
      </c>
      <c r="M402">
        <v>209</v>
      </c>
      <c r="N402">
        <v>0</v>
      </c>
      <c r="O402">
        <v>869</v>
      </c>
    </row>
    <row r="403" spans="1:15" x14ac:dyDescent="0.2">
      <c r="A403" t="s">
        <v>113</v>
      </c>
      <c r="B403" t="s">
        <v>45</v>
      </c>
      <c r="C403" t="s">
        <v>17</v>
      </c>
      <c r="D403" t="s">
        <v>75</v>
      </c>
      <c r="E403" t="s">
        <v>106</v>
      </c>
      <c r="F403">
        <v>3</v>
      </c>
      <c r="G403" t="s">
        <v>19</v>
      </c>
      <c r="H403" t="s">
        <v>21</v>
      </c>
      <c r="I403">
        <v>54</v>
      </c>
      <c r="J403">
        <v>72</v>
      </c>
      <c r="K403">
        <v>0</v>
      </c>
      <c r="L403">
        <v>162</v>
      </c>
      <c r="M403">
        <v>209</v>
      </c>
      <c r="N403">
        <v>0</v>
      </c>
      <c r="O403">
        <v>869</v>
      </c>
    </row>
    <row r="404" spans="1:15" x14ac:dyDescent="0.2">
      <c r="A404" t="s">
        <v>113</v>
      </c>
      <c r="B404" t="s">
        <v>45</v>
      </c>
      <c r="C404" t="s">
        <v>17</v>
      </c>
      <c r="D404" t="s">
        <v>75</v>
      </c>
      <c r="E404" t="s">
        <v>106</v>
      </c>
      <c r="F404">
        <v>3</v>
      </c>
      <c r="G404" t="s">
        <v>19</v>
      </c>
      <c r="H404" t="s">
        <v>22</v>
      </c>
      <c r="I404">
        <v>24</v>
      </c>
      <c r="J404">
        <v>40</v>
      </c>
      <c r="K404">
        <v>0</v>
      </c>
      <c r="L404">
        <v>162</v>
      </c>
      <c r="M404">
        <v>209</v>
      </c>
      <c r="N404">
        <v>0</v>
      </c>
      <c r="O404">
        <v>869</v>
      </c>
    </row>
    <row r="405" spans="1:15" x14ac:dyDescent="0.2">
      <c r="A405" t="s">
        <v>113</v>
      </c>
      <c r="B405" t="s">
        <v>45</v>
      </c>
      <c r="C405" t="s">
        <v>17</v>
      </c>
      <c r="D405" t="s">
        <v>75</v>
      </c>
      <c r="E405" t="s">
        <v>106</v>
      </c>
      <c r="F405">
        <v>3</v>
      </c>
      <c r="G405" t="s">
        <v>19</v>
      </c>
      <c r="H405" t="s">
        <v>23</v>
      </c>
      <c r="I405">
        <v>30</v>
      </c>
      <c r="J405">
        <v>15</v>
      </c>
      <c r="K405">
        <v>0</v>
      </c>
      <c r="L405">
        <v>162</v>
      </c>
      <c r="M405">
        <v>209</v>
      </c>
      <c r="N405">
        <v>0</v>
      </c>
      <c r="O405">
        <v>869</v>
      </c>
    </row>
    <row r="406" spans="1:15" x14ac:dyDescent="0.2">
      <c r="A406" t="s">
        <v>113</v>
      </c>
      <c r="B406" t="s">
        <v>45</v>
      </c>
      <c r="C406" t="s">
        <v>17</v>
      </c>
      <c r="D406" t="s">
        <v>75</v>
      </c>
      <c r="E406" t="s">
        <v>106</v>
      </c>
      <c r="F406">
        <v>3</v>
      </c>
      <c r="G406" t="s">
        <v>19</v>
      </c>
      <c r="H406" t="s">
        <v>24</v>
      </c>
      <c r="I406">
        <v>0</v>
      </c>
      <c r="J406">
        <v>0</v>
      </c>
      <c r="K406">
        <v>0</v>
      </c>
      <c r="L406">
        <v>162</v>
      </c>
      <c r="M406">
        <v>209</v>
      </c>
      <c r="N406">
        <v>0</v>
      </c>
      <c r="O406">
        <v>869</v>
      </c>
    </row>
    <row r="407" spans="1:15" x14ac:dyDescent="0.2">
      <c r="A407" t="s">
        <v>113</v>
      </c>
      <c r="B407" t="s">
        <v>45</v>
      </c>
      <c r="C407" t="s">
        <v>17</v>
      </c>
      <c r="D407" t="s">
        <v>75</v>
      </c>
      <c r="E407" t="s">
        <v>105</v>
      </c>
      <c r="F407">
        <v>3</v>
      </c>
      <c r="G407" t="s">
        <v>79</v>
      </c>
      <c r="H407" t="s">
        <v>20</v>
      </c>
      <c r="I407">
        <v>10</v>
      </c>
      <c r="J407">
        <v>99</v>
      </c>
      <c r="K407">
        <v>23</v>
      </c>
      <c r="L407">
        <v>20</v>
      </c>
      <c r="M407">
        <v>169</v>
      </c>
      <c r="N407">
        <v>41</v>
      </c>
      <c r="O407">
        <v>487</v>
      </c>
    </row>
    <row r="408" spans="1:15" x14ac:dyDescent="0.2">
      <c r="A408" t="s">
        <v>113</v>
      </c>
      <c r="B408" t="s">
        <v>45</v>
      </c>
      <c r="C408" t="s">
        <v>17</v>
      </c>
      <c r="D408" t="s">
        <v>75</v>
      </c>
      <c r="E408" t="s">
        <v>105</v>
      </c>
      <c r="F408">
        <v>3</v>
      </c>
      <c r="G408" t="s">
        <v>79</v>
      </c>
      <c r="H408" t="s">
        <v>21</v>
      </c>
      <c r="I408">
        <v>5</v>
      </c>
      <c r="J408">
        <v>54</v>
      </c>
      <c r="K408">
        <v>10</v>
      </c>
      <c r="L408">
        <v>20</v>
      </c>
      <c r="M408">
        <v>169</v>
      </c>
      <c r="N408">
        <v>41</v>
      </c>
      <c r="O408">
        <v>487</v>
      </c>
    </row>
    <row r="409" spans="1:15" x14ac:dyDescent="0.2">
      <c r="A409" t="s">
        <v>113</v>
      </c>
      <c r="B409" t="s">
        <v>45</v>
      </c>
      <c r="C409" t="s">
        <v>17</v>
      </c>
      <c r="D409" t="s">
        <v>75</v>
      </c>
      <c r="E409" t="s">
        <v>105</v>
      </c>
      <c r="F409">
        <v>3</v>
      </c>
      <c r="G409" t="s">
        <v>79</v>
      </c>
      <c r="H409" t="s">
        <v>22</v>
      </c>
      <c r="I409">
        <v>3</v>
      </c>
      <c r="J409">
        <v>8</v>
      </c>
      <c r="K409">
        <v>4</v>
      </c>
      <c r="L409">
        <v>20</v>
      </c>
      <c r="M409">
        <v>169</v>
      </c>
      <c r="N409">
        <v>41</v>
      </c>
      <c r="O409">
        <v>487</v>
      </c>
    </row>
    <row r="410" spans="1:15" x14ac:dyDescent="0.2">
      <c r="A410" t="s">
        <v>113</v>
      </c>
      <c r="B410" t="s">
        <v>45</v>
      </c>
      <c r="C410" t="s">
        <v>17</v>
      </c>
      <c r="D410" t="s">
        <v>75</v>
      </c>
      <c r="E410" t="s">
        <v>105</v>
      </c>
      <c r="F410">
        <v>3</v>
      </c>
      <c r="G410" t="s">
        <v>79</v>
      </c>
      <c r="H410" t="s">
        <v>23</v>
      </c>
      <c r="I410">
        <v>2</v>
      </c>
      <c r="J410">
        <v>8</v>
      </c>
      <c r="K410">
        <v>4</v>
      </c>
      <c r="L410">
        <v>20</v>
      </c>
      <c r="M410">
        <v>169</v>
      </c>
      <c r="N410">
        <v>41</v>
      </c>
      <c r="O410">
        <v>487</v>
      </c>
    </row>
    <row r="411" spans="1:15" x14ac:dyDescent="0.2">
      <c r="A411" t="s">
        <v>113</v>
      </c>
      <c r="B411" t="s">
        <v>45</v>
      </c>
      <c r="C411" t="s">
        <v>17</v>
      </c>
      <c r="D411" t="s">
        <v>75</v>
      </c>
      <c r="E411" t="s">
        <v>105</v>
      </c>
      <c r="F411">
        <v>3</v>
      </c>
      <c r="G411" t="s">
        <v>79</v>
      </c>
      <c r="H411" t="s">
        <v>24</v>
      </c>
      <c r="I411">
        <v>0</v>
      </c>
      <c r="J411">
        <v>0</v>
      </c>
      <c r="K411">
        <v>0</v>
      </c>
      <c r="L411">
        <v>20</v>
      </c>
      <c r="M411">
        <v>169</v>
      </c>
      <c r="N411">
        <v>41</v>
      </c>
      <c r="O411">
        <v>487</v>
      </c>
    </row>
    <row r="412" spans="1:15" x14ac:dyDescent="0.2">
      <c r="A412" t="s">
        <v>113</v>
      </c>
      <c r="B412" t="s">
        <v>45</v>
      </c>
      <c r="C412" t="s">
        <v>17</v>
      </c>
      <c r="D412" t="s">
        <v>75</v>
      </c>
      <c r="E412" t="s">
        <v>104</v>
      </c>
      <c r="F412">
        <v>3</v>
      </c>
      <c r="G412" t="s">
        <v>77</v>
      </c>
      <c r="H412" t="s">
        <v>20</v>
      </c>
      <c r="I412">
        <v>5</v>
      </c>
      <c r="J412">
        <v>78</v>
      </c>
      <c r="K412">
        <v>15</v>
      </c>
      <c r="L412">
        <v>20</v>
      </c>
      <c r="M412">
        <v>145</v>
      </c>
      <c r="N412">
        <v>39</v>
      </c>
      <c r="O412">
        <v>492</v>
      </c>
    </row>
    <row r="413" spans="1:15" x14ac:dyDescent="0.2">
      <c r="A413" t="s">
        <v>113</v>
      </c>
      <c r="B413" t="s">
        <v>45</v>
      </c>
      <c r="C413" t="s">
        <v>17</v>
      </c>
      <c r="D413" t="s">
        <v>75</v>
      </c>
      <c r="E413" t="s">
        <v>104</v>
      </c>
      <c r="F413">
        <v>3</v>
      </c>
      <c r="G413" t="s">
        <v>77</v>
      </c>
      <c r="H413" t="s">
        <v>21</v>
      </c>
      <c r="I413">
        <v>7</v>
      </c>
      <c r="J413">
        <v>47</v>
      </c>
      <c r="K413">
        <v>12</v>
      </c>
      <c r="L413">
        <v>20</v>
      </c>
      <c r="M413">
        <v>145</v>
      </c>
      <c r="N413">
        <v>39</v>
      </c>
      <c r="O413">
        <v>492</v>
      </c>
    </row>
    <row r="414" spans="1:15" x14ac:dyDescent="0.2">
      <c r="A414" t="s">
        <v>113</v>
      </c>
      <c r="B414" t="s">
        <v>45</v>
      </c>
      <c r="C414" t="s">
        <v>17</v>
      </c>
      <c r="D414" t="s">
        <v>75</v>
      </c>
      <c r="E414" t="s">
        <v>104</v>
      </c>
      <c r="F414">
        <v>3</v>
      </c>
      <c r="G414" t="s">
        <v>77</v>
      </c>
      <c r="H414" t="s">
        <v>22</v>
      </c>
      <c r="I414">
        <v>4</v>
      </c>
      <c r="J414">
        <v>10</v>
      </c>
      <c r="K414">
        <v>6</v>
      </c>
      <c r="L414">
        <v>20</v>
      </c>
      <c r="M414">
        <v>145</v>
      </c>
      <c r="N414">
        <v>39</v>
      </c>
      <c r="O414">
        <v>492</v>
      </c>
    </row>
    <row r="415" spans="1:15" x14ac:dyDescent="0.2">
      <c r="A415" t="s">
        <v>113</v>
      </c>
      <c r="B415" t="s">
        <v>45</v>
      </c>
      <c r="C415" t="s">
        <v>17</v>
      </c>
      <c r="D415" t="s">
        <v>75</v>
      </c>
      <c r="E415" t="s">
        <v>104</v>
      </c>
      <c r="F415">
        <v>3</v>
      </c>
      <c r="G415" t="s">
        <v>77</v>
      </c>
      <c r="H415" t="s">
        <v>23</v>
      </c>
      <c r="I415">
        <v>4</v>
      </c>
      <c r="J415">
        <v>11</v>
      </c>
      <c r="K415">
        <v>6</v>
      </c>
      <c r="L415">
        <v>20</v>
      </c>
      <c r="M415">
        <v>145</v>
      </c>
      <c r="N415">
        <v>39</v>
      </c>
      <c r="O415">
        <v>492</v>
      </c>
    </row>
    <row r="416" spans="1:15" x14ac:dyDescent="0.2">
      <c r="A416" t="s">
        <v>113</v>
      </c>
      <c r="B416" t="s">
        <v>45</v>
      </c>
      <c r="C416" t="s">
        <v>17</v>
      </c>
      <c r="D416" t="s">
        <v>75</v>
      </c>
      <c r="E416" t="s">
        <v>104</v>
      </c>
      <c r="F416">
        <v>3</v>
      </c>
      <c r="G416" t="s">
        <v>77</v>
      </c>
      <c r="H416" t="s">
        <v>24</v>
      </c>
      <c r="I416">
        <v>0</v>
      </c>
      <c r="J416">
        <v>0</v>
      </c>
      <c r="K416">
        <v>0</v>
      </c>
      <c r="L416">
        <v>20</v>
      </c>
      <c r="M416">
        <v>145</v>
      </c>
      <c r="N416">
        <v>39</v>
      </c>
      <c r="O416">
        <v>492</v>
      </c>
    </row>
    <row r="417" spans="1:15" x14ac:dyDescent="0.2">
      <c r="A417" t="s">
        <v>113</v>
      </c>
      <c r="B417" t="s">
        <v>45</v>
      </c>
      <c r="C417" t="s">
        <v>17</v>
      </c>
      <c r="D417" t="s">
        <v>75</v>
      </c>
      <c r="E417" t="s">
        <v>102</v>
      </c>
      <c r="F417">
        <v>3</v>
      </c>
      <c r="G417" t="s">
        <v>73</v>
      </c>
      <c r="H417" t="s">
        <v>20</v>
      </c>
      <c r="I417">
        <v>1</v>
      </c>
      <c r="J417">
        <v>31</v>
      </c>
      <c r="K417">
        <v>0</v>
      </c>
      <c r="L417">
        <v>12</v>
      </c>
      <c r="M417">
        <v>146</v>
      </c>
      <c r="N417">
        <v>40</v>
      </c>
      <c r="O417">
        <v>455</v>
      </c>
    </row>
    <row r="418" spans="1:15" x14ac:dyDescent="0.2">
      <c r="A418" t="s">
        <v>113</v>
      </c>
      <c r="B418" t="s">
        <v>45</v>
      </c>
      <c r="C418" t="s">
        <v>17</v>
      </c>
      <c r="D418" t="s">
        <v>75</v>
      </c>
      <c r="E418" t="s">
        <v>102</v>
      </c>
      <c r="F418">
        <v>3</v>
      </c>
      <c r="G418" t="s">
        <v>73</v>
      </c>
      <c r="H418" t="s">
        <v>21</v>
      </c>
      <c r="I418">
        <v>8</v>
      </c>
      <c r="J418">
        <v>82</v>
      </c>
      <c r="K418">
        <v>25</v>
      </c>
      <c r="L418">
        <v>12</v>
      </c>
      <c r="M418">
        <v>146</v>
      </c>
      <c r="N418">
        <v>40</v>
      </c>
      <c r="O418">
        <v>455</v>
      </c>
    </row>
    <row r="419" spans="1:15" x14ac:dyDescent="0.2">
      <c r="A419" t="s">
        <v>113</v>
      </c>
      <c r="B419" t="s">
        <v>45</v>
      </c>
      <c r="C419" t="s">
        <v>17</v>
      </c>
      <c r="D419" t="s">
        <v>75</v>
      </c>
      <c r="E419" t="s">
        <v>102</v>
      </c>
      <c r="F419">
        <v>3</v>
      </c>
      <c r="G419" t="s">
        <v>73</v>
      </c>
      <c r="H419" t="s">
        <v>22</v>
      </c>
      <c r="I419">
        <v>1</v>
      </c>
      <c r="J419">
        <v>16</v>
      </c>
      <c r="K419">
        <v>3</v>
      </c>
      <c r="L419">
        <v>12</v>
      </c>
      <c r="M419">
        <v>146</v>
      </c>
      <c r="N419">
        <v>40</v>
      </c>
      <c r="O419">
        <v>455</v>
      </c>
    </row>
    <row r="420" spans="1:15" x14ac:dyDescent="0.2">
      <c r="A420" t="s">
        <v>113</v>
      </c>
      <c r="B420" t="s">
        <v>45</v>
      </c>
      <c r="C420" t="s">
        <v>17</v>
      </c>
      <c r="D420" t="s">
        <v>75</v>
      </c>
      <c r="E420" t="s">
        <v>102</v>
      </c>
      <c r="F420">
        <v>3</v>
      </c>
      <c r="G420" t="s">
        <v>73</v>
      </c>
      <c r="H420" t="s">
        <v>23</v>
      </c>
      <c r="I420">
        <v>2</v>
      </c>
      <c r="J420">
        <v>17</v>
      </c>
      <c r="K420">
        <v>12</v>
      </c>
      <c r="L420">
        <v>12</v>
      </c>
      <c r="M420">
        <v>146</v>
      </c>
      <c r="N420">
        <v>40</v>
      </c>
      <c r="O420">
        <v>455</v>
      </c>
    </row>
    <row r="421" spans="1:15" x14ac:dyDescent="0.2">
      <c r="A421" t="s">
        <v>113</v>
      </c>
      <c r="B421" t="s">
        <v>45</v>
      </c>
      <c r="C421" t="s">
        <v>17</v>
      </c>
      <c r="D421" t="s">
        <v>75</v>
      </c>
      <c r="E421" t="s">
        <v>102</v>
      </c>
      <c r="F421">
        <v>3</v>
      </c>
      <c r="G421" t="s">
        <v>73</v>
      </c>
      <c r="H421" t="s">
        <v>24</v>
      </c>
      <c r="I421">
        <v>0</v>
      </c>
      <c r="J421">
        <v>0</v>
      </c>
      <c r="K421">
        <v>0</v>
      </c>
      <c r="L421">
        <v>12</v>
      </c>
      <c r="M421">
        <v>146</v>
      </c>
      <c r="N421">
        <v>40</v>
      </c>
      <c r="O421">
        <v>455</v>
      </c>
    </row>
    <row r="422" spans="1:15" x14ac:dyDescent="0.2">
      <c r="A422" t="s">
        <v>112</v>
      </c>
      <c r="B422" t="s">
        <v>37</v>
      </c>
      <c r="C422" t="s">
        <v>17</v>
      </c>
      <c r="D422" t="s">
        <v>75</v>
      </c>
      <c r="E422" t="s">
        <v>106</v>
      </c>
      <c r="F422">
        <v>3</v>
      </c>
      <c r="G422" t="s">
        <v>19</v>
      </c>
      <c r="H422" t="s">
        <v>20</v>
      </c>
      <c r="I422">
        <v>668</v>
      </c>
      <c r="J422">
        <v>43</v>
      </c>
      <c r="K422">
        <v>0</v>
      </c>
      <c r="L422">
        <v>879</v>
      </c>
      <c r="M422">
        <v>79</v>
      </c>
      <c r="N422">
        <v>0</v>
      </c>
      <c r="O422">
        <v>995</v>
      </c>
    </row>
    <row r="423" spans="1:15" x14ac:dyDescent="0.2">
      <c r="A423" t="s">
        <v>112</v>
      </c>
      <c r="B423" t="s">
        <v>37</v>
      </c>
      <c r="C423" t="s">
        <v>17</v>
      </c>
      <c r="D423" t="s">
        <v>75</v>
      </c>
      <c r="E423" t="s">
        <v>106</v>
      </c>
      <c r="F423">
        <v>3</v>
      </c>
      <c r="G423" t="s">
        <v>19</v>
      </c>
      <c r="H423" t="s">
        <v>21</v>
      </c>
      <c r="I423">
        <v>104</v>
      </c>
      <c r="J423">
        <v>12</v>
      </c>
      <c r="K423">
        <v>0</v>
      </c>
      <c r="L423">
        <v>879</v>
      </c>
      <c r="M423">
        <v>79</v>
      </c>
      <c r="N423">
        <v>0</v>
      </c>
      <c r="O423">
        <v>995</v>
      </c>
    </row>
    <row r="424" spans="1:15" x14ac:dyDescent="0.2">
      <c r="A424" t="s">
        <v>112</v>
      </c>
      <c r="B424" t="s">
        <v>37</v>
      </c>
      <c r="C424" t="s">
        <v>17</v>
      </c>
      <c r="D424" t="s">
        <v>75</v>
      </c>
      <c r="E424" t="s">
        <v>106</v>
      </c>
      <c r="F424">
        <v>3</v>
      </c>
      <c r="G424" t="s">
        <v>19</v>
      </c>
      <c r="H424" t="s">
        <v>22</v>
      </c>
      <c r="I424">
        <v>33</v>
      </c>
      <c r="J424">
        <v>7</v>
      </c>
      <c r="K424">
        <v>0</v>
      </c>
      <c r="L424">
        <v>879</v>
      </c>
      <c r="M424">
        <v>79</v>
      </c>
      <c r="N424">
        <v>0</v>
      </c>
      <c r="O424">
        <v>995</v>
      </c>
    </row>
    <row r="425" spans="1:15" x14ac:dyDescent="0.2">
      <c r="A425" t="s">
        <v>112</v>
      </c>
      <c r="B425" t="s">
        <v>37</v>
      </c>
      <c r="C425" t="s">
        <v>17</v>
      </c>
      <c r="D425" t="s">
        <v>75</v>
      </c>
      <c r="E425" t="s">
        <v>106</v>
      </c>
      <c r="F425">
        <v>3</v>
      </c>
      <c r="G425" t="s">
        <v>19</v>
      </c>
      <c r="H425" t="s">
        <v>23</v>
      </c>
      <c r="I425">
        <v>74</v>
      </c>
      <c r="J425">
        <v>17</v>
      </c>
      <c r="K425">
        <v>0</v>
      </c>
      <c r="L425">
        <v>879</v>
      </c>
      <c r="M425">
        <v>79</v>
      </c>
      <c r="N425">
        <v>0</v>
      </c>
      <c r="O425">
        <v>995</v>
      </c>
    </row>
    <row r="426" spans="1:15" x14ac:dyDescent="0.2">
      <c r="A426" t="s">
        <v>112</v>
      </c>
      <c r="B426" t="s">
        <v>37</v>
      </c>
      <c r="C426" t="s">
        <v>17</v>
      </c>
      <c r="D426" t="s">
        <v>75</v>
      </c>
      <c r="E426" t="s">
        <v>106</v>
      </c>
      <c r="F426">
        <v>3</v>
      </c>
      <c r="G426" t="s">
        <v>19</v>
      </c>
      <c r="H426" t="s">
        <v>24</v>
      </c>
      <c r="I426">
        <v>0</v>
      </c>
      <c r="J426">
        <v>0</v>
      </c>
      <c r="K426">
        <v>0</v>
      </c>
      <c r="L426">
        <v>879</v>
      </c>
      <c r="M426">
        <v>79</v>
      </c>
      <c r="N426">
        <v>0</v>
      </c>
      <c r="O426">
        <v>995</v>
      </c>
    </row>
    <row r="427" spans="1:15" x14ac:dyDescent="0.2">
      <c r="A427" t="s">
        <v>112</v>
      </c>
      <c r="B427" t="s">
        <v>37</v>
      </c>
      <c r="C427" t="s">
        <v>17</v>
      </c>
      <c r="D427" t="s">
        <v>75</v>
      </c>
      <c r="E427" t="s">
        <v>105</v>
      </c>
      <c r="F427">
        <v>3</v>
      </c>
      <c r="G427" t="s">
        <v>79</v>
      </c>
      <c r="H427" t="s">
        <v>20</v>
      </c>
      <c r="I427">
        <v>131</v>
      </c>
      <c r="J427">
        <v>59</v>
      </c>
      <c r="K427">
        <v>32</v>
      </c>
      <c r="L427">
        <v>164</v>
      </c>
      <c r="M427">
        <v>145</v>
      </c>
      <c r="N427">
        <v>74</v>
      </c>
      <c r="O427">
        <v>861</v>
      </c>
    </row>
    <row r="428" spans="1:15" x14ac:dyDescent="0.2">
      <c r="A428" t="s">
        <v>112</v>
      </c>
      <c r="B428" t="s">
        <v>37</v>
      </c>
      <c r="C428" t="s">
        <v>17</v>
      </c>
      <c r="D428" t="s">
        <v>75</v>
      </c>
      <c r="E428" t="s">
        <v>105</v>
      </c>
      <c r="F428">
        <v>3</v>
      </c>
      <c r="G428" t="s">
        <v>79</v>
      </c>
      <c r="H428" t="s">
        <v>21</v>
      </c>
      <c r="I428">
        <v>18</v>
      </c>
      <c r="J428">
        <v>35</v>
      </c>
      <c r="K428">
        <v>22</v>
      </c>
      <c r="L428">
        <v>164</v>
      </c>
      <c r="M428">
        <v>145</v>
      </c>
      <c r="N428">
        <v>74</v>
      </c>
      <c r="O428">
        <v>861</v>
      </c>
    </row>
    <row r="429" spans="1:15" x14ac:dyDescent="0.2">
      <c r="A429" t="s">
        <v>112</v>
      </c>
      <c r="B429" t="s">
        <v>37</v>
      </c>
      <c r="C429" t="s">
        <v>17</v>
      </c>
      <c r="D429" t="s">
        <v>75</v>
      </c>
      <c r="E429" t="s">
        <v>105</v>
      </c>
      <c r="F429">
        <v>3</v>
      </c>
      <c r="G429" t="s">
        <v>79</v>
      </c>
      <c r="H429" t="s">
        <v>22</v>
      </c>
      <c r="I429">
        <v>3</v>
      </c>
      <c r="J429">
        <v>20</v>
      </c>
      <c r="K429">
        <v>10</v>
      </c>
      <c r="L429">
        <v>164</v>
      </c>
      <c r="M429">
        <v>145</v>
      </c>
      <c r="N429">
        <v>74</v>
      </c>
      <c r="O429">
        <v>861</v>
      </c>
    </row>
    <row r="430" spans="1:15" x14ac:dyDescent="0.2">
      <c r="A430" t="s">
        <v>112</v>
      </c>
      <c r="B430" t="s">
        <v>37</v>
      </c>
      <c r="C430" t="s">
        <v>17</v>
      </c>
      <c r="D430" t="s">
        <v>75</v>
      </c>
      <c r="E430" t="s">
        <v>105</v>
      </c>
      <c r="F430">
        <v>3</v>
      </c>
      <c r="G430" t="s">
        <v>79</v>
      </c>
      <c r="H430" t="s">
        <v>23</v>
      </c>
      <c r="I430">
        <v>12</v>
      </c>
      <c r="J430">
        <v>31</v>
      </c>
      <c r="K430">
        <v>10</v>
      </c>
      <c r="L430">
        <v>164</v>
      </c>
      <c r="M430">
        <v>145</v>
      </c>
      <c r="N430">
        <v>74</v>
      </c>
      <c r="O430">
        <v>861</v>
      </c>
    </row>
    <row r="431" spans="1:15" x14ac:dyDescent="0.2">
      <c r="A431" t="s">
        <v>112</v>
      </c>
      <c r="B431" t="s">
        <v>37</v>
      </c>
      <c r="C431" t="s">
        <v>17</v>
      </c>
      <c r="D431" t="s">
        <v>75</v>
      </c>
      <c r="E431" t="s">
        <v>105</v>
      </c>
      <c r="F431">
        <v>3</v>
      </c>
      <c r="G431" t="s">
        <v>79</v>
      </c>
      <c r="H431" t="s">
        <v>24</v>
      </c>
      <c r="I431">
        <v>0</v>
      </c>
      <c r="J431">
        <v>0</v>
      </c>
      <c r="K431">
        <v>0</v>
      </c>
      <c r="L431">
        <v>164</v>
      </c>
      <c r="M431">
        <v>145</v>
      </c>
      <c r="N431">
        <v>74</v>
      </c>
      <c r="O431">
        <v>861</v>
      </c>
    </row>
    <row r="432" spans="1:15" x14ac:dyDescent="0.2">
      <c r="A432" t="s">
        <v>112</v>
      </c>
      <c r="B432" t="s">
        <v>37</v>
      </c>
      <c r="C432" t="s">
        <v>17</v>
      </c>
      <c r="D432" t="s">
        <v>75</v>
      </c>
      <c r="E432" t="s">
        <v>104</v>
      </c>
      <c r="F432">
        <v>3</v>
      </c>
      <c r="G432" t="s">
        <v>77</v>
      </c>
      <c r="H432" t="s">
        <v>20</v>
      </c>
      <c r="I432">
        <v>129</v>
      </c>
      <c r="J432">
        <v>40</v>
      </c>
      <c r="K432">
        <v>15</v>
      </c>
      <c r="L432">
        <v>179</v>
      </c>
      <c r="M432">
        <v>125</v>
      </c>
      <c r="N432">
        <v>54</v>
      </c>
      <c r="O432">
        <v>862</v>
      </c>
    </row>
    <row r="433" spans="1:15" x14ac:dyDescent="0.2">
      <c r="A433" t="s">
        <v>112</v>
      </c>
      <c r="B433" t="s">
        <v>37</v>
      </c>
      <c r="C433" t="s">
        <v>17</v>
      </c>
      <c r="D433" t="s">
        <v>75</v>
      </c>
      <c r="E433" t="s">
        <v>104</v>
      </c>
      <c r="F433">
        <v>3</v>
      </c>
      <c r="G433" t="s">
        <v>77</v>
      </c>
      <c r="H433" t="s">
        <v>21</v>
      </c>
      <c r="I433">
        <v>23</v>
      </c>
      <c r="J433">
        <v>42</v>
      </c>
      <c r="K433">
        <v>19</v>
      </c>
      <c r="L433">
        <v>179</v>
      </c>
      <c r="M433">
        <v>125</v>
      </c>
      <c r="N433">
        <v>54</v>
      </c>
      <c r="O433">
        <v>862</v>
      </c>
    </row>
    <row r="434" spans="1:15" x14ac:dyDescent="0.2">
      <c r="A434" t="s">
        <v>112</v>
      </c>
      <c r="B434" t="s">
        <v>37</v>
      </c>
      <c r="C434" t="s">
        <v>17</v>
      </c>
      <c r="D434" t="s">
        <v>75</v>
      </c>
      <c r="E434" t="s">
        <v>104</v>
      </c>
      <c r="F434">
        <v>3</v>
      </c>
      <c r="G434" t="s">
        <v>77</v>
      </c>
      <c r="H434" t="s">
        <v>22</v>
      </c>
      <c r="I434">
        <v>5</v>
      </c>
      <c r="J434">
        <v>21</v>
      </c>
      <c r="K434">
        <v>11</v>
      </c>
      <c r="L434">
        <v>179</v>
      </c>
      <c r="M434">
        <v>125</v>
      </c>
      <c r="N434">
        <v>54</v>
      </c>
      <c r="O434">
        <v>862</v>
      </c>
    </row>
    <row r="435" spans="1:15" x14ac:dyDescent="0.2">
      <c r="A435" t="s">
        <v>112</v>
      </c>
      <c r="B435" t="s">
        <v>37</v>
      </c>
      <c r="C435" t="s">
        <v>17</v>
      </c>
      <c r="D435" t="s">
        <v>75</v>
      </c>
      <c r="E435" t="s">
        <v>104</v>
      </c>
      <c r="F435">
        <v>3</v>
      </c>
      <c r="G435" t="s">
        <v>77</v>
      </c>
      <c r="H435" t="s">
        <v>23</v>
      </c>
      <c r="I435">
        <v>22</v>
      </c>
      <c r="J435">
        <v>22</v>
      </c>
      <c r="K435">
        <v>9</v>
      </c>
      <c r="L435">
        <v>179</v>
      </c>
      <c r="M435">
        <v>125</v>
      </c>
      <c r="N435">
        <v>54</v>
      </c>
      <c r="O435">
        <v>862</v>
      </c>
    </row>
    <row r="436" spans="1:15" x14ac:dyDescent="0.2">
      <c r="A436" t="s">
        <v>112</v>
      </c>
      <c r="B436" t="s">
        <v>37</v>
      </c>
      <c r="C436" t="s">
        <v>17</v>
      </c>
      <c r="D436" t="s">
        <v>75</v>
      </c>
      <c r="E436" t="s">
        <v>104</v>
      </c>
      <c r="F436">
        <v>3</v>
      </c>
      <c r="G436" t="s">
        <v>77</v>
      </c>
      <c r="H436" t="s">
        <v>24</v>
      </c>
      <c r="I436">
        <v>0</v>
      </c>
      <c r="J436">
        <v>0</v>
      </c>
      <c r="K436">
        <v>0</v>
      </c>
      <c r="L436">
        <v>179</v>
      </c>
      <c r="M436">
        <v>125</v>
      </c>
      <c r="N436">
        <v>54</v>
      </c>
      <c r="O436">
        <v>862</v>
      </c>
    </row>
    <row r="437" spans="1:15" x14ac:dyDescent="0.2">
      <c r="A437" t="s">
        <v>112</v>
      </c>
      <c r="B437" t="s">
        <v>37</v>
      </c>
      <c r="C437" t="s">
        <v>17</v>
      </c>
      <c r="D437" t="s">
        <v>75</v>
      </c>
      <c r="E437" t="s">
        <v>102</v>
      </c>
      <c r="F437">
        <v>3</v>
      </c>
      <c r="G437" t="s">
        <v>73</v>
      </c>
      <c r="H437" t="s">
        <v>20</v>
      </c>
      <c r="I437">
        <v>154</v>
      </c>
      <c r="J437">
        <v>12</v>
      </c>
      <c r="K437">
        <v>0</v>
      </c>
      <c r="L437">
        <v>226</v>
      </c>
      <c r="M437">
        <v>72</v>
      </c>
      <c r="N437">
        <v>40</v>
      </c>
      <c r="O437">
        <v>870</v>
      </c>
    </row>
    <row r="438" spans="1:15" x14ac:dyDescent="0.2">
      <c r="A438" t="s">
        <v>112</v>
      </c>
      <c r="B438" t="s">
        <v>37</v>
      </c>
      <c r="C438" t="s">
        <v>17</v>
      </c>
      <c r="D438" t="s">
        <v>75</v>
      </c>
      <c r="E438" t="s">
        <v>102</v>
      </c>
      <c r="F438">
        <v>3</v>
      </c>
      <c r="G438" t="s">
        <v>73</v>
      </c>
      <c r="H438" t="s">
        <v>21</v>
      </c>
      <c r="I438">
        <v>42</v>
      </c>
      <c r="J438">
        <v>24</v>
      </c>
      <c r="K438">
        <v>17</v>
      </c>
      <c r="L438">
        <v>226</v>
      </c>
      <c r="M438">
        <v>72</v>
      </c>
      <c r="N438">
        <v>40</v>
      </c>
      <c r="O438">
        <v>870</v>
      </c>
    </row>
    <row r="439" spans="1:15" x14ac:dyDescent="0.2">
      <c r="A439" t="s">
        <v>112</v>
      </c>
      <c r="B439" t="s">
        <v>37</v>
      </c>
      <c r="C439" t="s">
        <v>17</v>
      </c>
      <c r="D439" t="s">
        <v>75</v>
      </c>
      <c r="E439" t="s">
        <v>102</v>
      </c>
      <c r="F439">
        <v>3</v>
      </c>
      <c r="G439" t="s">
        <v>73</v>
      </c>
      <c r="H439" t="s">
        <v>22</v>
      </c>
      <c r="I439">
        <v>9</v>
      </c>
      <c r="J439">
        <v>19</v>
      </c>
      <c r="K439">
        <v>11</v>
      </c>
      <c r="L439">
        <v>226</v>
      </c>
      <c r="M439">
        <v>72</v>
      </c>
      <c r="N439">
        <v>40</v>
      </c>
      <c r="O439">
        <v>870</v>
      </c>
    </row>
    <row r="440" spans="1:15" x14ac:dyDescent="0.2">
      <c r="A440" t="s">
        <v>112</v>
      </c>
      <c r="B440" t="s">
        <v>37</v>
      </c>
      <c r="C440" t="s">
        <v>17</v>
      </c>
      <c r="D440" t="s">
        <v>75</v>
      </c>
      <c r="E440" t="s">
        <v>102</v>
      </c>
      <c r="F440">
        <v>3</v>
      </c>
      <c r="G440" t="s">
        <v>73</v>
      </c>
      <c r="H440" t="s">
        <v>23</v>
      </c>
      <c r="I440">
        <v>21</v>
      </c>
      <c r="J440">
        <v>17</v>
      </c>
      <c r="K440">
        <v>12</v>
      </c>
      <c r="L440">
        <v>226</v>
      </c>
      <c r="M440">
        <v>72</v>
      </c>
      <c r="N440">
        <v>40</v>
      </c>
      <c r="O440">
        <v>870</v>
      </c>
    </row>
    <row r="441" spans="1:15" x14ac:dyDescent="0.2">
      <c r="A441" t="s">
        <v>112</v>
      </c>
      <c r="B441" t="s">
        <v>37</v>
      </c>
      <c r="C441" t="s">
        <v>17</v>
      </c>
      <c r="D441" t="s">
        <v>75</v>
      </c>
      <c r="E441" t="s">
        <v>102</v>
      </c>
      <c r="F441">
        <v>3</v>
      </c>
      <c r="G441" t="s">
        <v>73</v>
      </c>
      <c r="H441" t="s">
        <v>24</v>
      </c>
      <c r="I441">
        <v>0</v>
      </c>
      <c r="J441">
        <v>0</v>
      </c>
      <c r="K441">
        <v>0</v>
      </c>
      <c r="L441">
        <v>226</v>
      </c>
      <c r="M441">
        <v>72</v>
      </c>
      <c r="N441">
        <v>40</v>
      </c>
      <c r="O441">
        <v>870</v>
      </c>
    </row>
    <row r="442" spans="1:15" x14ac:dyDescent="0.2">
      <c r="A442" t="s">
        <v>108</v>
      </c>
      <c r="B442" t="s">
        <v>83</v>
      </c>
      <c r="C442" t="s">
        <v>17</v>
      </c>
      <c r="D442" t="s">
        <v>75</v>
      </c>
      <c r="E442" t="s">
        <v>111</v>
      </c>
      <c r="F442">
        <v>3</v>
      </c>
      <c r="G442" t="s">
        <v>19</v>
      </c>
      <c r="H442" t="s">
        <v>20</v>
      </c>
      <c r="I442">
        <v>24</v>
      </c>
      <c r="J442">
        <v>43</v>
      </c>
      <c r="K442">
        <v>0</v>
      </c>
      <c r="L442">
        <v>41</v>
      </c>
      <c r="M442">
        <v>133</v>
      </c>
      <c r="N442">
        <v>0</v>
      </c>
      <c r="O442">
        <v>617</v>
      </c>
    </row>
    <row r="443" spans="1:15" x14ac:dyDescent="0.2">
      <c r="A443" t="s">
        <v>108</v>
      </c>
      <c r="B443" t="s">
        <v>83</v>
      </c>
      <c r="C443" t="s">
        <v>17</v>
      </c>
      <c r="D443" t="s">
        <v>75</v>
      </c>
      <c r="E443" t="s">
        <v>111</v>
      </c>
      <c r="F443">
        <v>3</v>
      </c>
      <c r="G443" t="s">
        <v>19</v>
      </c>
      <c r="H443" t="s">
        <v>21</v>
      </c>
      <c r="I443">
        <v>11</v>
      </c>
      <c r="J443">
        <v>20</v>
      </c>
      <c r="K443">
        <v>0</v>
      </c>
      <c r="L443">
        <v>41</v>
      </c>
      <c r="M443">
        <v>133</v>
      </c>
      <c r="N443">
        <v>0</v>
      </c>
      <c r="O443">
        <v>617</v>
      </c>
    </row>
    <row r="444" spans="1:15" x14ac:dyDescent="0.2">
      <c r="A444" t="s">
        <v>108</v>
      </c>
      <c r="B444" t="s">
        <v>83</v>
      </c>
      <c r="C444" t="s">
        <v>17</v>
      </c>
      <c r="D444" t="s">
        <v>75</v>
      </c>
      <c r="E444" t="s">
        <v>111</v>
      </c>
      <c r="F444">
        <v>3</v>
      </c>
      <c r="G444" t="s">
        <v>19</v>
      </c>
      <c r="H444" t="s">
        <v>22</v>
      </c>
      <c r="I444">
        <v>2</v>
      </c>
      <c r="J444">
        <v>9</v>
      </c>
      <c r="K444">
        <v>0</v>
      </c>
      <c r="L444">
        <v>41</v>
      </c>
      <c r="M444">
        <v>133</v>
      </c>
      <c r="N444">
        <v>0</v>
      </c>
      <c r="O444">
        <v>617</v>
      </c>
    </row>
    <row r="445" spans="1:15" x14ac:dyDescent="0.2">
      <c r="A445" t="s">
        <v>108</v>
      </c>
      <c r="B445" t="s">
        <v>83</v>
      </c>
      <c r="C445" t="s">
        <v>17</v>
      </c>
      <c r="D445" t="s">
        <v>75</v>
      </c>
      <c r="E445" t="s">
        <v>111</v>
      </c>
      <c r="F445">
        <v>3</v>
      </c>
      <c r="G445" t="s">
        <v>19</v>
      </c>
      <c r="H445" t="s">
        <v>23</v>
      </c>
      <c r="I445">
        <v>4</v>
      </c>
      <c r="J445">
        <v>61</v>
      </c>
      <c r="K445">
        <v>0</v>
      </c>
      <c r="L445">
        <v>41</v>
      </c>
      <c r="M445">
        <v>133</v>
      </c>
      <c r="N445">
        <v>0</v>
      </c>
      <c r="O445">
        <v>617</v>
      </c>
    </row>
    <row r="446" spans="1:15" x14ac:dyDescent="0.2">
      <c r="A446" t="s">
        <v>108</v>
      </c>
      <c r="B446" t="s">
        <v>83</v>
      </c>
      <c r="C446" t="s">
        <v>17</v>
      </c>
      <c r="D446" t="s">
        <v>75</v>
      </c>
      <c r="E446" t="s">
        <v>111</v>
      </c>
      <c r="F446">
        <v>3</v>
      </c>
      <c r="G446" t="s">
        <v>19</v>
      </c>
      <c r="H446" t="s">
        <v>24</v>
      </c>
      <c r="I446">
        <v>0</v>
      </c>
      <c r="J446">
        <v>0</v>
      </c>
      <c r="K446">
        <v>0</v>
      </c>
      <c r="L446">
        <v>41</v>
      </c>
      <c r="M446">
        <v>133</v>
      </c>
      <c r="N446">
        <v>0</v>
      </c>
      <c r="O446">
        <v>617</v>
      </c>
    </row>
    <row r="447" spans="1:15" x14ac:dyDescent="0.2">
      <c r="A447" t="s">
        <v>108</v>
      </c>
      <c r="B447" t="s">
        <v>83</v>
      </c>
      <c r="C447" t="s">
        <v>17</v>
      </c>
      <c r="D447" t="s">
        <v>75</v>
      </c>
      <c r="E447" t="s">
        <v>110</v>
      </c>
      <c r="F447">
        <v>3</v>
      </c>
      <c r="G447" t="s">
        <v>79</v>
      </c>
      <c r="H447" t="s">
        <v>20</v>
      </c>
      <c r="I447">
        <v>0</v>
      </c>
      <c r="J447">
        <v>16</v>
      </c>
      <c r="K447">
        <v>7</v>
      </c>
      <c r="L447">
        <v>1</v>
      </c>
      <c r="M447">
        <v>24</v>
      </c>
      <c r="N447">
        <v>8</v>
      </c>
      <c r="O447">
        <v>51</v>
      </c>
    </row>
    <row r="448" spans="1:15" x14ac:dyDescent="0.2">
      <c r="A448" t="s">
        <v>108</v>
      </c>
      <c r="B448" t="s">
        <v>83</v>
      </c>
      <c r="C448" t="s">
        <v>17</v>
      </c>
      <c r="D448" t="s">
        <v>75</v>
      </c>
      <c r="E448" t="s">
        <v>110</v>
      </c>
      <c r="F448">
        <v>3</v>
      </c>
      <c r="G448" t="s">
        <v>79</v>
      </c>
      <c r="H448" t="s">
        <v>21</v>
      </c>
      <c r="I448">
        <v>1</v>
      </c>
      <c r="J448">
        <v>6</v>
      </c>
      <c r="K448">
        <v>1</v>
      </c>
      <c r="L448">
        <v>1</v>
      </c>
      <c r="M448">
        <v>24</v>
      </c>
      <c r="N448">
        <v>8</v>
      </c>
      <c r="O448">
        <v>51</v>
      </c>
    </row>
    <row r="449" spans="1:15" x14ac:dyDescent="0.2">
      <c r="A449" t="s">
        <v>108</v>
      </c>
      <c r="B449" t="s">
        <v>83</v>
      </c>
      <c r="C449" t="s">
        <v>17</v>
      </c>
      <c r="D449" t="s">
        <v>75</v>
      </c>
      <c r="E449" t="s">
        <v>110</v>
      </c>
      <c r="F449">
        <v>3</v>
      </c>
      <c r="G449" t="s">
        <v>79</v>
      </c>
      <c r="H449" t="s">
        <v>22</v>
      </c>
      <c r="I449">
        <v>0</v>
      </c>
      <c r="J449">
        <v>2</v>
      </c>
      <c r="K449">
        <v>0</v>
      </c>
      <c r="L449">
        <v>1</v>
      </c>
      <c r="M449">
        <v>24</v>
      </c>
      <c r="N449">
        <v>8</v>
      </c>
      <c r="O449">
        <v>51</v>
      </c>
    </row>
    <row r="450" spans="1:15" x14ac:dyDescent="0.2">
      <c r="A450" t="s">
        <v>108</v>
      </c>
      <c r="B450" t="s">
        <v>83</v>
      </c>
      <c r="C450" t="s">
        <v>17</v>
      </c>
      <c r="D450" t="s">
        <v>75</v>
      </c>
      <c r="E450" t="s">
        <v>110</v>
      </c>
      <c r="F450">
        <v>3</v>
      </c>
      <c r="G450" t="s">
        <v>79</v>
      </c>
      <c r="H450" t="s">
        <v>23</v>
      </c>
      <c r="I450">
        <v>0</v>
      </c>
      <c r="J450">
        <v>0</v>
      </c>
      <c r="K450">
        <v>0</v>
      </c>
      <c r="L450">
        <v>1</v>
      </c>
      <c r="M450">
        <v>24</v>
      </c>
      <c r="N450">
        <v>8</v>
      </c>
      <c r="O450">
        <v>51</v>
      </c>
    </row>
    <row r="451" spans="1:15" x14ac:dyDescent="0.2">
      <c r="A451" t="s">
        <v>108</v>
      </c>
      <c r="B451" t="s">
        <v>83</v>
      </c>
      <c r="C451" t="s">
        <v>17</v>
      </c>
      <c r="D451" t="s">
        <v>75</v>
      </c>
      <c r="E451" t="s">
        <v>110</v>
      </c>
      <c r="F451">
        <v>3</v>
      </c>
      <c r="G451" t="s">
        <v>79</v>
      </c>
      <c r="H451" t="s">
        <v>24</v>
      </c>
      <c r="I451">
        <v>0</v>
      </c>
      <c r="J451">
        <v>0</v>
      </c>
      <c r="K451">
        <v>0</v>
      </c>
      <c r="L451">
        <v>1</v>
      </c>
      <c r="M451">
        <v>24</v>
      </c>
      <c r="N451">
        <v>8</v>
      </c>
      <c r="O451">
        <v>51</v>
      </c>
    </row>
    <row r="452" spans="1:15" x14ac:dyDescent="0.2">
      <c r="A452" t="s">
        <v>108</v>
      </c>
      <c r="B452" t="s">
        <v>83</v>
      </c>
      <c r="C452" t="s">
        <v>17</v>
      </c>
      <c r="D452" t="s">
        <v>75</v>
      </c>
      <c r="E452" t="s">
        <v>109</v>
      </c>
      <c r="F452">
        <v>3</v>
      </c>
      <c r="G452" t="s">
        <v>77</v>
      </c>
      <c r="H452" t="s">
        <v>20</v>
      </c>
      <c r="I452">
        <v>1</v>
      </c>
      <c r="J452">
        <v>7</v>
      </c>
      <c r="K452">
        <v>4</v>
      </c>
      <c r="L452">
        <v>1</v>
      </c>
      <c r="M452">
        <v>21</v>
      </c>
      <c r="N452">
        <v>8</v>
      </c>
      <c r="O452">
        <v>48</v>
      </c>
    </row>
    <row r="453" spans="1:15" x14ac:dyDescent="0.2">
      <c r="A453" t="s">
        <v>108</v>
      </c>
      <c r="B453" t="s">
        <v>83</v>
      </c>
      <c r="C453" t="s">
        <v>17</v>
      </c>
      <c r="D453" t="s">
        <v>75</v>
      </c>
      <c r="E453" t="s">
        <v>109</v>
      </c>
      <c r="F453">
        <v>3</v>
      </c>
      <c r="G453" t="s">
        <v>77</v>
      </c>
      <c r="H453" t="s">
        <v>21</v>
      </c>
      <c r="I453">
        <v>0</v>
      </c>
      <c r="J453">
        <v>3</v>
      </c>
      <c r="K453">
        <v>0</v>
      </c>
      <c r="L453">
        <v>1</v>
      </c>
      <c r="M453">
        <v>21</v>
      </c>
      <c r="N453">
        <v>8</v>
      </c>
      <c r="O453">
        <v>48</v>
      </c>
    </row>
    <row r="454" spans="1:15" x14ac:dyDescent="0.2">
      <c r="A454" t="s">
        <v>108</v>
      </c>
      <c r="B454" t="s">
        <v>83</v>
      </c>
      <c r="C454" t="s">
        <v>17</v>
      </c>
      <c r="D454" t="s">
        <v>75</v>
      </c>
      <c r="E454" t="s">
        <v>109</v>
      </c>
      <c r="F454">
        <v>3</v>
      </c>
      <c r="G454" t="s">
        <v>77</v>
      </c>
      <c r="H454" t="s">
        <v>22</v>
      </c>
      <c r="I454">
        <v>0</v>
      </c>
      <c r="J454">
        <v>6</v>
      </c>
      <c r="K454">
        <v>2</v>
      </c>
      <c r="L454">
        <v>1</v>
      </c>
      <c r="M454">
        <v>21</v>
      </c>
      <c r="N454">
        <v>8</v>
      </c>
      <c r="O454">
        <v>48</v>
      </c>
    </row>
    <row r="455" spans="1:15" x14ac:dyDescent="0.2">
      <c r="A455" t="s">
        <v>108</v>
      </c>
      <c r="B455" t="s">
        <v>83</v>
      </c>
      <c r="C455" t="s">
        <v>17</v>
      </c>
      <c r="D455" t="s">
        <v>75</v>
      </c>
      <c r="E455" t="s">
        <v>109</v>
      </c>
      <c r="F455">
        <v>3</v>
      </c>
      <c r="G455" t="s">
        <v>77</v>
      </c>
      <c r="H455" t="s">
        <v>23</v>
      </c>
      <c r="I455">
        <v>0</v>
      </c>
      <c r="J455">
        <v>5</v>
      </c>
      <c r="K455">
        <v>2</v>
      </c>
      <c r="L455">
        <v>1</v>
      </c>
      <c r="M455">
        <v>21</v>
      </c>
      <c r="N455">
        <v>8</v>
      </c>
      <c r="O455">
        <v>48</v>
      </c>
    </row>
    <row r="456" spans="1:15" x14ac:dyDescent="0.2">
      <c r="A456" t="s">
        <v>108</v>
      </c>
      <c r="B456" t="s">
        <v>83</v>
      </c>
      <c r="C456" t="s">
        <v>17</v>
      </c>
      <c r="D456" t="s">
        <v>75</v>
      </c>
      <c r="E456" t="s">
        <v>109</v>
      </c>
      <c r="F456">
        <v>3</v>
      </c>
      <c r="G456" t="s">
        <v>77</v>
      </c>
      <c r="H456" t="s">
        <v>24</v>
      </c>
      <c r="I456">
        <v>0</v>
      </c>
      <c r="J456">
        <v>0</v>
      </c>
      <c r="K456">
        <v>0</v>
      </c>
      <c r="L456">
        <v>1</v>
      </c>
      <c r="M456">
        <v>21</v>
      </c>
      <c r="N456">
        <v>8</v>
      </c>
      <c r="O456">
        <v>48</v>
      </c>
    </row>
    <row r="457" spans="1:15" x14ac:dyDescent="0.2">
      <c r="A457" t="s">
        <v>108</v>
      </c>
      <c r="B457" t="s">
        <v>83</v>
      </c>
      <c r="C457" t="s">
        <v>17</v>
      </c>
      <c r="D457" t="s">
        <v>75</v>
      </c>
      <c r="E457" t="s">
        <v>107</v>
      </c>
      <c r="F457">
        <v>3</v>
      </c>
      <c r="G457" t="s">
        <v>73</v>
      </c>
      <c r="H457" t="s">
        <v>20</v>
      </c>
      <c r="I457">
        <v>0</v>
      </c>
      <c r="J457">
        <v>1</v>
      </c>
      <c r="K457">
        <v>0</v>
      </c>
      <c r="L457">
        <v>2</v>
      </c>
      <c r="M457">
        <v>14</v>
      </c>
      <c r="N457">
        <v>8</v>
      </c>
      <c r="O457">
        <v>46</v>
      </c>
    </row>
    <row r="458" spans="1:15" x14ac:dyDescent="0.2">
      <c r="A458" t="s">
        <v>108</v>
      </c>
      <c r="B458" t="s">
        <v>83</v>
      </c>
      <c r="C458" t="s">
        <v>17</v>
      </c>
      <c r="D458" t="s">
        <v>75</v>
      </c>
      <c r="E458" t="s">
        <v>107</v>
      </c>
      <c r="F458">
        <v>3</v>
      </c>
      <c r="G458" t="s">
        <v>73</v>
      </c>
      <c r="H458" t="s">
        <v>21</v>
      </c>
      <c r="I458">
        <v>1</v>
      </c>
      <c r="J458">
        <v>6</v>
      </c>
      <c r="K458">
        <v>4</v>
      </c>
      <c r="L458">
        <v>2</v>
      </c>
      <c r="M458">
        <v>14</v>
      </c>
      <c r="N458">
        <v>8</v>
      </c>
      <c r="O458">
        <v>46</v>
      </c>
    </row>
    <row r="459" spans="1:15" x14ac:dyDescent="0.2">
      <c r="A459" t="s">
        <v>108</v>
      </c>
      <c r="B459" t="s">
        <v>83</v>
      </c>
      <c r="C459" t="s">
        <v>17</v>
      </c>
      <c r="D459" t="s">
        <v>75</v>
      </c>
      <c r="E459" t="s">
        <v>107</v>
      </c>
      <c r="F459">
        <v>3</v>
      </c>
      <c r="G459" t="s">
        <v>73</v>
      </c>
      <c r="H459" t="s">
        <v>22</v>
      </c>
      <c r="I459">
        <v>0</v>
      </c>
      <c r="J459">
        <v>5</v>
      </c>
      <c r="K459">
        <v>3</v>
      </c>
      <c r="L459">
        <v>2</v>
      </c>
      <c r="M459">
        <v>14</v>
      </c>
      <c r="N459">
        <v>8</v>
      </c>
      <c r="O459">
        <v>46</v>
      </c>
    </row>
    <row r="460" spans="1:15" x14ac:dyDescent="0.2">
      <c r="A460" t="s">
        <v>108</v>
      </c>
      <c r="B460" t="s">
        <v>83</v>
      </c>
      <c r="C460" t="s">
        <v>17</v>
      </c>
      <c r="D460" t="s">
        <v>75</v>
      </c>
      <c r="E460" t="s">
        <v>107</v>
      </c>
      <c r="F460">
        <v>3</v>
      </c>
      <c r="G460" t="s">
        <v>73</v>
      </c>
      <c r="H460" t="s">
        <v>23</v>
      </c>
      <c r="I460">
        <v>1</v>
      </c>
      <c r="J460">
        <v>2</v>
      </c>
      <c r="K460">
        <v>1</v>
      </c>
      <c r="L460">
        <v>2</v>
      </c>
      <c r="M460">
        <v>14</v>
      </c>
      <c r="N460">
        <v>8</v>
      </c>
      <c r="O460">
        <v>46</v>
      </c>
    </row>
    <row r="461" spans="1:15" x14ac:dyDescent="0.2">
      <c r="A461" t="s">
        <v>108</v>
      </c>
      <c r="B461" t="s">
        <v>83</v>
      </c>
      <c r="C461" t="s">
        <v>17</v>
      </c>
      <c r="D461" t="s">
        <v>75</v>
      </c>
      <c r="E461" t="s">
        <v>107</v>
      </c>
      <c r="F461">
        <v>3</v>
      </c>
      <c r="G461" t="s">
        <v>73</v>
      </c>
      <c r="H461" t="s">
        <v>24</v>
      </c>
      <c r="I461">
        <v>0</v>
      </c>
      <c r="J461">
        <v>0</v>
      </c>
      <c r="K461">
        <v>0</v>
      </c>
      <c r="L461">
        <v>2</v>
      </c>
      <c r="M461">
        <v>14</v>
      </c>
      <c r="N461">
        <v>8</v>
      </c>
      <c r="O461">
        <v>46</v>
      </c>
    </row>
    <row r="462" spans="1:15" x14ac:dyDescent="0.2">
      <c r="A462" t="s">
        <v>103</v>
      </c>
      <c r="B462" t="s">
        <v>16</v>
      </c>
      <c r="C462" t="s">
        <v>17</v>
      </c>
      <c r="D462" t="s">
        <v>75</v>
      </c>
      <c r="E462" t="s">
        <v>106</v>
      </c>
      <c r="F462">
        <v>3</v>
      </c>
      <c r="G462" t="s">
        <v>19</v>
      </c>
      <c r="H462" t="s">
        <v>20</v>
      </c>
      <c r="I462">
        <v>212</v>
      </c>
      <c r="J462">
        <v>85</v>
      </c>
      <c r="K462">
        <v>0</v>
      </c>
      <c r="L462">
        <v>261</v>
      </c>
      <c r="M462">
        <v>98</v>
      </c>
      <c r="N462">
        <v>0</v>
      </c>
      <c r="O462">
        <v>997</v>
      </c>
    </row>
    <row r="463" spans="1:15" x14ac:dyDescent="0.2">
      <c r="A463" t="s">
        <v>103</v>
      </c>
      <c r="B463" t="s">
        <v>16</v>
      </c>
      <c r="C463" t="s">
        <v>17</v>
      </c>
      <c r="D463" t="s">
        <v>75</v>
      </c>
      <c r="E463" t="s">
        <v>106</v>
      </c>
      <c r="F463">
        <v>3</v>
      </c>
      <c r="G463" t="s">
        <v>19</v>
      </c>
      <c r="H463" t="s">
        <v>21</v>
      </c>
      <c r="I463">
        <v>17</v>
      </c>
      <c r="J463">
        <v>9</v>
      </c>
      <c r="K463">
        <v>0</v>
      </c>
      <c r="L463">
        <v>261</v>
      </c>
      <c r="M463">
        <v>98</v>
      </c>
      <c r="N463">
        <v>0</v>
      </c>
      <c r="O463">
        <v>997</v>
      </c>
    </row>
    <row r="464" spans="1:15" x14ac:dyDescent="0.2">
      <c r="A464" t="s">
        <v>103</v>
      </c>
      <c r="B464" t="s">
        <v>16</v>
      </c>
      <c r="C464" t="s">
        <v>17</v>
      </c>
      <c r="D464" t="s">
        <v>75</v>
      </c>
      <c r="E464" t="s">
        <v>106</v>
      </c>
      <c r="F464">
        <v>3</v>
      </c>
      <c r="G464" t="s">
        <v>19</v>
      </c>
      <c r="H464" t="s">
        <v>22</v>
      </c>
      <c r="I464">
        <v>2</v>
      </c>
      <c r="J464">
        <v>0</v>
      </c>
      <c r="K464">
        <v>0</v>
      </c>
      <c r="L464">
        <v>261</v>
      </c>
      <c r="M464">
        <v>98</v>
      </c>
      <c r="N464">
        <v>0</v>
      </c>
      <c r="O464">
        <v>997</v>
      </c>
    </row>
    <row r="465" spans="1:15" x14ac:dyDescent="0.2">
      <c r="A465" t="s">
        <v>103</v>
      </c>
      <c r="B465" t="s">
        <v>16</v>
      </c>
      <c r="C465" t="s">
        <v>17</v>
      </c>
      <c r="D465" t="s">
        <v>75</v>
      </c>
      <c r="E465" t="s">
        <v>106</v>
      </c>
      <c r="F465">
        <v>3</v>
      </c>
      <c r="G465" t="s">
        <v>19</v>
      </c>
      <c r="H465" t="s">
        <v>23</v>
      </c>
      <c r="I465">
        <v>30</v>
      </c>
      <c r="J465">
        <v>4</v>
      </c>
      <c r="K465">
        <v>0</v>
      </c>
      <c r="L465">
        <v>261</v>
      </c>
      <c r="M465">
        <v>98</v>
      </c>
      <c r="N465">
        <v>0</v>
      </c>
      <c r="O465">
        <v>997</v>
      </c>
    </row>
    <row r="466" spans="1:15" x14ac:dyDescent="0.2">
      <c r="A466" t="s">
        <v>103</v>
      </c>
      <c r="B466" t="s">
        <v>16</v>
      </c>
      <c r="C466" t="s">
        <v>17</v>
      </c>
      <c r="D466" t="s">
        <v>75</v>
      </c>
      <c r="E466" t="s">
        <v>106</v>
      </c>
      <c r="F466">
        <v>3</v>
      </c>
      <c r="G466" t="s">
        <v>19</v>
      </c>
      <c r="H466" t="s">
        <v>24</v>
      </c>
      <c r="I466">
        <v>0</v>
      </c>
      <c r="J466">
        <v>0</v>
      </c>
      <c r="K466">
        <v>0</v>
      </c>
      <c r="L466">
        <v>261</v>
      </c>
      <c r="M466">
        <v>98</v>
      </c>
      <c r="N466">
        <v>0</v>
      </c>
      <c r="O466">
        <v>997</v>
      </c>
    </row>
    <row r="467" spans="1:15" x14ac:dyDescent="0.2">
      <c r="A467" t="s">
        <v>103</v>
      </c>
      <c r="B467" t="s">
        <v>16</v>
      </c>
      <c r="C467" t="s">
        <v>17</v>
      </c>
      <c r="D467" t="s">
        <v>75</v>
      </c>
      <c r="E467" t="s">
        <v>105</v>
      </c>
      <c r="F467">
        <v>3</v>
      </c>
      <c r="G467" t="s">
        <v>79</v>
      </c>
      <c r="H467" t="s">
        <v>20</v>
      </c>
      <c r="I467">
        <v>78</v>
      </c>
      <c r="J467">
        <v>99</v>
      </c>
      <c r="K467">
        <v>48</v>
      </c>
      <c r="L467">
        <v>103</v>
      </c>
      <c r="M467">
        <v>171</v>
      </c>
      <c r="N467">
        <v>80</v>
      </c>
      <c r="O467">
        <v>905</v>
      </c>
    </row>
    <row r="468" spans="1:15" x14ac:dyDescent="0.2">
      <c r="A468" t="s">
        <v>103</v>
      </c>
      <c r="B468" t="s">
        <v>16</v>
      </c>
      <c r="C468" t="s">
        <v>17</v>
      </c>
      <c r="D468" t="s">
        <v>75</v>
      </c>
      <c r="E468" t="s">
        <v>105</v>
      </c>
      <c r="F468">
        <v>3</v>
      </c>
      <c r="G468" t="s">
        <v>79</v>
      </c>
      <c r="H468" t="s">
        <v>21</v>
      </c>
      <c r="I468">
        <v>6</v>
      </c>
      <c r="J468">
        <v>44</v>
      </c>
      <c r="K468">
        <v>18</v>
      </c>
      <c r="L468">
        <v>103</v>
      </c>
      <c r="M468">
        <v>171</v>
      </c>
      <c r="N468">
        <v>80</v>
      </c>
      <c r="O468">
        <v>905</v>
      </c>
    </row>
    <row r="469" spans="1:15" x14ac:dyDescent="0.2">
      <c r="A469" t="s">
        <v>103</v>
      </c>
      <c r="B469" t="s">
        <v>16</v>
      </c>
      <c r="C469" t="s">
        <v>17</v>
      </c>
      <c r="D469" t="s">
        <v>75</v>
      </c>
      <c r="E469" t="s">
        <v>105</v>
      </c>
      <c r="F469">
        <v>3</v>
      </c>
      <c r="G469" t="s">
        <v>79</v>
      </c>
      <c r="H469" t="s">
        <v>22</v>
      </c>
      <c r="I469">
        <v>1</v>
      </c>
      <c r="J469">
        <v>22</v>
      </c>
      <c r="K469">
        <v>11</v>
      </c>
      <c r="L469">
        <v>103</v>
      </c>
      <c r="M469">
        <v>171</v>
      </c>
      <c r="N469">
        <v>80</v>
      </c>
      <c r="O469">
        <v>905</v>
      </c>
    </row>
    <row r="470" spans="1:15" x14ac:dyDescent="0.2">
      <c r="A470" t="s">
        <v>103</v>
      </c>
      <c r="B470" t="s">
        <v>16</v>
      </c>
      <c r="C470" t="s">
        <v>17</v>
      </c>
      <c r="D470" t="s">
        <v>75</v>
      </c>
      <c r="E470" t="s">
        <v>105</v>
      </c>
      <c r="F470">
        <v>3</v>
      </c>
      <c r="G470" t="s">
        <v>79</v>
      </c>
      <c r="H470" t="s">
        <v>23</v>
      </c>
      <c r="I470">
        <v>19</v>
      </c>
      <c r="J470">
        <v>6</v>
      </c>
      <c r="K470">
        <v>3</v>
      </c>
      <c r="L470">
        <v>103</v>
      </c>
      <c r="M470">
        <v>171</v>
      </c>
      <c r="N470">
        <v>80</v>
      </c>
      <c r="O470">
        <v>905</v>
      </c>
    </row>
    <row r="471" spans="1:15" x14ac:dyDescent="0.2">
      <c r="A471" t="s">
        <v>103</v>
      </c>
      <c r="B471" t="s">
        <v>16</v>
      </c>
      <c r="C471" t="s">
        <v>17</v>
      </c>
      <c r="D471" t="s">
        <v>75</v>
      </c>
      <c r="E471" t="s">
        <v>105</v>
      </c>
      <c r="F471">
        <v>3</v>
      </c>
      <c r="G471" t="s">
        <v>79</v>
      </c>
      <c r="H471" t="s">
        <v>24</v>
      </c>
      <c r="I471">
        <v>0</v>
      </c>
      <c r="J471">
        <v>0</v>
      </c>
      <c r="K471">
        <v>0</v>
      </c>
      <c r="L471">
        <v>103</v>
      </c>
      <c r="M471">
        <v>171</v>
      </c>
      <c r="N471">
        <v>80</v>
      </c>
      <c r="O471">
        <v>905</v>
      </c>
    </row>
    <row r="472" spans="1:15" x14ac:dyDescent="0.2">
      <c r="A472" t="s">
        <v>103</v>
      </c>
      <c r="B472" t="s">
        <v>16</v>
      </c>
      <c r="C472" t="s">
        <v>17</v>
      </c>
      <c r="D472" t="s">
        <v>75</v>
      </c>
      <c r="E472" t="s">
        <v>104</v>
      </c>
      <c r="F472">
        <v>3</v>
      </c>
      <c r="G472" t="s">
        <v>77</v>
      </c>
      <c r="H472" t="s">
        <v>20</v>
      </c>
      <c r="I472">
        <v>74</v>
      </c>
      <c r="J472">
        <v>85</v>
      </c>
      <c r="K472">
        <v>29</v>
      </c>
      <c r="L472">
        <v>99</v>
      </c>
      <c r="M472">
        <v>227</v>
      </c>
      <c r="N472">
        <v>87</v>
      </c>
      <c r="O472">
        <v>887</v>
      </c>
    </row>
    <row r="473" spans="1:15" x14ac:dyDescent="0.2">
      <c r="A473" t="s">
        <v>103</v>
      </c>
      <c r="B473" t="s">
        <v>16</v>
      </c>
      <c r="C473" t="s">
        <v>17</v>
      </c>
      <c r="D473" t="s">
        <v>75</v>
      </c>
      <c r="E473" t="s">
        <v>104</v>
      </c>
      <c r="F473">
        <v>3</v>
      </c>
      <c r="G473" t="s">
        <v>77</v>
      </c>
      <c r="H473" t="s">
        <v>21</v>
      </c>
      <c r="I473">
        <v>8</v>
      </c>
      <c r="J473">
        <v>88</v>
      </c>
      <c r="K473">
        <v>32</v>
      </c>
      <c r="L473">
        <v>99</v>
      </c>
      <c r="M473">
        <v>227</v>
      </c>
      <c r="N473">
        <v>87</v>
      </c>
      <c r="O473">
        <v>887</v>
      </c>
    </row>
    <row r="474" spans="1:15" x14ac:dyDescent="0.2">
      <c r="A474" t="s">
        <v>103</v>
      </c>
      <c r="B474" t="s">
        <v>16</v>
      </c>
      <c r="C474" t="s">
        <v>17</v>
      </c>
      <c r="D474" t="s">
        <v>75</v>
      </c>
      <c r="E474" t="s">
        <v>104</v>
      </c>
      <c r="F474">
        <v>3</v>
      </c>
      <c r="G474" t="s">
        <v>77</v>
      </c>
      <c r="H474" t="s">
        <v>22</v>
      </c>
      <c r="I474">
        <v>0</v>
      </c>
      <c r="J474">
        <v>25</v>
      </c>
      <c r="K474">
        <v>9</v>
      </c>
      <c r="L474">
        <v>99</v>
      </c>
      <c r="M474">
        <v>227</v>
      </c>
      <c r="N474">
        <v>87</v>
      </c>
      <c r="O474">
        <v>887</v>
      </c>
    </row>
    <row r="475" spans="1:15" x14ac:dyDescent="0.2">
      <c r="A475" t="s">
        <v>103</v>
      </c>
      <c r="B475" t="s">
        <v>16</v>
      </c>
      <c r="C475" t="s">
        <v>17</v>
      </c>
      <c r="D475" t="s">
        <v>75</v>
      </c>
      <c r="E475" t="s">
        <v>104</v>
      </c>
      <c r="F475">
        <v>3</v>
      </c>
      <c r="G475" t="s">
        <v>77</v>
      </c>
      <c r="H475" t="s">
        <v>23</v>
      </c>
      <c r="I475">
        <v>17</v>
      </c>
      <c r="J475">
        <v>29</v>
      </c>
      <c r="K475">
        <v>17</v>
      </c>
      <c r="L475">
        <v>99</v>
      </c>
      <c r="M475">
        <v>227</v>
      </c>
      <c r="N475">
        <v>87</v>
      </c>
      <c r="O475">
        <v>887</v>
      </c>
    </row>
    <row r="476" spans="1:15" x14ac:dyDescent="0.2">
      <c r="A476" t="s">
        <v>103</v>
      </c>
      <c r="B476" t="s">
        <v>16</v>
      </c>
      <c r="C476" t="s">
        <v>17</v>
      </c>
      <c r="D476" t="s">
        <v>75</v>
      </c>
      <c r="E476" t="s">
        <v>104</v>
      </c>
      <c r="F476">
        <v>3</v>
      </c>
      <c r="G476" t="s">
        <v>77</v>
      </c>
      <c r="H476" t="s">
        <v>24</v>
      </c>
      <c r="I476">
        <v>0</v>
      </c>
      <c r="J476">
        <v>0</v>
      </c>
      <c r="K476">
        <v>0</v>
      </c>
      <c r="L476">
        <v>99</v>
      </c>
      <c r="M476">
        <v>227</v>
      </c>
      <c r="N476">
        <v>87</v>
      </c>
      <c r="O476">
        <v>887</v>
      </c>
    </row>
    <row r="477" spans="1:15" x14ac:dyDescent="0.2">
      <c r="A477" t="s">
        <v>103</v>
      </c>
      <c r="B477" t="s">
        <v>16</v>
      </c>
      <c r="C477" t="s">
        <v>17</v>
      </c>
      <c r="D477" t="s">
        <v>75</v>
      </c>
      <c r="E477" t="s">
        <v>102</v>
      </c>
      <c r="F477">
        <v>3</v>
      </c>
      <c r="G477" t="s">
        <v>73</v>
      </c>
      <c r="H477" t="s">
        <v>20</v>
      </c>
      <c r="I477">
        <v>44</v>
      </c>
      <c r="J477">
        <v>44</v>
      </c>
      <c r="K477">
        <v>0</v>
      </c>
      <c r="L477">
        <v>105</v>
      </c>
      <c r="M477">
        <v>240</v>
      </c>
      <c r="N477">
        <v>66</v>
      </c>
      <c r="O477">
        <v>911</v>
      </c>
    </row>
    <row r="478" spans="1:15" x14ac:dyDescent="0.2">
      <c r="A478" t="s">
        <v>103</v>
      </c>
      <c r="B478" t="s">
        <v>16</v>
      </c>
      <c r="C478" t="s">
        <v>17</v>
      </c>
      <c r="D478" t="s">
        <v>75</v>
      </c>
      <c r="E478" t="s">
        <v>102</v>
      </c>
      <c r="F478">
        <v>3</v>
      </c>
      <c r="G478" t="s">
        <v>73</v>
      </c>
      <c r="H478" t="s">
        <v>21</v>
      </c>
      <c r="I478">
        <v>33</v>
      </c>
      <c r="J478">
        <v>122</v>
      </c>
      <c r="K478">
        <v>36</v>
      </c>
      <c r="L478">
        <v>105</v>
      </c>
      <c r="M478">
        <v>240</v>
      </c>
      <c r="N478">
        <v>66</v>
      </c>
      <c r="O478">
        <v>911</v>
      </c>
    </row>
    <row r="479" spans="1:15" x14ac:dyDescent="0.2">
      <c r="A479" t="s">
        <v>103</v>
      </c>
      <c r="B479" t="s">
        <v>16</v>
      </c>
      <c r="C479" t="s">
        <v>17</v>
      </c>
      <c r="D479" t="s">
        <v>75</v>
      </c>
      <c r="E479" t="s">
        <v>102</v>
      </c>
      <c r="F479">
        <v>3</v>
      </c>
      <c r="G479" t="s">
        <v>73</v>
      </c>
      <c r="H479" t="s">
        <v>22</v>
      </c>
      <c r="I479">
        <v>9</v>
      </c>
      <c r="J479">
        <v>36</v>
      </c>
      <c r="K479">
        <v>14</v>
      </c>
      <c r="L479">
        <v>105</v>
      </c>
      <c r="M479">
        <v>240</v>
      </c>
      <c r="N479">
        <v>66</v>
      </c>
      <c r="O479">
        <v>911</v>
      </c>
    </row>
    <row r="480" spans="1:15" x14ac:dyDescent="0.2">
      <c r="A480" t="s">
        <v>103</v>
      </c>
      <c r="B480" t="s">
        <v>16</v>
      </c>
      <c r="C480" t="s">
        <v>17</v>
      </c>
      <c r="D480" t="s">
        <v>75</v>
      </c>
      <c r="E480" t="s">
        <v>102</v>
      </c>
      <c r="F480">
        <v>3</v>
      </c>
      <c r="G480" t="s">
        <v>73</v>
      </c>
      <c r="H480" t="s">
        <v>23</v>
      </c>
      <c r="I480">
        <v>19</v>
      </c>
      <c r="J480">
        <v>38</v>
      </c>
      <c r="K480">
        <v>16</v>
      </c>
      <c r="L480">
        <v>105</v>
      </c>
      <c r="M480">
        <v>240</v>
      </c>
      <c r="N480">
        <v>66</v>
      </c>
      <c r="O480">
        <v>911</v>
      </c>
    </row>
    <row r="481" spans="1:15" x14ac:dyDescent="0.2">
      <c r="A481" t="s">
        <v>103</v>
      </c>
      <c r="B481" t="s">
        <v>16</v>
      </c>
      <c r="C481" t="s">
        <v>17</v>
      </c>
      <c r="D481" t="s">
        <v>75</v>
      </c>
      <c r="E481" t="s">
        <v>102</v>
      </c>
      <c r="F481">
        <v>3</v>
      </c>
      <c r="G481" t="s">
        <v>73</v>
      </c>
      <c r="H481" t="s">
        <v>24</v>
      </c>
      <c r="I481">
        <v>0</v>
      </c>
      <c r="J481">
        <v>0</v>
      </c>
      <c r="K481">
        <v>0</v>
      </c>
      <c r="L481">
        <v>105</v>
      </c>
      <c r="M481">
        <v>240</v>
      </c>
      <c r="N481">
        <v>66</v>
      </c>
      <c r="O481">
        <v>911</v>
      </c>
    </row>
    <row r="482" spans="1:15" x14ac:dyDescent="0.2">
      <c r="A482" t="s">
        <v>101</v>
      </c>
      <c r="B482" t="s">
        <v>45</v>
      </c>
      <c r="C482" t="s">
        <v>17</v>
      </c>
      <c r="D482" t="s">
        <v>75</v>
      </c>
      <c r="E482" t="s">
        <v>94</v>
      </c>
      <c r="F482">
        <v>3</v>
      </c>
      <c r="G482" t="s">
        <v>19</v>
      </c>
      <c r="H482" t="s">
        <v>20</v>
      </c>
      <c r="I482">
        <v>6</v>
      </c>
      <c r="J482">
        <v>4</v>
      </c>
      <c r="K482">
        <v>0</v>
      </c>
      <c r="L482">
        <v>16</v>
      </c>
      <c r="M482">
        <v>27</v>
      </c>
      <c r="N482">
        <v>0</v>
      </c>
      <c r="O482">
        <v>730</v>
      </c>
    </row>
    <row r="483" spans="1:15" x14ac:dyDescent="0.2">
      <c r="A483" t="s">
        <v>101</v>
      </c>
      <c r="B483" t="s">
        <v>45</v>
      </c>
      <c r="C483" t="s">
        <v>17</v>
      </c>
      <c r="D483" t="s">
        <v>75</v>
      </c>
      <c r="E483" t="s">
        <v>94</v>
      </c>
      <c r="F483">
        <v>3</v>
      </c>
      <c r="G483" t="s">
        <v>19</v>
      </c>
      <c r="H483" t="s">
        <v>21</v>
      </c>
      <c r="I483">
        <v>0</v>
      </c>
      <c r="J483">
        <v>16</v>
      </c>
      <c r="K483">
        <v>0</v>
      </c>
      <c r="L483">
        <v>16</v>
      </c>
      <c r="M483">
        <v>27</v>
      </c>
      <c r="N483">
        <v>0</v>
      </c>
      <c r="O483">
        <v>730</v>
      </c>
    </row>
    <row r="484" spans="1:15" x14ac:dyDescent="0.2">
      <c r="A484" t="s">
        <v>101</v>
      </c>
      <c r="B484" t="s">
        <v>45</v>
      </c>
      <c r="C484" t="s">
        <v>17</v>
      </c>
      <c r="D484" t="s">
        <v>75</v>
      </c>
      <c r="E484" t="s">
        <v>94</v>
      </c>
      <c r="F484">
        <v>3</v>
      </c>
      <c r="G484" t="s">
        <v>19</v>
      </c>
      <c r="H484" t="s">
        <v>22</v>
      </c>
      <c r="I484">
        <v>7</v>
      </c>
      <c r="J484">
        <v>6</v>
      </c>
      <c r="K484">
        <v>0</v>
      </c>
      <c r="L484">
        <v>16</v>
      </c>
      <c r="M484">
        <v>27</v>
      </c>
      <c r="N484">
        <v>0</v>
      </c>
      <c r="O484">
        <v>730</v>
      </c>
    </row>
    <row r="485" spans="1:15" x14ac:dyDescent="0.2">
      <c r="A485" t="s">
        <v>101</v>
      </c>
      <c r="B485" t="s">
        <v>45</v>
      </c>
      <c r="C485" t="s">
        <v>17</v>
      </c>
      <c r="D485" t="s">
        <v>75</v>
      </c>
      <c r="E485" t="s">
        <v>94</v>
      </c>
      <c r="F485">
        <v>3</v>
      </c>
      <c r="G485" t="s">
        <v>19</v>
      </c>
      <c r="H485" t="s">
        <v>23</v>
      </c>
      <c r="I485">
        <v>3</v>
      </c>
      <c r="J485">
        <v>1</v>
      </c>
      <c r="K485">
        <v>0</v>
      </c>
      <c r="L485">
        <v>16</v>
      </c>
      <c r="M485">
        <v>27</v>
      </c>
      <c r="N485">
        <v>0</v>
      </c>
      <c r="O485">
        <v>730</v>
      </c>
    </row>
    <row r="486" spans="1:15" x14ac:dyDescent="0.2">
      <c r="A486" t="s">
        <v>101</v>
      </c>
      <c r="B486" t="s">
        <v>45</v>
      </c>
      <c r="C486" t="s">
        <v>17</v>
      </c>
      <c r="D486" t="s">
        <v>75</v>
      </c>
      <c r="E486" t="s">
        <v>94</v>
      </c>
      <c r="F486">
        <v>3</v>
      </c>
      <c r="G486" t="s">
        <v>19</v>
      </c>
      <c r="H486" t="s">
        <v>24</v>
      </c>
      <c r="I486">
        <v>0</v>
      </c>
      <c r="J486">
        <v>0</v>
      </c>
      <c r="K486">
        <v>0</v>
      </c>
      <c r="L486">
        <v>16</v>
      </c>
      <c r="M486">
        <v>27</v>
      </c>
      <c r="N486">
        <v>0</v>
      </c>
      <c r="O486">
        <v>730</v>
      </c>
    </row>
    <row r="487" spans="1:15" x14ac:dyDescent="0.2">
      <c r="A487" t="s">
        <v>101</v>
      </c>
      <c r="B487" t="s">
        <v>45</v>
      </c>
      <c r="C487" t="s">
        <v>17</v>
      </c>
      <c r="D487" t="s">
        <v>75</v>
      </c>
      <c r="E487" t="s">
        <v>93</v>
      </c>
      <c r="F487">
        <v>3</v>
      </c>
      <c r="G487" t="s">
        <v>79</v>
      </c>
      <c r="H487" t="s">
        <v>20</v>
      </c>
      <c r="I487">
        <v>2</v>
      </c>
      <c r="J487">
        <v>7</v>
      </c>
      <c r="K487">
        <v>4</v>
      </c>
      <c r="L487">
        <v>5</v>
      </c>
      <c r="M487">
        <v>11</v>
      </c>
      <c r="N487">
        <v>4</v>
      </c>
      <c r="O487">
        <v>454</v>
      </c>
    </row>
    <row r="488" spans="1:15" x14ac:dyDescent="0.2">
      <c r="A488" t="s">
        <v>101</v>
      </c>
      <c r="B488" t="s">
        <v>45</v>
      </c>
      <c r="C488" t="s">
        <v>17</v>
      </c>
      <c r="D488" t="s">
        <v>75</v>
      </c>
      <c r="E488" t="s">
        <v>93</v>
      </c>
      <c r="F488">
        <v>3</v>
      </c>
      <c r="G488" t="s">
        <v>79</v>
      </c>
      <c r="H488" t="s">
        <v>21</v>
      </c>
      <c r="I488">
        <v>0</v>
      </c>
      <c r="J488">
        <v>4</v>
      </c>
      <c r="K488">
        <v>0</v>
      </c>
      <c r="L488">
        <v>5</v>
      </c>
      <c r="M488">
        <v>11</v>
      </c>
      <c r="N488">
        <v>4</v>
      </c>
      <c r="O488">
        <v>454</v>
      </c>
    </row>
    <row r="489" spans="1:15" x14ac:dyDescent="0.2">
      <c r="A489" t="s">
        <v>101</v>
      </c>
      <c r="B489" t="s">
        <v>45</v>
      </c>
      <c r="C489" t="s">
        <v>17</v>
      </c>
      <c r="D489" t="s">
        <v>75</v>
      </c>
      <c r="E489" t="s">
        <v>93</v>
      </c>
      <c r="F489">
        <v>3</v>
      </c>
      <c r="G489" t="s">
        <v>79</v>
      </c>
      <c r="H489" t="s">
        <v>22</v>
      </c>
      <c r="I489">
        <v>3</v>
      </c>
      <c r="J489">
        <v>0</v>
      </c>
      <c r="K489">
        <v>0</v>
      </c>
      <c r="L489">
        <v>5</v>
      </c>
      <c r="M489">
        <v>11</v>
      </c>
      <c r="N489">
        <v>4</v>
      </c>
      <c r="O489">
        <v>454</v>
      </c>
    </row>
    <row r="490" spans="1:15" x14ac:dyDescent="0.2">
      <c r="A490" t="s">
        <v>101</v>
      </c>
      <c r="B490" t="s">
        <v>45</v>
      </c>
      <c r="C490" t="s">
        <v>17</v>
      </c>
      <c r="D490" t="s">
        <v>75</v>
      </c>
      <c r="E490" t="s">
        <v>93</v>
      </c>
      <c r="F490">
        <v>3</v>
      </c>
      <c r="G490" t="s">
        <v>79</v>
      </c>
      <c r="H490" t="s">
        <v>23</v>
      </c>
      <c r="I490">
        <v>0</v>
      </c>
      <c r="J490">
        <v>0</v>
      </c>
      <c r="K490">
        <v>0</v>
      </c>
      <c r="L490">
        <v>5</v>
      </c>
      <c r="M490">
        <v>11</v>
      </c>
      <c r="N490">
        <v>4</v>
      </c>
      <c r="O490">
        <v>454</v>
      </c>
    </row>
    <row r="491" spans="1:15" x14ac:dyDescent="0.2">
      <c r="A491" t="s">
        <v>101</v>
      </c>
      <c r="B491" t="s">
        <v>45</v>
      </c>
      <c r="C491" t="s">
        <v>17</v>
      </c>
      <c r="D491" t="s">
        <v>75</v>
      </c>
      <c r="E491" t="s">
        <v>93</v>
      </c>
      <c r="F491">
        <v>3</v>
      </c>
      <c r="G491" t="s">
        <v>79</v>
      </c>
      <c r="H491" t="s">
        <v>24</v>
      </c>
      <c r="I491">
        <v>0</v>
      </c>
      <c r="J491">
        <v>0</v>
      </c>
      <c r="K491">
        <v>0</v>
      </c>
      <c r="L491">
        <v>5</v>
      </c>
      <c r="M491">
        <v>11</v>
      </c>
      <c r="N491">
        <v>4</v>
      </c>
      <c r="O491">
        <v>454</v>
      </c>
    </row>
    <row r="492" spans="1:15" x14ac:dyDescent="0.2">
      <c r="A492" t="s">
        <v>101</v>
      </c>
      <c r="B492" t="s">
        <v>45</v>
      </c>
      <c r="C492" t="s">
        <v>17</v>
      </c>
      <c r="D492" t="s">
        <v>75</v>
      </c>
      <c r="E492" t="s">
        <v>92</v>
      </c>
      <c r="F492">
        <v>3</v>
      </c>
      <c r="G492" t="s">
        <v>77</v>
      </c>
      <c r="H492" t="s">
        <v>20</v>
      </c>
      <c r="I492">
        <v>5</v>
      </c>
      <c r="J492">
        <v>8</v>
      </c>
      <c r="K492">
        <v>3</v>
      </c>
      <c r="L492">
        <v>6</v>
      </c>
      <c r="M492">
        <v>15</v>
      </c>
      <c r="N492">
        <v>3</v>
      </c>
      <c r="O492">
        <v>451</v>
      </c>
    </row>
    <row r="493" spans="1:15" x14ac:dyDescent="0.2">
      <c r="A493" t="s">
        <v>101</v>
      </c>
      <c r="B493" t="s">
        <v>45</v>
      </c>
      <c r="C493" t="s">
        <v>17</v>
      </c>
      <c r="D493" t="s">
        <v>75</v>
      </c>
      <c r="E493" t="s">
        <v>92</v>
      </c>
      <c r="F493">
        <v>3</v>
      </c>
      <c r="G493" t="s">
        <v>77</v>
      </c>
      <c r="H493" t="s">
        <v>21</v>
      </c>
      <c r="I493">
        <v>0</v>
      </c>
      <c r="J493">
        <v>6</v>
      </c>
      <c r="K493">
        <v>0</v>
      </c>
      <c r="L493">
        <v>6</v>
      </c>
      <c r="M493">
        <v>15</v>
      </c>
      <c r="N493">
        <v>3</v>
      </c>
      <c r="O493">
        <v>451</v>
      </c>
    </row>
    <row r="494" spans="1:15" x14ac:dyDescent="0.2">
      <c r="A494" t="s">
        <v>101</v>
      </c>
      <c r="B494" t="s">
        <v>45</v>
      </c>
      <c r="C494" t="s">
        <v>17</v>
      </c>
      <c r="D494" t="s">
        <v>75</v>
      </c>
      <c r="E494" t="s">
        <v>92</v>
      </c>
      <c r="F494">
        <v>3</v>
      </c>
      <c r="G494" t="s">
        <v>77</v>
      </c>
      <c r="H494" t="s">
        <v>22</v>
      </c>
      <c r="I494">
        <v>1</v>
      </c>
      <c r="J494">
        <v>0</v>
      </c>
      <c r="K494">
        <v>0</v>
      </c>
      <c r="L494">
        <v>6</v>
      </c>
      <c r="M494">
        <v>15</v>
      </c>
      <c r="N494">
        <v>3</v>
      </c>
      <c r="O494">
        <v>451</v>
      </c>
    </row>
    <row r="495" spans="1:15" x14ac:dyDescent="0.2">
      <c r="A495" t="s">
        <v>101</v>
      </c>
      <c r="B495" t="s">
        <v>45</v>
      </c>
      <c r="C495" t="s">
        <v>17</v>
      </c>
      <c r="D495" t="s">
        <v>75</v>
      </c>
      <c r="E495" t="s">
        <v>92</v>
      </c>
      <c r="F495">
        <v>3</v>
      </c>
      <c r="G495" t="s">
        <v>77</v>
      </c>
      <c r="H495" t="s">
        <v>23</v>
      </c>
      <c r="I495">
        <v>0</v>
      </c>
      <c r="J495">
        <v>1</v>
      </c>
      <c r="K495">
        <v>0</v>
      </c>
      <c r="L495">
        <v>6</v>
      </c>
      <c r="M495">
        <v>15</v>
      </c>
      <c r="N495">
        <v>3</v>
      </c>
      <c r="O495">
        <v>451</v>
      </c>
    </row>
    <row r="496" spans="1:15" x14ac:dyDescent="0.2">
      <c r="A496" t="s">
        <v>101</v>
      </c>
      <c r="B496" t="s">
        <v>45</v>
      </c>
      <c r="C496" t="s">
        <v>17</v>
      </c>
      <c r="D496" t="s">
        <v>75</v>
      </c>
      <c r="E496" t="s">
        <v>92</v>
      </c>
      <c r="F496">
        <v>3</v>
      </c>
      <c r="G496" t="s">
        <v>77</v>
      </c>
      <c r="H496" t="s">
        <v>24</v>
      </c>
      <c r="I496">
        <v>0</v>
      </c>
      <c r="J496">
        <v>0</v>
      </c>
      <c r="K496">
        <v>0</v>
      </c>
      <c r="L496">
        <v>6</v>
      </c>
      <c r="M496">
        <v>15</v>
      </c>
      <c r="N496">
        <v>3</v>
      </c>
      <c r="O496">
        <v>451</v>
      </c>
    </row>
    <row r="497" spans="1:15" x14ac:dyDescent="0.2">
      <c r="A497" t="s">
        <v>101</v>
      </c>
      <c r="B497" t="s">
        <v>45</v>
      </c>
      <c r="C497" t="s">
        <v>17</v>
      </c>
      <c r="D497" t="s">
        <v>75</v>
      </c>
      <c r="E497" t="s">
        <v>90</v>
      </c>
      <c r="F497">
        <v>3</v>
      </c>
      <c r="G497" t="s">
        <v>73</v>
      </c>
      <c r="H497" t="s">
        <v>20</v>
      </c>
      <c r="I497">
        <v>0</v>
      </c>
      <c r="J497">
        <v>1</v>
      </c>
      <c r="K497">
        <v>0</v>
      </c>
      <c r="L497">
        <v>3</v>
      </c>
      <c r="M497">
        <v>8</v>
      </c>
      <c r="N497">
        <v>4</v>
      </c>
      <c r="O497">
        <v>431</v>
      </c>
    </row>
    <row r="498" spans="1:15" x14ac:dyDescent="0.2">
      <c r="A498" t="s">
        <v>101</v>
      </c>
      <c r="B498" t="s">
        <v>45</v>
      </c>
      <c r="C498" t="s">
        <v>17</v>
      </c>
      <c r="D498" t="s">
        <v>75</v>
      </c>
      <c r="E498" t="s">
        <v>90</v>
      </c>
      <c r="F498">
        <v>3</v>
      </c>
      <c r="G498" t="s">
        <v>73</v>
      </c>
      <c r="H498" t="s">
        <v>21</v>
      </c>
      <c r="I498">
        <v>2</v>
      </c>
      <c r="J498">
        <v>4</v>
      </c>
      <c r="K498">
        <v>2</v>
      </c>
      <c r="L498">
        <v>3</v>
      </c>
      <c r="M498">
        <v>8</v>
      </c>
      <c r="N498">
        <v>4</v>
      </c>
      <c r="O498">
        <v>431</v>
      </c>
    </row>
    <row r="499" spans="1:15" x14ac:dyDescent="0.2">
      <c r="A499" t="s">
        <v>101</v>
      </c>
      <c r="B499" t="s">
        <v>45</v>
      </c>
      <c r="C499" t="s">
        <v>17</v>
      </c>
      <c r="D499" t="s">
        <v>75</v>
      </c>
      <c r="E499" t="s">
        <v>90</v>
      </c>
      <c r="F499">
        <v>3</v>
      </c>
      <c r="G499" t="s">
        <v>73</v>
      </c>
      <c r="H499" t="s">
        <v>22</v>
      </c>
      <c r="I499">
        <v>0</v>
      </c>
      <c r="J499">
        <v>2</v>
      </c>
      <c r="K499">
        <v>1</v>
      </c>
      <c r="L499">
        <v>3</v>
      </c>
      <c r="M499">
        <v>8</v>
      </c>
      <c r="N499">
        <v>4</v>
      </c>
      <c r="O499">
        <v>431</v>
      </c>
    </row>
    <row r="500" spans="1:15" x14ac:dyDescent="0.2">
      <c r="A500" t="s">
        <v>101</v>
      </c>
      <c r="B500" t="s">
        <v>45</v>
      </c>
      <c r="C500" t="s">
        <v>17</v>
      </c>
      <c r="D500" t="s">
        <v>75</v>
      </c>
      <c r="E500" t="s">
        <v>90</v>
      </c>
      <c r="F500">
        <v>3</v>
      </c>
      <c r="G500" t="s">
        <v>73</v>
      </c>
      <c r="H500" t="s">
        <v>23</v>
      </c>
      <c r="I500">
        <v>1</v>
      </c>
      <c r="J500">
        <v>1</v>
      </c>
      <c r="K500">
        <v>1</v>
      </c>
      <c r="L500">
        <v>3</v>
      </c>
      <c r="M500">
        <v>8</v>
      </c>
      <c r="N500">
        <v>4</v>
      </c>
      <c r="O500">
        <v>431</v>
      </c>
    </row>
    <row r="501" spans="1:15" x14ac:dyDescent="0.2">
      <c r="A501" t="s">
        <v>101</v>
      </c>
      <c r="B501" t="s">
        <v>45</v>
      </c>
      <c r="C501" t="s">
        <v>17</v>
      </c>
      <c r="D501" t="s">
        <v>75</v>
      </c>
      <c r="E501" t="s">
        <v>90</v>
      </c>
      <c r="F501">
        <v>3</v>
      </c>
      <c r="G501" t="s">
        <v>73</v>
      </c>
      <c r="H501" t="s">
        <v>24</v>
      </c>
      <c r="I501">
        <v>0</v>
      </c>
      <c r="J501">
        <v>0</v>
      </c>
      <c r="K501">
        <v>0</v>
      </c>
      <c r="L501">
        <v>3</v>
      </c>
      <c r="M501">
        <v>8</v>
      </c>
      <c r="N501">
        <v>4</v>
      </c>
      <c r="O501">
        <v>431</v>
      </c>
    </row>
    <row r="502" spans="1:15" x14ac:dyDescent="0.2">
      <c r="A502" t="s">
        <v>100</v>
      </c>
      <c r="B502" t="s">
        <v>37</v>
      </c>
      <c r="C502" t="s">
        <v>17</v>
      </c>
      <c r="D502" t="s">
        <v>75</v>
      </c>
      <c r="E502" t="s">
        <v>94</v>
      </c>
      <c r="F502">
        <v>3</v>
      </c>
      <c r="G502" t="s">
        <v>19</v>
      </c>
      <c r="H502" t="s">
        <v>20</v>
      </c>
      <c r="I502">
        <v>40</v>
      </c>
      <c r="J502">
        <v>16</v>
      </c>
      <c r="K502">
        <v>0</v>
      </c>
      <c r="L502">
        <v>60</v>
      </c>
      <c r="M502">
        <v>19</v>
      </c>
      <c r="N502">
        <v>0</v>
      </c>
      <c r="O502">
        <v>994</v>
      </c>
    </row>
    <row r="503" spans="1:15" x14ac:dyDescent="0.2">
      <c r="A503" t="s">
        <v>100</v>
      </c>
      <c r="B503" t="s">
        <v>37</v>
      </c>
      <c r="C503" t="s">
        <v>17</v>
      </c>
      <c r="D503" t="s">
        <v>75</v>
      </c>
      <c r="E503" t="s">
        <v>94</v>
      </c>
      <c r="F503">
        <v>3</v>
      </c>
      <c r="G503" t="s">
        <v>19</v>
      </c>
      <c r="H503" t="s">
        <v>21</v>
      </c>
      <c r="I503">
        <v>8</v>
      </c>
      <c r="J503">
        <v>1</v>
      </c>
      <c r="K503">
        <v>0</v>
      </c>
      <c r="L503">
        <v>60</v>
      </c>
      <c r="M503">
        <v>19</v>
      </c>
      <c r="N503">
        <v>0</v>
      </c>
      <c r="O503">
        <v>994</v>
      </c>
    </row>
    <row r="504" spans="1:15" x14ac:dyDescent="0.2">
      <c r="A504" t="s">
        <v>100</v>
      </c>
      <c r="B504" t="s">
        <v>37</v>
      </c>
      <c r="C504" t="s">
        <v>17</v>
      </c>
      <c r="D504" t="s">
        <v>75</v>
      </c>
      <c r="E504" t="s">
        <v>94</v>
      </c>
      <c r="F504">
        <v>3</v>
      </c>
      <c r="G504" t="s">
        <v>19</v>
      </c>
      <c r="H504" t="s">
        <v>22</v>
      </c>
      <c r="I504">
        <v>5</v>
      </c>
      <c r="J504">
        <v>1</v>
      </c>
      <c r="K504">
        <v>0</v>
      </c>
      <c r="L504">
        <v>60</v>
      </c>
      <c r="M504">
        <v>19</v>
      </c>
      <c r="N504">
        <v>0</v>
      </c>
      <c r="O504">
        <v>994</v>
      </c>
    </row>
    <row r="505" spans="1:15" x14ac:dyDescent="0.2">
      <c r="A505" t="s">
        <v>100</v>
      </c>
      <c r="B505" t="s">
        <v>37</v>
      </c>
      <c r="C505" t="s">
        <v>17</v>
      </c>
      <c r="D505" t="s">
        <v>75</v>
      </c>
      <c r="E505" t="s">
        <v>94</v>
      </c>
      <c r="F505">
        <v>3</v>
      </c>
      <c r="G505" t="s">
        <v>19</v>
      </c>
      <c r="H505" t="s">
        <v>23</v>
      </c>
      <c r="I505">
        <v>7</v>
      </c>
      <c r="J505">
        <v>1</v>
      </c>
      <c r="K505">
        <v>0</v>
      </c>
      <c r="L505">
        <v>60</v>
      </c>
      <c r="M505">
        <v>19</v>
      </c>
      <c r="N505">
        <v>0</v>
      </c>
      <c r="O505">
        <v>994</v>
      </c>
    </row>
    <row r="506" spans="1:15" x14ac:dyDescent="0.2">
      <c r="A506" t="s">
        <v>100</v>
      </c>
      <c r="B506" t="s">
        <v>37</v>
      </c>
      <c r="C506" t="s">
        <v>17</v>
      </c>
      <c r="D506" t="s">
        <v>75</v>
      </c>
      <c r="E506" t="s">
        <v>94</v>
      </c>
      <c r="F506">
        <v>3</v>
      </c>
      <c r="G506" t="s">
        <v>19</v>
      </c>
      <c r="H506" t="s">
        <v>24</v>
      </c>
      <c r="I506">
        <v>0</v>
      </c>
      <c r="J506">
        <v>0</v>
      </c>
      <c r="K506">
        <v>0</v>
      </c>
      <c r="L506">
        <v>60</v>
      </c>
      <c r="M506">
        <v>19</v>
      </c>
      <c r="N506">
        <v>0</v>
      </c>
      <c r="O506">
        <v>994</v>
      </c>
    </row>
    <row r="507" spans="1:15" x14ac:dyDescent="0.2">
      <c r="A507" t="s">
        <v>100</v>
      </c>
      <c r="B507" t="s">
        <v>37</v>
      </c>
      <c r="C507" t="s">
        <v>17</v>
      </c>
      <c r="D507" t="s">
        <v>75</v>
      </c>
      <c r="E507" t="s">
        <v>93</v>
      </c>
      <c r="F507">
        <v>3</v>
      </c>
      <c r="G507" t="s">
        <v>79</v>
      </c>
      <c r="H507" t="s">
        <v>20</v>
      </c>
      <c r="I507">
        <v>10</v>
      </c>
      <c r="J507">
        <v>14</v>
      </c>
      <c r="K507">
        <v>7</v>
      </c>
      <c r="L507">
        <v>19</v>
      </c>
      <c r="M507">
        <v>25</v>
      </c>
      <c r="N507">
        <v>11</v>
      </c>
      <c r="O507">
        <v>920</v>
      </c>
    </row>
    <row r="508" spans="1:15" x14ac:dyDescent="0.2">
      <c r="A508" t="s">
        <v>100</v>
      </c>
      <c r="B508" t="s">
        <v>37</v>
      </c>
      <c r="C508" t="s">
        <v>17</v>
      </c>
      <c r="D508" t="s">
        <v>75</v>
      </c>
      <c r="E508" t="s">
        <v>93</v>
      </c>
      <c r="F508">
        <v>3</v>
      </c>
      <c r="G508" t="s">
        <v>79</v>
      </c>
      <c r="H508" t="s">
        <v>21</v>
      </c>
      <c r="I508">
        <v>2</v>
      </c>
      <c r="J508">
        <v>7</v>
      </c>
      <c r="K508">
        <v>2</v>
      </c>
      <c r="L508">
        <v>19</v>
      </c>
      <c r="M508">
        <v>25</v>
      </c>
      <c r="N508">
        <v>11</v>
      </c>
      <c r="O508">
        <v>920</v>
      </c>
    </row>
    <row r="509" spans="1:15" x14ac:dyDescent="0.2">
      <c r="A509" t="s">
        <v>100</v>
      </c>
      <c r="B509" t="s">
        <v>37</v>
      </c>
      <c r="C509" t="s">
        <v>17</v>
      </c>
      <c r="D509" t="s">
        <v>75</v>
      </c>
      <c r="E509" t="s">
        <v>93</v>
      </c>
      <c r="F509">
        <v>3</v>
      </c>
      <c r="G509" t="s">
        <v>79</v>
      </c>
      <c r="H509" t="s">
        <v>22</v>
      </c>
      <c r="I509">
        <v>4</v>
      </c>
      <c r="J509">
        <v>1</v>
      </c>
      <c r="K509">
        <v>1</v>
      </c>
      <c r="L509">
        <v>19</v>
      </c>
      <c r="M509">
        <v>25</v>
      </c>
      <c r="N509">
        <v>11</v>
      </c>
      <c r="O509">
        <v>920</v>
      </c>
    </row>
    <row r="510" spans="1:15" x14ac:dyDescent="0.2">
      <c r="A510" t="s">
        <v>100</v>
      </c>
      <c r="B510" t="s">
        <v>37</v>
      </c>
      <c r="C510" t="s">
        <v>17</v>
      </c>
      <c r="D510" t="s">
        <v>75</v>
      </c>
      <c r="E510" t="s">
        <v>93</v>
      </c>
      <c r="F510">
        <v>3</v>
      </c>
      <c r="G510" t="s">
        <v>79</v>
      </c>
      <c r="H510" t="s">
        <v>23</v>
      </c>
      <c r="I510">
        <v>3</v>
      </c>
      <c r="J510">
        <v>3</v>
      </c>
      <c r="K510">
        <v>1</v>
      </c>
      <c r="L510">
        <v>19</v>
      </c>
      <c r="M510">
        <v>25</v>
      </c>
      <c r="N510">
        <v>11</v>
      </c>
      <c r="O510">
        <v>920</v>
      </c>
    </row>
    <row r="511" spans="1:15" x14ac:dyDescent="0.2">
      <c r="A511" t="s">
        <v>100</v>
      </c>
      <c r="B511" t="s">
        <v>37</v>
      </c>
      <c r="C511" t="s">
        <v>17</v>
      </c>
      <c r="D511" t="s">
        <v>75</v>
      </c>
      <c r="E511" t="s">
        <v>93</v>
      </c>
      <c r="F511">
        <v>3</v>
      </c>
      <c r="G511" t="s">
        <v>79</v>
      </c>
      <c r="H511" t="s">
        <v>24</v>
      </c>
      <c r="I511">
        <v>0</v>
      </c>
      <c r="J511">
        <v>0</v>
      </c>
      <c r="K511">
        <v>0</v>
      </c>
      <c r="L511">
        <v>19</v>
      </c>
      <c r="M511">
        <v>25</v>
      </c>
      <c r="N511">
        <v>11</v>
      </c>
      <c r="O511">
        <v>920</v>
      </c>
    </row>
    <row r="512" spans="1:15" x14ac:dyDescent="0.2">
      <c r="A512" t="s">
        <v>100</v>
      </c>
      <c r="B512" t="s">
        <v>37</v>
      </c>
      <c r="C512" t="s">
        <v>17</v>
      </c>
      <c r="D512" t="s">
        <v>75</v>
      </c>
      <c r="E512" t="s">
        <v>92</v>
      </c>
      <c r="F512">
        <v>3</v>
      </c>
      <c r="G512" t="s">
        <v>77</v>
      </c>
      <c r="H512" t="s">
        <v>20</v>
      </c>
      <c r="I512">
        <v>13</v>
      </c>
      <c r="J512">
        <v>9</v>
      </c>
      <c r="K512">
        <v>2</v>
      </c>
      <c r="L512">
        <v>22</v>
      </c>
      <c r="M512">
        <v>18</v>
      </c>
      <c r="N512">
        <v>7</v>
      </c>
      <c r="O512">
        <v>928</v>
      </c>
    </row>
    <row r="513" spans="1:15" x14ac:dyDescent="0.2">
      <c r="A513" t="s">
        <v>100</v>
      </c>
      <c r="B513" t="s">
        <v>37</v>
      </c>
      <c r="C513" t="s">
        <v>17</v>
      </c>
      <c r="D513" t="s">
        <v>75</v>
      </c>
      <c r="E513" t="s">
        <v>92</v>
      </c>
      <c r="F513">
        <v>3</v>
      </c>
      <c r="G513" t="s">
        <v>77</v>
      </c>
      <c r="H513" t="s">
        <v>21</v>
      </c>
      <c r="I513">
        <v>2</v>
      </c>
      <c r="J513">
        <v>4</v>
      </c>
      <c r="K513">
        <v>2</v>
      </c>
      <c r="L513">
        <v>22</v>
      </c>
      <c r="M513">
        <v>18</v>
      </c>
      <c r="N513">
        <v>7</v>
      </c>
      <c r="O513">
        <v>928</v>
      </c>
    </row>
    <row r="514" spans="1:15" x14ac:dyDescent="0.2">
      <c r="A514" t="s">
        <v>100</v>
      </c>
      <c r="B514" t="s">
        <v>37</v>
      </c>
      <c r="C514" t="s">
        <v>17</v>
      </c>
      <c r="D514" t="s">
        <v>75</v>
      </c>
      <c r="E514" t="s">
        <v>92</v>
      </c>
      <c r="F514">
        <v>3</v>
      </c>
      <c r="G514" t="s">
        <v>77</v>
      </c>
      <c r="H514" t="s">
        <v>22</v>
      </c>
      <c r="I514">
        <v>2</v>
      </c>
      <c r="J514">
        <v>2</v>
      </c>
      <c r="K514">
        <v>1</v>
      </c>
      <c r="L514">
        <v>22</v>
      </c>
      <c r="M514">
        <v>18</v>
      </c>
      <c r="N514">
        <v>7</v>
      </c>
      <c r="O514">
        <v>928</v>
      </c>
    </row>
    <row r="515" spans="1:15" x14ac:dyDescent="0.2">
      <c r="A515" t="s">
        <v>100</v>
      </c>
      <c r="B515" t="s">
        <v>37</v>
      </c>
      <c r="C515" t="s">
        <v>17</v>
      </c>
      <c r="D515" t="s">
        <v>75</v>
      </c>
      <c r="E515" t="s">
        <v>92</v>
      </c>
      <c r="F515">
        <v>3</v>
      </c>
      <c r="G515" t="s">
        <v>77</v>
      </c>
      <c r="H515" t="s">
        <v>23</v>
      </c>
      <c r="I515">
        <v>5</v>
      </c>
      <c r="J515">
        <v>3</v>
      </c>
      <c r="K515">
        <v>2</v>
      </c>
      <c r="L515">
        <v>22</v>
      </c>
      <c r="M515">
        <v>18</v>
      </c>
      <c r="N515">
        <v>7</v>
      </c>
      <c r="O515">
        <v>928</v>
      </c>
    </row>
    <row r="516" spans="1:15" x14ac:dyDescent="0.2">
      <c r="A516" t="s">
        <v>100</v>
      </c>
      <c r="B516" t="s">
        <v>37</v>
      </c>
      <c r="C516" t="s">
        <v>17</v>
      </c>
      <c r="D516" t="s">
        <v>75</v>
      </c>
      <c r="E516" t="s">
        <v>92</v>
      </c>
      <c r="F516">
        <v>3</v>
      </c>
      <c r="G516" t="s">
        <v>77</v>
      </c>
      <c r="H516" t="s">
        <v>24</v>
      </c>
      <c r="I516">
        <v>0</v>
      </c>
      <c r="J516">
        <v>0</v>
      </c>
      <c r="K516">
        <v>0</v>
      </c>
      <c r="L516">
        <v>22</v>
      </c>
      <c r="M516">
        <v>18</v>
      </c>
      <c r="N516">
        <v>7</v>
      </c>
      <c r="O516">
        <v>928</v>
      </c>
    </row>
    <row r="517" spans="1:15" x14ac:dyDescent="0.2">
      <c r="A517" t="s">
        <v>100</v>
      </c>
      <c r="B517" t="s">
        <v>37</v>
      </c>
      <c r="C517" t="s">
        <v>17</v>
      </c>
      <c r="D517" t="s">
        <v>75</v>
      </c>
      <c r="E517" t="s">
        <v>90</v>
      </c>
      <c r="F517">
        <v>3</v>
      </c>
      <c r="G517" t="s">
        <v>73</v>
      </c>
      <c r="H517" t="s">
        <v>20</v>
      </c>
      <c r="I517">
        <v>7</v>
      </c>
      <c r="J517">
        <v>2</v>
      </c>
      <c r="K517">
        <v>1</v>
      </c>
      <c r="L517">
        <v>17</v>
      </c>
      <c r="M517">
        <v>15</v>
      </c>
      <c r="N517">
        <v>10</v>
      </c>
      <c r="O517">
        <v>923</v>
      </c>
    </row>
    <row r="518" spans="1:15" x14ac:dyDescent="0.2">
      <c r="A518" t="s">
        <v>100</v>
      </c>
      <c r="B518" t="s">
        <v>37</v>
      </c>
      <c r="C518" t="s">
        <v>17</v>
      </c>
      <c r="D518" t="s">
        <v>75</v>
      </c>
      <c r="E518" t="s">
        <v>90</v>
      </c>
      <c r="F518">
        <v>3</v>
      </c>
      <c r="G518" t="s">
        <v>73</v>
      </c>
      <c r="H518" t="s">
        <v>21</v>
      </c>
      <c r="I518">
        <v>6</v>
      </c>
      <c r="J518">
        <v>7</v>
      </c>
      <c r="K518">
        <v>4</v>
      </c>
      <c r="L518">
        <v>17</v>
      </c>
      <c r="M518">
        <v>15</v>
      </c>
      <c r="N518">
        <v>10</v>
      </c>
      <c r="O518">
        <v>923</v>
      </c>
    </row>
    <row r="519" spans="1:15" x14ac:dyDescent="0.2">
      <c r="A519" t="s">
        <v>100</v>
      </c>
      <c r="B519" t="s">
        <v>37</v>
      </c>
      <c r="C519" t="s">
        <v>17</v>
      </c>
      <c r="D519" t="s">
        <v>75</v>
      </c>
      <c r="E519" t="s">
        <v>90</v>
      </c>
      <c r="F519">
        <v>3</v>
      </c>
      <c r="G519" t="s">
        <v>73</v>
      </c>
      <c r="H519" t="s">
        <v>22</v>
      </c>
      <c r="I519">
        <v>1</v>
      </c>
      <c r="J519">
        <v>2</v>
      </c>
      <c r="K519">
        <v>2</v>
      </c>
      <c r="L519">
        <v>17</v>
      </c>
      <c r="M519">
        <v>15</v>
      </c>
      <c r="N519">
        <v>10</v>
      </c>
      <c r="O519">
        <v>923</v>
      </c>
    </row>
    <row r="520" spans="1:15" x14ac:dyDescent="0.2">
      <c r="A520" t="s">
        <v>100</v>
      </c>
      <c r="B520" t="s">
        <v>37</v>
      </c>
      <c r="C520" t="s">
        <v>17</v>
      </c>
      <c r="D520" t="s">
        <v>75</v>
      </c>
      <c r="E520" t="s">
        <v>90</v>
      </c>
      <c r="F520">
        <v>3</v>
      </c>
      <c r="G520" t="s">
        <v>73</v>
      </c>
      <c r="H520" t="s">
        <v>23</v>
      </c>
      <c r="I520">
        <v>3</v>
      </c>
      <c r="J520">
        <v>4</v>
      </c>
      <c r="K520">
        <v>3</v>
      </c>
      <c r="L520">
        <v>17</v>
      </c>
      <c r="M520">
        <v>15</v>
      </c>
      <c r="N520">
        <v>10</v>
      </c>
      <c r="O520">
        <v>923</v>
      </c>
    </row>
    <row r="521" spans="1:15" x14ac:dyDescent="0.2">
      <c r="A521" t="s">
        <v>100</v>
      </c>
      <c r="B521" t="s">
        <v>37</v>
      </c>
      <c r="C521" t="s">
        <v>17</v>
      </c>
      <c r="D521" t="s">
        <v>75</v>
      </c>
      <c r="E521" t="s">
        <v>90</v>
      </c>
      <c r="F521">
        <v>3</v>
      </c>
      <c r="G521" t="s">
        <v>73</v>
      </c>
      <c r="H521" t="s">
        <v>24</v>
      </c>
      <c r="I521">
        <v>0</v>
      </c>
      <c r="J521">
        <v>0</v>
      </c>
      <c r="K521">
        <v>0</v>
      </c>
      <c r="L521">
        <v>17</v>
      </c>
      <c r="M521">
        <v>15</v>
      </c>
      <c r="N521">
        <v>10</v>
      </c>
      <c r="O521">
        <v>923</v>
      </c>
    </row>
    <row r="522" spans="1:15" x14ac:dyDescent="0.2">
      <c r="A522" t="s">
        <v>96</v>
      </c>
      <c r="B522" t="s">
        <v>83</v>
      </c>
      <c r="C522" t="s">
        <v>17</v>
      </c>
      <c r="D522" t="s">
        <v>75</v>
      </c>
      <c r="E522" t="s">
        <v>99</v>
      </c>
      <c r="F522">
        <v>3</v>
      </c>
      <c r="G522" t="s">
        <v>19</v>
      </c>
      <c r="H522" t="s">
        <v>20</v>
      </c>
      <c r="I522">
        <v>6</v>
      </c>
      <c r="J522">
        <v>0</v>
      </c>
      <c r="K522">
        <v>0</v>
      </c>
      <c r="L522">
        <v>9</v>
      </c>
      <c r="M522">
        <v>5</v>
      </c>
      <c r="N522">
        <v>0</v>
      </c>
      <c r="O522">
        <v>541</v>
      </c>
    </row>
    <row r="523" spans="1:15" x14ac:dyDescent="0.2">
      <c r="A523" t="s">
        <v>96</v>
      </c>
      <c r="B523" t="s">
        <v>83</v>
      </c>
      <c r="C523" t="s">
        <v>17</v>
      </c>
      <c r="D523" t="s">
        <v>75</v>
      </c>
      <c r="E523" t="s">
        <v>99</v>
      </c>
      <c r="F523">
        <v>3</v>
      </c>
      <c r="G523" t="s">
        <v>19</v>
      </c>
      <c r="H523" t="s">
        <v>21</v>
      </c>
      <c r="I523">
        <v>0</v>
      </c>
      <c r="J523">
        <v>0</v>
      </c>
      <c r="K523">
        <v>0</v>
      </c>
      <c r="L523">
        <v>9</v>
      </c>
      <c r="M523">
        <v>5</v>
      </c>
      <c r="N523">
        <v>0</v>
      </c>
      <c r="O523">
        <v>541</v>
      </c>
    </row>
    <row r="524" spans="1:15" x14ac:dyDescent="0.2">
      <c r="A524" t="s">
        <v>96</v>
      </c>
      <c r="B524" t="s">
        <v>83</v>
      </c>
      <c r="C524" t="s">
        <v>17</v>
      </c>
      <c r="D524" t="s">
        <v>75</v>
      </c>
      <c r="E524" t="s">
        <v>99</v>
      </c>
      <c r="F524">
        <v>3</v>
      </c>
      <c r="G524" t="s">
        <v>19</v>
      </c>
      <c r="H524" t="s">
        <v>22</v>
      </c>
      <c r="I524">
        <v>0</v>
      </c>
      <c r="J524">
        <v>0</v>
      </c>
      <c r="K524">
        <v>0</v>
      </c>
      <c r="L524">
        <v>9</v>
      </c>
      <c r="M524">
        <v>5</v>
      </c>
      <c r="N524">
        <v>0</v>
      </c>
      <c r="O524">
        <v>541</v>
      </c>
    </row>
    <row r="525" spans="1:15" x14ac:dyDescent="0.2">
      <c r="A525" t="s">
        <v>96</v>
      </c>
      <c r="B525" t="s">
        <v>83</v>
      </c>
      <c r="C525" t="s">
        <v>17</v>
      </c>
      <c r="D525" t="s">
        <v>75</v>
      </c>
      <c r="E525" t="s">
        <v>99</v>
      </c>
      <c r="F525">
        <v>3</v>
      </c>
      <c r="G525" t="s">
        <v>19</v>
      </c>
      <c r="H525" t="s">
        <v>23</v>
      </c>
      <c r="I525">
        <v>3</v>
      </c>
      <c r="J525">
        <v>5</v>
      </c>
      <c r="K525">
        <v>0</v>
      </c>
      <c r="L525">
        <v>9</v>
      </c>
      <c r="M525">
        <v>5</v>
      </c>
      <c r="N525">
        <v>0</v>
      </c>
      <c r="O525">
        <v>541</v>
      </c>
    </row>
    <row r="526" spans="1:15" x14ac:dyDescent="0.2">
      <c r="A526" t="s">
        <v>96</v>
      </c>
      <c r="B526" t="s">
        <v>83</v>
      </c>
      <c r="C526" t="s">
        <v>17</v>
      </c>
      <c r="D526" t="s">
        <v>75</v>
      </c>
      <c r="E526" t="s">
        <v>99</v>
      </c>
      <c r="F526">
        <v>3</v>
      </c>
      <c r="G526" t="s">
        <v>19</v>
      </c>
      <c r="H526" t="s">
        <v>24</v>
      </c>
      <c r="I526">
        <v>0</v>
      </c>
      <c r="J526">
        <v>0</v>
      </c>
      <c r="K526">
        <v>0</v>
      </c>
      <c r="L526">
        <v>9</v>
      </c>
      <c r="M526">
        <v>5</v>
      </c>
      <c r="N526">
        <v>0</v>
      </c>
      <c r="O526">
        <v>541</v>
      </c>
    </row>
    <row r="527" spans="1:15" x14ac:dyDescent="0.2">
      <c r="A527" t="s">
        <v>96</v>
      </c>
      <c r="B527" t="s">
        <v>83</v>
      </c>
      <c r="C527" t="s">
        <v>17</v>
      </c>
      <c r="D527" t="s">
        <v>75</v>
      </c>
      <c r="E527" t="s">
        <v>98</v>
      </c>
      <c r="F527">
        <v>3</v>
      </c>
      <c r="G527" t="s">
        <v>79</v>
      </c>
      <c r="H527" t="s">
        <v>20</v>
      </c>
      <c r="I527">
        <v>0</v>
      </c>
      <c r="J527">
        <v>2</v>
      </c>
      <c r="K527">
        <v>1</v>
      </c>
      <c r="L527">
        <v>0</v>
      </c>
      <c r="M527">
        <v>2</v>
      </c>
      <c r="N527">
        <v>1</v>
      </c>
      <c r="O527">
        <v>120</v>
      </c>
    </row>
    <row r="528" spans="1:15" x14ac:dyDescent="0.2">
      <c r="A528" t="s">
        <v>96</v>
      </c>
      <c r="B528" t="s">
        <v>83</v>
      </c>
      <c r="C528" t="s">
        <v>17</v>
      </c>
      <c r="D528" t="s">
        <v>75</v>
      </c>
      <c r="E528" t="s">
        <v>98</v>
      </c>
      <c r="F528">
        <v>3</v>
      </c>
      <c r="G528" t="s">
        <v>79</v>
      </c>
      <c r="H528" t="s">
        <v>21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1</v>
      </c>
      <c r="O528">
        <v>120</v>
      </c>
    </row>
    <row r="529" spans="1:15" x14ac:dyDescent="0.2">
      <c r="A529" t="s">
        <v>96</v>
      </c>
      <c r="B529" t="s">
        <v>83</v>
      </c>
      <c r="C529" t="s">
        <v>17</v>
      </c>
      <c r="D529" t="s">
        <v>75</v>
      </c>
      <c r="E529" t="s">
        <v>98</v>
      </c>
      <c r="F529">
        <v>3</v>
      </c>
      <c r="G529" t="s">
        <v>79</v>
      </c>
      <c r="H529" t="s">
        <v>22</v>
      </c>
      <c r="I529">
        <v>0</v>
      </c>
      <c r="J529">
        <v>0</v>
      </c>
      <c r="K529">
        <v>0</v>
      </c>
      <c r="L529">
        <v>0</v>
      </c>
      <c r="M529">
        <v>2</v>
      </c>
      <c r="N529">
        <v>1</v>
      </c>
      <c r="O529">
        <v>120</v>
      </c>
    </row>
    <row r="530" spans="1:15" x14ac:dyDescent="0.2">
      <c r="A530" t="s">
        <v>96</v>
      </c>
      <c r="B530" t="s">
        <v>83</v>
      </c>
      <c r="C530" t="s">
        <v>17</v>
      </c>
      <c r="D530" t="s">
        <v>75</v>
      </c>
      <c r="E530" t="s">
        <v>98</v>
      </c>
      <c r="F530">
        <v>3</v>
      </c>
      <c r="G530" t="s">
        <v>79</v>
      </c>
      <c r="H530" t="s">
        <v>23</v>
      </c>
      <c r="I530">
        <v>0</v>
      </c>
      <c r="J530">
        <v>0</v>
      </c>
      <c r="K530">
        <v>0</v>
      </c>
      <c r="L530">
        <v>0</v>
      </c>
      <c r="M530">
        <v>2</v>
      </c>
      <c r="N530">
        <v>1</v>
      </c>
      <c r="O530">
        <v>120</v>
      </c>
    </row>
    <row r="531" spans="1:15" x14ac:dyDescent="0.2">
      <c r="A531" t="s">
        <v>96</v>
      </c>
      <c r="B531" t="s">
        <v>83</v>
      </c>
      <c r="C531" t="s">
        <v>17</v>
      </c>
      <c r="D531" t="s">
        <v>75</v>
      </c>
      <c r="E531" t="s">
        <v>98</v>
      </c>
      <c r="F531">
        <v>3</v>
      </c>
      <c r="G531" t="s">
        <v>79</v>
      </c>
      <c r="H531" t="s">
        <v>24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1</v>
      </c>
      <c r="O531">
        <v>120</v>
      </c>
    </row>
    <row r="532" spans="1:15" x14ac:dyDescent="0.2">
      <c r="A532" t="s">
        <v>96</v>
      </c>
      <c r="B532" t="s">
        <v>83</v>
      </c>
      <c r="C532" t="s">
        <v>17</v>
      </c>
      <c r="D532" t="s">
        <v>75</v>
      </c>
      <c r="E532" t="s">
        <v>97</v>
      </c>
      <c r="F532">
        <v>3</v>
      </c>
      <c r="G532" t="s">
        <v>77</v>
      </c>
      <c r="H532" t="s">
        <v>20</v>
      </c>
      <c r="I532">
        <v>0</v>
      </c>
      <c r="J532">
        <v>1</v>
      </c>
      <c r="K532">
        <v>1</v>
      </c>
      <c r="L532">
        <v>0</v>
      </c>
      <c r="M532">
        <v>2</v>
      </c>
      <c r="N532">
        <v>2</v>
      </c>
      <c r="O532">
        <v>127</v>
      </c>
    </row>
    <row r="533" spans="1:15" x14ac:dyDescent="0.2">
      <c r="A533" t="s">
        <v>96</v>
      </c>
      <c r="B533" t="s">
        <v>83</v>
      </c>
      <c r="C533" t="s">
        <v>17</v>
      </c>
      <c r="D533" t="s">
        <v>75</v>
      </c>
      <c r="E533" t="s">
        <v>97</v>
      </c>
      <c r="F533">
        <v>3</v>
      </c>
      <c r="G533" t="s">
        <v>77</v>
      </c>
      <c r="H533" t="s">
        <v>21</v>
      </c>
      <c r="I533">
        <v>0</v>
      </c>
      <c r="J533">
        <v>1</v>
      </c>
      <c r="K533">
        <v>1</v>
      </c>
      <c r="L533">
        <v>0</v>
      </c>
      <c r="M533">
        <v>2</v>
      </c>
      <c r="N533">
        <v>2</v>
      </c>
      <c r="O533">
        <v>127</v>
      </c>
    </row>
    <row r="534" spans="1:15" x14ac:dyDescent="0.2">
      <c r="A534" t="s">
        <v>96</v>
      </c>
      <c r="B534" t="s">
        <v>83</v>
      </c>
      <c r="C534" t="s">
        <v>17</v>
      </c>
      <c r="D534" t="s">
        <v>75</v>
      </c>
      <c r="E534" t="s">
        <v>97</v>
      </c>
      <c r="F534">
        <v>3</v>
      </c>
      <c r="G534" t="s">
        <v>77</v>
      </c>
      <c r="H534" t="s">
        <v>22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2</v>
      </c>
      <c r="O534">
        <v>127</v>
      </c>
    </row>
    <row r="535" spans="1:15" x14ac:dyDescent="0.2">
      <c r="A535" t="s">
        <v>96</v>
      </c>
      <c r="B535" t="s">
        <v>83</v>
      </c>
      <c r="C535" t="s">
        <v>17</v>
      </c>
      <c r="D535" t="s">
        <v>75</v>
      </c>
      <c r="E535" t="s">
        <v>97</v>
      </c>
      <c r="F535">
        <v>3</v>
      </c>
      <c r="G535" t="s">
        <v>77</v>
      </c>
      <c r="H535" t="s">
        <v>23</v>
      </c>
      <c r="I535">
        <v>0</v>
      </c>
      <c r="J535">
        <v>0</v>
      </c>
      <c r="K535">
        <v>0</v>
      </c>
      <c r="L535">
        <v>0</v>
      </c>
      <c r="M535">
        <v>2</v>
      </c>
      <c r="N535">
        <v>2</v>
      </c>
      <c r="O535">
        <v>127</v>
      </c>
    </row>
    <row r="536" spans="1:15" x14ac:dyDescent="0.2">
      <c r="A536" t="s">
        <v>96</v>
      </c>
      <c r="B536" t="s">
        <v>83</v>
      </c>
      <c r="C536" t="s">
        <v>17</v>
      </c>
      <c r="D536" t="s">
        <v>75</v>
      </c>
      <c r="E536" t="s">
        <v>97</v>
      </c>
      <c r="F536">
        <v>3</v>
      </c>
      <c r="G536" t="s">
        <v>77</v>
      </c>
      <c r="H536" t="s">
        <v>24</v>
      </c>
      <c r="I536">
        <v>0</v>
      </c>
      <c r="J536">
        <v>0</v>
      </c>
      <c r="K536">
        <v>0</v>
      </c>
      <c r="L536">
        <v>0</v>
      </c>
      <c r="M536">
        <v>2</v>
      </c>
      <c r="N536">
        <v>2</v>
      </c>
      <c r="O536">
        <v>127</v>
      </c>
    </row>
    <row r="537" spans="1:15" x14ac:dyDescent="0.2">
      <c r="A537" t="s">
        <v>96</v>
      </c>
      <c r="B537" t="s">
        <v>83</v>
      </c>
      <c r="C537" t="s">
        <v>17</v>
      </c>
      <c r="D537" t="s">
        <v>75</v>
      </c>
      <c r="E537" t="s">
        <v>95</v>
      </c>
      <c r="F537">
        <v>3</v>
      </c>
      <c r="G537" t="s">
        <v>73</v>
      </c>
      <c r="H537" t="s">
        <v>20</v>
      </c>
      <c r="I537">
        <v>0</v>
      </c>
      <c r="J537">
        <v>0</v>
      </c>
      <c r="K537">
        <v>0</v>
      </c>
      <c r="L537">
        <v>1</v>
      </c>
      <c r="M537">
        <v>3</v>
      </c>
      <c r="N537">
        <v>2</v>
      </c>
      <c r="O537">
        <v>117</v>
      </c>
    </row>
    <row r="538" spans="1:15" x14ac:dyDescent="0.2">
      <c r="A538" t="s">
        <v>96</v>
      </c>
      <c r="B538" t="s">
        <v>83</v>
      </c>
      <c r="C538" t="s">
        <v>17</v>
      </c>
      <c r="D538" t="s">
        <v>75</v>
      </c>
      <c r="E538" t="s">
        <v>95</v>
      </c>
      <c r="F538">
        <v>3</v>
      </c>
      <c r="G538" t="s">
        <v>73</v>
      </c>
      <c r="H538" t="s">
        <v>21</v>
      </c>
      <c r="I538">
        <v>0</v>
      </c>
      <c r="J538">
        <v>3</v>
      </c>
      <c r="K538">
        <v>2</v>
      </c>
      <c r="L538">
        <v>1</v>
      </c>
      <c r="M538">
        <v>3</v>
      </c>
      <c r="N538">
        <v>2</v>
      </c>
      <c r="O538">
        <v>117</v>
      </c>
    </row>
    <row r="539" spans="1:15" x14ac:dyDescent="0.2">
      <c r="A539" t="s">
        <v>96</v>
      </c>
      <c r="B539" t="s">
        <v>83</v>
      </c>
      <c r="C539" t="s">
        <v>17</v>
      </c>
      <c r="D539" t="s">
        <v>75</v>
      </c>
      <c r="E539" t="s">
        <v>95</v>
      </c>
      <c r="F539">
        <v>3</v>
      </c>
      <c r="G539" t="s">
        <v>73</v>
      </c>
      <c r="H539" t="s">
        <v>22</v>
      </c>
      <c r="I539">
        <v>1</v>
      </c>
      <c r="J539">
        <v>0</v>
      </c>
      <c r="K539">
        <v>0</v>
      </c>
      <c r="L539">
        <v>1</v>
      </c>
      <c r="M539">
        <v>3</v>
      </c>
      <c r="N539">
        <v>2</v>
      </c>
      <c r="O539">
        <v>117</v>
      </c>
    </row>
    <row r="540" spans="1:15" x14ac:dyDescent="0.2">
      <c r="A540" t="s">
        <v>96</v>
      </c>
      <c r="B540" t="s">
        <v>83</v>
      </c>
      <c r="C540" t="s">
        <v>17</v>
      </c>
      <c r="D540" t="s">
        <v>75</v>
      </c>
      <c r="E540" t="s">
        <v>95</v>
      </c>
      <c r="F540">
        <v>3</v>
      </c>
      <c r="G540" t="s">
        <v>73</v>
      </c>
      <c r="H540" t="s">
        <v>23</v>
      </c>
      <c r="I540">
        <v>0</v>
      </c>
      <c r="J540">
        <v>0</v>
      </c>
      <c r="K540">
        <v>0</v>
      </c>
      <c r="L540">
        <v>1</v>
      </c>
      <c r="M540">
        <v>3</v>
      </c>
      <c r="N540">
        <v>2</v>
      </c>
      <c r="O540">
        <v>117</v>
      </c>
    </row>
    <row r="541" spans="1:15" x14ac:dyDescent="0.2">
      <c r="A541" t="s">
        <v>96</v>
      </c>
      <c r="B541" t="s">
        <v>83</v>
      </c>
      <c r="C541" t="s">
        <v>17</v>
      </c>
      <c r="D541" t="s">
        <v>75</v>
      </c>
      <c r="E541" t="s">
        <v>95</v>
      </c>
      <c r="F541">
        <v>3</v>
      </c>
      <c r="G541" t="s">
        <v>73</v>
      </c>
      <c r="H541" t="s">
        <v>24</v>
      </c>
      <c r="I541">
        <v>0</v>
      </c>
      <c r="J541">
        <v>0</v>
      </c>
      <c r="K541">
        <v>0</v>
      </c>
      <c r="L541">
        <v>1</v>
      </c>
      <c r="M541">
        <v>3</v>
      </c>
      <c r="N541">
        <v>2</v>
      </c>
      <c r="O541">
        <v>117</v>
      </c>
    </row>
    <row r="542" spans="1:15" x14ac:dyDescent="0.2">
      <c r="A542" t="s">
        <v>91</v>
      </c>
      <c r="B542" t="s">
        <v>16</v>
      </c>
      <c r="C542" t="s">
        <v>17</v>
      </c>
      <c r="D542" t="s">
        <v>75</v>
      </c>
      <c r="E542" t="s">
        <v>94</v>
      </c>
      <c r="F542">
        <v>3</v>
      </c>
      <c r="G542" t="s">
        <v>19</v>
      </c>
      <c r="H542" t="s">
        <v>20</v>
      </c>
      <c r="I542">
        <v>38</v>
      </c>
      <c r="J542">
        <v>15</v>
      </c>
      <c r="K542">
        <v>0</v>
      </c>
      <c r="L542">
        <v>46</v>
      </c>
      <c r="M542">
        <v>18</v>
      </c>
      <c r="N542">
        <v>0</v>
      </c>
      <c r="O542">
        <v>996</v>
      </c>
    </row>
    <row r="543" spans="1:15" x14ac:dyDescent="0.2">
      <c r="A543" t="s">
        <v>91</v>
      </c>
      <c r="B543" t="s">
        <v>16</v>
      </c>
      <c r="C543" t="s">
        <v>17</v>
      </c>
      <c r="D543" t="s">
        <v>75</v>
      </c>
      <c r="E543" t="s">
        <v>94</v>
      </c>
      <c r="F543">
        <v>3</v>
      </c>
      <c r="G543" t="s">
        <v>19</v>
      </c>
      <c r="H543" t="s">
        <v>21</v>
      </c>
      <c r="I543">
        <v>4</v>
      </c>
      <c r="J543">
        <v>0</v>
      </c>
      <c r="K543">
        <v>0</v>
      </c>
      <c r="L543">
        <v>46</v>
      </c>
      <c r="M543">
        <v>18</v>
      </c>
      <c r="N543">
        <v>0</v>
      </c>
      <c r="O543">
        <v>996</v>
      </c>
    </row>
    <row r="544" spans="1:15" x14ac:dyDescent="0.2">
      <c r="A544" t="s">
        <v>91</v>
      </c>
      <c r="B544" t="s">
        <v>16</v>
      </c>
      <c r="C544" t="s">
        <v>17</v>
      </c>
      <c r="D544" t="s">
        <v>75</v>
      </c>
      <c r="E544" t="s">
        <v>94</v>
      </c>
      <c r="F544">
        <v>3</v>
      </c>
      <c r="G544" t="s">
        <v>19</v>
      </c>
      <c r="H544" t="s">
        <v>22</v>
      </c>
      <c r="I544">
        <v>2</v>
      </c>
      <c r="J544">
        <v>0</v>
      </c>
      <c r="K544">
        <v>0</v>
      </c>
      <c r="L544">
        <v>46</v>
      </c>
      <c r="M544">
        <v>18</v>
      </c>
      <c r="N544">
        <v>0</v>
      </c>
      <c r="O544">
        <v>996</v>
      </c>
    </row>
    <row r="545" spans="1:15" x14ac:dyDescent="0.2">
      <c r="A545" t="s">
        <v>91</v>
      </c>
      <c r="B545" t="s">
        <v>16</v>
      </c>
      <c r="C545" t="s">
        <v>17</v>
      </c>
      <c r="D545" t="s">
        <v>75</v>
      </c>
      <c r="E545" t="s">
        <v>94</v>
      </c>
      <c r="F545">
        <v>3</v>
      </c>
      <c r="G545" t="s">
        <v>19</v>
      </c>
      <c r="H545" t="s">
        <v>23</v>
      </c>
      <c r="I545">
        <v>2</v>
      </c>
      <c r="J545">
        <v>3</v>
      </c>
      <c r="K545">
        <v>0</v>
      </c>
      <c r="L545">
        <v>46</v>
      </c>
      <c r="M545">
        <v>18</v>
      </c>
      <c r="N545">
        <v>0</v>
      </c>
      <c r="O545">
        <v>996</v>
      </c>
    </row>
    <row r="546" spans="1:15" x14ac:dyDescent="0.2">
      <c r="A546" t="s">
        <v>91</v>
      </c>
      <c r="B546" t="s">
        <v>16</v>
      </c>
      <c r="C546" t="s">
        <v>17</v>
      </c>
      <c r="D546" t="s">
        <v>75</v>
      </c>
      <c r="E546" t="s">
        <v>94</v>
      </c>
      <c r="F546">
        <v>3</v>
      </c>
      <c r="G546" t="s">
        <v>19</v>
      </c>
      <c r="H546" t="s">
        <v>24</v>
      </c>
      <c r="I546">
        <v>0</v>
      </c>
      <c r="J546">
        <v>0</v>
      </c>
      <c r="K546">
        <v>0</v>
      </c>
      <c r="L546">
        <v>46</v>
      </c>
      <c r="M546">
        <v>18</v>
      </c>
      <c r="N546">
        <v>0</v>
      </c>
      <c r="O546">
        <v>996</v>
      </c>
    </row>
    <row r="547" spans="1:15" x14ac:dyDescent="0.2">
      <c r="A547" t="s">
        <v>91</v>
      </c>
      <c r="B547" t="s">
        <v>16</v>
      </c>
      <c r="C547" t="s">
        <v>17</v>
      </c>
      <c r="D547" t="s">
        <v>75</v>
      </c>
      <c r="E547" t="s">
        <v>93</v>
      </c>
      <c r="F547">
        <v>3</v>
      </c>
      <c r="G547" t="s">
        <v>79</v>
      </c>
      <c r="H547" t="s">
        <v>20</v>
      </c>
      <c r="I547">
        <v>12</v>
      </c>
      <c r="J547">
        <v>26</v>
      </c>
      <c r="K547">
        <v>14</v>
      </c>
      <c r="L547">
        <v>22</v>
      </c>
      <c r="M547">
        <v>34</v>
      </c>
      <c r="N547">
        <v>16</v>
      </c>
      <c r="O547">
        <v>950</v>
      </c>
    </row>
    <row r="548" spans="1:15" x14ac:dyDescent="0.2">
      <c r="A548" t="s">
        <v>91</v>
      </c>
      <c r="B548" t="s">
        <v>16</v>
      </c>
      <c r="C548" t="s">
        <v>17</v>
      </c>
      <c r="D548" t="s">
        <v>75</v>
      </c>
      <c r="E548" t="s">
        <v>93</v>
      </c>
      <c r="F548">
        <v>3</v>
      </c>
      <c r="G548" t="s">
        <v>79</v>
      </c>
      <c r="H548" t="s">
        <v>21</v>
      </c>
      <c r="I548">
        <v>2</v>
      </c>
      <c r="J548">
        <v>7</v>
      </c>
      <c r="K548">
        <v>2</v>
      </c>
      <c r="L548">
        <v>22</v>
      </c>
      <c r="M548">
        <v>34</v>
      </c>
      <c r="N548">
        <v>16</v>
      </c>
      <c r="O548">
        <v>950</v>
      </c>
    </row>
    <row r="549" spans="1:15" x14ac:dyDescent="0.2">
      <c r="A549" t="s">
        <v>91</v>
      </c>
      <c r="B549" t="s">
        <v>16</v>
      </c>
      <c r="C549" t="s">
        <v>17</v>
      </c>
      <c r="D549" t="s">
        <v>75</v>
      </c>
      <c r="E549" t="s">
        <v>93</v>
      </c>
      <c r="F549">
        <v>3</v>
      </c>
      <c r="G549" t="s">
        <v>79</v>
      </c>
      <c r="H549" t="s">
        <v>22</v>
      </c>
      <c r="I549">
        <v>3</v>
      </c>
      <c r="J549">
        <v>1</v>
      </c>
      <c r="K549">
        <v>0</v>
      </c>
      <c r="L549">
        <v>22</v>
      </c>
      <c r="M549">
        <v>34</v>
      </c>
      <c r="N549">
        <v>16</v>
      </c>
      <c r="O549">
        <v>950</v>
      </c>
    </row>
    <row r="550" spans="1:15" x14ac:dyDescent="0.2">
      <c r="A550" t="s">
        <v>91</v>
      </c>
      <c r="B550" t="s">
        <v>16</v>
      </c>
      <c r="C550" t="s">
        <v>17</v>
      </c>
      <c r="D550" t="s">
        <v>75</v>
      </c>
      <c r="E550" t="s">
        <v>93</v>
      </c>
      <c r="F550">
        <v>3</v>
      </c>
      <c r="G550" t="s">
        <v>79</v>
      </c>
      <c r="H550" t="s">
        <v>23</v>
      </c>
      <c r="I550">
        <v>5</v>
      </c>
      <c r="J550">
        <v>0</v>
      </c>
      <c r="K550">
        <v>0</v>
      </c>
      <c r="L550">
        <v>22</v>
      </c>
      <c r="M550">
        <v>34</v>
      </c>
      <c r="N550">
        <v>16</v>
      </c>
      <c r="O550">
        <v>950</v>
      </c>
    </row>
    <row r="551" spans="1:15" x14ac:dyDescent="0.2">
      <c r="A551" t="s">
        <v>91</v>
      </c>
      <c r="B551" t="s">
        <v>16</v>
      </c>
      <c r="C551" t="s">
        <v>17</v>
      </c>
      <c r="D551" t="s">
        <v>75</v>
      </c>
      <c r="E551" t="s">
        <v>93</v>
      </c>
      <c r="F551">
        <v>3</v>
      </c>
      <c r="G551" t="s">
        <v>79</v>
      </c>
      <c r="H551" t="s">
        <v>24</v>
      </c>
      <c r="I551">
        <v>0</v>
      </c>
      <c r="J551">
        <v>0</v>
      </c>
      <c r="K551">
        <v>0</v>
      </c>
      <c r="L551">
        <v>22</v>
      </c>
      <c r="M551">
        <v>34</v>
      </c>
      <c r="N551">
        <v>16</v>
      </c>
      <c r="O551">
        <v>950</v>
      </c>
    </row>
    <row r="552" spans="1:15" x14ac:dyDescent="0.2">
      <c r="A552" t="s">
        <v>91</v>
      </c>
      <c r="B552" t="s">
        <v>16</v>
      </c>
      <c r="C552" t="s">
        <v>17</v>
      </c>
      <c r="D552" t="s">
        <v>75</v>
      </c>
      <c r="E552" t="s">
        <v>92</v>
      </c>
      <c r="F552">
        <v>3</v>
      </c>
      <c r="G552" t="s">
        <v>77</v>
      </c>
      <c r="H552" t="s">
        <v>20</v>
      </c>
      <c r="I552">
        <v>16</v>
      </c>
      <c r="J552">
        <v>20</v>
      </c>
      <c r="K552">
        <v>5</v>
      </c>
      <c r="L552">
        <v>24</v>
      </c>
      <c r="M552">
        <v>35</v>
      </c>
      <c r="N552">
        <v>10</v>
      </c>
      <c r="O552">
        <v>943</v>
      </c>
    </row>
    <row r="553" spans="1:15" x14ac:dyDescent="0.2">
      <c r="A553" t="s">
        <v>91</v>
      </c>
      <c r="B553" t="s">
        <v>16</v>
      </c>
      <c r="C553" t="s">
        <v>17</v>
      </c>
      <c r="D553" t="s">
        <v>75</v>
      </c>
      <c r="E553" t="s">
        <v>92</v>
      </c>
      <c r="F553">
        <v>3</v>
      </c>
      <c r="G553" t="s">
        <v>77</v>
      </c>
      <c r="H553" t="s">
        <v>21</v>
      </c>
      <c r="I553">
        <v>6</v>
      </c>
      <c r="J553">
        <v>11</v>
      </c>
      <c r="K553">
        <v>4</v>
      </c>
      <c r="L553">
        <v>24</v>
      </c>
      <c r="M553">
        <v>35</v>
      </c>
      <c r="N553">
        <v>10</v>
      </c>
      <c r="O553">
        <v>943</v>
      </c>
    </row>
    <row r="554" spans="1:15" x14ac:dyDescent="0.2">
      <c r="A554" t="s">
        <v>91</v>
      </c>
      <c r="B554" t="s">
        <v>16</v>
      </c>
      <c r="C554" t="s">
        <v>17</v>
      </c>
      <c r="D554" t="s">
        <v>75</v>
      </c>
      <c r="E554" t="s">
        <v>92</v>
      </c>
      <c r="F554">
        <v>3</v>
      </c>
      <c r="G554" t="s">
        <v>77</v>
      </c>
      <c r="H554" t="s">
        <v>22</v>
      </c>
      <c r="I554">
        <v>0</v>
      </c>
      <c r="J554">
        <v>2</v>
      </c>
      <c r="K554">
        <v>0</v>
      </c>
      <c r="L554">
        <v>24</v>
      </c>
      <c r="M554">
        <v>35</v>
      </c>
      <c r="N554">
        <v>10</v>
      </c>
      <c r="O554">
        <v>943</v>
      </c>
    </row>
    <row r="555" spans="1:15" x14ac:dyDescent="0.2">
      <c r="A555" t="s">
        <v>91</v>
      </c>
      <c r="B555" t="s">
        <v>16</v>
      </c>
      <c r="C555" t="s">
        <v>17</v>
      </c>
      <c r="D555" t="s">
        <v>75</v>
      </c>
      <c r="E555" t="s">
        <v>92</v>
      </c>
      <c r="F555">
        <v>3</v>
      </c>
      <c r="G555" t="s">
        <v>77</v>
      </c>
      <c r="H555" t="s">
        <v>23</v>
      </c>
      <c r="I555">
        <v>2</v>
      </c>
      <c r="J555">
        <v>2</v>
      </c>
      <c r="K555">
        <v>1</v>
      </c>
      <c r="L555">
        <v>24</v>
      </c>
      <c r="M555">
        <v>35</v>
      </c>
      <c r="N555">
        <v>10</v>
      </c>
      <c r="O555">
        <v>943</v>
      </c>
    </row>
    <row r="556" spans="1:15" x14ac:dyDescent="0.2">
      <c r="A556" t="s">
        <v>91</v>
      </c>
      <c r="B556" t="s">
        <v>16</v>
      </c>
      <c r="C556" t="s">
        <v>17</v>
      </c>
      <c r="D556" t="s">
        <v>75</v>
      </c>
      <c r="E556" t="s">
        <v>92</v>
      </c>
      <c r="F556">
        <v>3</v>
      </c>
      <c r="G556" t="s">
        <v>77</v>
      </c>
      <c r="H556" t="s">
        <v>24</v>
      </c>
      <c r="I556">
        <v>0</v>
      </c>
      <c r="J556">
        <v>0</v>
      </c>
      <c r="K556">
        <v>0</v>
      </c>
      <c r="L556">
        <v>24</v>
      </c>
      <c r="M556">
        <v>35</v>
      </c>
      <c r="N556">
        <v>10</v>
      </c>
      <c r="O556">
        <v>943</v>
      </c>
    </row>
    <row r="557" spans="1:15" x14ac:dyDescent="0.2">
      <c r="A557" t="s">
        <v>91</v>
      </c>
      <c r="B557" t="s">
        <v>16</v>
      </c>
      <c r="C557" t="s">
        <v>17</v>
      </c>
      <c r="D557" t="s">
        <v>75</v>
      </c>
      <c r="E557" t="s">
        <v>90</v>
      </c>
      <c r="F557">
        <v>3</v>
      </c>
      <c r="G557" t="s">
        <v>73</v>
      </c>
      <c r="H557" t="s">
        <v>20</v>
      </c>
      <c r="I557">
        <v>3</v>
      </c>
      <c r="J557">
        <v>1</v>
      </c>
      <c r="K557">
        <v>0</v>
      </c>
      <c r="L557">
        <v>14</v>
      </c>
      <c r="M557">
        <v>23</v>
      </c>
      <c r="N557">
        <v>8</v>
      </c>
      <c r="O557">
        <v>933</v>
      </c>
    </row>
    <row r="558" spans="1:15" x14ac:dyDescent="0.2">
      <c r="A558" t="s">
        <v>91</v>
      </c>
      <c r="B558" t="s">
        <v>16</v>
      </c>
      <c r="C558" t="s">
        <v>17</v>
      </c>
      <c r="D558" t="s">
        <v>75</v>
      </c>
      <c r="E558" t="s">
        <v>90</v>
      </c>
      <c r="F558">
        <v>3</v>
      </c>
      <c r="G558" t="s">
        <v>73</v>
      </c>
      <c r="H558" t="s">
        <v>21</v>
      </c>
      <c r="I558">
        <v>9</v>
      </c>
      <c r="J558">
        <v>16</v>
      </c>
      <c r="K558">
        <v>5</v>
      </c>
      <c r="L558">
        <v>14</v>
      </c>
      <c r="M558">
        <v>23</v>
      </c>
      <c r="N558">
        <v>8</v>
      </c>
      <c r="O558">
        <v>933</v>
      </c>
    </row>
    <row r="559" spans="1:15" x14ac:dyDescent="0.2">
      <c r="A559" t="s">
        <v>91</v>
      </c>
      <c r="B559" t="s">
        <v>16</v>
      </c>
      <c r="C559" t="s">
        <v>17</v>
      </c>
      <c r="D559" t="s">
        <v>75</v>
      </c>
      <c r="E559" t="s">
        <v>90</v>
      </c>
      <c r="F559">
        <v>3</v>
      </c>
      <c r="G559" t="s">
        <v>73</v>
      </c>
      <c r="H559" t="s">
        <v>22</v>
      </c>
      <c r="I559">
        <v>0</v>
      </c>
      <c r="J559">
        <v>3</v>
      </c>
      <c r="K559">
        <v>2</v>
      </c>
      <c r="L559">
        <v>14</v>
      </c>
      <c r="M559">
        <v>23</v>
      </c>
      <c r="N559">
        <v>8</v>
      </c>
      <c r="O559">
        <v>933</v>
      </c>
    </row>
    <row r="560" spans="1:15" x14ac:dyDescent="0.2">
      <c r="A560" t="s">
        <v>91</v>
      </c>
      <c r="B560" t="s">
        <v>16</v>
      </c>
      <c r="C560" t="s">
        <v>17</v>
      </c>
      <c r="D560" t="s">
        <v>75</v>
      </c>
      <c r="E560" t="s">
        <v>90</v>
      </c>
      <c r="F560">
        <v>3</v>
      </c>
      <c r="G560" t="s">
        <v>73</v>
      </c>
      <c r="H560" t="s">
        <v>23</v>
      </c>
      <c r="I560">
        <v>2</v>
      </c>
      <c r="J560">
        <v>3</v>
      </c>
      <c r="K560">
        <v>1</v>
      </c>
      <c r="L560">
        <v>14</v>
      </c>
      <c r="M560">
        <v>23</v>
      </c>
      <c r="N560">
        <v>8</v>
      </c>
      <c r="O560">
        <v>933</v>
      </c>
    </row>
    <row r="561" spans="1:15" x14ac:dyDescent="0.2">
      <c r="A561" t="s">
        <v>91</v>
      </c>
      <c r="B561" t="s">
        <v>16</v>
      </c>
      <c r="C561" t="s">
        <v>17</v>
      </c>
      <c r="D561" t="s">
        <v>75</v>
      </c>
      <c r="E561" t="s">
        <v>90</v>
      </c>
      <c r="F561">
        <v>3</v>
      </c>
      <c r="G561" t="s">
        <v>73</v>
      </c>
      <c r="H561" t="s">
        <v>24</v>
      </c>
      <c r="I561">
        <v>0</v>
      </c>
      <c r="J561">
        <v>0</v>
      </c>
      <c r="K561">
        <v>0</v>
      </c>
      <c r="L561">
        <v>14</v>
      </c>
      <c r="M561">
        <v>23</v>
      </c>
      <c r="N561">
        <v>8</v>
      </c>
      <c r="O561">
        <v>933</v>
      </c>
    </row>
    <row r="562" spans="1:15" x14ac:dyDescent="0.2">
      <c r="A562" t="s">
        <v>89</v>
      </c>
      <c r="B562" t="s">
        <v>45</v>
      </c>
      <c r="C562" t="s">
        <v>17</v>
      </c>
      <c r="D562" t="s">
        <v>75</v>
      </c>
      <c r="E562" t="s">
        <v>81</v>
      </c>
      <c r="F562">
        <v>3</v>
      </c>
      <c r="G562" t="s">
        <v>19</v>
      </c>
      <c r="H562" t="s">
        <v>20</v>
      </c>
      <c r="I562">
        <v>34</v>
      </c>
      <c r="J562">
        <v>45</v>
      </c>
      <c r="K562">
        <v>0</v>
      </c>
      <c r="L562">
        <v>85</v>
      </c>
      <c r="M562">
        <v>125</v>
      </c>
      <c r="N562">
        <v>0</v>
      </c>
      <c r="O562">
        <v>498</v>
      </c>
    </row>
    <row r="563" spans="1:15" x14ac:dyDescent="0.2">
      <c r="A563" t="s">
        <v>89</v>
      </c>
      <c r="B563" t="s">
        <v>45</v>
      </c>
      <c r="C563" t="s">
        <v>17</v>
      </c>
      <c r="D563" t="s">
        <v>75</v>
      </c>
      <c r="E563" t="s">
        <v>81</v>
      </c>
      <c r="F563">
        <v>3</v>
      </c>
      <c r="G563" t="s">
        <v>19</v>
      </c>
      <c r="H563" t="s">
        <v>21</v>
      </c>
      <c r="I563">
        <v>22</v>
      </c>
      <c r="J563">
        <v>30</v>
      </c>
      <c r="K563">
        <v>0</v>
      </c>
      <c r="L563">
        <v>85</v>
      </c>
      <c r="M563">
        <v>125</v>
      </c>
      <c r="N563">
        <v>0</v>
      </c>
      <c r="O563">
        <v>498</v>
      </c>
    </row>
    <row r="564" spans="1:15" x14ac:dyDescent="0.2">
      <c r="A564" t="s">
        <v>89</v>
      </c>
      <c r="B564" t="s">
        <v>45</v>
      </c>
      <c r="C564" t="s">
        <v>17</v>
      </c>
      <c r="D564" t="s">
        <v>75</v>
      </c>
      <c r="E564" t="s">
        <v>81</v>
      </c>
      <c r="F564">
        <v>3</v>
      </c>
      <c r="G564" t="s">
        <v>19</v>
      </c>
      <c r="H564" t="s">
        <v>22</v>
      </c>
      <c r="I564">
        <v>12</v>
      </c>
      <c r="J564">
        <v>20</v>
      </c>
      <c r="K564">
        <v>0</v>
      </c>
      <c r="L564">
        <v>85</v>
      </c>
      <c r="M564">
        <v>125</v>
      </c>
      <c r="N564">
        <v>0</v>
      </c>
      <c r="O564">
        <v>498</v>
      </c>
    </row>
    <row r="565" spans="1:15" x14ac:dyDescent="0.2">
      <c r="A565" t="s">
        <v>89</v>
      </c>
      <c r="B565" t="s">
        <v>45</v>
      </c>
      <c r="C565" t="s">
        <v>17</v>
      </c>
      <c r="D565" t="s">
        <v>75</v>
      </c>
      <c r="E565" t="s">
        <v>81</v>
      </c>
      <c r="F565">
        <v>3</v>
      </c>
      <c r="G565" t="s">
        <v>19</v>
      </c>
      <c r="H565" t="s">
        <v>23</v>
      </c>
      <c r="I565">
        <v>17</v>
      </c>
      <c r="J565">
        <v>30</v>
      </c>
      <c r="K565">
        <v>0</v>
      </c>
      <c r="L565">
        <v>85</v>
      </c>
      <c r="M565">
        <v>125</v>
      </c>
      <c r="N565">
        <v>0</v>
      </c>
      <c r="O565">
        <v>498</v>
      </c>
    </row>
    <row r="566" spans="1:15" x14ac:dyDescent="0.2">
      <c r="A566" t="s">
        <v>89</v>
      </c>
      <c r="B566" t="s">
        <v>45</v>
      </c>
      <c r="C566" t="s">
        <v>17</v>
      </c>
      <c r="D566" t="s">
        <v>75</v>
      </c>
      <c r="E566" t="s">
        <v>81</v>
      </c>
      <c r="F566">
        <v>3</v>
      </c>
      <c r="G566" t="s">
        <v>19</v>
      </c>
      <c r="H566" t="s">
        <v>24</v>
      </c>
      <c r="I566">
        <v>0</v>
      </c>
      <c r="J566">
        <v>0</v>
      </c>
      <c r="K566">
        <v>0</v>
      </c>
      <c r="L566">
        <v>85</v>
      </c>
      <c r="M566">
        <v>125</v>
      </c>
      <c r="N566">
        <v>0</v>
      </c>
      <c r="O566">
        <v>498</v>
      </c>
    </row>
    <row r="567" spans="1:15" x14ac:dyDescent="0.2">
      <c r="A567" t="s">
        <v>89</v>
      </c>
      <c r="B567" t="s">
        <v>45</v>
      </c>
      <c r="C567" t="s">
        <v>17</v>
      </c>
      <c r="D567" t="s">
        <v>75</v>
      </c>
      <c r="E567" t="s">
        <v>80</v>
      </c>
      <c r="F567">
        <v>3</v>
      </c>
      <c r="G567" t="s">
        <v>79</v>
      </c>
      <c r="H567" t="s">
        <v>20</v>
      </c>
      <c r="I567">
        <v>2</v>
      </c>
      <c r="J567">
        <v>56</v>
      </c>
      <c r="K567">
        <v>18</v>
      </c>
      <c r="L567">
        <v>5</v>
      </c>
      <c r="M567">
        <v>62</v>
      </c>
      <c r="N567">
        <v>20</v>
      </c>
      <c r="O567">
        <v>296</v>
      </c>
    </row>
    <row r="568" spans="1:15" x14ac:dyDescent="0.2">
      <c r="A568" t="s">
        <v>89</v>
      </c>
      <c r="B568" t="s">
        <v>45</v>
      </c>
      <c r="C568" t="s">
        <v>17</v>
      </c>
      <c r="D568" t="s">
        <v>75</v>
      </c>
      <c r="E568" t="s">
        <v>80</v>
      </c>
      <c r="F568">
        <v>3</v>
      </c>
      <c r="G568" t="s">
        <v>79</v>
      </c>
      <c r="H568" t="s">
        <v>21</v>
      </c>
      <c r="I568">
        <v>2</v>
      </c>
      <c r="J568">
        <v>4</v>
      </c>
      <c r="K568">
        <v>2</v>
      </c>
      <c r="L568">
        <v>5</v>
      </c>
      <c r="M568">
        <v>62</v>
      </c>
      <c r="N568">
        <v>20</v>
      </c>
      <c r="O568">
        <v>296</v>
      </c>
    </row>
    <row r="569" spans="1:15" x14ac:dyDescent="0.2">
      <c r="A569" t="s">
        <v>89</v>
      </c>
      <c r="B569" t="s">
        <v>45</v>
      </c>
      <c r="C569" t="s">
        <v>17</v>
      </c>
      <c r="D569" t="s">
        <v>75</v>
      </c>
      <c r="E569" t="s">
        <v>80</v>
      </c>
      <c r="F569">
        <v>3</v>
      </c>
      <c r="G569" t="s">
        <v>79</v>
      </c>
      <c r="H569" t="s">
        <v>22</v>
      </c>
      <c r="I569">
        <v>0</v>
      </c>
      <c r="J569">
        <v>1</v>
      </c>
      <c r="K569">
        <v>0</v>
      </c>
      <c r="L569">
        <v>5</v>
      </c>
      <c r="M569">
        <v>62</v>
      </c>
      <c r="N569">
        <v>20</v>
      </c>
      <c r="O569">
        <v>296</v>
      </c>
    </row>
    <row r="570" spans="1:15" x14ac:dyDescent="0.2">
      <c r="A570" t="s">
        <v>89</v>
      </c>
      <c r="B570" t="s">
        <v>45</v>
      </c>
      <c r="C570" t="s">
        <v>17</v>
      </c>
      <c r="D570" t="s">
        <v>75</v>
      </c>
      <c r="E570" t="s">
        <v>80</v>
      </c>
      <c r="F570">
        <v>3</v>
      </c>
      <c r="G570" t="s">
        <v>79</v>
      </c>
      <c r="H570" t="s">
        <v>23</v>
      </c>
      <c r="I570">
        <v>1</v>
      </c>
      <c r="J570">
        <v>1</v>
      </c>
      <c r="K570">
        <v>0</v>
      </c>
      <c r="L570">
        <v>5</v>
      </c>
      <c r="M570">
        <v>62</v>
      </c>
      <c r="N570">
        <v>20</v>
      </c>
      <c r="O570">
        <v>296</v>
      </c>
    </row>
    <row r="571" spans="1:15" x14ac:dyDescent="0.2">
      <c r="A571" t="s">
        <v>89</v>
      </c>
      <c r="B571" t="s">
        <v>45</v>
      </c>
      <c r="C571" t="s">
        <v>17</v>
      </c>
      <c r="D571" t="s">
        <v>75</v>
      </c>
      <c r="E571" t="s">
        <v>80</v>
      </c>
      <c r="F571">
        <v>3</v>
      </c>
      <c r="G571" t="s">
        <v>79</v>
      </c>
      <c r="H571" t="s">
        <v>24</v>
      </c>
      <c r="I571">
        <v>0</v>
      </c>
      <c r="J571">
        <v>0</v>
      </c>
      <c r="K571">
        <v>0</v>
      </c>
      <c r="L571">
        <v>5</v>
      </c>
      <c r="M571">
        <v>62</v>
      </c>
      <c r="N571">
        <v>20</v>
      </c>
      <c r="O571">
        <v>296</v>
      </c>
    </row>
    <row r="572" spans="1:15" x14ac:dyDescent="0.2">
      <c r="A572" t="s">
        <v>89</v>
      </c>
      <c r="B572" t="s">
        <v>45</v>
      </c>
      <c r="C572" t="s">
        <v>17</v>
      </c>
      <c r="D572" t="s">
        <v>75</v>
      </c>
      <c r="E572" t="s">
        <v>78</v>
      </c>
      <c r="F572">
        <v>3</v>
      </c>
      <c r="G572" t="s">
        <v>77</v>
      </c>
      <c r="H572" t="s">
        <v>20</v>
      </c>
      <c r="I572">
        <v>9</v>
      </c>
      <c r="J572">
        <v>50</v>
      </c>
      <c r="K572">
        <v>22</v>
      </c>
      <c r="L572">
        <v>17</v>
      </c>
      <c r="M572">
        <v>64</v>
      </c>
      <c r="N572">
        <v>27</v>
      </c>
      <c r="O572">
        <v>303</v>
      </c>
    </row>
    <row r="573" spans="1:15" x14ac:dyDescent="0.2">
      <c r="A573" t="s">
        <v>89</v>
      </c>
      <c r="B573" t="s">
        <v>45</v>
      </c>
      <c r="C573" t="s">
        <v>17</v>
      </c>
      <c r="D573" t="s">
        <v>75</v>
      </c>
      <c r="E573" t="s">
        <v>78</v>
      </c>
      <c r="F573">
        <v>3</v>
      </c>
      <c r="G573" t="s">
        <v>77</v>
      </c>
      <c r="H573" t="s">
        <v>21</v>
      </c>
      <c r="I573">
        <v>5</v>
      </c>
      <c r="J573">
        <v>9</v>
      </c>
      <c r="K573">
        <v>1</v>
      </c>
      <c r="L573">
        <v>17</v>
      </c>
      <c r="M573">
        <v>64</v>
      </c>
      <c r="N573">
        <v>27</v>
      </c>
      <c r="O573">
        <v>303</v>
      </c>
    </row>
    <row r="574" spans="1:15" x14ac:dyDescent="0.2">
      <c r="A574" t="s">
        <v>89</v>
      </c>
      <c r="B574" t="s">
        <v>45</v>
      </c>
      <c r="C574" t="s">
        <v>17</v>
      </c>
      <c r="D574" t="s">
        <v>75</v>
      </c>
      <c r="E574" t="s">
        <v>78</v>
      </c>
      <c r="F574">
        <v>3</v>
      </c>
      <c r="G574" t="s">
        <v>77</v>
      </c>
      <c r="H574" t="s">
        <v>22</v>
      </c>
      <c r="I574">
        <v>1</v>
      </c>
      <c r="J574">
        <v>1</v>
      </c>
      <c r="K574">
        <v>0</v>
      </c>
      <c r="L574">
        <v>17</v>
      </c>
      <c r="M574">
        <v>64</v>
      </c>
      <c r="N574">
        <v>27</v>
      </c>
      <c r="O574">
        <v>303</v>
      </c>
    </row>
    <row r="575" spans="1:15" x14ac:dyDescent="0.2">
      <c r="A575" t="s">
        <v>89</v>
      </c>
      <c r="B575" t="s">
        <v>45</v>
      </c>
      <c r="C575" t="s">
        <v>17</v>
      </c>
      <c r="D575" t="s">
        <v>75</v>
      </c>
      <c r="E575" t="s">
        <v>78</v>
      </c>
      <c r="F575">
        <v>3</v>
      </c>
      <c r="G575" t="s">
        <v>77</v>
      </c>
      <c r="H575" t="s">
        <v>23</v>
      </c>
      <c r="I575">
        <v>2</v>
      </c>
      <c r="J575">
        <v>4</v>
      </c>
      <c r="K575">
        <v>4</v>
      </c>
      <c r="L575">
        <v>17</v>
      </c>
      <c r="M575">
        <v>64</v>
      </c>
      <c r="N575">
        <v>27</v>
      </c>
      <c r="O575">
        <v>303</v>
      </c>
    </row>
    <row r="576" spans="1:15" x14ac:dyDescent="0.2">
      <c r="A576" t="s">
        <v>89</v>
      </c>
      <c r="B576" t="s">
        <v>45</v>
      </c>
      <c r="C576" t="s">
        <v>17</v>
      </c>
      <c r="D576" t="s">
        <v>75</v>
      </c>
      <c r="E576" t="s">
        <v>78</v>
      </c>
      <c r="F576">
        <v>3</v>
      </c>
      <c r="G576" t="s">
        <v>77</v>
      </c>
      <c r="H576" t="s">
        <v>24</v>
      </c>
      <c r="I576">
        <v>0</v>
      </c>
      <c r="J576">
        <v>0</v>
      </c>
      <c r="K576">
        <v>0</v>
      </c>
      <c r="L576">
        <v>17</v>
      </c>
      <c r="M576">
        <v>64</v>
      </c>
      <c r="N576">
        <v>27</v>
      </c>
      <c r="O576">
        <v>303</v>
      </c>
    </row>
    <row r="577" spans="1:15" x14ac:dyDescent="0.2">
      <c r="A577" t="s">
        <v>89</v>
      </c>
      <c r="B577" t="s">
        <v>45</v>
      </c>
      <c r="C577" t="s">
        <v>17</v>
      </c>
      <c r="D577" t="s">
        <v>75</v>
      </c>
      <c r="E577" t="s">
        <v>74</v>
      </c>
      <c r="F577">
        <v>3</v>
      </c>
      <c r="G577" t="s">
        <v>73</v>
      </c>
      <c r="H577" t="s">
        <v>20</v>
      </c>
      <c r="I577">
        <v>5</v>
      </c>
      <c r="J577">
        <v>11</v>
      </c>
      <c r="K577">
        <v>0</v>
      </c>
      <c r="L577">
        <v>12</v>
      </c>
      <c r="M577">
        <v>34</v>
      </c>
      <c r="N577">
        <v>6</v>
      </c>
      <c r="O577">
        <v>247</v>
      </c>
    </row>
    <row r="578" spans="1:15" x14ac:dyDescent="0.2">
      <c r="A578" t="s">
        <v>89</v>
      </c>
      <c r="B578" t="s">
        <v>45</v>
      </c>
      <c r="C578" t="s">
        <v>17</v>
      </c>
      <c r="D578" t="s">
        <v>75</v>
      </c>
      <c r="E578" t="s">
        <v>74</v>
      </c>
      <c r="F578">
        <v>3</v>
      </c>
      <c r="G578" t="s">
        <v>73</v>
      </c>
      <c r="H578" t="s">
        <v>21</v>
      </c>
      <c r="I578">
        <v>3</v>
      </c>
      <c r="J578">
        <v>17</v>
      </c>
      <c r="K578">
        <v>4</v>
      </c>
      <c r="L578">
        <v>12</v>
      </c>
      <c r="M578">
        <v>34</v>
      </c>
      <c r="N578">
        <v>6</v>
      </c>
      <c r="O578">
        <v>247</v>
      </c>
    </row>
    <row r="579" spans="1:15" x14ac:dyDescent="0.2">
      <c r="A579" t="s">
        <v>89</v>
      </c>
      <c r="B579" t="s">
        <v>45</v>
      </c>
      <c r="C579" t="s">
        <v>17</v>
      </c>
      <c r="D579" t="s">
        <v>75</v>
      </c>
      <c r="E579" t="s">
        <v>74</v>
      </c>
      <c r="F579">
        <v>3</v>
      </c>
      <c r="G579" t="s">
        <v>73</v>
      </c>
      <c r="H579" t="s">
        <v>22</v>
      </c>
      <c r="I579">
        <v>1</v>
      </c>
      <c r="J579">
        <v>0</v>
      </c>
      <c r="K579">
        <v>0</v>
      </c>
      <c r="L579">
        <v>12</v>
      </c>
      <c r="M579">
        <v>34</v>
      </c>
      <c r="N579">
        <v>6</v>
      </c>
      <c r="O579">
        <v>247</v>
      </c>
    </row>
    <row r="580" spans="1:15" x14ac:dyDescent="0.2">
      <c r="A580" t="s">
        <v>89</v>
      </c>
      <c r="B580" t="s">
        <v>45</v>
      </c>
      <c r="C580" t="s">
        <v>17</v>
      </c>
      <c r="D580" t="s">
        <v>75</v>
      </c>
      <c r="E580" t="s">
        <v>74</v>
      </c>
      <c r="F580">
        <v>3</v>
      </c>
      <c r="G580" t="s">
        <v>73</v>
      </c>
      <c r="H580" t="s">
        <v>23</v>
      </c>
      <c r="I580">
        <v>3</v>
      </c>
      <c r="J580">
        <v>6</v>
      </c>
      <c r="K580">
        <v>2</v>
      </c>
      <c r="L580">
        <v>12</v>
      </c>
      <c r="M580">
        <v>34</v>
      </c>
      <c r="N580">
        <v>6</v>
      </c>
      <c r="O580">
        <v>247</v>
      </c>
    </row>
    <row r="581" spans="1:15" x14ac:dyDescent="0.2">
      <c r="A581" t="s">
        <v>89</v>
      </c>
      <c r="B581" t="s">
        <v>45</v>
      </c>
      <c r="C581" t="s">
        <v>17</v>
      </c>
      <c r="D581" t="s">
        <v>75</v>
      </c>
      <c r="E581" t="s">
        <v>74</v>
      </c>
      <c r="F581">
        <v>3</v>
      </c>
      <c r="G581" t="s">
        <v>73</v>
      </c>
      <c r="H581" t="s">
        <v>24</v>
      </c>
      <c r="I581">
        <v>0</v>
      </c>
      <c r="J581">
        <v>0</v>
      </c>
      <c r="K581">
        <v>0</v>
      </c>
      <c r="L581">
        <v>12</v>
      </c>
      <c r="M581">
        <v>34</v>
      </c>
      <c r="N581">
        <v>6</v>
      </c>
      <c r="O581">
        <v>247</v>
      </c>
    </row>
    <row r="582" spans="1:15" x14ac:dyDescent="0.2">
      <c r="A582" t="s">
        <v>88</v>
      </c>
      <c r="B582" t="s">
        <v>37</v>
      </c>
      <c r="C582" t="s">
        <v>17</v>
      </c>
      <c r="D582" t="s">
        <v>75</v>
      </c>
      <c r="E582" t="s">
        <v>81</v>
      </c>
      <c r="F582">
        <v>3</v>
      </c>
      <c r="G582" t="s">
        <v>19</v>
      </c>
      <c r="H582" t="s">
        <v>20</v>
      </c>
      <c r="I582">
        <v>74</v>
      </c>
      <c r="J582">
        <v>53</v>
      </c>
      <c r="K582">
        <v>0</v>
      </c>
      <c r="L582">
        <v>89</v>
      </c>
      <c r="M582">
        <v>178</v>
      </c>
      <c r="N582">
        <v>0</v>
      </c>
      <c r="O582">
        <v>681</v>
      </c>
    </row>
    <row r="583" spans="1:15" x14ac:dyDescent="0.2">
      <c r="A583" t="s">
        <v>88</v>
      </c>
      <c r="B583" t="s">
        <v>37</v>
      </c>
      <c r="C583" t="s">
        <v>17</v>
      </c>
      <c r="D583" t="s">
        <v>75</v>
      </c>
      <c r="E583" t="s">
        <v>81</v>
      </c>
      <c r="F583">
        <v>3</v>
      </c>
      <c r="G583" t="s">
        <v>19</v>
      </c>
      <c r="H583" t="s">
        <v>21</v>
      </c>
      <c r="I583">
        <v>6</v>
      </c>
      <c r="J583">
        <v>15</v>
      </c>
      <c r="K583">
        <v>0</v>
      </c>
      <c r="L583">
        <v>89</v>
      </c>
      <c r="M583">
        <v>178</v>
      </c>
      <c r="N583">
        <v>0</v>
      </c>
      <c r="O583">
        <v>681</v>
      </c>
    </row>
    <row r="584" spans="1:15" x14ac:dyDescent="0.2">
      <c r="A584" t="s">
        <v>88</v>
      </c>
      <c r="B584" t="s">
        <v>37</v>
      </c>
      <c r="C584" t="s">
        <v>17</v>
      </c>
      <c r="D584" t="s">
        <v>75</v>
      </c>
      <c r="E584" t="s">
        <v>81</v>
      </c>
      <c r="F584">
        <v>3</v>
      </c>
      <c r="G584" t="s">
        <v>19</v>
      </c>
      <c r="H584" t="s">
        <v>22</v>
      </c>
      <c r="I584">
        <v>0</v>
      </c>
      <c r="J584">
        <v>8</v>
      </c>
      <c r="K584">
        <v>0</v>
      </c>
      <c r="L584">
        <v>89</v>
      </c>
      <c r="M584">
        <v>178</v>
      </c>
      <c r="N584">
        <v>0</v>
      </c>
      <c r="O584">
        <v>681</v>
      </c>
    </row>
    <row r="585" spans="1:15" x14ac:dyDescent="0.2">
      <c r="A585" t="s">
        <v>88</v>
      </c>
      <c r="B585" t="s">
        <v>37</v>
      </c>
      <c r="C585" t="s">
        <v>17</v>
      </c>
      <c r="D585" t="s">
        <v>75</v>
      </c>
      <c r="E585" t="s">
        <v>81</v>
      </c>
      <c r="F585">
        <v>3</v>
      </c>
      <c r="G585" t="s">
        <v>19</v>
      </c>
      <c r="H585" t="s">
        <v>23</v>
      </c>
      <c r="I585">
        <v>9</v>
      </c>
      <c r="J585">
        <v>100</v>
      </c>
      <c r="K585">
        <v>0</v>
      </c>
      <c r="L585">
        <v>89</v>
      </c>
      <c r="M585">
        <v>178</v>
      </c>
      <c r="N585">
        <v>0</v>
      </c>
      <c r="O585">
        <v>681</v>
      </c>
    </row>
    <row r="586" spans="1:15" x14ac:dyDescent="0.2">
      <c r="A586" t="s">
        <v>88</v>
      </c>
      <c r="B586" t="s">
        <v>37</v>
      </c>
      <c r="C586" t="s">
        <v>17</v>
      </c>
      <c r="D586" t="s">
        <v>75</v>
      </c>
      <c r="E586" t="s">
        <v>81</v>
      </c>
      <c r="F586">
        <v>3</v>
      </c>
      <c r="G586" t="s">
        <v>19</v>
      </c>
      <c r="H586" t="s">
        <v>24</v>
      </c>
      <c r="I586">
        <v>0</v>
      </c>
      <c r="J586">
        <v>1</v>
      </c>
      <c r="K586">
        <v>0</v>
      </c>
      <c r="L586">
        <v>89</v>
      </c>
      <c r="M586">
        <v>178</v>
      </c>
      <c r="N586">
        <v>0</v>
      </c>
      <c r="O586">
        <v>681</v>
      </c>
    </row>
    <row r="587" spans="1:15" x14ac:dyDescent="0.2">
      <c r="A587" t="s">
        <v>88</v>
      </c>
      <c r="B587" t="s">
        <v>37</v>
      </c>
      <c r="C587" t="s">
        <v>17</v>
      </c>
      <c r="D587" t="s">
        <v>75</v>
      </c>
      <c r="E587" t="s">
        <v>80</v>
      </c>
      <c r="F587">
        <v>3</v>
      </c>
      <c r="G587" t="s">
        <v>79</v>
      </c>
      <c r="H587" t="s">
        <v>20</v>
      </c>
      <c r="I587">
        <v>9</v>
      </c>
      <c r="J587">
        <v>38</v>
      </c>
      <c r="K587">
        <v>16</v>
      </c>
      <c r="L587">
        <v>21</v>
      </c>
      <c r="M587">
        <v>136</v>
      </c>
      <c r="N587">
        <v>73</v>
      </c>
      <c r="O587">
        <v>522</v>
      </c>
    </row>
    <row r="588" spans="1:15" x14ac:dyDescent="0.2">
      <c r="A588" t="s">
        <v>88</v>
      </c>
      <c r="B588" t="s">
        <v>37</v>
      </c>
      <c r="C588" t="s">
        <v>17</v>
      </c>
      <c r="D588" t="s">
        <v>75</v>
      </c>
      <c r="E588" t="s">
        <v>80</v>
      </c>
      <c r="F588">
        <v>3</v>
      </c>
      <c r="G588" t="s">
        <v>79</v>
      </c>
      <c r="H588" t="s">
        <v>21</v>
      </c>
      <c r="I588">
        <v>2</v>
      </c>
      <c r="J588">
        <v>43</v>
      </c>
      <c r="K588">
        <v>24</v>
      </c>
      <c r="L588">
        <v>21</v>
      </c>
      <c r="M588">
        <v>136</v>
      </c>
      <c r="N588">
        <v>73</v>
      </c>
      <c r="O588">
        <v>522</v>
      </c>
    </row>
    <row r="589" spans="1:15" x14ac:dyDescent="0.2">
      <c r="A589" t="s">
        <v>88</v>
      </c>
      <c r="B589" t="s">
        <v>37</v>
      </c>
      <c r="C589" t="s">
        <v>17</v>
      </c>
      <c r="D589" t="s">
        <v>75</v>
      </c>
      <c r="E589" t="s">
        <v>80</v>
      </c>
      <c r="F589">
        <v>3</v>
      </c>
      <c r="G589" t="s">
        <v>79</v>
      </c>
      <c r="H589" t="s">
        <v>22</v>
      </c>
      <c r="I589">
        <v>2</v>
      </c>
      <c r="J589">
        <v>16</v>
      </c>
      <c r="K589">
        <v>10</v>
      </c>
      <c r="L589">
        <v>21</v>
      </c>
      <c r="M589">
        <v>136</v>
      </c>
      <c r="N589">
        <v>73</v>
      </c>
      <c r="O589">
        <v>522</v>
      </c>
    </row>
    <row r="590" spans="1:15" x14ac:dyDescent="0.2">
      <c r="A590" t="s">
        <v>88</v>
      </c>
      <c r="B590" t="s">
        <v>37</v>
      </c>
      <c r="C590" t="s">
        <v>17</v>
      </c>
      <c r="D590" t="s">
        <v>75</v>
      </c>
      <c r="E590" t="s">
        <v>80</v>
      </c>
      <c r="F590">
        <v>3</v>
      </c>
      <c r="G590" t="s">
        <v>79</v>
      </c>
      <c r="H590" t="s">
        <v>23</v>
      </c>
      <c r="I590">
        <v>8</v>
      </c>
      <c r="J590">
        <v>39</v>
      </c>
      <c r="K590">
        <v>23</v>
      </c>
      <c r="L590">
        <v>21</v>
      </c>
      <c r="M590">
        <v>136</v>
      </c>
      <c r="N590">
        <v>73</v>
      </c>
      <c r="O590">
        <v>522</v>
      </c>
    </row>
    <row r="591" spans="1:15" x14ac:dyDescent="0.2">
      <c r="A591" t="s">
        <v>88</v>
      </c>
      <c r="B591" t="s">
        <v>37</v>
      </c>
      <c r="C591" t="s">
        <v>17</v>
      </c>
      <c r="D591" t="s">
        <v>75</v>
      </c>
      <c r="E591" t="s">
        <v>80</v>
      </c>
      <c r="F591">
        <v>3</v>
      </c>
      <c r="G591" t="s">
        <v>79</v>
      </c>
      <c r="H591" t="s">
        <v>24</v>
      </c>
      <c r="I591">
        <v>0</v>
      </c>
      <c r="J591">
        <v>0</v>
      </c>
      <c r="K591">
        <v>0</v>
      </c>
      <c r="L591">
        <v>21</v>
      </c>
      <c r="M591">
        <v>136</v>
      </c>
      <c r="N591">
        <v>73</v>
      </c>
      <c r="O591">
        <v>522</v>
      </c>
    </row>
    <row r="592" spans="1:15" x14ac:dyDescent="0.2">
      <c r="A592" t="s">
        <v>88</v>
      </c>
      <c r="B592" t="s">
        <v>37</v>
      </c>
      <c r="C592" t="s">
        <v>17</v>
      </c>
      <c r="D592" t="s">
        <v>75</v>
      </c>
      <c r="E592" t="s">
        <v>78</v>
      </c>
      <c r="F592">
        <v>3</v>
      </c>
      <c r="G592" t="s">
        <v>77</v>
      </c>
      <c r="H592" t="s">
        <v>20</v>
      </c>
      <c r="I592">
        <v>6</v>
      </c>
      <c r="J592">
        <v>24</v>
      </c>
      <c r="K592">
        <v>11</v>
      </c>
      <c r="L592">
        <v>14</v>
      </c>
      <c r="M592">
        <v>142</v>
      </c>
      <c r="N592">
        <v>74</v>
      </c>
      <c r="O592">
        <v>510</v>
      </c>
    </row>
    <row r="593" spans="1:15" x14ac:dyDescent="0.2">
      <c r="A593" t="s">
        <v>88</v>
      </c>
      <c r="B593" t="s">
        <v>37</v>
      </c>
      <c r="C593" t="s">
        <v>17</v>
      </c>
      <c r="D593" t="s">
        <v>75</v>
      </c>
      <c r="E593" t="s">
        <v>78</v>
      </c>
      <c r="F593">
        <v>3</v>
      </c>
      <c r="G593" t="s">
        <v>77</v>
      </c>
      <c r="H593" t="s">
        <v>21</v>
      </c>
      <c r="I593">
        <v>2</v>
      </c>
      <c r="J593">
        <v>52</v>
      </c>
      <c r="K593">
        <v>27</v>
      </c>
      <c r="L593">
        <v>14</v>
      </c>
      <c r="M593">
        <v>142</v>
      </c>
      <c r="N593">
        <v>74</v>
      </c>
      <c r="O593">
        <v>510</v>
      </c>
    </row>
    <row r="594" spans="1:15" x14ac:dyDescent="0.2">
      <c r="A594" t="s">
        <v>88</v>
      </c>
      <c r="B594" t="s">
        <v>37</v>
      </c>
      <c r="C594" t="s">
        <v>17</v>
      </c>
      <c r="D594" t="s">
        <v>75</v>
      </c>
      <c r="E594" t="s">
        <v>78</v>
      </c>
      <c r="F594">
        <v>3</v>
      </c>
      <c r="G594" t="s">
        <v>77</v>
      </c>
      <c r="H594" t="s">
        <v>22</v>
      </c>
      <c r="I594">
        <v>1</v>
      </c>
      <c r="J594">
        <v>20</v>
      </c>
      <c r="K594">
        <v>14</v>
      </c>
      <c r="L594">
        <v>14</v>
      </c>
      <c r="M594">
        <v>142</v>
      </c>
      <c r="N594">
        <v>74</v>
      </c>
      <c r="O594">
        <v>510</v>
      </c>
    </row>
    <row r="595" spans="1:15" x14ac:dyDescent="0.2">
      <c r="A595" t="s">
        <v>88</v>
      </c>
      <c r="B595" t="s">
        <v>37</v>
      </c>
      <c r="C595" t="s">
        <v>17</v>
      </c>
      <c r="D595" t="s">
        <v>75</v>
      </c>
      <c r="E595" t="s">
        <v>78</v>
      </c>
      <c r="F595">
        <v>3</v>
      </c>
      <c r="G595" t="s">
        <v>77</v>
      </c>
      <c r="H595" t="s">
        <v>23</v>
      </c>
      <c r="I595">
        <v>5</v>
      </c>
      <c r="J595">
        <v>44</v>
      </c>
      <c r="K595">
        <v>22</v>
      </c>
      <c r="L595">
        <v>14</v>
      </c>
      <c r="M595">
        <v>142</v>
      </c>
      <c r="N595">
        <v>74</v>
      </c>
      <c r="O595">
        <v>510</v>
      </c>
    </row>
    <row r="596" spans="1:15" x14ac:dyDescent="0.2">
      <c r="A596" t="s">
        <v>88</v>
      </c>
      <c r="B596" t="s">
        <v>37</v>
      </c>
      <c r="C596" t="s">
        <v>17</v>
      </c>
      <c r="D596" t="s">
        <v>75</v>
      </c>
      <c r="E596" t="s">
        <v>78</v>
      </c>
      <c r="F596">
        <v>3</v>
      </c>
      <c r="G596" t="s">
        <v>77</v>
      </c>
      <c r="H596" t="s">
        <v>24</v>
      </c>
      <c r="I596">
        <v>0</v>
      </c>
      <c r="J596">
        <v>2</v>
      </c>
      <c r="K596">
        <v>0</v>
      </c>
      <c r="L596">
        <v>14</v>
      </c>
      <c r="M596">
        <v>142</v>
      </c>
      <c r="N596">
        <v>74</v>
      </c>
      <c r="O596">
        <v>510</v>
      </c>
    </row>
    <row r="597" spans="1:15" x14ac:dyDescent="0.2">
      <c r="A597" t="s">
        <v>88</v>
      </c>
      <c r="B597" t="s">
        <v>37</v>
      </c>
      <c r="C597" t="s">
        <v>17</v>
      </c>
      <c r="D597" t="s">
        <v>75</v>
      </c>
      <c r="E597" t="s">
        <v>74</v>
      </c>
      <c r="F597">
        <v>3</v>
      </c>
      <c r="G597" t="s">
        <v>73</v>
      </c>
      <c r="H597" t="s">
        <v>20</v>
      </c>
      <c r="I597">
        <v>9</v>
      </c>
      <c r="J597">
        <v>6</v>
      </c>
      <c r="K597">
        <v>0</v>
      </c>
      <c r="L597">
        <v>20</v>
      </c>
      <c r="M597">
        <v>100</v>
      </c>
      <c r="N597">
        <v>57</v>
      </c>
      <c r="O597">
        <v>499</v>
      </c>
    </row>
    <row r="598" spans="1:15" x14ac:dyDescent="0.2">
      <c r="A598" t="s">
        <v>88</v>
      </c>
      <c r="B598" t="s">
        <v>37</v>
      </c>
      <c r="C598" t="s">
        <v>17</v>
      </c>
      <c r="D598" t="s">
        <v>75</v>
      </c>
      <c r="E598" t="s">
        <v>74</v>
      </c>
      <c r="F598">
        <v>3</v>
      </c>
      <c r="G598" t="s">
        <v>73</v>
      </c>
      <c r="H598" t="s">
        <v>21</v>
      </c>
      <c r="I598">
        <v>2</v>
      </c>
      <c r="J598">
        <v>30</v>
      </c>
      <c r="K598">
        <v>15</v>
      </c>
      <c r="L598">
        <v>20</v>
      </c>
      <c r="M598">
        <v>100</v>
      </c>
      <c r="N598">
        <v>57</v>
      </c>
      <c r="O598">
        <v>499</v>
      </c>
    </row>
    <row r="599" spans="1:15" x14ac:dyDescent="0.2">
      <c r="A599" t="s">
        <v>88</v>
      </c>
      <c r="B599" t="s">
        <v>37</v>
      </c>
      <c r="C599" t="s">
        <v>17</v>
      </c>
      <c r="D599" t="s">
        <v>75</v>
      </c>
      <c r="E599" t="s">
        <v>74</v>
      </c>
      <c r="F599">
        <v>3</v>
      </c>
      <c r="G599" t="s">
        <v>73</v>
      </c>
      <c r="H599" t="s">
        <v>22</v>
      </c>
      <c r="I599">
        <v>2</v>
      </c>
      <c r="J599">
        <v>13</v>
      </c>
      <c r="K599">
        <v>10</v>
      </c>
      <c r="L599">
        <v>20</v>
      </c>
      <c r="M599">
        <v>100</v>
      </c>
      <c r="N599">
        <v>57</v>
      </c>
      <c r="O599">
        <v>499</v>
      </c>
    </row>
    <row r="600" spans="1:15" x14ac:dyDescent="0.2">
      <c r="A600" t="s">
        <v>88</v>
      </c>
      <c r="B600" t="s">
        <v>37</v>
      </c>
      <c r="C600" t="s">
        <v>17</v>
      </c>
      <c r="D600" t="s">
        <v>75</v>
      </c>
      <c r="E600" t="s">
        <v>74</v>
      </c>
      <c r="F600">
        <v>3</v>
      </c>
      <c r="G600" t="s">
        <v>73</v>
      </c>
      <c r="H600" t="s">
        <v>23</v>
      </c>
      <c r="I600">
        <v>7</v>
      </c>
      <c r="J600">
        <v>51</v>
      </c>
      <c r="K600">
        <v>32</v>
      </c>
      <c r="L600">
        <v>20</v>
      </c>
      <c r="M600">
        <v>100</v>
      </c>
      <c r="N600">
        <v>57</v>
      </c>
      <c r="O600">
        <v>499</v>
      </c>
    </row>
    <row r="601" spans="1:15" x14ac:dyDescent="0.2">
      <c r="A601" t="s">
        <v>88</v>
      </c>
      <c r="B601" t="s">
        <v>37</v>
      </c>
      <c r="C601" t="s">
        <v>17</v>
      </c>
      <c r="D601" t="s">
        <v>75</v>
      </c>
      <c r="E601" t="s">
        <v>74</v>
      </c>
      <c r="F601">
        <v>3</v>
      </c>
      <c r="G601" t="s">
        <v>73</v>
      </c>
      <c r="H601" t="s">
        <v>24</v>
      </c>
      <c r="I601">
        <v>0</v>
      </c>
      <c r="J601">
        <v>0</v>
      </c>
      <c r="K601">
        <v>0</v>
      </c>
      <c r="L601">
        <v>20</v>
      </c>
      <c r="M601">
        <v>100</v>
      </c>
      <c r="N601">
        <v>57</v>
      </c>
      <c r="O601">
        <v>499</v>
      </c>
    </row>
    <row r="602" spans="1:15" x14ac:dyDescent="0.2">
      <c r="A602" t="s">
        <v>84</v>
      </c>
      <c r="B602" t="s">
        <v>83</v>
      </c>
      <c r="C602" t="s">
        <v>17</v>
      </c>
      <c r="D602" t="s">
        <v>75</v>
      </c>
      <c r="E602" t="s">
        <v>87</v>
      </c>
      <c r="F602">
        <v>3</v>
      </c>
      <c r="G602" t="s">
        <v>19</v>
      </c>
      <c r="H602" t="s">
        <v>20</v>
      </c>
      <c r="I602">
        <v>62</v>
      </c>
      <c r="J602">
        <v>15</v>
      </c>
      <c r="K602">
        <v>0</v>
      </c>
      <c r="L602">
        <v>81</v>
      </c>
      <c r="M602">
        <v>39</v>
      </c>
      <c r="N602">
        <v>0</v>
      </c>
      <c r="O602">
        <v>499</v>
      </c>
    </row>
    <row r="603" spans="1:15" x14ac:dyDescent="0.2">
      <c r="A603" t="s">
        <v>84</v>
      </c>
      <c r="B603" t="s">
        <v>83</v>
      </c>
      <c r="C603" t="s">
        <v>17</v>
      </c>
      <c r="D603" t="s">
        <v>75</v>
      </c>
      <c r="E603" t="s">
        <v>87</v>
      </c>
      <c r="F603">
        <v>3</v>
      </c>
      <c r="G603" t="s">
        <v>19</v>
      </c>
      <c r="H603" t="s">
        <v>21</v>
      </c>
      <c r="I603">
        <v>11</v>
      </c>
      <c r="J603">
        <v>3</v>
      </c>
      <c r="K603">
        <v>0</v>
      </c>
      <c r="L603">
        <v>81</v>
      </c>
      <c r="M603">
        <v>39</v>
      </c>
      <c r="N603">
        <v>0</v>
      </c>
      <c r="O603">
        <v>499</v>
      </c>
    </row>
    <row r="604" spans="1:15" x14ac:dyDescent="0.2">
      <c r="A604" t="s">
        <v>84</v>
      </c>
      <c r="B604" t="s">
        <v>83</v>
      </c>
      <c r="C604" t="s">
        <v>17</v>
      </c>
      <c r="D604" t="s">
        <v>75</v>
      </c>
      <c r="E604" t="s">
        <v>87</v>
      </c>
      <c r="F604">
        <v>3</v>
      </c>
      <c r="G604" t="s">
        <v>19</v>
      </c>
      <c r="H604" t="s">
        <v>22</v>
      </c>
      <c r="I604">
        <v>4</v>
      </c>
      <c r="J604">
        <v>6</v>
      </c>
      <c r="K604">
        <v>0</v>
      </c>
      <c r="L604">
        <v>81</v>
      </c>
      <c r="M604">
        <v>39</v>
      </c>
      <c r="N604">
        <v>0</v>
      </c>
      <c r="O604">
        <v>499</v>
      </c>
    </row>
    <row r="605" spans="1:15" x14ac:dyDescent="0.2">
      <c r="A605" t="s">
        <v>84</v>
      </c>
      <c r="B605" t="s">
        <v>83</v>
      </c>
      <c r="C605" t="s">
        <v>17</v>
      </c>
      <c r="D605" t="s">
        <v>75</v>
      </c>
      <c r="E605" t="s">
        <v>87</v>
      </c>
      <c r="F605">
        <v>3</v>
      </c>
      <c r="G605" t="s">
        <v>19</v>
      </c>
      <c r="H605" t="s">
        <v>23</v>
      </c>
      <c r="I605">
        <v>4</v>
      </c>
      <c r="J605">
        <v>15</v>
      </c>
      <c r="K605">
        <v>0</v>
      </c>
      <c r="L605">
        <v>81</v>
      </c>
      <c r="M605">
        <v>39</v>
      </c>
      <c r="N605">
        <v>0</v>
      </c>
      <c r="O605">
        <v>499</v>
      </c>
    </row>
    <row r="606" spans="1:15" x14ac:dyDescent="0.2">
      <c r="A606" t="s">
        <v>84</v>
      </c>
      <c r="B606" t="s">
        <v>83</v>
      </c>
      <c r="C606" t="s">
        <v>17</v>
      </c>
      <c r="D606" t="s">
        <v>75</v>
      </c>
      <c r="E606" t="s">
        <v>87</v>
      </c>
      <c r="F606">
        <v>3</v>
      </c>
      <c r="G606" t="s">
        <v>19</v>
      </c>
      <c r="H606" t="s">
        <v>24</v>
      </c>
      <c r="I606">
        <v>0</v>
      </c>
      <c r="J606">
        <v>0</v>
      </c>
      <c r="K606">
        <v>0</v>
      </c>
      <c r="L606">
        <v>81</v>
      </c>
      <c r="M606">
        <v>39</v>
      </c>
      <c r="N606">
        <v>0</v>
      </c>
      <c r="O606">
        <v>499</v>
      </c>
    </row>
    <row r="607" spans="1:15" x14ac:dyDescent="0.2">
      <c r="A607" t="s">
        <v>84</v>
      </c>
      <c r="B607" t="s">
        <v>83</v>
      </c>
      <c r="C607" t="s">
        <v>17</v>
      </c>
      <c r="D607" t="s">
        <v>75</v>
      </c>
      <c r="E607" t="s">
        <v>86</v>
      </c>
      <c r="F607">
        <v>3</v>
      </c>
      <c r="G607" t="s">
        <v>79</v>
      </c>
      <c r="H607" t="s">
        <v>20</v>
      </c>
      <c r="I607">
        <v>2</v>
      </c>
      <c r="J607">
        <v>17</v>
      </c>
      <c r="K607">
        <v>13</v>
      </c>
      <c r="L607">
        <v>4</v>
      </c>
      <c r="M607">
        <v>31</v>
      </c>
      <c r="N607">
        <v>24</v>
      </c>
      <c r="O607">
        <v>107</v>
      </c>
    </row>
    <row r="608" spans="1:15" x14ac:dyDescent="0.2">
      <c r="A608" t="s">
        <v>84</v>
      </c>
      <c r="B608" t="s">
        <v>83</v>
      </c>
      <c r="C608" t="s">
        <v>17</v>
      </c>
      <c r="D608" t="s">
        <v>75</v>
      </c>
      <c r="E608" t="s">
        <v>86</v>
      </c>
      <c r="F608">
        <v>3</v>
      </c>
      <c r="G608" t="s">
        <v>79</v>
      </c>
      <c r="H608" t="s">
        <v>21</v>
      </c>
      <c r="I608">
        <v>2</v>
      </c>
      <c r="J608">
        <v>9</v>
      </c>
      <c r="K608">
        <v>8</v>
      </c>
      <c r="L608">
        <v>4</v>
      </c>
      <c r="M608">
        <v>31</v>
      </c>
      <c r="N608">
        <v>24</v>
      </c>
      <c r="O608">
        <v>107</v>
      </c>
    </row>
    <row r="609" spans="1:15" x14ac:dyDescent="0.2">
      <c r="A609" t="s">
        <v>84</v>
      </c>
      <c r="B609" t="s">
        <v>83</v>
      </c>
      <c r="C609" t="s">
        <v>17</v>
      </c>
      <c r="D609" t="s">
        <v>75</v>
      </c>
      <c r="E609" t="s">
        <v>86</v>
      </c>
      <c r="F609">
        <v>3</v>
      </c>
      <c r="G609" t="s">
        <v>79</v>
      </c>
      <c r="H609" t="s">
        <v>22</v>
      </c>
      <c r="I609">
        <v>0</v>
      </c>
      <c r="J609">
        <v>2</v>
      </c>
      <c r="K609">
        <v>2</v>
      </c>
      <c r="L609">
        <v>4</v>
      </c>
      <c r="M609">
        <v>31</v>
      </c>
      <c r="N609">
        <v>24</v>
      </c>
      <c r="O609">
        <v>107</v>
      </c>
    </row>
    <row r="610" spans="1:15" x14ac:dyDescent="0.2">
      <c r="A610" t="s">
        <v>84</v>
      </c>
      <c r="B610" t="s">
        <v>83</v>
      </c>
      <c r="C610" t="s">
        <v>17</v>
      </c>
      <c r="D610" t="s">
        <v>75</v>
      </c>
      <c r="E610" t="s">
        <v>86</v>
      </c>
      <c r="F610">
        <v>3</v>
      </c>
      <c r="G610" t="s">
        <v>79</v>
      </c>
      <c r="H610" t="s">
        <v>23</v>
      </c>
      <c r="I610">
        <v>0</v>
      </c>
      <c r="J610">
        <v>3</v>
      </c>
      <c r="K610">
        <v>1</v>
      </c>
      <c r="L610">
        <v>4</v>
      </c>
      <c r="M610">
        <v>31</v>
      </c>
      <c r="N610">
        <v>24</v>
      </c>
      <c r="O610">
        <v>107</v>
      </c>
    </row>
    <row r="611" spans="1:15" x14ac:dyDescent="0.2">
      <c r="A611" t="s">
        <v>84</v>
      </c>
      <c r="B611" t="s">
        <v>83</v>
      </c>
      <c r="C611" t="s">
        <v>17</v>
      </c>
      <c r="D611" t="s">
        <v>75</v>
      </c>
      <c r="E611" t="s">
        <v>86</v>
      </c>
      <c r="F611">
        <v>3</v>
      </c>
      <c r="G611" t="s">
        <v>79</v>
      </c>
      <c r="H611" t="s">
        <v>24</v>
      </c>
      <c r="I611">
        <v>0</v>
      </c>
      <c r="J611">
        <v>0</v>
      </c>
      <c r="K611">
        <v>0</v>
      </c>
      <c r="L611">
        <v>4</v>
      </c>
      <c r="M611">
        <v>31</v>
      </c>
      <c r="N611">
        <v>24</v>
      </c>
      <c r="O611">
        <v>107</v>
      </c>
    </row>
    <row r="612" spans="1:15" x14ac:dyDescent="0.2">
      <c r="A612" t="s">
        <v>84</v>
      </c>
      <c r="B612" t="s">
        <v>83</v>
      </c>
      <c r="C612" t="s">
        <v>17</v>
      </c>
      <c r="D612" t="s">
        <v>75</v>
      </c>
      <c r="E612" t="s">
        <v>85</v>
      </c>
      <c r="F612">
        <v>3</v>
      </c>
      <c r="G612" t="s">
        <v>77</v>
      </c>
      <c r="H612" t="s">
        <v>20</v>
      </c>
      <c r="I612">
        <v>1</v>
      </c>
      <c r="J612">
        <v>11</v>
      </c>
      <c r="K612">
        <v>10</v>
      </c>
      <c r="L612">
        <v>3</v>
      </c>
      <c r="M612">
        <v>40</v>
      </c>
      <c r="N612">
        <v>30</v>
      </c>
      <c r="O612">
        <v>114</v>
      </c>
    </row>
    <row r="613" spans="1:15" x14ac:dyDescent="0.2">
      <c r="A613" t="s">
        <v>84</v>
      </c>
      <c r="B613" t="s">
        <v>83</v>
      </c>
      <c r="C613" t="s">
        <v>17</v>
      </c>
      <c r="D613" t="s">
        <v>75</v>
      </c>
      <c r="E613" t="s">
        <v>85</v>
      </c>
      <c r="F613">
        <v>3</v>
      </c>
      <c r="G613" t="s">
        <v>77</v>
      </c>
      <c r="H613" t="s">
        <v>21</v>
      </c>
      <c r="I613">
        <v>2</v>
      </c>
      <c r="J613">
        <v>15</v>
      </c>
      <c r="K613">
        <v>11</v>
      </c>
      <c r="L613">
        <v>3</v>
      </c>
      <c r="M613">
        <v>40</v>
      </c>
      <c r="N613">
        <v>30</v>
      </c>
      <c r="O613">
        <v>114</v>
      </c>
    </row>
    <row r="614" spans="1:15" x14ac:dyDescent="0.2">
      <c r="A614" t="s">
        <v>84</v>
      </c>
      <c r="B614" t="s">
        <v>83</v>
      </c>
      <c r="C614" t="s">
        <v>17</v>
      </c>
      <c r="D614" t="s">
        <v>75</v>
      </c>
      <c r="E614" t="s">
        <v>85</v>
      </c>
      <c r="F614">
        <v>3</v>
      </c>
      <c r="G614" t="s">
        <v>77</v>
      </c>
      <c r="H614" t="s">
        <v>22</v>
      </c>
      <c r="I614">
        <v>0</v>
      </c>
      <c r="J614">
        <v>4</v>
      </c>
      <c r="K614">
        <v>3</v>
      </c>
      <c r="L614">
        <v>3</v>
      </c>
      <c r="M614">
        <v>40</v>
      </c>
      <c r="N614">
        <v>30</v>
      </c>
      <c r="O614">
        <v>114</v>
      </c>
    </row>
    <row r="615" spans="1:15" x14ac:dyDescent="0.2">
      <c r="A615" t="s">
        <v>84</v>
      </c>
      <c r="B615" t="s">
        <v>83</v>
      </c>
      <c r="C615" t="s">
        <v>17</v>
      </c>
      <c r="D615" t="s">
        <v>75</v>
      </c>
      <c r="E615" t="s">
        <v>85</v>
      </c>
      <c r="F615">
        <v>3</v>
      </c>
      <c r="G615" t="s">
        <v>77</v>
      </c>
      <c r="H615" t="s">
        <v>23</v>
      </c>
      <c r="I615">
        <v>0</v>
      </c>
      <c r="J615">
        <v>10</v>
      </c>
      <c r="K615">
        <v>6</v>
      </c>
      <c r="L615">
        <v>3</v>
      </c>
      <c r="M615">
        <v>40</v>
      </c>
      <c r="N615">
        <v>30</v>
      </c>
      <c r="O615">
        <v>114</v>
      </c>
    </row>
    <row r="616" spans="1:15" x14ac:dyDescent="0.2">
      <c r="A616" t="s">
        <v>84</v>
      </c>
      <c r="B616" t="s">
        <v>83</v>
      </c>
      <c r="C616" t="s">
        <v>17</v>
      </c>
      <c r="D616" t="s">
        <v>75</v>
      </c>
      <c r="E616" t="s">
        <v>85</v>
      </c>
      <c r="F616">
        <v>3</v>
      </c>
      <c r="G616" t="s">
        <v>77</v>
      </c>
      <c r="H616" t="s">
        <v>24</v>
      </c>
      <c r="I616">
        <v>0</v>
      </c>
      <c r="J616">
        <v>0</v>
      </c>
      <c r="K616">
        <v>0</v>
      </c>
      <c r="L616">
        <v>3</v>
      </c>
      <c r="M616">
        <v>40</v>
      </c>
      <c r="N616">
        <v>30</v>
      </c>
      <c r="O616">
        <v>114</v>
      </c>
    </row>
    <row r="617" spans="1:15" x14ac:dyDescent="0.2">
      <c r="A617" t="s">
        <v>84</v>
      </c>
      <c r="B617" t="s">
        <v>83</v>
      </c>
      <c r="C617" t="s">
        <v>17</v>
      </c>
      <c r="D617" t="s">
        <v>75</v>
      </c>
      <c r="E617" t="s">
        <v>82</v>
      </c>
      <c r="F617">
        <v>3</v>
      </c>
      <c r="G617" t="s">
        <v>73</v>
      </c>
      <c r="H617" t="s">
        <v>20</v>
      </c>
      <c r="I617">
        <v>2</v>
      </c>
      <c r="J617">
        <v>0</v>
      </c>
      <c r="K617">
        <v>0</v>
      </c>
      <c r="L617">
        <v>3</v>
      </c>
      <c r="M617">
        <v>28</v>
      </c>
      <c r="N617">
        <v>24</v>
      </c>
      <c r="O617">
        <v>92</v>
      </c>
    </row>
    <row r="618" spans="1:15" x14ac:dyDescent="0.2">
      <c r="A618" t="s">
        <v>84</v>
      </c>
      <c r="B618" t="s">
        <v>83</v>
      </c>
      <c r="C618" t="s">
        <v>17</v>
      </c>
      <c r="D618" t="s">
        <v>75</v>
      </c>
      <c r="E618" t="s">
        <v>82</v>
      </c>
      <c r="F618">
        <v>3</v>
      </c>
      <c r="G618" t="s">
        <v>73</v>
      </c>
      <c r="H618" t="s">
        <v>21</v>
      </c>
      <c r="I618">
        <v>0</v>
      </c>
      <c r="J618">
        <v>14</v>
      </c>
      <c r="K618">
        <v>13</v>
      </c>
      <c r="L618">
        <v>3</v>
      </c>
      <c r="M618">
        <v>28</v>
      </c>
      <c r="N618">
        <v>24</v>
      </c>
      <c r="O618">
        <v>92</v>
      </c>
    </row>
    <row r="619" spans="1:15" x14ac:dyDescent="0.2">
      <c r="A619" t="s">
        <v>84</v>
      </c>
      <c r="B619" t="s">
        <v>83</v>
      </c>
      <c r="C619" t="s">
        <v>17</v>
      </c>
      <c r="D619" t="s">
        <v>75</v>
      </c>
      <c r="E619" t="s">
        <v>82</v>
      </c>
      <c r="F619">
        <v>3</v>
      </c>
      <c r="G619" t="s">
        <v>73</v>
      </c>
      <c r="H619" t="s">
        <v>22</v>
      </c>
      <c r="I619">
        <v>0</v>
      </c>
      <c r="J619">
        <v>5</v>
      </c>
      <c r="K619">
        <v>5</v>
      </c>
      <c r="L619">
        <v>3</v>
      </c>
      <c r="M619">
        <v>28</v>
      </c>
      <c r="N619">
        <v>24</v>
      </c>
      <c r="O619">
        <v>92</v>
      </c>
    </row>
    <row r="620" spans="1:15" x14ac:dyDescent="0.2">
      <c r="A620" t="s">
        <v>84</v>
      </c>
      <c r="B620" t="s">
        <v>83</v>
      </c>
      <c r="C620" t="s">
        <v>17</v>
      </c>
      <c r="D620" t="s">
        <v>75</v>
      </c>
      <c r="E620" t="s">
        <v>82</v>
      </c>
      <c r="F620">
        <v>3</v>
      </c>
      <c r="G620" t="s">
        <v>73</v>
      </c>
      <c r="H620" t="s">
        <v>23</v>
      </c>
      <c r="I620">
        <v>1</v>
      </c>
      <c r="J620">
        <v>9</v>
      </c>
      <c r="K620">
        <v>6</v>
      </c>
      <c r="L620">
        <v>3</v>
      </c>
      <c r="M620">
        <v>28</v>
      </c>
      <c r="N620">
        <v>24</v>
      </c>
      <c r="O620">
        <v>92</v>
      </c>
    </row>
    <row r="621" spans="1:15" x14ac:dyDescent="0.2">
      <c r="A621" t="s">
        <v>84</v>
      </c>
      <c r="B621" t="s">
        <v>83</v>
      </c>
      <c r="C621" t="s">
        <v>17</v>
      </c>
      <c r="D621" t="s">
        <v>75</v>
      </c>
      <c r="E621" t="s">
        <v>82</v>
      </c>
      <c r="F621">
        <v>3</v>
      </c>
      <c r="G621" t="s">
        <v>73</v>
      </c>
      <c r="H621" t="s">
        <v>24</v>
      </c>
      <c r="I621">
        <v>0</v>
      </c>
      <c r="J621">
        <v>0</v>
      </c>
      <c r="K621">
        <v>0</v>
      </c>
      <c r="L621">
        <v>3</v>
      </c>
      <c r="M621">
        <v>28</v>
      </c>
      <c r="N621">
        <v>24</v>
      </c>
      <c r="O621">
        <v>92</v>
      </c>
    </row>
    <row r="622" spans="1:15" x14ac:dyDescent="0.2">
      <c r="A622" t="s">
        <v>76</v>
      </c>
      <c r="B622" t="s">
        <v>16</v>
      </c>
      <c r="C622" t="s">
        <v>17</v>
      </c>
      <c r="D622" t="s">
        <v>75</v>
      </c>
      <c r="E622" t="s">
        <v>81</v>
      </c>
      <c r="F622">
        <v>3</v>
      </c>
      <c r="G622" t="s">
        <v>19</v>
      </c>
      <c r="H622" t="s">
        <v>20</v>
      </c>
      <c r="I622">
        <v>199</v>
      </c>
      <c r="J622">
        <v>258</v>
      </c>
      <c r="K622">
        <v>0</v>
      </c>
      <c r="L622">
        <v>253</v>
      </c>
      <c r="M622">
        <v>273</v>
      </c>
      <c r="N622">
        <v>0</v>
      </c>
      <c r="O622">
        <v>685</v>
      </c>
    </row>
    <row r="623" spans="1:15" x14ac:dyDescent="0.2">
      <c r="A623" t="s">
        <v>76</v>
      </c>
      <c r="B623" t="s">
        <v>16</v>
      </c>
      <c r="C623" t="s">
        <v>17</v>
      </c>
      <c r="D623" t="s">
        <v>75</v>
      </c>
      <c r="E623" t="s">
        <v>81</v>
      </c>
      <c r="F623">
        <v>3</v>
      </c>
      <c r="G623" t="s">
        <v>19</v>
      </c>
      <c r="H623" t="s">
        <v>21</v>
      </c>
      <c r="I623">
        <v>12</v>
      </c>
      <c r="J623">
        <v>6</v>
      </c>
      <c r="K623">
        <v>0</v>
      </c>
      <c r="L623">
        <v>253</v>
      </c>
      <c r="M623">
        <v>273</v>
      </c>
      <c r="N623">
        <v>0</v>
      </c>
      <c r="O623">
        <v>685</v>
      </c>
    </row>
    <row r="624" spans="1:15" x14ac:dyDescent="0.2">
      <c r="A624" t="s">
        <v>76</v>
      </c>
      <c r="B624" t="s">
        <v>16</v>
      </c>
      <c r="C624" t="s">
        <v>17</v>
      </c>
      <c r="D624" t="s">
        <v>75</v>
      </c>
      <c r="E624" t="s">
        <v>81</v>
      </c>
      <c r="F624">
        <v>3</v>
      </c>
      <c r="G624" t="s">
        <v>19</v>
      </c>
      <c r="H624" t="s">
        <v>22</v>
      </c>
      <c r="I624">
        <v>2</v>
      </c>
      <c r="J624">
        <v>3</v>
      </c>
      <c r="K624">
        <v>0</v>
      </c>
      <c r="L624">
        <v>253</v>
      </c>
      <c r="M624">
        <v>273</v>
      </c>
      <c r="N624">
        <v>0</v>
      </c>
      <c r="O624">
        <v>685</v>
      </c>
    </row>
    <row r="625" spans="1:41" x14ac:dyDescent="0.2">
      <c r="A625" t="s">
        <v>76</v>
      </c>
      <c r="B625" t="s">
        <v>16</v>
      </c>
      <c r="C625" t="s">
        <v>17</v>
      </c>
      <c r="D625" t="s">
        <v>75</v>
      </c>
      <c r="E625" t="s">
        <v>81</v>
      </c>
      <c r="F625">
        <v>3</v>
      </c>
      <c r="G625" t="s">
        <v>19</v>
      </c>
      <c r="H625" t="s">
        <v>23</v>
      </c>
      <c r="I625">
        <v>40</v>
      </c>
      <c r="J625">
        <v>6</v>
      </c>
      <c r="K625">
        <v>0</v>
      </c>
      <c r="L625">
        <v>253</v>
      </c>
      <c r="M625">
        <v>273</v>
      </c>
      <c r="N625">
        <v>0</v>
      </c>
      <c r="O625">
        <v>685</v>
      </c>
    </row>
    <row r="626" spans="1:41" x14ac:dyDescent="0.2">
      <c r="A626" t="s">
        <v>76</v>
      </c>
      <c r="B626" t="s">
        <v>16</v>
      </c>
      <c r="C626" t="s">
        <v>17</v>
      </c>
      <c r="D626" t="s">
        <v>75</v>
      </c>
      <c r="E626" t="s">
        <v>81</v>
      </c>
      <c r="F626">
        <v>3</v>
      </c>
      <c r="G626" t="s">
        <v>19</v>
      </c>
      <c r="H626" t="s">
        <v>24</v>
      </c>
      <c r="I626">
        <v>0</v>
      </c>
      <c r="J626">
        <v>0</v>
      </c>
      <c r="K626">
        <v>0</v>
      </c>
      <c r="L626">
        <v>253</v>
      </c>
      <c r="M626">
        <v>273</v>
      </c>
      <c r="N626">
        <v>0</v>
      </c>
      <c r="O626">
        <v>685</v>
      </c>
    </row>
    <row r="627" spans="1:41" x14ac:dyDescent="0.2">
      <c r="A627" t="s">
        <v>76</v>
      </c>
      <c r="B627" t="s">
        <v>16</v>
      </c>
      <c r="C627" t="s">
        <v>17</v>
      </c>
      <c r="D627" t="s">
        <v>75</v>
      </c>
      <c r="E627" t="s">
        <v>80</v>
      </c>
      <c r="F627">
        <v>3</v>
      </c>
      <c r="G627" t="s">
        <v>79</v>
      </c>
      <c r="H627" t="s">
        <v>20</v>
      </c>
      <c r="I627">
        <v>17</v>
      </c>
      <c r="J627">
        <v>144</v>
      </c>
      <c r="K627">
        <v>70</v>
      </c>
      <c r="L627">
        <v>34</v>
      </c>
      <c r="M627">
        <v>160</v>
      </c>
      <c r="N627">
        <v>82</v>
      </c>
      <c r="O627">
        <v>591</v>
      </c>
    </row>
    <row r="628" spans="1:41" x14ac:dyDescent="0.2">
      <c r="A628" t="s">
        <v>76</v>
      </c>
      <c r="B628" t="s">
        <v>16</v>
      </c>
      <c r="C628" t="s">
        <v>17</v>
      </c>
      <c r="D628" t="s">
        <v>75</v>
      </c>
      <c r="E628" t="s">
        <v>80</v>
      </c>
      <c r="F628">
        <v>3</v>
      </c>
      <c r="G628" t="s">
        <v>79</v>
      </c>
      <c r="H628" t="s">
        <v>21</v>
      </c>
      <c r="I628">
        <v>7</v>
      </c>
      <c r="J628">
        <v>13</v>
      </c>
      <c r="K628">
        <v>10</v>
      </c>
      <c r="L628">
        <v>34</v>
      </c>
      <c r="M628">
        <v>160</v>
      </c>
      <c r="N628">
        <v>82</v>
      </c>
      <c r="O628">
        <v>591</v>
      </c>
    </row>
    <row r="629" spans="1:41" x14ac:dyDescent="0.2">
      <c r="A629" t="s">
        <v>76</v>
      </c>
      <c r="B629" t="s">
        <v>16</v>
      </c>
      <c r="C629" t="s">
        <v>17</v>
      </c>
      <c r="D629" t="s">
        <v>75</v>
      </c>
      <c r="E629" t="s">
        <v>80</v>
      </c>
      <c r="F629">
        <v>3</v>
      </c>
      <c r="G629" t="s">
        <v>79</v>
      </c>
      <c r="H629" t="s">
        <v>22</v>
      </c>
      <c r="I629">
        <v>0</v>
      </c>
      <c r="J629">
        <v>1</v>
      </c>
      <c r="K629">
        <v>0</v>
      </c>
      <c r="L629">
        <v>34</v>
      </c>
      <c r="M629">
        <v>160</v>
      </c>
      <c r="N629">
        <v>82</v>
      </c>
      <c r="O629">
        <v>591</v>
      </c>
      <c r="Z629" t="s">
        <v>150</v>
      </c>
      <c r="AA629" s="3" t="s">
        <v>20</v>
      </c>
      <c r="AB629" s="3" t="s">
        <v>21</v>
      </c>
      <c r="AC629" s="3" t="s">
        <v>60</v>
      </c>
      <c r="AD629" s="3" t="s">
        <v>61</v>
      </c>
      <c r="AE629" s="3" t="s">
        <v>62</v>
      </c>
      <c r="AF629" s="3" t="s">
        <v>200</v>
      </c>
      <c r="AG629" s="3" t="s">
        <v>201</v>
      </c>
      <c r="AJ629" s="24">
        <f>0.8/AF630</f>
        <v>1.0720165046349537E-2</v>
      </c>
    </row>
    <row r="630" spans="1:41" x14ac:dyDescent="0.2">
      <c r="A630" t="s">
        <v>76</v>
      </c>
      <c r="B630" t="s">
        <v>16</v>
      </c>
      <c r="C630" t="s">
        <v>17</v>
      </c>
      <c r="D630" t="s">
        <v>75</v>
      </c>
      <c r="E630" t="s">
        <v>80</v>
      </c>
      <c r="F630">
        <v>3</v>
      </c>
      <c r="G630" t="s">
        <v>79</v>
      </c>
      <c r="H630" t="s">
        <v>23</v>
      </c>
      <c r="I630">
        <v>10</v>
      </c>
      <c r="J630">
        <v>2</v>
      </c>
      <c r="K630">
        <v>2</v>
      </c>
      <c r="L630">
        <v>34</v>
      </c>
      <c r="M630">
        <v>160</v>
      </c>
      <c r="N630">
        <v>82</v>
      </c>
      <c r="O630">
        <v>591</v>
      </c>
      <c r="Z630" s="18" t="s">
        <v>145</v>
      </c>
      <c r="AA630" s="8" cm="1">
        <f t="array" ref="AA630:AE630">Z653:AD653</f>
        <v>54.312135619381756</v>
      </c>
      <c r="AB630" s="8">
        <v>20.313581106166097</v>
      </c>
      <c r="AC630" s="8">
        <v>10.08600552687078</v>
      </c>
      <c r="AD630" s="7">
        <v>9.0382777475813665</v>
      </c>
      <c r="AE630" s="8">
        <v>0</v>
      </c>
      <c r="AF630" s="8">
        <f>SUM(AA630:AB630)</f>
        <v>74.625716725547846</v>
      </c>
      <c r="AG630" s="8">
        <f>SUM(AA630:AC630)</f>
        <v>84.711722252418625</v>
      </c>
    </row>
    <row r="631" spans="1:41" x14ac:dyDescent="0.2">
      <c r="A631" t="s">
        <v>76</v>
      </c>
      <c r="B631" t="s">
        <v>16</v>
      </c>
      <c r="C631" t="s">
        <v>17</v>
      </c>
      <c r="D631" t="s">
        <v>75</v>
      </c>
      <c r="E631" t="s">
        <v>80</v>
      </c>
      <c r="F631">
        <v>3</v>
      </c>
      <c r="G631" t="s">
        <v>79</v>
      </c>
      <c r="H631" t="s">
        <v>24</v>
      </c>
      <c r="I631">
        <v>0</v>
      </c>
      <c r="J631">
        <v>0</v>
      </c>
      <c r="K631">
        <v>0</v>
      </c>
      <c r="L631">
        <v>34</v>
      </c>
      <c r="M631">
        <v>160</v>
      </c>
      <c r="N631">
        <v>82</v>
      </c>
      <c r="O631">
        <v>591</v>
      </c>
      <c r="X631" s="24">
        <f>(AA630-AA631)/AA630</f>
        <v>-1.3522124782871859E-2</v>
      </c>
      <c r="Z631" s="18" t="s">
        <v>146</v>
      </c>
      <c r="AA631" s="8" cm="1">
        <f t="array" ref="AA631:AE631">Z662:AD662</f>
        <v>55.046551094451296</v>
      </c>
      <c r="AB631" s="8">
        <v>17.928066617760887</v>
      </c>
      <c r="AC631" s="8">
        <v>8.3160007570541197</v>
      </c>
      <c r="AD631" s="8">
        <v>12.459381530733701</v>
      </c>
      <c r="AE631" s="8">
        <v>0</v>
      </c>
      <c r="AF631" s="8">
        <f t="shared" ref="AF631:AF632" si="0">SUM(AA631:AB631)</f>
        <v>72.974617712212179</v>
      </c>
      <c r="AG631" s="8">
        <f>SUM(AA631:AC631)</f>
        <v>81.290618469266292</v>
      </c>
    </row>
    <row r="632" spans="1:41" x14ac:dyDescent="0.2">
      <c r="A632" t="s">
        <v>76</v>
      </c>
      <c r="B632" t="s">
        <v>16</v>
      </c>
      <c r="C632" t="s">
        <v>17</v>
      </c>
      <c r="D632" t="s">
        <v>75</v>
      </c>
      <c r="E632" t="s">
        <v>78</v>
      </c>
      <c r="F632">
        <v>3</v>
      </c>
      <c r="G632" t="s">
        <v>77</v>
      </c>
      <c r="H632" t="s">
        <v>20</v>
      </c>
      <c r="I632">
        <v>16</v>
      </c>
      <c r="J632">
        <v>98</v>
      </c>
      <c r="K632">
        <v>44</v>
      </c>
      <c r="L632">
        <v>33</v>
      </c>
      <c r="M632">
        <v>135</v>
      </c>
      <c r="N632">
        <v>73</v>
      </c>
      <c r="O632">
        <v>571</v>
      </c>
      <c r="Z632" s="18" t="s">
        <v>147</v>
      </c>
      <c r="AA632" s="8" cm="1">
        <f t="array" ref="AA632:AE632">Z671:AD671</f>
        <v>40.352081043819481</v>
      </c>
      <c r="AB632" s="8">
        <v>28.17880078801576</v>
      </c>
      <c r="AC632" s="8">
        <v>8.7647706875488876</v>
      </c>
      <c r="AD632" s="8">
        <v>16.34554181259967</v>
      </c>
      <c r="AE632" s="8">
        <v>0</v>
      </c>
      <c r="AF632" s="8">
        <f t="shared" si="0"/>
        <v>68.530881831835245</v>
      </c>
      <c r="AG632" s="8">
        <f>SUM(AA632:AC632)</f>
        <v>77.295652519384134</v>
      </c>
    </row>
    <row r="633" spans="1:41" x14ac:dyDescent="0.2">
      <c r="A633" t="s">
        <v>76</v>
      </c>
      <c r="B633" t="s">
        <v>16</v>
      </c>
      <c r="C633" t="s">
        <v>17</v>
      </c>
      <c r="D633" t="s">
        <v>75</v>
      </c>
      <c r="E633" t="s">
        <v>78</v>
      </c>
      <c r="F633">
        <v>3</v>
      </c>
      <c r="G633" t="s">
        <v>77</v>
      </c>
      <c r="H633" t="s">
        <v>21</v>
      </c>
      <c r="I633">
        <v>4</v>
      </c>
      <c r="J633">
        <v>25</v>
      </c>
      <c r="K633">
        <v>17</v>
      </c>
      <c r="L633">
        <v>33</v>
      </c>
      <c r="M633">
        <v>135</v>
      </c>
      <c r="N633">
        <v>73</v>
      </c>
      <c r="O633">
        <v>571</v>
      </c>
    </row>
    <row r="634" spans="1:41" x14ac:dyDescent="0.2">
      <c r="A634" t="s">
        <v>76</v>
      </c>
      <c r="B634" t="s">
        <v>16</v>
      </c>
      <c r="C634" t="s">
        <v>17</v>
      </c>
      <c r="D634" t="s">
        <v>75</v>
      </c>
      <c r="E634" t="s">
        <v>78</v>
      </c>
      <c r="F634">
        <v>3</v>
      </c>
      <c r="G634" t="s">
        <v>77</v>
      </c>
      <c r="H634" t="s">
        <v>22</v>
      </c>
      <c r="I634">
        <v>1</v>
      </c>
      <c r="J634">
        <v>4</v>
      </c>
      <c r="K634">
        <v>4</v>
      </c>
      <c r="L634">
        <v>33</v>
      </c>
      <c r="M634">
        <v>135</v>
      </c>
      <c r="N634">
        <v>73</v>
      </c>
      <c r="O634">
        <v>571</v>
      </c>
      <c r="Z634" t="s">
        <v>151</v>
      </c>
      <c r="AA634" s="3" t="s">
        <v>20</v>
      </c>
      <c r="AB634" s="3" t="s">
        <v>21</v>
      </c>
      <c r="AC634" s="3" t="s">
        <v>60</v>
      </c>
      <c r="AD634" s="3" t="s">
        <v>61</v>
      </c>
      <c r="AE634" s="3" t="s">
        <v>62</v>
      </c>
    </row>
    <row r="635" spans="1:41" x14ac:dyDescent="0.2">
      <c r="A635" t="s">
        <v>76</v>
      </c>
      <c r="B635" t="s">
        <v>16</v>
      </c>
      <c r="C635" t="s">
        <v>17</v>
      </c>
      <c r="D635" t="s">
        <v>75</v>
      </c>
      <c r="E635" t="s">
        <v>78</v>
      </c>
      <c r="F635">
        <v>3</v>
      </c>
      <c r="G635" t="s">
        <v>77</v>
      </c>
      <c r="H635" t="s">
        <v>23</v>
      </c>
      <c r="I635">
        <v>12</v>
      </c>
      <c r="J635">
        <v>8</v>
      </c>
      <c r="K635">
        <v>8</v>
      </c>
      <c r="L635">
        <v>33</v>
      </c>
      <c r="M635">
        <v>135</v>
      </c>
      <c r="N635">
        <v>73</v>
      </c>
      <c r="O635">
        <v>571</v>
      </c>
      <c r="Z635" s="18" t="s">
        <v>145</v>
      </c>
      <c r="AA635" s="8" cm="1">
        <f t="array" ref="AA635:AE635">Z680:AD680</f>
        <v>59.561799556334265</v>
      </c>
      <c r="AB635" s="8">
        <v>19.149005052415163</v>
      </c>
      <c r="AC635" s="8">
        <v>13.390736582749335</v>
      </c>
      <c r="AD635" s="7">
        <v>7.7496492846917118</v>
      </c>
      <c r="AE635" s="16">
        <v>0.14880952380952381</v>
      </c>
      <c r="AF635" s="8">
        <f>SUM(AA635:AB635)</f>
        <v>78.710804608749427</v>
      </c>
      <c r="AG635" s="8">
        <f>SUM(AA635:AC635)</f>
        <v>92.101541191498768</v>
      </c>
    </row>
    <row r="636" spans="1:41" x14ac:dyDescent="0.2">
      <c r="A636" t="s">
        <v>76</v>
      </c>
      <c r="B636" t="s">
        <v>16</v>
      </c>
      <c r="C636" t="s">
        <v>17</v>
      </c>
      <c r="D636" t="s">
        <v>75</v>
      </c>
      <c r="E636" t="s">
        <v>78</v>
      </c>
      <c r="F636">
        <v>3</v>
      </c>
      <c r="G636" t="s">
        <v>77</v>
      </c>
      <c r="H636" t="s">
        <v>24</v>
      </c>
      <c r="I636">
        <v>0</v>
      </c>
      <c r="J636">
        <v>0</v>
      </c>
      <c r="K636">
        <v>0</v>
      </c>
      <c r="L636">
        <v>33</v>
      </c>
      <c r="M636">
        <v>135</v>
      </c>
      <c r="N636">
        <v>73</v>
      </c>
      <c r="O636">
        <v>571</v>
      </c>
      <c r="Z636" s="18" t="s">
        <v>146</v>
      </c>
      <c r="AA636" s="8" cm="1">
        <f t="array" ref="AA636:AE636">Z689:AD689</f>
        <v>35.280781446122354</v>
      </c>
      <c r="AB636" s="8">
        <v>34.688078649245753</v>
      </c>
      <c r="AC636" s="8">
        <v>15.014178429428529</v>
      </c>
      <c r="AD636" s="8">
        <v>14.892041105717782</v>
      </c>
      <c r="AE636" s="16">
        <v>0.12492036948558688</v>
      </c>
      <c r="AF636" s="8">
        <f t="shared" ref="AF636:AF637" si="1">SUM(AA636:AB636)</f>
        <v>69.968860095368115</v>
      </c>
      <c r="AG636" s="8">
        <f>SUM(AA636:AC636)</f>
        <v>84.98303852479664</v>
      </c>
    </row>
    <row r="637" spans="1:41" ht="16" thickBot="1" x14ac:dyDescent="0.25">
      <c r="A637" t="s">
        <v>76</v>
      </c>
      <c r="B637" t="s">
        <v>16</v>
      </c>
      <c r="C637" t="s">
        <v>17</v>
      </c>
      <c r="D637" t="s">
        <v>75</v>
      </c>
      <c r="E637" t="s">
        <v>74</v>
      </c>
      <c r="F637">
        <v>3</v>
      </c>
      <c r="G637" t="s">
        <v>73</v>
      </c>
      <c r="H637" t="s">
        <v>20</v>
      </c>
      <c r="I637">
        <v>16</v>
      </c>
      <c r="J637">
        <v>28</v>
      </c>
      <c r="K637">
        <v>3</v>
      </c>
      <c r="L637">
        <v>32</v>
      </c>
      <c r="M637">
        <v>78</v>
      </c>
      <c r="N637">
        <v>43</v>
      </c>
      <c r="O637">
        <v>482</v>
      </c>
      <c r="Z637" s="18" t="s">
        <v>147</v>
      </c>
      <c r="AA637" s="8" cm="1">
        <f t="array" ref="AA637:AE637">Z698:AD698</f>
        <v>19.657600024384244</v>
      </c>
      <c r="AB637" s="8">
        <v>41.901124697673765</v>
      </c>
      <c r="AC637" s="8">
        <v>15.127504565671455</v>
      </c>
      <c r="AD637" s="8">
        <v>28.651124901434347</v>
      </c>
      <c r="AE637" s="16">
        <v>0.13824066558441558</v>
      </c>
      <c r="AF637" s="8">
        <f t="shared" si="1"/>
        <v>61.55872472205801</v>
      </c>
      <c r="AG637" s="8">
        <f>SUM(AA637:AC637)</f>
        <v>76.686229287729461</v>
      </c>
      <c r="AH637" s="27" t="s">
        <v>236</v>
      </c>
      <c r="AJ637" s="3" t="s">
        <v>20</v>
      </c>
      <c r="AK637" s="3" t="s">
        <v>21</v>
      </c>
      <c r="AL637" s="3" t="s">
        <v>60</v>
      </c>
      <c r="AM637" s="3" t="s">
        <v>61</v>
      </c>
      <c r="AN637" s="3" t="s">
        <v>62</v>
      </c>
    </row>
    <row r="638" spans="1:41" x14ac:dyDescent="0.2">
      <c r="A638" t="s">
        <v>76</v>
      </c>
      <c r="B638" t="s">
        <v>16</v>
      </c>
      <c r="C638" t="s">
        <v>17</v>
      </c>
      <c r="D638" t="s">
        <v>75</v>
      </c>
      <c r="E638" t="s">
        <v>74</v>
      </c>
      <c r="F638">
        <v>3</v>
      </c>
      <c r="G638" t="s">
        <v>73</v>
      </c>
      <c r="H638" t="s">
        <v>21</v>
      </c>
      <c r="I638">
        <v>3</v>
      </c>
      <c r="J638">
        <v>35</v>
      </c>
      <c r="K638">
        <v>27</v>
      </c>
      <c r="L638">
        <v>32</v>
      </c>
      <c r="M638">
        <v>78</v>
      </c>
      <c r="N638">
        <v>43</v>
      </c>
      <c r="O638">
        <v>482</v>
      </c>
      <c r="Z638" s="19" t="s">
        <v>171</v>
      </c>
      <c r="AA638" s="20" cm="1">
        <f t="array" ref="AA638:AE638">Z707:AD707</f>
        <v>24.497110047795772</v>
      </c>
      <c r="AB638" s="20">
        <v>7.6621977230503857</v>
      </c>
      <c r="AC638" s="20">
        <v>7.7883374535852639</v>
      </c>
      <c r="AD638" s="21">
        <v>3.7331910291666679</v>
      </c>
      <c r="AE638" s="22">
        <v>0</v>
      </c>
      <c r="AF638" s="8">
        <f>AVERAGE(AA638:AD638)</f>
        <v>10.920209063399522</v>
      </c>
      <c r="AH638" s="8">
        <f>SUM(AA638:AD638)</f>
        <v>43.680836253598088</v>
      </c>
      <c r="AJ638" s="8">
        <f>AA638/$AH$638*100</f>
        <v>56.082053707884057</v>
      </c>
      <c r="AK638" s="8">
        <f t="shared" ref="AK638:AM638" si="2">AB638/$AH$638*100</f>
        <v>17.541325625191604</v>
      </c>
      <c r="AL638" s="8">
        <f t="shared" si="2"/>
        <v>17.830101530951623</v>
      </c>
      <c r="AM638" s="8">
        <f t="shared" si="2"/>
        <v>8.5465191359727157</v>
      </c>
      <c r="AO638">
        <f>SUM(AJ638:AK638)</f>
        <v>73.623379333075661</v>
      </c>
    </row>
    <row r="639" spans="1:41" x14ac:dyDescent="0.2">
      <c r="A639" t="s">
        <v>76</v>
      </c>
      <c r="B639" t="s">
        <v>16</v>
      </c>
      <c r="C639" t="s">
        <v>17</v>
      </c>
      <c r="D639" t="s">
        <v>75</v>
      </c>
      <c r="E639" t="s">
        <v>74</v>
      </c>
      <c r="F639">
        <v>3</v>
      </c>
      <c r="G639" t="s">
        <v>73</v>
      </c>
      <c r="H639" t="s">
        <v>22</v>
      </c>
      <c r="I639">
        <v>3</v>
      </c>
      <c r="J639">
        <v>6</v>
      </c>
      <c r="K639">
        <v>5</v>
      </c>
      <c r="L639">
        <v>32</v>
      </c>
      <c r="M639">
        <v>78</v>
      </c>
      <c r="N639">
        <v>43</v>
      </c>
      <c r="O639">
        <v>482</v>
      </c>
      <c r="Z639" s="18" t="s">
        <v>172</v>
      </c>
      <c r="AA639" s="8" cm="1">
        <f t="array" ref="AA639:AE639">Z716:AD716</f>
        <v>11.959314545132578</v>
      </c>
      <c r="AB639" s="8">
        <v>20.664928579001373</v>
      </c>
      <c r="AC639" s="8">
        <v>8.3230096585122944</v>
      </c>
      <c r="AD639" s="8">
        <v>7.5373185274152297</v>
      </c>
      <c r="AE639" s="16">
        <v>0</v>
      </c>
      <c r="AF639" s="8">
        <f t="shared" ref="AF639:AF643" si="3">AVERAGE(AA639:AD639)</f>
        <v>12.121142827515369</v>
      </c>
      <c r="AH639" s="8">
        <f t="shared" ref="AH639:AH640" si="4">SUM(AA639:AD639)</f>
        <v>48.484571310061476</v>
      </c>
      <c r="AJ639" s="8">
        <f>AA639/$AH$639*100</f>
        <v>24.666227259496861</v>
      </c>
      <c r="AK639" s="8">
        <f t="shared" ref="AK639:AM639" si="5">AB639/$AH$639*100</f>
        <v>42.621658850705366</v>
      </c>
      <c r="AL639" s="8">
        <f t="shared" si="5"/>
        <v>17.16630555581526</v>
      </c>
      <c r="AM639" s="8">
        <f t="shared" si="5"/>
        <v>15.545808333982508</v>
      </c>
      <c r="AO639">
        <f t="shared" ref="AO639:AO640" si="6">SUM(AJ639:AK639)</f>
        <v>67.287886110202223</v>
      </c>
    </row>
    <row r="640" spans="1:41" x14ac:dyDescent="0.2">
      <c r="A640" t="s">
        <v>76</v>
      </c>
      <c r="B640" t="s">
        <v>16</v>
      </c>
      <c r="C640" t="s">
        <v>17</v>
      </c>
      <c r="D640" t="s">
        <v>75</v>
      </c>
      <c r="E640" t="s">
        <v>74</v>
      </c>
      <c r="F640">
        <v>3</v>
      </c>
      <c r="G640" t="s">
        <v>73</v>
      </c>
      <c r="H640" t="s">
        <v>23</v>
      </c>
      <c r="I640">
        <v>10</v>
      </c>
      <c r="J640">
        <v>9</v>
      </c>
      <c r="K640">
        <v>8</v>
      </c>
      <c r="L640">
        <v>32</v>
      </c>
      <c r="M640">
        <v>78</v>
      </c>
      <c r="N640">
        <v>43</v>
      </c>
      <c r="O640">
        <v>482</v>
      </c>
      <c r="Z640" s="18" t="s">
        <v>173</v>
      </c>
      <c r="AA640" s="8" cm="1">
        <f t="array" ref="AA640:AE640">Z725:AD725</f>
        <v>3.0965399216870684</v>
      </c>
      <c r="AB640" s="8">
        <v>18.36552973671531</v>
      </c>
      <c r="AC640" s="8">
        <v>8.7882186731742529</v>
      </c>
      <c r="AD640" s="8">
        <v>14.03279038889173</v>
      </c>
      <c r="AE640" s="16">
        <v>0</v>
      </c>
      <c r="AF640" s="8">
        <f t="shared" si="3"/>
        <v>11.07076968011709</v>
      </c>
      <c r="AH640" s="8">
        <f t="shared" si="4"/>
        <v>44.28307872046836</v>
      </c>
      <c r="AJ640" s="8">
        <f>AA640/$AH$640*100</f>
        <v>6.9926030690720635</v>
      </c>
      <c r="AK640" s="8">
        <f t="shared" ref="AK640:AM640" si="7">AB640/$AH$640*100</f>
        <v>41.473019192377116</v>
      </c>
      <c r="AL640" s="8">
        <f t="shared" si="7"/>
        <v>19.845545809153951</v>
      </c>
      <c r="AM640" s="8">
        <f t="shared" si="7"/>
        <v>31.688831929396873</v>
      </c>
      <c r="AO640">
        <f t="shared" si="6"/>
        <v>48.465622261449177</v>
      </c>
    </row>
    <row r="641" spans="1:38" x14ac:dyDescent="0.2">
      <c r="A641" t="s">
        <v>76</v>
      </c>
      <c r="B641" t="s">
        <v>16</v>
      </c>
      <c r="C641" t="s">
        <v>17</v>
      </c>
      <c r="D641" t="s">
        <v>75</v>
      </c>
      <c r="E641" t="s">
        <v>74</v>
      </c>
      <c r="F641">
        <v>3</v>
      </c>
      <c r="G641" t="s">
        <v>73</v>
      </c>
      <c r="H641" t="s">
        <v>24</v>
      </c>
      <c r="I641">
        <v>0</v>
      </c>
      <c r="J641">
        <v>0</v>
      </c>
      <c r="K641">
        <v>0</v>
      </c>
      <c r="L641">
        <v>32</v>
      </c>
      <c r="M641">
        <v>78</v>
      </c>
      <c r="N641">
        <v>43</v>
      </c>
      <c r="O641">
        <v>482</v>
      </c>
      <c r="AA641" s="8">
        <f>AA638/AA635*100</f>
        <v>41.128895080858179</v>
      </c>
      <c r="AB641" s="8">
        <f t="shared" ref="AB641:AD641" si="8">AB638/AB635*100</f>
        <v>40.013555284346189</v>
      </c>
      <c r="AC641" s="8">
        <f>AC638/AC635*100</f>
        <v>58.162128763092966</v>
      </c>
      <c r="AD641" s="8">
        <f t="shared" si="8"/>
        <v>48.172386801310296</v>
      </c>
      <c r="AE641">
        <f t="shared" ref="AE641" si="9">AE638/AE635</f>
        <v>0</v>
      </c>
      <c r="AF641" s="16">
        <f>AVERAGE(AA641:AD641)</f>
        <v>46.869241482401911</v>
      </c>
    </row>
    <row r="642" spans="1:38" x14ac:dyDescent="0.2">
      <c r="AA642" s="8">
        <f t="shared" ref="AA642:AD642" si="10">AA639/AA636*100</f>
        <v>33.897533033376178</v>
      </c>
      <c r="AB642" s="8">
        <f t="shared" si="10"/>
        <v>59.573575083123565</v>
      </c>
      <c r="AC642" s="8">
        <f t="shared" si="10"/>
        <v>55.434332938249788</v>
      </c>
      <c r="AD642" s="8">
        <f t="shared" si="10"/>
        <v>50.613065555676485</v>
      </c>
      <c r="AE642">
        <f t="shared" ref="AE642" si="11">AE639/AE636</f>
        <v>0</v>
      </c>
      <c r="AF642" s="16">
        <f t="shared" si="3"/>
        <v>49.879626652606504</v>
      </c>
      <c r="AK642" s="8">
        <f>SUM(AJ638:AK638)</f>
        <v>73.623379333075661</v>
      </c>
      <c r="AL642" s="8">
        <f>SUM(AJ638:AL638)</f>
        <v>91.453480864027284</v>
      </c>
    </row>
    <row r="643" spans="1:38" x14ac:dyDescent="0.2">
      <c r="AA643" s="8">
        <f t="shared" ref="AA643:AD643" si="12">AA640/AA637*100</f>
        <v>15.752380340661981</v>
      </c>
      <c r="AB643" s="8">
        <f t="shared" si="12"/>
        <v>43.830636693470218</v>
      </c>
      <c r="AC643" s="8">
        <f t="shared" si="12"/>
        <v>58.094305210901624</v>
      </c>
      <c r="AD643" s="8">
        <f t="shared" si="12"/>
        <v>48.97814810820644</v>
      </c>
      <c r="AE643">
        <f t="shared" ref="AE643" si="13">AE640/AE637</f>
        <v>0</v>
      </c>
      <c r="AF643" s="16">
        <f t="shared" si="3"/>
        <v>41.663867588310069</v>
      </c>
      <c r="AK643" s="8">
        <f t="shared" ref="AK643:AL644" si="14">SUM(AJ639:AK639)</f>
        <v>67.287886110202223</v>
      </c>
      <c r="AL643" s="8">
        <f t="shared" ref="AL643:AL644" si="15">SUM(AJ639:AL639)</f>
        <v>84.454191666017479</v>
      </c>
    </row>
    <row r="644" spans="1:38" x14ac:dyDescent="0.2">
      <c r="AK644" s="8">
        <f t="shared" si="14"/>
        <v>48.465622261449177</v>
      </c>
      <c r="AL644" s="8">
        <f t="shared" si="15"/>
        <v>68.311168070603131</v>
      </c>
    </row>
    <row r="645" spans="1:38" x14ac:dyDescent="0.2">
      <c r="AA645">
        <f>AVERAGE(AA641:AD643)</f>
        <v>46.137578574439495</v>
      </c>
    </row>
    <row r="647" spans="1:38" x14ac:dyDescent="0.2">
      <c r="A647" s="31" t="s">
        <v>141</v>
      </c>
      <c r="B647" s="32" t="s">
        <v>53</v>
      </c>
      <c r="C647" s="32"/>
      <c r="D647" s="32"/>
      <c r="E647" s="32"/>
      <c r="F647" s="32"/>
      <c r="G647" s="4" t="s">
        <v>64</v>
      </c>
      <c r="H647" s="32" t="s">
        <v>54</v>
      </c>
      <c r="I647" s="32"/>
      <c r="J647" s="32"/>
      <c r="K647" s="32"/>
      <c r="L647" s="32"/>
      <c r="M647" s="4" t="s">
        <v>64</v>
      </c>
      <c r="N647" s="32" t="s">
        <v>55</v>
      </c>
      <c r="O647" s="32"/>
      <c r="P647" s="32"/>
      <c r="Q647" s="32"/>
      <c r="R647" s="32"/>
      <c r="S647" s="4" t="s">
        <v>64</v>
      </c>
      <c r="T647" s="32" t="s">
        <v>56</v>
      </c>
      <c r="U647" s="32"/>
      <c r="V647" s="32"/>
      <c r="W647" s="32"/>
      <c r="X647" s="32"/>
      <c r="Y647" s="4" t="s">
        <v>64</v>
      </c>
    </row>
    <row r="648" spans="1:38" x14ac:dyDescent="0.2">
      <c r="A648" s="32"/>
      <c r="B648" s="4" t="s">
        <v>20</v>
      </c>
      <c r="C648" s="4" t="s">
        <v>21</v>
      </c>
      <c r="D648" s="4" t="s">
        <v>60</v>
      </c>
      <c r="E648" s="4" t="s">
        <v>61</v>
      </c>
      <c r="F648" s="4" t="s">
        <v>62</v>
      </c>
      <c r="G648" s="4"/>
      <c r="H648" s="4" t="s">
        <v>20</v>
      </c>
      <c r="I648" s="4" t="s">
        <v>21</v>
      </c>
      <c r="J648" s="4" t="s">
        <v>60</v>
      </c>
      <c r="K648" s="4" t="s">
        <v>61</v>
      </c>
      <c r="L648" s="4" t="s">
        <v>62</v>
      </c>
      <c r="M648" s="4"/>
      <c r="N648" s="4" t="s">
        <v>20</v>
      </c>
      <c r="O648" s="4" t="s">
        <v>21</v>
      </c>
      <c r="P648" s="4" t="s">
        <v>60</v>
      </c>
      <c r="Q648" s="4" t="s">
        <v>61</v>
      </c>
      <c r="R648" s="4" t="s">
        <v>62</v>
      </c>
      <c r="S648" s="4"/>
      <c r="T648" s="4" t="s">
        <v>20</v>
      </c>
      <c r="U648" s="4" t="s">
        <v>21</v>
      </c>
      <c r="V648" s="4" t="s">
        <v>60</v>
      </c>
      <c r="W648" s="4" t="s">
        <v>61</v>
      </c>
      <c r="X648" s="4" t="s">
        <v>62</v>
      </c>
      <c r="Y648" s="4"/>
    </row>
    <row r="649" spans="1:38" x14ac:dyDescent="0.2">
      <c r="A649" s="5" t="s">
        <v>57</v>
      </c>
      <c r="B649" s="8">
        <f>$I$87/$L$87*100</f>
        <v>69.191919191919197</v>
      </c>
      <c r="C649" s="8">
        <f>$I$88/$L$88*100</f>
        <v>15.656565656565657</v>
      </c>
      <c r="D649" s="8">
        <f>$I$89/$L$89*100</f>
        <v>3.0303030303030303</v>
      </c>
      <c r="E649" s="8">
        <f>$I$90/$L$90*100</f>
        <v>12.121212121212121</v>
      </c>
      <c r="F649" s="8">
        <f>$I$91/$L$91*100</f>
        <v>0</v>
      </c>
      <c r="G649" s="8">
        <f>SUM(B649:F649)</f>
        <v>100.00000000000001</v>
      </c>
      <c r="H649" s="8">
        <f>$I$167/$L$167*100</f>
        <v>63.04347826086957</v>
      </c>
      <c r="I649" s="8">
        <f>$I$168/$L$168*100</f>
        <v>23.913043478260871</v>
      </c>
      <c r="J649" s="8">
        <f>$I$169/$L$169*100</f>
        <v>2.1739130434782608</v>
      </c>
      <c r="K649" s="8">
        <f>$I$170/$L$170*100</f>
        <v>10.869565217391305</v>
      </c>
      <c r="L649" s="8">
        <f>$I$171/$L$171*100</f>
        <v>0</v>
      </c>
      <c r="M649" s="8">
        <f>SUM(H649:L649)</f>
        <v>100</v>
      </c>
      <c r="N649" s="8">
        <f>$I$247/$L$247*100</f>
        <v>57.142857142857139</v>
      </c>
      <c r="O649" s="8">
        <f>$I$248/$L$248*100</f>
        <v>6.1224489795918364</v>
      </c>
      <c r="P649" s="8">
        <f>$I$249/$L$249*100</f>
        <v>8.1632653061224492</v>
      </c>
      <c r="Q649" s="8">
        <f>$I$250/$L$250*100</f>
        <v>28.571428571428569</v>
      </c>
      <c r="R649" s="8">
        <f>$I$251/$L$251*100</f>
        <v>0</v>
      </c>
      <c r="S649" s="8">
        <f>SUM(N649:R649)</f>
        <v>100</v>
      </c>
      <c r="T649" s="8">
        <f>$I$7/$L$7*100</f>
        <v>80</v>
      </c>
      <c r="U649" s="8">
        <f>$I$8/$L$8*100</f>
        <v>4</v>
      </c>
      <c r="V649" s="8">
        <f>$I$9/$L$9*100</f>
        <v>0</v>
      </c>
      <c r="W649" s="8">
        <f>$I$10/$L$10*100</f>
        <v>16</v>
      </c>
      <c r="X649" s="8">
        <f>$I$11/$L$11*100</f>
        <v>0</v>
      </c>
      <c r="Y649" s="8">
        <f>SUM(T649:X649)</f>
        <v>100</v>
      </c>
    </row>
    <row r="650" spans="1:38" x14ac:dyDescent="0.2">
      <c r="A650" s="5" t="s">
        <v>58</v>
      </c>
      <c r="B650" s="8">
        <f>$I$107/$L$107*100</f>
        <v>74.883720930232556</v>
      </c>
      <c r="C650" s="8">
        <f>$I$108/$L$108*100</f>
        <v>10.465116279069768</v>
      </c>
      <c r="D650" s="8">
        <f>$I$109/$L$109*100</f>
        <v>3.4883720930232558</v>
      </c>
      <c r="E650" s="8">
        <f>$I$110/$L$110*100</f>
        <v>11.162790697674419</v>
      </c>
      <c r="F650" s="8">
        <f>$I$111/$L$111*100</f>
        <v>0</v>
      </c>
      <c r="G650" s="8">
        <f>SUM(B650:F650)</f>
        <v>100.00000000000001</v>
      </c>
      <c r="H650" s="8">
        <f>$I$187/$L$187*100</f>
        <v>70.212765957446805</v>
      </c>
      <c r="I650" s="8">
        <f>$I$188/$L$188*100</f>
        <v>6.3829787234042552</v>
      </c>
      <c r="J650" s="8">
        <f>$I$189/$L$189*100</f>
        <v>10.638297872340425</v>
      </c>
      <c r="K650" s="8">
        <f>$I$190/$L$190*100</f>
        <v>12.76595744680851</v>
      </c>
      <c r="L650" s="8">
        <f>$I$191/$L$191*100</f>
        <v>0</v>
      </c>
      <c r="M650" s="8">
        <f>SUM(H650:L650)</f>
        <v>100</v>
      </c>
      <c r="N650" s="8">
        <f>$I$267/$L$267*100</f>
        <v>50.980392156862742</v>
      </c>
      <c r="O650" s="8">
        <f>$I$268/$L$268*100</f>
        <v>25.490196078431371</v>
      </c>
      <c r="P650" s="8">
        <f>$I$269/$L$269*100</f>
        <v>7.8431372549019605</v>
      </c>
      <c r="Q650" s="8">
        <f>$I$270/$L$270*100</f>
        <v>15.686274509803921</v>
      </c>
      <c r="R650" s="8">
        <f>$I$271/$L$271*100</f>
        <v>0</v>
      </c>
      <c r="S650" s="8">
        <f>SUM(N650:R650)</f>
        <v>100</v>
      </c>
      <c r="T650" s="8">
        <f>$I$27/$L$27*100</f>
        <v>54.716981132075468</v>
      </c>
      <c r="U650" s="8">
        <f>$I$28/$L$28*100</f>
        <v>24.528301886792452</v>
      </c>
      <c r="V650" s="8">
        <f>$I$29/$L$29*100</f>
        <v>11.320754716981133</v>
      </c>
      <c r="W650" s="8">
        <f>$I$30/$L$30*100</f>
        <v>9.433962264150944</v>
      </c>
      <c r="X650" s="8">
        <f>$I$31/$L$31*100</f>
        <v>0</v>
      </c>
      <c r="Y650" s="8">
        <f>SUM(T650:X650)</f>
        <v>100</v>
      </c>
    </row>
    <row r="651" spans="1:38" x14ac:dyDescent="0.2">
      <c r="A651" s="5" t="s">
        <v>142</v>
      </c>
      <c r="B651" s="8">
        <f>$I$127/$L$127*100</f>
        <v>62.5</v>
      </c>
      <c r="C651" s="8">
        <f>$I$128/$L$128*100</f>
        <v>37.5</v>
      </c>
      <c r="D651" s="8">
        <f>$I$129/$L$129*100</f>
        <v>0</v>
      </c>
      <c r="E651" s="8">
        <f>$I$130/$L$130*100</f>
        <v>0</v>
      </c>
      <c r="F651" s="8">
        <f>$I$131/$L$131*100</f>
        <v>0</v>
      </c>
      <c r="G651" s="8">
        <f>SUM(B651:F651)</f>
        <v>100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f>SUM(H651:L651)</f>
        <v>0</v>
      </c>
      <c r="N651" s="8">
        <f>$I$287/$L$287*100</f>
        <v>50</v>
      </c>
      <c r="O651" s="8">
        <f>$I$288/$L$288*100</f>
        <v>50</v>
      </c>
      <c r="P651" s="8">
        <f>$I$289/$L$289*100</f>
        <v>0</v>
      </c>
      <c r="Q651" s="8">
        <f>$I$290/$L$290*100</f>
        <v>0</v>
      </c>
      <c r="R651" s="8">
        <f>$I$291/$L$291*100</f>
        <v>0</v>
      </c>
      <c r="S651" s="8">
        <f>SUM(N651:R651)</f>
        <v>100</v>
      </c>
      <c r="T651" s="8">
        <f>$I$47/$L$47*100</f>
        <v>64.285714285714292</v>
      </c>
      <c r="U651" s="8">
        <f>$I$48/$L$48*100</f>
        <v>35.714285714285715</v>
      </c>
      <c r="V651" s="8">
        <f>$I$49/$L$49*100</f>
        <v>0</v>
      </c>
      <c r="W651" s="8">
        <f>$I$50/$L$50*100</f>
        <v>0</v>
      </c>
      <c r="X651" s="8">
        <f>$I$51/$L$51*100</f>
        <v>0</v>
      </c>
      <c r="Y651" s="8">
        <f>SUM(T651:X651)</f>
        <v>100</v>
      </c>
    </row>
    <row r="652" spans="1:38" ht="16" thickBot="1" x14ac:dyDescent="0.25">
      <c r="A652" s="9" t="s">
        <v>59</v>
      </c>
      <c r="B652" s="8">
        <f>$I$147/$L$147*100</f>
        <v>48.571428571428569</v>
      </c>
      <c r="C652" s="8">
        <f>$I$148/$L$148*100</f>
        <v>21.428571428571427</v>
      </c>
      <c r="D652" s="8">
        <f>$I$149/$L$149*100</f>
        <v>11.428571428571429</v>
      </c>
      <c r="E652" s="8">
        <f>$I$150/$L$150*100</f>
        <v>18.571428571428573</v>
      </c>
      <c r="F652" s="8">
        <f>$I$151/$L$151*100</f>
        <v>0</v>
      </c>
      <c r="G652" s="8">
        <f>SUM(B652:F652)</f>
        <v>100</v>
      </c>
      <c r="H652" s="8">
        <f>$I$227/$L$227*100</f>
        <v>50</v>
      </c>
      <c r="I652" s="8">
        <f>$I$228/$L$228*100</f>
        <v>0</v>
      </c>
      <c r="J652" s="8">
        <f>$I$229/$L$229*100</f>
        <v>50</v>
      </c>
      <c r="K652" s="8">
        <f>$I$230/$L$230*100</f>
        <v>0</v>
      </c>
      <c r="L652" s="8">
        <f>$I$231/$L$231*100</f>
        <v>0</v>
      </c>
      <c r="M652" s="8">
        <f>SUM(H652:L652)</f>
        <v>100</v>
      </c>
      <c r="N652" s="8">
        <f>$I$307/$L$307*100</f>
        <v>52.631578947368418</v>
      </c>
      <c r="O652" s="8">
        <f>$I$308/$L$308*100</f>
        <v>26.315789473684209</v>
      </c>
      <c r="P652" s="8">
        <f>$I$309/$L$309*100</f>
        <v>15.789473684210526</v>
      </c>
      <c r="Q652" s="8">
        <f>$I$310/$L$310*100</f>
        <v>5.2631578947368416</v>
      </c>
      <c r="R652" s="8">
        <f>$I$311/$L$311*100</f>
        <v>0</v>
      </c>
      <c r="S652" s="8">
        <f>SUM(N652:R652)</f>
        <v>99.999999999999986</v>
      </c>
      <c r="T652" s="8">
        <f>$I$67/$L$67*100</f>
        <v>20.833333333333336</v>
      </c>
      <c r="U652" s="8">
        <f>$I$68/$L$68*100</f>
        <v>37.5</v>
      </c>
      <c r="V652" s="8">
        <f>$I$69/$L$69*100</f>
        <v>37.5</v>
      </c>
      <c r="W652" s="8">
        <f>$I$70/$L$70*100</f>
        <v>4.1666666666666661</v>
      </c>
      <c r="X652" s="8">
        <f>$I$71/$L$71*100</f>
        <v>0</v>
      </c>
      <c r="Y652" s="8">
        <f>SUM(T652:X652)</f>
        <v>100.00000000000001</v>
      </c>
    </row>
    <row r="653" spans="1:38" x14ac:dyDescent="0.2">
      <c r="A653" s="10" t="s">
        <v>50</v>
      </c>
      <c r="B653" s="12">
        <f>AVERAGE(B649:B652)</f>
        <v>63.786767173395077</v>
      </c>
      <c r="C653" s="12">
        <f>AVERAGE(C649:C652)</f>
        <v>21.262563341051713</v>
      </c>
      <c r="D653" s="11">
        <f>AVERAGE(D649:D652)</f>
        <v>4.4868116379744283</v>
      </c>
      <c r="E653" s="11">
        <f>AVERAGE(E649:E652)</f>
        <v>10.46385784757878</v>
      </c>
      <c r="F653" s="11">
        <f>AVERAGE(F649:F652)</f>
        <v>0</v>
      </c>
      <c r="G653" s="12"/>
      <c r="H653" s="11">
        <f>AVERAGE(H649:H652)</f>
        <v>45.814061054579092</v>
      </c>
      <c r="I653" s="13">
        <f>AVERAGE(I649:I652)</f>
        <v>7.5740055504162811</v>
      </c>
      <c r="J653" s="14">
        <f>AVERAGE(J649:J652)</f>
        <v>15.70305272895467</v>
      </c>
      <c r="K653" s="14">
        <f>AVERAGE(K649:K652)</f>
        <v>5.9088806660499538</v>
      </c>
      <c r="L653" s="14">
        <f>AVERAGE(L649:L652)</f>
        <v>0</v>
      </c>
      <c r="M653" s="12"/>
      <c r="N653" s="14">
        <f>AVERAGE(N649:N652)</f>
        <v>52.688707061772071</v>
      </c>
      <c r="O653" s="12">
        <f>AVERAGE(O649:O652)</f>
        <v>26.982108632926852</v>
      </c>
      <c r="P653" s="11">
        <f>AVERAGE(P649:P652)</f>
        <v>7.948969061308734</v>
      </c>
      <c r="Q653" s="11">
        <f>AVERAGE(Q649:Q652)</f>
        <v>12.380215243992334</v>
      </c>
      <c r="R653" s="11">
        <f>AVERAGE(R649:R652)</f>
        <v>0</v>
      </c>
      <c r="S653" s="15"/>
      <c r="T653" s="14">
        <f>AVERAGE(T649:T652)</f>
        <v>54.959007187780777</v>
      </c>
      <c r="U653" s="12">
        <f>AVERAGE(U649:U652)</f>
        <v>25.435646900269543</v>
      </c>
      <c r="V653" s="11">
        <f>AVERAGE(V649:V652)</f>
        <v>12.205188679245284</v>
      </c>
      <c r="W653" s="11">
        <f>AVERAGE(W649:W652)</f>
        <v>7.4001572327044016</v>
      </c>
      <c r="X653" s="11">
        <f>AVERAGE(X649:X652)</f>
        <v>0</v>
      </c>
      <c r="Y653" s="15"/>
      <c r="Z653" s="8">
        <f>AVERAGE(B653,H653,N653,T653)</f>
        <v>54.312135619381756</v>
      </c>
      <c r="AA653" s="8">
        <f>AVERAGE(C653,I653,O653,U653)</f>
        <v>20.313581106166097</v>
      </c>
      <c r="AB653" s="8">
        <f>AVERAGE(D653,J653,P653,V653)</f>
        <v>10.08600552687078</v>
      </c>
      <c r="AC653" s="8">
        <f>AVERAGE(E653,K653,Q653,W653)</f>
        <v>9.0382777475813665</v>
      </c>
      <c r="AD653" s="8">
        <f>AVERAGE(F653,L653,R653,X653)</f>
        <v>0</v>
      </c>
    </row>
    <row r="656" spans="1:38" x14ac:dyDescent="0.2">
      <c r="A656" s="31" t="s">
        <v>143</v>
      </c>
      <c r="B656" s="32" t="s">
        <v>53</v>
      </c>
      <c r="C656" s="32"/>
      <c r="D656" s="32"/>
      <c r="E656" s="32"/>
      <c r="F656" s="32"/>
      <c r="G656" s="4" t="s">
        <v>64</v>
      </c>
      <c r="H656" s="32" t="s">
        <v>54</v>
      </c>
      <c r="I656" s="32"/>
      <c r="J656" s="32"/>
      <c r="K656" s="32"/>
      <c r="L656" s="32"/>
      <c r="M656" s="4" t="s">
        <v>64</v>
      </c>
      <c r="N656" s="32" t="s">
        <v>55</v>
      </c>
      <c r="O656" s="32"/>
      <c r="P656" s="32"/>
      <c r="Q656" s="32"/>
      <c r="R656" s="32"/>
      <c r="S656" s="4" t="s">
        <v>64</v>
      </c>
      <c r="T656" s="32" t="s">
        <v>56</v>
      </c>
      <c r="U656" s="32"/>
      <c r="V656" s="32"/>
      <c r="W656" s="32"/>
      <c r="X656" s="32"/>
      <c r="Y656" s="4" t="s">
        <v>64</v>
      </c>
    </row>
    <row r="657" spans="1:30" x14ac:dyDescent="0.2">
      <c r="A657" s="32"/>
      <c r="B657" s="4" t="s">
        <v>20</v>
      </c>
      <c r="C657" s="4" t="s">
        <v>21</v>
      </c>
      <c r="D657" s="4" t="s">
        <v>60</v>
      </c>
      <c r="E657" s="4" t="s">
        <v>61</v>
      </c>
      <c r="F657" s="4" t="s">
        <v>62</v>
      </c>
      <c r="G657" s="4"/>
      <c r="H657" s="4" t="s">
        <v>20</v>
      </c>
      <c r="I657" s="4" t="s">
        <v>21</v>
      </c>
      <c r="J657" s="4" t="s">
        <v>60</v>
      </c>
      <c r="K657" s="4" t="s">
        <v>61</v>
      </c>
      <c r="L657" s="4" t="s">
        <v>62</v>
      </c>
      <c r="M657" s="4"/>
      <c r="N657" s="4" t="s">
        <v>20</v>
      </c>
      <c r="O657" s="4" t="s">
        <v>21</v>
      </c>
      <c r="P657" s="4" t="s">
        <v>60</v>
      </c>
      <c r="Q657" s="4" t="s">
        <v>61</v>
      </c>
      <c r="R657" s="4" t="s">
        <v>62</v>
      </c>
      <c r="S657" s="4"/>
      <c r="T657" s="4" t="s">
        <v>20</v>
      </c>
      <c r="U657" s="4" t="s">
        <v>21</v>
      </c>
      <c r="V657" s="4" t="s">
        <v>60</v>
      </c>
      <c r="W657" s="4" t="s">
        <v>61</v>
      </c>
      <c r="X657" s="4" t="s">
        <v>62</v>
      </c>
      <c r="Y657" s="4"/>
    </row>
    <row r="658" spans="1:30" x14ac:dyDescent="0.2">
      <c r="A658" s="5" t="s">
        <v>57</v>
      </c>
      <c r="B658" s="8">
        <f>$I$92/$L$92*100</f>
        <v>62.162162162162161</v>
      </c>
      <c r="C658" s="8">
        <f>$I$93/$L$93*100</f>
        <v>14.594594594594595</v>
      </c>
      <c r="D658" s="8">
        <f>$I$94/$L$94*100</f>
        <v>2.7027027027027026</v>
      </c>
      <c r="E658" s="8">
        <f>$I$95/$L$95*100</f>
        <v>20.54054054054054</v>
      </c>
      <c r="F658" s="8">
        <f>$I$96/$L$96*100</f>
        <v>0</v>
      </c>
      <c r="G658" s="8">
        <f>SUM(B658:F658)</f>
        <v>100</v>
      </c>
      <c r="H658" s="8">
        <f>$I$172/$L$172*100</f>
        <v>51.724137931034484</v>
      </c>
      <c r="I658" s="8">
        <f>$I$173/$L$173*100</f>
        <v>17.241379310344829</v>
      </c>
      <c r="J658" s="8">
        <f>$I$174/$L$174*100</f>
        <v>17.241379310344829</v>
      </c>
      <c r="K658" s="8">
        <f>$I$175/$L$175*100</f>
        <v>13.793103448275861</v>
      </c>
      <c r="L658" s="8">
        <f>$I$176/$L$176*100</f>
        <v>0</v>
      </c>
      <c r="M658" s="8">
        <f>SUM(H658:L658)</f>
        <v>100</v>
      </c>
      <c r="N658" s="8">
        <f>$I$252/$L$252*100</f>
        <v>65.454545454545453</v>
      </c>
      <c r="O658" s="8">
        <f>$I$253/$L$253*100</f>
        <v>13.636363636363635</v>
      </c>
      <c r="P658" s="8">
        <f>$I$254/$L$254*100</f>
        <v>3.6363636363636362</v>
      </c>
      <c r="Q658" s="8">
        <f>$I$255/$L$255*100</f>
        <v>17.272727272727273</v>
      </c>
      <c r="R658" s="8">
        <f>$I$256/$L$256*100</f>
        <v>0</v>
      </c>
      <c r="S658" s="8">
        <f>SUM(N658:R658)</f>
        <v>100</v>
      </c>
      <c r="T658" s="8">
        <f>$I$12/$L$12*100</f>
        <v>77.777777777777786</v>
      </c>
      <c r="U658" s="8">
        <f>$I$13/$L$13*100</f>
        <v>22.222222222222221</v>
      </c>
      <c r="V658" s="8">
        <f>$I$14/$L$14*100</f>
        <v>0</v>
      </c>
      <c r="W658" s="8">
        <f>$I$15/$L$15*100</f>
        <v>0</v>
      </c>
      <c r="X658" s="8">
        <f>$I$16/$L$16*100</f>
        <v>0</v>
      </c>
      <c r="Y658" s="8">
        <f>SUM(T658:X658)</f>
        <v>100</v>
      </c>
    </row>
    <row r="659" spans="1:30" x14ac:dyDescent="0.2">
      <c r="A659" s="5" t="s">
        <v>58</v>
      </c>
      <c r="B659" s="8">
        <f>$I$112/$L$112*100</f>
        <v>74.164810690423167</v>
      </c>
      <c r="C659" s="8">
        <f>$I$113/$L$113*100</f>
        <v>14.699331848552339</v>
      </c>
      <c r="D659" s="8">
        <f>$I$114/$L$114*100</f>
        <v>2.8953229398663698</v>
      </c>
      <c r="E659" s="8">
        <f>$I$115/$L$115*100</f>
        <v>8.2405345211581285</v>
      </c>
      <c r="F659" s="8">
        <f>$I$116/$L$116*100</f>
        <v>0</v>
      </c>
      <c r="G659" s="8">
        <f>SUM(B659:F659)</f>
        <v>100</v>
      </c>
      <c r="H659" s="8">
        <f>$I$192/$L$192*100</f>
        <v>58.333333333333336</v>
      </c>
      <c r="I659" s="8">
        <f>$I$193/$L$193*100</f>
        <v>19.444444444444446</v>
      </c>
      <c r="J659" s="8">
        <f>$I$194/$L$194*100</f>
        <v>0</v>
      </c>
      <c r="K659" s="8">
        <f>$I$195/$L$195*100</f>
        <v>22.222222222222221</v>
      </c>
      <c r="L659" s="8">
        <f>$I$196/$L$196*100</f>
        <v>0</v>
      </c>
      <c r="M659" s="8">
        <f>SUM(H659:L659)</f>
        <v>100</v>
      </c>
      <c r="N659" s="8">
        <f>$I$272/$L$272*100</f>
        <v>67.441860465116278</v>
      </c>
      <c r="O659" s="8">
        <f>$I$273/$L$273*100</f>
        <v>11.627906976744185</v>
      </c>
      <c r="P659" s="8">
        <f>$I$274/$L$274*100</f>
        <v>6.9767441860465116</v>
      </c>
      <c r="Q659" s="8">
        <f>$I$275/$L$275*100</f>
        <v>13.953488372093023</v>
      </c>
      <c r="R659" s="8">
        <f>$I$276/$L$276*100</f>
        <v>0</v>
      </c>
      <c r="S659" s="8">
        <f>SUM(N659:R659)</f>
        <v>100</v>
      </c>
      <c r="T659" s="8">
        <f>$I$32/$L$32*100</f>
        <v>59.574468085106382</v>
      </c>
      <c r="U659" s="8">
        <f>$I$33/$L$33*100</f>
        <v>21.276595744680851</v>
      </c>
      <c r="V659" s="8">
        <f>$I$34/$L$34*100</f>
        <v>10.638297872340425</v>
      </c>
      <c r="W659" s="8">
        <f>$I$35/$L$35*100</f>
        <v>8.5106382978723403</v>
      </c>
      <c r="X659" s="8">
        <f>$I$36/$L$36*100</f>
        <v>0</v>
      </c>
      <c r="Y659" s="8">
        <f>SUM(T659:X659)</f>
        <v>100</v>
      </c>
    </row>
    <row r="660" spans="1:30" x14ac:dyDescent="0.2">
      <c r="A660" s="5" t="s">
        <v>142</v>
      </c>
      <c r="B660" s="8">
        <f>$I$132/$L$132*100</f>
        <v>100</v>
      </c>
      <c r="C660" s="8">
        <f>$I$133/$L$133*100</f>
        <v>0</v>
      </c>
      <c r="D660" s="8">
        <f>$I$134/$L$134*100</f>
        <v>0</v>
      </c>
      <c r="E660" s="8">
        <f>$I$135/$L$135*100</f>
        <v>0</v>
      </c>
      <c r="F660" s="8">
        <f>$I$136/$L$136*100</f>
        <v>0</v>
      </c>
      <c r="G660" s="8">
        <f>SUM(B660:F660)</f>
        <v>100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f>SUM(H660:L660)</f>
        <v>0</v>
      </c>
      <c r="N660" s="8">
        <f>$I$292/$L$292*100</f>
        <v>41.666666666666671</v>
      </c>
      <c r="O660" s="8">
        <f>$I$293/$L$293*100</f>
        <v>33.333333333333329</v>
      </c>
      <c r="P660" s="8">
        <f>$I$294/$L$294*100</f>
        <v>16.666666666666664</v>
      </c>
      <c r="Q660" s="8">
        <f>$I$295/$L$295*100</f>
        <v>8.3333333333333321</v>
      </c>
      <c r="R660" s="8">
        <f>$I$296/$L$296*100</f>
        <v>0</v>
      </c>
      <c r="S660" s="8">
        <f>SUM(N660:R660)</f>
        <v>99.999999999999986</v>
      </c>
      <c r="T660" s="8">
        <f>$I$52/$L$52*100</f>
        <v>100</v>
      </c>
      <c r="U660" s="8">
        <f>$I$53/$L$53*100</f>
        <v>0</v>
      </c>
      <c r="V660" s="8">
        <f>$I$54/$L$54*100</f>
        <v>0</v>
      </c>
      <c r="W660" s="8">
        <f>$I$55/$L$55*100</f>
        <v>0</v>
      </c>
      <c r="X660" s="8">
        <f>$I$56/$L$56*100</f>
        <v>0</v>
      </c>
      <c r="Y660" s="8">
        <f>SUM(T660:X660)</f>
        <v>100</v>
      </c>
    </row>
    <row r="661" spans="1:30" ht="16" thickBot="1" x14ac:dyDescent="0.25">
      <c r="A661" s="9" t="s">
        <v>59</v>
      </c>
      <c r="B661" s="8">
        <f>$I$152/$L$152*100</f>
        <v>19.230769230769234</v>
      </c>
      <c r="C661" s="8">
        <f>$I$153/$L$153*100</f>
        <v>21.153846153846153</v>
      </c>
      <c r="D661" s="8">
        <f>$I$154/$L$154*100</f>
        <v>28.846153846153843</v>
      </c>
      <c r="E661" s="8">
        <f>$I$155/$L$155*100</f>
        <v>30.76923076923077</v>
      </c>
      <c r="F661" s="8">
        <f>$I$156/$L$156*100</f>
        <v>0</v>
      </c>
      <c r="G661" s="8">
        <f>SUM(B661:F661)</f>
        <v>100</v>
      </c>
      <c r="H661" s="8">
        <f>$I$232/$L$232*100</f>
        <v>37.5</v>
      </c>
      <c r="I661" s="8">
        <f>$I$233/$L$233*100</f>
        <v>25</v>
      </c>
      <c r="J661" s="8">
        <f>$I$234/$L$234*100</f>
        <v>12.5</v>
      </c>
      <c r="K661" s="8">
        <f>$I$235/$L$235*100</f>
        <v>25</v>
      </c>
      <c r="L661" s="8">
        <f>$I$236/$L$236*100</f>
        <v>0</v>
      </c>
      <c r="M661" s="8">
        <f>SUM(H661:L661)</f>
        <v>100</v>
      </c>
      <c r="N661" s="8">
        <f>$I$312/$L$312*100</f>
        <v>35.714285714285715</v>
      </c>
      <c r="O661" s="8">
        <f>$I$313/$L$313*100</f>
        <v>39.285714285714285</v>
      </c>
      <c r="P661" s="8">
        <f>$I$314/$L$314*100</f>
        <v>14.285714285714285</v>
      </c>
      <c r="Q661" s="8">
        <f>$I$315/$L$315*100</f>
        <v>10.714285714285714</v>
      </c>
      <c r="R661" s="8">
        <f>$I$316/$L$316*100</f>
        <v>0</v>
      </c>
      <c r="S661" s="8">
        <f>SUM(N661:R661)</f>
        <v>99.999999999999986</v>
      </c>
      <c r="T661" s="8">
        <f>$I$72/$L$72*100</f>
        <v>30</v>
      </c>
      <c r="U661" s="8">
        <f>$I$73/$L$73*100</f>
        <v>33.333333333333329</v>
      </c>
      <c r="V661" s="8">
        <f>$I$74/$L$74*100</f>
        <v>16.666666666666664</v>
      </c>
      <c r="W661" s="8">
        <f>$I$75/$L$75*100</f>
        <v>20</v>
      </c>
      <c r="X661" s="8">
        <f>$I$76/$L$76*100</f>
        <v>0</v>
      </c>
      <c r="Y661" s="8">
        <f>SUM(T661:X661)</f>
        <v>100</v>
      </c>
    </row>
    <row r="662" spans="1:30" x14ac:dyDescent="0.2">
      <c r="A662" s="10" t="s">
        <v>50</v>
      </c>
      <c r="B662" s="12">
        <f>AVERAGE(B658:B661)</f>
        <v>63.889435520838639</v>
      </c>
      <c r="C662" s="12">
        <f>AVERAGE(C658:C661)</f>
        <v>12.611943149248273</v>
      </c>
      <c r="D662" s="11">
        <f>AVERAGE(D658:D661)</f>
        <v>8.6110448721807291</v>
      </c>
      <c r="E662" s="11">
        <f>AVERAGE(E658:E661)</f>
        <v>14.88757645773236</v>
      </c>
      <c r="F662" s="11">
        <f>AVERAGE(F658:F661)</f>
        <v>0</v>
      </c>
      <c r="G662" s="12"/>
      <c r="H662" s="11">
        <f>AVERAGE(H658:H661)</f>
        <v>36.889367816091955</v>
      </c>
      <c r="I662" s="13">
        <f>AVERAGE(I658:I661)</f>
        <v>15.421455938697319</v>
      </c>
      <c r="J662" s="14">
        <f>AVERAGE(J658:J661)</f>
        <v>7.4353448275862073</v>
      </c>
      <c r="K662" s="14">
        <f>AVERAGE(K658:K661)</f>
        <v>15.253831417624522</v>
      </c>
      <c r="L662" s="14">
        <f>AVERAGE(L658:L661)</f>
        <v>0</v>
      </c>
      <c r="M662" s="12"/>
      <c r="N662" s="14">
        <f>AVERAGE(N658:N661)</f>
        <v>52.569339575153535</v>
      </c>
      <c r="O662" s="12">
        <f>AVERAGE(O658:O661)</f>
        <v>24.470829558038858</v>
      </c>
      <c r="P662" s="11">
        <f>AVERAGE(P658:P661)</f>
        <v>10.391372193697775</v>
      </c>
      <c r="Q662" s="11">
        <f>AVERAGE(Q658:Q661)</f>
        <v>12.568458673109836</v>
      </c>
      <c r="R662" s="11">
        <f>AVERAGE(R658:R661)</f>
        <v>0</v>
      </c>
      <c r="S662" s="15"/>
      <c r="T662" s="14">
        <f>AVERAGE(T658:T661)</f>
        <v>66.83806146572104</v>
      </c>
      <c r="U662" s="12">
        <f>AVERAGE(U658:U661)</f>
        <v>19.208037825059101</v>
      </c>
      <c r="V662" s="11">
        <f>AVERAGE(V658:V661)</f>
        <v>6.826241134751772</v>
      </c>
      <c r="W662" s="11">
        <f>AVERAGE(W658:W661)</f>
        <v>7.1276595744680851</v>
      </c>
      <c r="X662" s="11">
        <f>AVERAGE(X658:X661)</f>
        <v>0</v>
      </c>
      <c r="Y662" s="15"/>
      <c r="Z662" s="8">
        <f>AVERAGE(B662,H662,N662,T662)</f>
        <v>55.046551094451296</v>
      </c>
      <c r="AA662" s="8">
        <f>AVERAGE(C662,I662,O662,U662)</f>
        <v>17.928066617760887</v>
      </c>
      <c r="AB662" s="8">
        <f>AVERAGE(D662,J662,P662,V662)</f>
        <v>8.3160007570541197</v>
      </c>
      <c r="AC662" s="8">
        <f>AVERAGE(E662,K662,Q662,W662)</f>
        <v>12.459381530733701</v>
      </c>
      <c r="AD662" s="8">
        <f>AVERAGE(F662,L662,R662,X662)</f>
        <v>0</v>
      </c>
    </row>
    <row r="665" spans="1:30" x14ac:dyDescent="0.2">
      <c r="A665" s="31" t="s">
        <v>144</v>
      </c>
      <c r="B665" s="32" t="s">
        <v>53</v>
      </c>
      <c r="C665" s="32"/>
      <c r="D665" s="32"/>
      <c r="E665" s="32"/>
      <c r="F665" s="32"/>
      <c r="G665" s="4" t="s">
        <v>64</v>
      </c>
      <c r="H665" s="32" t="s">
        <v>54</v>
      </c>
      <c r="I665" s="32"/>
      <c r="J665" s="32"/>
      <c r="K665" s="32"/>
      <c r="L665" s="32"/>
      <c r="M665" s="4" t="s">
        <v>64</v>
      </c>
      <c r="N665" s="32" t="s">
        <v>55</v>
      </c>
      <c r="O665" s="32"/>
      <c r="P665" s="32"/>
      <c r="Q665" s="32"/>
      <c r="R665" s="32"/>
      <c r="S665" s="4" t="s">
        <v>64</v>
      </c>
      <c r="T665" s="32" t="s">
        <v>56</v>
      </c>
      <c r="U665" s="32"/>
      <c r="V665" s="32"/>
      <c r="W665" s="32"/>
      <c r="X665" s="32"/>
      <c r="Y665" s="4" t="s">
        <v>64</v>
      </c>
    </row>
    <row r="666" spans="1:30" x14ac:dyDescent="0.2">
      <c r="A666" s="32"/>
      <c r="B666" s="4" t="s">
        <v>20</v>
      </c>
      <c r="C666" s="4" t="s">
        <v>21</v>
      </c>
      <c r="D666" s="4" t="s">
        <v>60</v>
      </c>
      <c r="E666" s="4" t="s">
        <v>61</v>
      </c>
      <c r="F666" s="4" t="s">
        <v>62</v>
      </c>
      <c r="G666" s="4"/>
      <c r="H666" s="4" t="s">
        <v>20</v>
      </c>
      <c r="I666" s="4" t="s">
        <v>21</v>
      </c>
      <c r="J666" s="4" t="s">
        <v>60</v>
      </c>
      <c r="K666" s="4" t="s">
        <v>61</v>
      </c>
      <c r="L666" s="4" t="s">
        <v>62</v>
      </c>
      <c r="M666" s="4"/>
      <c r="N666" s="4" t="s">
        <v>20</v>
      </c>
      <c r="O666" s="4" t="s">
        <v>21</v>
      </c>
      <c r="P666" s="4" t="s">
        <v>60</v>
      </c>
      <c r="Q666" s="4" t="s">
        <v>61</v>
      </c>
      <c r="R666" s="4" t="s">
        <v>62</v>
      </c>
      <c r="S666" s="4"/>
      <c r="T666" s="4" t="s">
        <v>20</v>
      </c>
      <c r="U666" s="4" t="s">
        <v>21</v>
      </c>
      <c r="V666" s="4" t="s">
        <v>60</v>
      </c>
      <c r="W666" s="4" t="s">
        <v>61</v>
      </c>
      <c r="X666" s="4" t="s">
        <v>62</v>
      </c>
      <c r="Y666" s="4"/>
    </row>
    <row r="667" spans="1:30" x14ac:dyDescent="0.2">
      <c r="A667" s="5" t="s">
        <v>57</v>
      </c>
      <c r="B667" s="8">
        <f>$I$97/$L$97*100</f>
        <v>40.853658536585364</v>
      </c>
      <c r="C667" s="8">
        <f>$I$98/$L$98*100</f>
        <v>29.268292682926827</v>
      </c>
      <c r="D667" s="8">
        <f>$I$99/$L$99*100</f>
        <v>7.3170731707317067</v>
      </c>
      <c r="E667" s="8">
        <f>$I$100/$L$100*100</f>
        <v>22.560975609756099</v>
      </c>
      <c r="F667" s="8">
        <f>$I$101/$L$101*100</f>
        <v>0</v>
      </c>
      <c r="G667" s="8">
        <f>SUM(B667:F667)</f>
        <v>100</v>
      </c>
      <c r="H667" s="8">
        <f>$I$178/$L$178*100</f>
        <v>30.76923076923077</v>
      </c>
      <c r="I667" s="8">
        <f>$I$178/$L$178*100</f>
        <v>30.76923076923077</v>
      </c>
      <c r="J667" s="8">
        <f>$I$179/$L$179*100</f>
        <v>3.8461538461538463</v>
      </c>
      <c r="K667" s="8">
        <f>$I$180/$L$180*100</f>
        <v>30.76923076923077</v>
      </c>
      <c r="L667" s="8">
        <f>$I$181/$L$181*100</f>
        <v>0</v>
      </c>
      <c r="M667" s="8">
        <f>SUM(H667:L667)</f>
        <v>96.15384615384616</v>
      </c>
      <c r="N667" s="8">
        <f>$I$257/$L$257*100</f>
        <v>56.756756756756758</v>
      </c>
      <c r="O667" s="8">
        <f>$I$258/$L$258*100</f>
        <v>13.513513513513514</v>
      </c>
      <c r="P667" s="8">
        <f>$I$259/$L$259*100</f>
        <v>1.8018018018018018</v>
      </c>
      <c r="Q667" s="8">
        <f>$I$260/$L$260*100</f>
        <v>27.927927927927925</v>
      </c>
      <c r="R667" s="8">
        <f>$I$261/$L$261*100</f>
        <v>0</v>
      </c>
      <c r="S667" s="8">
        <f>SUM(N667:R667)</f>
        <v>100</v>
      </c>
      <c r="T667" s="8">
        <f>$I$17/$L$17*100</f>
        <v>72.093023255813947</v>
      </c>
      <c r="U667" s="8">
        <f>$I$18/$L$18*100</f>
        <v>9.3023255813953494</v>
      </c>
      <c r="V667" s="8">
        <f>$I$19/$L$19*100</f>
        <v>4.6511627906976747</v>
      </c>
      <c r="W667" s="8">
        <f>$I$20/$L$20*100</f>
        <v>13.953488372093023</v>
      </c>
      <c r="X667" s="8">
        <f>$I$21/$L$21*100</f>
        <v>0</v>
      </c>
      <c r="Y667" s="8">
        <f>SUM(T667:X667)</f>
        <v>99.999999999999986</v>
      </c>
    </row>
    <row r="668" spans="1:30" x14ac:dyDescent="0.2">
      <c r="A668" s="5" t="s">
        <v>58</v>
      </c>
      <c r="B668" s="8">
        <f>$I$117/$L$117*100</f>
        <v>72.938689217758991</v>
      </c>
      <c r="C668" s="8">
        <f>$I$118/$L$118*100</f>
        <v>16.0676532769556</v>
      </c>
      <c r="D668" s="8">
        <f>$I$119/$L$119*100</f>
        <v>1.4799154334038054</v>
      </c>
      <c r="E668" s="8">
        <f>$I$120/$L$120*100</f>
        <v>9.513742071881607</v>
      </c>
      <c r="F668" s="8">
        <f>$I$121/$L$121*100</f>
        <v>0</v>
      </c>
      <c r="G668" s="8">
        <f>SUM(B668:F668)</f>
        <v>100</v>
      </c>
      <c r="H668" s="8">
        <f>$I$197/$L$197*100</f>
        <v>51.219512195121951</v>
      </c>
      <c r="I668" s="8">
        <f>$I$198/$L$198*100</f>
        <v>29.268292682926827</v>
      </c>
      <c r="J668" s="8">
        <f>$I$199/$L$199*100</f>
        <v>12.195121951219512</v>
      </c>
      <c r="K668" s="8">
        <f>$I$200/$L$200*100</f>
        <v>7.3170731707317067</v>
      </c>
      <c r="L668" s="8">
        <f>$I$201/$L$201*100</f>
        <v>0</v>
      </c>
      <c r="M668" s="8">
        <f>SUM(H668:L668)</f>
        <v>100</v>
      </c>
      <c r="N668" s="8">
        <f>$I$278/$L$278*100</f>
        <v>7.8947368421052628</v>
      </c>
      <c r="O668" s="8">
        <f>$I$278/$L$278*100</f>
        <v>7.8947368421052628</v>
      </c>
      <c r="P668" s="8">
        <f>$I$279/$L$279*100</f>
        <v>7.8947368421052628</v>
      </c>
      <c r="Q668" s="8">
        <f>$I$280/$L$280*100</f>
        <v>18.421052631578945</v>
      </c>
      <c r="R668" s="8">
        <f>$I$281/$L$281*100</f>
        <v>0</v>
      </c>
      <c r="S668" s="8">
        <f>SUM(N668:R668)</f>
        <v>42.105263157894733</v>
      </c>
      <c r="T668" s="8">
        <f>$I$37/$L$37*100</f>
        <v>53.658536585365859</v>
      </c>
      <c r="U668" s="8">
        <f>$I$38/$L$38*100</f>
        <v>29.268292682926827</v>
      </c>
      <c r="V668" s="8">
        <f>$I$39/$L$39*100</f>
        <v>4.8780487804878048</v>
      </c>
      <c r="W668" s="8">
        <f>$I$40/$L$40*100</f>
        <v>12.195121951219512</v>
      </c>
      <c r="X668" s="8">
        <f>$I$41/$L$41*100</f>
        <v>0</v>
      </c>
      <c r="Y668" s="8">
        <f>SUM(T668:X668)</f>
        <v>100</v>
      </c>
    </row>
    <row r="669" spans="1:30" x14ac:dyDescent="0.2">
      <c r="A669" s="5" t="s">
        <v>142</v>
      </c>
      <c r="B669" s="8">
        <f>$I$137/$L$137*100</f>
        <v>16.666666666666664</v>
      </c>
      <c r="C669" s="8">
        <f>$I$138/$L$138*100</f>
        <v>66.666666666666657</v>
      </c>
      <c r="D669" s="8">
        <f>$I$139/$L$139*100</f>
        <v>16.666666666666664</v>
      </c>
      <c r="E669" s="8">
        <f>$I$140/$L$140*100</f>
        <v>0</v>
      </c>
      <c r="F669" s="8">
        <f>$I$141/$L$141*100</f>
        <v>0</v>
      </c>
      <c r="G669" s="8">
        <f>SUM(B669:F669)</f>
        <v>99.999999999999972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f>SUM(H669:L669)</f>
        <v>0</v>
      </c>
      <c r="N669" s="8">
        <f>$I$297/$L$297*100</f>
        <v>54.166666666666664</v>
      </c>
      <c r="O669" s="8">
        <f>$I$298/$L$298*100</f>
        <v>33.333333333333329</v>
      </c>
      <c r="P669" s="8">
        <f>$I$299/$L$299*100</f>
        <v>0</v>
      </c>
      <c r="Q669" s="8">
        <f>$I$300/$L$300*100</f>
        <v>12.5</v>
      </c>
      <c r="R669" s="8">
        <f>$I$301/$L$301*100</f>
        <v>0</v>
      </c>
      <c r="S669" s="8">
        <f>SUM(N669:R669)</f>
        <v>100</v>
      </c>
      <c r="T669" s="8">
        <f>$I$57/$L$57*100</f>
        <v>66.666666666666657</v>
      </c>
      <c r="U669" s="8">
        <f>$I$58/$L$58*100</f>
        <v>0</v>
      </c>
      <c r="V669" s="8">
        <f>$I$59/$L$59*100</f>
        <v>33.333333333333329</v>
      </c>
      <c r="W669" s="8">
        <f>$I$60/$L$60*100</f>
        <v>0</v>
      </c>
      <c r="X669" s="8">
        <f>$I$61/$L$61*100</f>
        <v>0</v>
      </c>
      <c r="Y669" s="8">
        <f>SUM(T669:X669)</f>
        <v>99.999999999999986</v>
      </c>
    </row>
    <row r="670" spans="1:30" ht="16" thickBot="1" x14ac:dyDescent="0.25">
      <c r="A670" s="9" t="s">
        <v>59</v>
      </c>
      <c r="B670" s="8">
        <f>$I$157/$L$157*100</f>
        <v>16.949152542372879</v>
      </c>
      <c r="C670" s="8">
        <f>$I$158/$L$158*100</f>
        <v>30.508474576271187</v>
      </c>
      <c r="D670" s="8">
        <f>$I$159/$L$159*100</f>
        <v>20.33898305084746</v>
      </c>
      <c r="E670" s="8">
        <f>$I$160/$L$160*100</f>
        <v>32.20338983050847</v>
      </c>
      <c r="F670" s="8">
        <f>$I$161/$L$161*100</f>
        <v>0</v>
      </c>
      <c r="G670" s="8">
        <f>SUM(B670:F670)</f>
        <v>100</v>
      </c>
      <c r="H670" s="8">
        <f>$I$237/$L$237*100</f>
        <v>25</v>
      </c>
      <c r="I670" s="8">
        <f>$I$238/$L$238*100</f>
        <v>25</v>
      </c>
      <c r="J670" s="8">
        <f>$I$239/$L$239*100</f>
        <v>12.5</v>
      </c>
      <c r="K670" s="8">
        <f>$I$240/$L$240*100</f>
        <v>37.5</v>
      </c>
      <c r="L670" s="8">
        <f>$I$241/$L$241*100</f>
        <v>0</v>
      </c>
      <c r="M670" s="8">
        <f>SUM(H670:L670)</f>
        <v>100</v>
      </c>
      <c r="N670" s="8">
        <f>$I$317/$L$317*100</f>
        <v>16.666666666666664</v>
      </c>
      <c r="O670" s="8">
        <f>$I$318/$L$318*100</f>
        <v>66.666666666666657</v>
      </c>
      <c r="P670" s="8">
        <f>$I$319/$L$319*100</f>
        <v>0</v>
      </c>
      <c r="Q670" s="8">
        <f>$I$320/$L$320*100</f>
        <v>16.666666666666664</v>
      </c>
      <c r="R670" s="8">
        <f>$I$321/$L$321*100</f>
        <v>0</v>
      </c>
      <c r="S670" s="8">
        <f>SUM(N670:R670)</f>
        <v>99.999999999999972</v>
      </c>
      <c r="T670" s="8">
        <f>$I$78/$L$78*100</f>
        <v>63.333333333333329</v>
      </c>
      <c r="U670" s="8">
        <f>$I$78/$L$78*100</f>
        <v>63.333333333333329</v>
      </c>
      <c r="V670" s="8">
        <f>$I$79/$L$79*100</f>
        <v>13.333333333333334</v>
      </c>
      <c r="W670" s="8">
        <f>$I$80/$L$80*100</f>
        <v>20</v>
      </c>
      <c r="X670" s="8">
        <f>$I$81/$L$81*100</f>
        <v>0</v>
      </c>
      <c r="Y670" s="8">
        <f>SUM(T670:X670)</f>
        <v>160</v>
      </c>
    </row>
    <row r="671" spans="1:30" x14ac:dyDescent="0.2">
      <c r="A671" s="10" t="s">
        <v>50</v>
      </c>
      <c r="B671" s="12">
        <f>AVERAGE(B667:B670)</f>
        <v>36.852041740845969</v>
      </c>
      <c r="C671" s="12">
        <f>AVERAGE(C667:C670)</f>
        <v>35.627771800705069</v>
      </c>
      <c r="D671" s="11">
        <f>AVERAGE(D667:D670)</f>
        <v>11.45065958041241</v>
      </c>
      <c r="E671" s="11">
        <f>AVERAGE(E667:E670)</f>
        <v>16.069526878036545</v>
      </c>
      <c r="F671" s="11">
        <f>AVERAGE(F667:F670)</f>
        <v>0</v>
      </c>
      <c r="G671" s="12"/>
      <c r="H671" s="11">
        <f>AVERAGE(H667:H670)</f>
        <v>26.747185741088181</v>
      </c>
      <c r="I671" s="13">
        <f>AVERAGE(I667:I670)</f>
        <v>21.2593808630394</v>
      </c>
      <c r="J671" s="14">
        <f>AVERAGE(J667:J670)</f>
        <v>7.1353189493433398</v>
      </c>
      <c r="K671" s="14">
        <f>AVERAGE(K667:K670)</f>
        <v>18.896575984990619</v>
      </c>
      <c r="L671" s="14">
        <f>AVERAGE(L667:L670)</f>
        <v>0</v>
      </c>
      <c r="M671" s="12"/>
      <c r="N671" s="14">
        <f>AVERAGE(N667:N670)</f>
        <v>33.871206733048837</v>
      </c>
      <c r="O671" s="12">
        <f>AVERAGE(O667:O670)</f>
        <v>30.35206258890469</v>
      </c>
      <c r="P671" s="11">
        <f>AVERAGE(P667:P670)</f>
        <v>2.4241346609767662</v>
      </c>
      <c r="Q671" s="11">
        <f>AVERAGE(Q667:Q670)</f>
        <v>18.878911806543385</v>
      </c>
      <c r="R671" s="11">
        <f>AVERAGE(R667:R670)</f>
        <v>0</v>
      </c>
      <c r="S671" s="15"/>
      <c r="T671" s="14">
        <f>AVERAGE(T667:T670)</f>
        <v>63.937889960294953</v>
      </c>
      <c r="U671" s="12">
        <f>AVERAGE(U667:U670)</f>
        <v>25.475987899413877</v>
      </c>
      <c r="V671" s="11">
        <f>AVERAGE(V667:V670)</f>
        <v>14.048969559463035</v>
      </c>
      <c r="W671" s="11">
        <f>AVERAGE(W667:W670)</f>
        <v>11.537152580828135</v>
      </c>
      <c r="X671" s="11">
        <f>AVERAGE(X667:X670)</f>
        <v>0</v>
      </c>
      <c r="Y671" s="15"/>
      <c r="Z671" s="8">
        <f>AVERAGE(B671,H671,N671,T671)</f>
        <v>40.352081043819481</v>
      </c>
      <c r="AA671" s="8">
        <f>AVERAGE(C671,I671,O671,U671)</f>
        <v>28.17880078801576</v>
      </c>
      <c r="AB671" s="8">
        <f>AVERAGE(D671,J671,P671,V671)</f>
        <v>8.7647706875488876</v>
      </c>
      <c r="AC671" s="8">
        <f>AVERAGE(E671,K671,Q671,W671)</f>
        <v>16.34554181259967</v>
      </c>
      <c r="AD671" s="8">
        <f>AVERAGE(F671,L671,R671,X671)</f>
        <v>0</v>
      </c>
    </row>
    <row r="674" spans="1:30" ht="15" customHeight="1" x14ac:dyDescent="0.2">
      <c r="A674" s="31" t="s">
        <v>148</v>
      </c>
      <c r="B674" s="32" t="s">
        <v>53</v>
      </c>
      <c r="C674" s="32"/>
      <c r="D674" s="32"/>
      <c r="E674" s="32"/>
      <c r="F674" s="32"/>
      <c r="G674" s="4" t="s">
        <v>64</v>
      </c>
      <c r="H674" s="32" t="s">
        <v>54</v>
      </c>
      <c r="I674" s="32"/>
      <c r="J674" s="32"/>
      <c r="K674" s="32"/>
      <c r="L674" s="32"/>
      <c r="M674" s="4" t="s">
        <v>64</v>
      </c>
      <c r="N674" s="32" t="s">
        <v>55</v>
      </c>
      <c r="O674" s="32"/>
      <c r="P674" s="32"/>
      <c r="Q674" s="32"/>
      <c r="R674" s="32"/>
      <c r="S674" s="4" t="s">
        <v>64</v>
      </c>
      <c r="T674" s="32" t="s">
        <v>56</v>
      </c>
      <c r="U674" s="32"/>
      <c r="V674" s="32"/>
      <c r="W674" s="32"/>
      <c r="X674" s="32"/>
      <c r="Y674" s="4" t="s">
        <v>64</v>
      </c>
    </row>
    <row r="675" spans="1:30" x14ac:dyDescent="0.2">
      <c r="A675" s="32"/>
      <c r="B675" s="4" t="s">
        <v>20</v>
      </c>
      <c r="C675" s="4" t="s">
        <v>21</v>
      </c>
      <c r="D675" s="4" t="s">
        <v>60</v>
      </c>
      <c r="E675" s="4" t="s">
        <v>61</v>
      </c>
      <c r="F675" s="4" t="s">
        <v>62</v>
      </c>
      <c r="G675" s="4"/>
      <c r="H675" s="4" t="s">
        <v>20</v>
      </c>
      <c r="I675" s="4" t="s">
        <v>21</v>
      </c>
      <c r="J675" s="4" t="s">
        <v>60</v>
      </c>
      <c r="K675" s="4" t="s">
        <v>61</v>
      </c>
      <c r="L675" s="4" t="s">
        <v>62</v>
      </c>
      <c r="M675" s="4"/>
      <c r="N675" s="4" t="s">
        <v>20</v>
      </c>
      <c r="O675" s="4" t="s">
        <v>21</v>
      </c>
      <c r="P675" s="4" t="s">
        <v>60</v>
      </c>
      <c r="Q675" s="4" t="s">
        <v>61</v>
      </c>
      <c r="R675" s="4" t="s">
        <v>62</v>
      </c>
      <c r="S675" s="4"/>
      <c r="T675" s="4" t="s">
        <v>20</v>
      </c>
      <c r="U675" s="4" t="s">
        <v>21</v>
      </c>
      <c r="V675" s="4" t="s">
        <v>60</v>
      </c>
      <c r="W675" s="4" t="s">
        <v>61</v>
      </c>
      <c r="X675" s="4" t="s">
        <v>62</v>
      </c>
      <c r="Y675" s="4"/>
    </row>
    <row r="676" spans="1:30" x14ac:dyDescent="0.2">
      <c r="A676" s="5" t="s">
        <v>57</v>
      </c>
      <c r="B676" s="8">
        <f>$J$87/$M$87*100</f>
        <v>36.29032258064516</v>
      </c>
      <c r="C676" s="8">
        <f>$J$88/$M$88*100</f>
        <v>45.362903225806448</v>
      </c>
      <c r="D676" s="8">
        <f>$J$89/$M$89*100</f>
        <v>16.33064516129032</v>
      </c>
      <c r="E676" s="8">
        <f>$J$90/$M$90*100</f>
        <v>2.0161290322580645</v>
      </c>
      <c r="F676" s="8">
        <f>$J$91/$M$91*100</f>
        <v>0</v>
      </c>
      <c r="G676" s="8">
        <f>SUM(B676:F676)</f>
        <v>100</v>
      </c>
      <c r="H676" s="8">
        <f>$J$167/$M$167*100</f>
        <v>71.875</v>
      </c>
      <c r="I676" s="8">
        <f>$J$168/$M$168*100</f>
        <v>18.75</v>
      </c>
      <c r="J676" s="8">
        <f>$J$169/$M$169*100</f>
        <v>9.375</v>
      </c>
      <c r="K676" s="8">
        <f>$J$170/$M$170*100</f>
        <v>0</v>
      </c>
      <c r="L676" s="8">
        <f>$J$171/$M$171*100</f>
        <v>0</v>
      </c>
      <c r="M676" s="8">
        <f>SUM(H676:L676)</f>
        <v>100</v>
      </c>
      <c r="N676" s="8">
        <f>$J$247/$M$247*100</f>
        <v>78.544061302681996</v>
      </c>
      <c r="O676" s="8">
        <f>$J$248/$M$248*100</f>
        <v>13.026819923371647</v>
      </c>
      <c r="P676" s="8">
        <f>$J$249/$M$249*100</f>
        <v>6.8965517241379306</v>
      </c>
      <c r="Q676" s="8">
        <f>$J$250/$M$250*100</f>
        <v>1.5325670498084289</v>
      </c>
      <c r="R676" s="8">
        <f>$J$251/$M$251*100</f>
        <v>0</v>
      </c>
      <c r="S676" s="8">
        <f>SUM(N676:R676)</f>
        <v>100.00000000000001</v>
      </c>
      <c r="T676" s="8">
        <f>$J$7/$M$7*100</f>
        <v>64.615384615384613</v>
      </c>
      <c r="U676" s="8">
        <f>$J$8/$M$8*100</f>
        <v>15.384615384615385</v>
      </c>
      <c r="V676" s="8">
        <f>$J$9/$M$9*100</f>
        <v>20</v>
      </c>
      <c r="W676" s="8">
        <f>$J$10/$M$10*100</f>
        <v>0</v>
      </c>
      <c r="X676" s="8">
        <f>$J$11/$M$11*100</f>
        <v>0</v>
      </c>
      <c r="Y676" s="8">
        <f>SUM(T676:X676)</f>
        <v>100</v>
      </c>
    </row>
    <row r="677" spans="1:30" x14ac:dyDescent="0.2">
      <c r="A677" s="5" t="s">
        <v>58</v>
      </c>
      <c r="B677" s="8">
        <f>$J$107/$M$107*100</f>
        <v>44.91017964071856</v>
      </c>
      <c r="C677" s="8">
        <f>$J$108/$M$108*100</f>
        <v>23.952095808383234</v>
      </c>
      <c r="D677" s="8">
        <f>$J$109/$M$109*100</f>
        <v>16.766467065868262</v>
      </c>
      <c r="E677" s="8">
        <f>$J$110/$M$110*100</f>
        <v>14.37125748502994</v>
      </c>
      <c r="F677" s="8">
        <f>$J$111/$M$111*100</f>
        <v>0</v>
      </c>
      <c r="G677" s="8">
        <f>SUM(B678:F678)</f>
        <v>100</v>
      </c>
      <c r="H677" s="8">
        <f>$J$187/$M$187*100</f>
        <v>64.705882352941174</v>
      </c>
      <c r="I677" s="8">
        <f>$J$188/$M$188*100</f>
        <v>23.52941176470588</v>
      </c>
      <c r="J677" s="8">
        <f>$J$189/$M$189*100</f>
        <v>8.8235294117647065</v>
      </c>
      <c r="K677" s="8">
        <f>$J$190/$M$190*100</f>
        <v>2.9411764705882351</v>
      </c>
      <c r="L677" s="8">
        <f>$J$191/$M$191*100</f>
        <v>0</v>
      </c>
      <c r="M677" s="8">
        <f>SUM(H678:L678)</f>
        <v>99.999999999999986</v>
      </c>
      <c r="N677" s="8">
        <f>$J$267/$M$267*100</f>
        <v>30.927835051546392</v>
      </c>
      <c r="O677" s="8">
        <f>$J$268/$M$268*100</f>
        <v>35.567010309278352</v>
      </c>
      <c r="P677" s="8">
        <f>$J$269/$M$269*100</f>
        <v>12.371134020618557</v>
      </c>
      <c r="Q677" s="8">
        <f>$J$270/$M$270*100</f>
        <v>21.134020618556701</v>
      </c>
      <c r="R677" s="8">
        <f>$J$271/$M$271*100</f>
        <v>0</v>
      </c>
      <c r="S677" s="8">
        <f>SUM(N678:R678)</f>
        <v>100</v>
      </c>
      <c r="T677" s="8">
        <f>$J$27/$M$27*100</f>
        <v>58.620689655172406</v>
      </c>
      <c r="U677" s="8">
        <f>$J$28/$M$28*100</f>
        <v>20.689655172413794</v>
      </c>
      <c r="V677" s="8">
        <f>$J$29/$M$29*100</f>
        <v>10.344827586206897</v>
      </c>
      <c r="W677" s="8">
        <f>$J$30/$M$30*100</f>
        <v>10.344827586206897</v>
      </c>
      <c r="X677" s="8">
        <f>$J$31/$M$31*100</f>
        <v>0</v>
      </c>
      <c r="Y677" s="8">
        <f>SUM(T678:X678)</f>
        <v>100</v>
      </c>
    </row>
    <row r="678" spans="1:30" x14ac:dyDescent="0.2">
      <c r="A678" s="5" t="s">
        <v>142</v>
      </c>
      <c r="B678" s="8">
        <f>$J$127/$M$127*100</f>
        <v>48.214285714285715</v>
      </c>
      <c r="C678" s="8">
        <f>$J$128/$M$128*100</f>
        <v>19.642857142857142</v>
      </c>
      <c r="D678" s="8">
        <f>$J$129/$M$129*100</f>
        <v>12.5</v>
      </c>
      <c r="E678" s="8">
        <f>$J$130/$M$130*100</f>
        <v>19.642857142857142</v>
      </c>
      <c r="F678" s="8">
        <f>$J$131/$M$131*100</f>
        <v>0</v>
      </c>
      <c r="G678" s="8">
        <f>SUM(B678:F678)</f>
        <v>100</v>
      </c>
      <c r="H678" s="8">
        <f>$J$207/$M$207*100</f>
        <v>66.666666666666657</v>
      </c>
      <c r="I678" s="8">
        <f>$J$208/$M$208*100</f>
        <v>0</v>
      </c>
      <c r="J678" s="8">
        <f>$J$209/$M$209*100</f>
        <v>33.333333333333329</v>
      </c>
      <c r="K678" s="8">
        <f>$J$210/$M$210*100</f>
        <v>0</v>
      </c>
      <c r="L678" s="8">
        <f>$J$211/$M$211*100</f>
        <v>0</v>
      </c>
      <c r="M678" s="8">
        <f>SUM(H678:L678)</f>
        <v>99.999999999999986</v>
      </c>
      <c r="N678" s="8">
        <f>$J$287/$M$287*100</f>
        <v>63.768115942028977</v>
      </c>
      <c r="O678" s="8">
        <f>$J$288/$M$288*100</f>
        <v>17.391304347826086</v>
      </c>
      <c r="P678" s="8">
        <f>$J$289/$M$289*100</f>
        <v>8.695652173913043</v>
      </c>
      <c r="Q678" s="8">
        <f>$J$290/$M$290*100</f>
        <v>10.144927536231885</v>
      </c>
      <c r="R678" s="8">
        <f>$J$291/$M$291*100</f>
        <v>0</v>
      </c>
      <c r="S678" s="8">
        <f>SUM(N678:R678)</f>
        <v>100</v>
      </c>
      <c r="T678" s="8">
        <f>$J$47/$M$47*100</f>
        <v>61.904761904761905</v>
      </c>
      <c r="U678" s="8">
        <f>$J$48/$M$48*100</f>
        <v>7.1428571428571423</v>
      </c>
      <c r="V678" s="8">
        <f>$J$49/$M$49*100</f>
        <v>9.5238095238095237</v>
      </c>
      <c r="W678" s="8">
        <f>$J$50/$M$50*100</f>
        <v>19.047619047619047</v>
      </c>
      <c r="X678" s="8">
        <f>$J$51/$M$51*100</f>
        <v>2.3809523809523809</v>
      </c>
      <c r="Y678" s="8">
        <f>SUM(T678:X678)</f>
        <v>100</v>
      </c>
    </row>
    <row r="679" spans="1:30" ht="16" thickBot="1" x14ac:dyDescent="0.25">
      <c r="A679" s="9" t="s">
        <v>59</v>
      </c>
      <c r="B679" s="8">
        <f>$J$147/$M$147*100</f>
        <v>61.341853035143771</v>
      </c>
      <c r="C679" s="8">
        <f>$J$148/$M$148*100</f>
        <v>25.878594249201274</v>
      </c>
      <c r="D679" s="8">
        <f>$J$149/$M$149*100</f>
        <v>8.6261980830670915</v>
      </c>
      <c r="E679" s="8">
        <f>$J$150/$M$150*100</f>
        <v>4.1533546325878596</v>
      </c>
      <c r="F679" s="8">
        <f>$J$151/$M$151*100</f>
        <v>0</v>
      </c>
      <c r="G679" s="8">
        <f>SUM(B679:F679)</f>
        <v>100</v>
      </c>
      <c r="H679" s="8">
        <f>$J$227/$M$227*100</f>
        <v>50</v>
      </c>
      <c r="I679" s="8">
        <f>$J$228/$M$228*100</f>
        <v>10</v>
      </c>
      <c r="J679" s="8">
        <f>$J$229/$M$229*100</f>
        <v>30</v>
      </c>
      <c r="K679" s="8">
        <f>$J$230/$M$230*100</f>
        <v>10</v>
      </c>
      <c r="L679" s="8">
        <f>$J$231/$M$231*100</f>
        <v>0</v>
      </c>
      <c r="M679" s="8">
        <f>SUM(H679:L679)</f>
        <v>100</v>
      </c>
      <c r="N679" s="8">
        <f>$J$307/$M$307*100</f>
        <v>80.740740740740748</v>
      </c>
      <c r="O679" s="8">
        <f>$J$308/$M$308*100</f>
        <v>8.1481481481481488</v>
      </c>
      <c r="P679" s="8">
        <f>$J$309/$M$309*100</f>
        <v>5.1851851851851851</v>
      </c>
      <c r="Q679" s="8">
        <f>$J$310/$M$310*100</f>
        <v>5.9259259259259265</v>
      </c>
      <c r="R679" s="8">
        <f>$J$311/$M$311*100</f>
        <v>0</v>
      </c>
      <c r="S679" s="8">
        <f>SUM(N679:R679)</f>
        <v>100.00000000000001</v>
      </c>
      <c r="T679" s="8">
        <f>$J$67/$M$67*100</f>
        <v>69.863013698630141</v>
      </c>
      <c r="U679" s="8">
        <f>$J$68/$M$68*100</f>
        <v>21.917808219178081</v>
      </c>
      <c r="V679" s="8">
        <f>$J$69/$M$69*100</f>
        <v>5.4794520547945202</v>
      </c>
      <c r="W679" s="8">
        <f>$J$70/$M$70*100</f>
        <v>2.7397260273972601</v>
      </c>
      <c r="X679" s="8">
        <f>$J$71/$M$71*100</f>
        <v>0</v>
      </c>
      <c r="Y679" s="8">
        <f>SUM(T679:X679)</f>
        <v>100</v>
      </c>
    </row>
    <row r="680" spans="1:30" x14ac:dyDescent="0.2">
      <c r="A680" s="10" t="s">
        <v>50</v>
      </c>
      <c r="B680" s="12">
        <f>AVERAGE(B676:B679)</f>
        <v>47.6891602426983</v>
      </c>
      <c r="C680" s="12">
        <f>AVERAGE(C676:C679)</f>
        <v>28.709112606562023</v>
      </c>
      <c r="D680" s="11">
        <f>AVERAGE(D676:D679)</f>
        <v>13.555827577556418</v>
      </c>
      <c r="E680" s="11">
        <f>AVERAGE(E676:E679)</f>
        <v>10.045899573183252</v>
      </c>
      <c r="F680" s="11">
        <f>AVERAGE(F676:F679)</f>
        <v>0</v>
      </c>
      <c r="G680" s="12"/>
      <c r="H680" s="11">
        <f>AVERAGE(H676:H679)</f>
        <v>63.311887254901954</v>
      </c>
      <c r="I680" s="13">
        <f>AVERAGE(I676:I679)</f>
        <v>13.069852941176471</v>
      </c>
      <c r="J680" s="14">
        <f>AVERAGE(J676:J679)</f>
        <v>20.38296568627451</v>
      </c>
      <c r="K680" s="14">
        <f>AVERAGE(K676:K679)</f>
        <v>3.2352941176470589</v>
      </c>
      <c r="L680" s="14">
        <f>AVERAGE(L676:L679)</f>
        <v>0</v>
      </c>
      <c r="M680" s="12"/>
      <c r="N680" s="14">
        <f>AVERAGE(N676:N679)</f>
        <v>63.495188259249531</v>
      </c>
      <c r="O680" s="12">
        <f>AVERAGE(O676:O679)</f>
        <v>18.533320682156059</v>
      </c>
      <c r="P680" s="11">
        <f>AVERAGE(P676:P679)</f>
        <v>8.2871307759636785</v>
      </c>
      <c r="Q680" s="11">
        <f>AVERAGE(Q676:Q679)</f>
        <v>9.6843602826307347</v>
      </c>
      <c r="R680" s="11">
        <f>AVERAGE(R676:R679)</f>
        <v>0</v>
      </c>
      <c r="S680" s="15"/>
      <c r="T680" s="14">
        <f>AVERAGE(T676:T679)</f>
        <v>63.750962468487266</v>
      </c>
      <c r="U680" s="12">
        <f>AVERAGE(U676:U679)</f>
        <v>16.283733979766101</v>
      </c>
      <c r="V680" s="11">
        <f>AVERAGE(V676:V679)</f>
        <v>11.337022291202736</v>
      </c>
      <c r="W680" s="11">
        <f>AVERAGE(W676:W679)</f>
        <v>8.0330431653058003</v>
      </c>
      <c r="X680" s="11">
        <f>AVERAGE(X676:X679)</f>
        <v>0.59523809523809523</v>
      </c>
      <c r="Y680" s="15"/>
      <c r="Z680" s="8">
        <f>AVERAGE(B680,H680,N680,T680)</f>
        <v>59.561799556334265</v>
      </c>
      <c r="AA680" s="8">
        <f>AVERAGE(C680,I680,O680,U680)</f>
        <v>19.149005052415163</v>
      </c>
      <c r="AB680" s="8">
        <f>AVERAGE(D680,J680,P680,V680)</f>
        <v>13.390736582749335</v>
      </c>
      <c r="AC680" s="8">
        <f>AVERAGE(E680,K680,Q680,W680)</f>
        <v>7.7496492846917118</v>
      </c>
      <c r="AD680" s="8">
        <f>AVERAGE(F680,L680,R680,X680)</f>
        <v>0.14880952380952381</v>
      </c>
    </row>
    <row r="683" spans="1:30" ht="15" customHeight="1" x14ac:dyDescent="0.2">
      <c r="A683" s="31" t="s">
        <v>149</v>
      </c>
      <c r="B683" s="32" t="s">
        <v>53</v>
      </c>
      <c r="C683" s="32"/>
      <c r="D683" s="32"/>
      <c r="E683" s="32"/>
      <c r="F683" s="32"/>
      <c r="G683" s="4" t="s">
        <v>64</v>
      </c>
      <c r="H683" s="32" t="s">
        <v>54</v>
      </c>
      <c r="I683" s="32"/>
      <c r="J683" s="32"/>
      <c r="K683" s="32"/>
      <c r="L683" s="32"/>
      <c r="M683" s="4" t="s">
        <v>64</v>
      </c>
      <c r="N683" s="32" t="s">
        <v>55</v>
      </c>
      <c r="O683" s="32"/>
      <c r="P683" s="32"/>
      <c r="Q683" s="32"/>
      <c r="R683" s="32"/>
      <c r="S683" s="4" t="s">
        <v>64</v>
      </c>
      <c r="T683" s="32" t="s">
        <v>56</v>
      </c>
      <c r="U683" s="32"/>
      <c r="V683" s="32"/>
      <c r="W683" s="32"/>
      <c r="X683" s="32"/>
      <c r="Y683" s="4" t="s">
        <v>64</v>
      </c>
    </row>
    <row r="684" spans="1:30" x14ac:dyDescent="0.2">
      <c r="A684" s="32"/>
      <c r="B684" s="4" t="s">
        <v>20</v>
      </c>
      <c r="C684" s="4" t="s">
        <v>21</v>
      </c>
      <c r="D684" s="4" t="s">
        <v>60</v>
      </c>
      <c r="E684" s="4" t="s">
        <v>61</v>
      </c>
      <c r="F684" s="4" t="s">
        <v>62</v>
      </c>
      <c r="G684" s="4"/>
      <c r="H684" s="4" t="s">
        <v>20</v>
      </c>
      <c r="I684" s="4" t="s">
        <v>21</v>
      </c>
      <c r="J684" s="4" t="s">
        <v>60</v>
      </c>
      <c r="K684" s="4" t="s">
        <v>61</v>
      </c>
      <c r="L684" s="4" t="s">
        <v>62</v>
      </c>
      <c r="M684" s="4"/>
      <c r="N684" s="4" t="s">
        <v>20</v>
      </c>
      <c r="O684" s="4" t="s">
        <v>21</v>
      </c>
      <c r="P684" s="4" t="s">
        <v>60</v>
      </c>
      <c r="Q684" s="4" t="s">
        <v>61</v>
      </c>
      <c r="R684" s="4" t="s">
        <v>62</v>
      </c>
      <c r="S684" s="4"/>
      <c r="T684" s="4" t="s">
        <v>20</v>
      </c>
      <c r="U684" s="4" t="s">
        <v>21</v>
      </c>
      <c r="V684" s="4" t="s">
        <v>60</v>
      </c>
      <c r="W684" s="4" t="s">
        <v>61</v>
      </c>
      <c r="X684" s="4" t="s">
        <v>62</v>
      </c>
      <c r="Y684" s="4"/>
    </row>
    <row r="685" spans="1:30" x14ac:dyDescent="0.2">
      <c r="A685" s="5" t="s">
        <v>57</v>
      </c>
      <c r="B685" s="8">
        <f>$J$92/$M$92*100</f>
        <v>43.262411347517734</v>
      </c>
      <c r="C685" s="8">
        <f>$J$93/$M$93*100</f>
        <v>34.515366430260045</v>
      </c>
      <c r="D685" s="8">
        <f>$J$94/$M$94*100</f>
        <v>14.657210401891252</v>
      </c>
      <c r="E685" s="8">
        <f>$J$95/$M$95*100</f>
        <v>7.5650118203309695</v>
      </c>
      <c r="F685" s="8">
        <f>$J$96/$M$96*100</f>
        <v>0</v>
      </c>
      <c r="G685" s="8">
        <f>SUM(B685:F685)</f>
        <v>99.999999999999986</v>
      </c>
      <c r="H685" s="8">
        <f>$J$172/$M$172*100</f>
        <v>35.593220338983052</v>
      </c>
      <c r="I685" s="8">
        <f>$J$173/$M$173*100</f>
        <v>37.288135593220339</v>
      </c>
      <c r="J685" s="8">
        <f>$J$174/$M$174*100</f>
        <v>16.949152542372879</v>
      </c>
      <c r="K685" s="8">
        <f>$J$175/$M$175*100</f>
        <v>10.16949152542373</v>
      </c>
      <c r="L685" s="8">
        <f>$J$176/$M$176*100</f>
        <v>0</v>
      </c>
      <c r="M685" s="8">
        <f>SUM(H685:L685)</f>
        <v>100</v>
      </c>
      <c r="N685" s="8">
        <f>$J$252/$M$252*100</f>
        <v>65.151515151515156</v>
      </c>
      <c r="O685" s="8">
        <f>$J$253/$M$253*100</f>
        <v>26.515151515151516</v>
      </c>
      <c r="P685" s="8">
        <f>$J$254/$M$254*100</f>
        <v>3.7878787878787881</v>
      </c>
      <c r="Q685" s="8">
        <f>$J$255/$M$255*100</f>
        <v>4.5454545454545459</v>
      </c>
      <c r="R685" s="8">
        <f>$J$256/$M$256*100</f>
        <v>0</v>
      </c>
      <c r="S685" s="8">
        <f>SUM(N685:R685)</f>
        <v>100</v>
      </c>
      <c r="T685" s="8">
        <f>$J$12/$M$12*100</f>
        <v>37.735849056603776</v>
      </c>
      <c r="U685" s="8">
        <f>$J$13/$M$13*100</f>
        <v>45.283018867924532</v>
      </c>
      <c r="V685" s="8">
        <f>$J$14/$M$14*100</f>
        <v>11.320754716981133</v>
      </c>
      <c r="W685" s="8">
        <f>$J$15/$M$15*100</f>
        <v>5.6603773584905666</v>
      </c>
      <c r="X685" s="8">
        <f>$J$16/$M$16*100</f>
        <v>0</v>
      </c>
      <c r="Y685" s="8">
        <f>SUM(T685:X685)</f>
        <v>100</v>
      </c>
    </row>
    <row r="686" spans="1:30" x14ac:dyDescent="0.2">
      <c r="A686" s="5" t="s">
        <v>58</v>
      </c>
      <c r="B686" s="8">
        <f>$J$112/$M$112*100</f>
        <v>31.205673758865249</v>
      </c>
      <c r="C686" s="8">
        <f>$J$113/$M$113*100</f>
        <v>25.531914893617021</v>
      </c>
      <c r="D686" s="8">
        <f>$J$114/$M$114*100</f>
        <v>17.730496453900709</v>
      </c>
      <c r="E686" s="8">
        <f>$J$115/$M$115*100</f>
        <v>25.531914893617021</v>
      </c>
      <c r="F686" s="8">
        <f>$J$116/$M$116*100</f>
        <v>0</v>
      </c>
      <c r="G686" s="8">
        <f>SUM(B686:F686)</f>
        <v>100</v>
      </c>
      <c r="H686" s="8">
        <f>$J$192/$M$192*100</f>
        <v>44</v>
      </c>
      <c r="I686" s="8">
        <f>$J$193/$M$193*100</f>
        <v>36</v>
      </c>
      <c r="J686" s="8">
        <f>$J$194/$M$194*100</f>
        <v>16</v>
      </c>
      <c r="K686" s="8">
        <f>$J$195/$M$195*100</f>
        <v>4</v>
      </c>
      <c r="L686" s="8">
        <f>$J$196/$M$196*100</f>
        <v>0</v>
      </c>
      <c r="M686" s="8">
        <f>SUM(H686:L686)</f>
        <v>100</v>
      </c>
      <c r="N686" s="8">
        <f>$J$272/$M$272*100</f>
        <v>28.571428571428569</v>
      </c>
      <c r="O686" s="8">
        <f>$J$273/$M$273*100</f>
        <v>32.967032967032964</v>
      </c>
      <c r="P686" s="8">
        <f>$J$274/$M$274*100</f>
        <v>12.087912087912088</v>
      </c>
      <c r="Q686" s="8">
        <f>$J$275/$M$275*100</f>
        <v>25.824175824175828</v>
      </c>
      <c r="R686" s="8">
        <f>$J$276/$M$276*100</f>
        <v>0.5494505494505495</v>
      </c>
      <c r="S686" s="8">
        <f>SUM(N686:R686)</f>
        <v>100</v>
      </c>
      <c r="T686" s="8">
        <f>$J$32/$M$32*100</f>
        <v>26.315789473684209</v>
      </c>
      <c r="U686" s="8">
        <f>$J$33/$M$33*100</f>
        <v>21.052631578947366</v>
      </c>
      <c r="V686" s="8">
        <f>$J$34/$M$34*100</f>
        <v>10.526315789473683</v>
      </c>
      <c r="W686" s="8">
        <f>$J$35/$M$35*100</f>
        <v>42.105263157894733</v>
      </c>
      <c r="X686" s="8">
        <f>$J$36/$M$36*100</f>
        <v>0</v>
      </c>
      <c r="Y686" s="8">
        <f>SUM(T686:X686)</f>
        <v>100</v>
      </c>
    </row>
    <row r="687" spans="1:30" x14ac:dyDescent="0.2">
      <c r="A687" s="5" t="s">
        <v>142</v>
      </c>
      <c r="B687" s="8">
        <f>$J$132/$M$132*100</f>
        <v>30.555555555555557</v>
      </c>
      <c r="C687" s="8">
        <f>$J$133/$M$133*100</f>
        <v>27.777777777777779</v>
      </c>
      <c r="D687" s="8">
        <f>$J$134/$M$134*100</f>
        <v>22.222222222222221</v>
      </c>
      <c r="E687" s="8">
        <f>$J$135/$M$135*100</f>
        <v>19.444444444444446</v>
      </c>
      <c r="F687" s="8">
        <f>$J$136/$M$136*100</f>
        <v>0</v>
      </c>
      <c r="G687" s="8">
        <f>SUM(B687:F687)</f>
        <v>100</v>
      </c>
      <c r="H687" s="8">
        <f>$J$212/$M$212*100</f>
        <v>25</v>
      </c>
      <c r="I687" s="8">
        <f>$J$213/$M$213*100</f>
        <v>41.666666666666671</v>
      </c>
      <c r="J687" s="8">
        <f>$J$214/$M$214*100</f>
        <v>25</v>
      </c>
      <c r="K687" s="8">
        <f>$J$215/$M$215*100</f>
        <v>8.3333333333333321</v>
      </c>
      <c r="L687" s="8">
        <f>$J$216/$M$216*100</f>
        <v>0</v>
      </c>
      <c r="M687" s="8">
        <f>SUM(H687:L687)</f>
        <v>100</v>
      </c>
      <c r="N687" s="8">
        <f>$J$292/$M$292*100</f>
        <v>30.434782608695656</v>
      </c>
      <c r="O687" s="8">
        <f>$J$293/$M$293*100</f>
        <v>33.333333333333329</v>
      </c>
      <c r="P687" s="8">
        <f>$J$294/$M$294*100</f>
        <v>18.840579710144929</v>
      </c>
      <c r="Q687" s="8">
        <f>$J$295/$M$295*100</f>
        <v>15.942028985507244</v>
      </c>
      <c r="R687" s="8">
        <f>$J$296/$M$296*100</f>
        <v>1.4492753623188406</v>
      </c>
      <c r="S687" s="8">
        <f>SUM(N687:R687)</f>
        <v>100</v>
      </c>
      <c r="T687" s="8">
        <f>$J$52/$M$52*100</f>
        <v>22.222222222222221</v>
      </c>
      <c r="U687" s="8">
        <f>$J$53/$M$53*100</f>
        <v>38.888888888888893</v>
      </c>
      <c r="V687" s="8">
        <f>$J$54/$M$54*100</f>
        <v>5.5555555555555554</v>
      </c>
      <c r="W687" s="8">
        <f>$J$55/$M$55*100</f>
        <v>33.333333333333329</v>
      </c>
      <c r="X687" s="8">
        <f>$J$56/$M$56*100</f>
        <v>0</v>
      </c>
      <c r="Y687" s="8">
        <f>SUM(T687:X687)</f>
        <v>100</v>
      </c>
    </row>
    <row r="688" spans="1:30" ht="16" thickBot="1" x14ac:dyDescent="0.25">
      <c r="A688" s="9" t="s">
        <v>59</v>
      </c>
      <c r="B688" s="8">
        <f>$J$152/$M$152*100</f>
        <v>37.171052631578952</v>
      </c>
      <c r="C688" s="8">
        <f>$J$153/$M$153*100</f>
        <v>40.460526315789473</v>
      </c>
      <c r="D688" s="8">
        <f>$J$154/$M$154*100</f>
        <v>12.171052631578947</v>
      </c>
      <c r="E688" s="8">
        <f>$J$155/$M$155*100</f>
        <v>10.197368421052632</v>
      </c>
      <c r="F688" s="8">
        <f>$J$156/$M$156*100</f>
        <v>0</v>
      </c>
      <c r="G688" s="8">
        <f>SUM(B688:F688)</f>
        <v>100</v>
      </c>
      <c r="H688" s="8">
        <f>$J$232/$M$232*100</f>
        <v>18.75</v>
      </c>
      <c r="I688" s="8">
        <f>$J$233/$M$233*100</f>
        <v>50</v>
      </c>
      <c r="J688" s="8">
        <f>$J$234/$M$234*100</f>
        <v>25</v>
      </c>
      <c r="K688" s="8">
        <f>$J$235/$M$235*100</f>
        <v>6.25</v>
      </c>
      <c r="L688" s="8">
        <f>$J$236/$M$236*100</f>
        <v>0</v>
      </c>
      <c r="M688" s="8">
        <f>SUM(H688:L688)</f>
        <v>100</v>
      </c>
      <c r="N688" s="8">
        <f>$J$312/$M$312*100</f>
        <v>34.285714285714285</v>
      </c>
      <c r="O688" s="8">
        <f>$J$313/$M$313*100</f>
        <v>40</v>
      </c>
      <c r="P688" s="8">
        <f>$J$314/$M$314*100</f>
        <v>11.428571428571429</v>
      </c>
      <c r="Q688" s="8">
        <f>$J$315/$M$315*100</f>
        <v>14.285714285714285</v>
      </c>
      <c r="R688" s="8">
        <f>$J$316/$M$316*100</f>
        <v>0</v>
      </c>
      <c r="S688" s="8">
        <f>SUM(N688:R688)</f>
        <v>100</v>
      </c>
      <c r="T688" s="8">
        <f>$J$72/$M$72*100</f>
        <v>54.237288135593218</v>
      </c>
      <c r="U688" s="8">
        <f>$J$73/$M$73*100</f>
        <v>23.728813559322035</v>
      </c>
      <c r="V688" s="8">
        <f>$J$74/$M$74*100</f>
        <v>16.949152542372879</v>
      </c>
      <c r="W688" s="8">
        <f>$J$75/$M$75*100</f>
        <v>5.0847457627118651</v>
      </c>
      <c r="X688" s="8">
        <f>$J$76/$M$76*100</f>
        <v>0</v>
      </c>
      <c r="Y688" s="8">
        <f>SUM(T688:X688)</f>
        <v>100</v>
      </c>
    </row>
    <row r="689" spans="1:30" x14ac:dyDescent="0.2">
      <c r="A689" s="10" t="s">
        <v>50</v>
      </c>
      <c r="B689" s="12">
        <f>AVERAGE(B685:B688)</f>
        <v>35.548673323379376</v>
      </c>
      <c r="C689" s="12">
        <f>AVERAGE(C685:C688)</f>
        <v>32.071396354361077</v>
      </c>
      <c r="D689" s="11">
        <f>AVERAGE(D685:D688)</f>
        <v>16.695245427398284</v>
      </c>
      <c r="E689" s="11">
        <f>AVERAGE(E685:E688)</f>
        <v>15.684684894861267</v>
      </c>
      <c r="F689" s="11">
        <f>AVERAGE(F685:F688)</f>
        <v>0</v>
      </c>
      <c r="G689" s="12"/>
      <c r="H689" s="11">
        <f>AVERAGE(H685:H688)</f>
        <v>30.835805084745765</v>
      </c>
      <c r="I689" s="13">
        <f>AVERAGE(I685:I688)</f>
        <v>41.238700564971751</v>
      </c>
      <c r="J689" s="14">
        <f>AVERAGE(J685:J688)</f>
        <v>20.737288135593218</v>
      </c>
      <c r="K689" s="14">
        <f>AVERAGE(K685:K688)</f>
        <v>7.1882062146892656</v>
      </c>
      <c r="L689" s="14">
        <f>AVERAGE(L685:L688)</f>
        <v>0</v>
      </c>
      <c r="M689" s="12"/>
      <c r="N689" s="14">
        <f>AVERAGE(N685:N688)</f>
        <v>39.610860154338418</v>
      </c>
      <c r="O689" s="12">
        <f>AVERAGE(O685:O688)</f>
        <v>33.203879453879452</v>
      </c>
      <c r="P689" s="11">
        <f>AVERAGE(P685:P688)</f>
        <v>11.536235503626809</v>
      </c>
      <c r="Q689" s="11">
        <f>AVERAGE(Q685:Q688)</f>
        <v>15.149343410212976</v>
      </c>
      <c r="R689" s="11">
        <f>AVERAGE(R685:R688)</f>
        <v>0.49968147794234752</v>
      </c>
      <c r="S689" s="15"/>
      <c r="T689" s="14">
        <f>AVERAGE(T685:T688)</f>
        <v>35.127787222025859</v>
      </c>
      <c r="U689" s="12">
        <f>AVERAGE(U685:U688)</f>
        <v>32.238338223770711</v>
      </c>
      <c r="V689" s="11">
        <f>AVERAGE(V685:V688)</f>
        <v>11.087944651095812</v>
      </c>
      <c r="W689" s="11">
        <f>AVERAGE(W685:W688)</f>
        <v>21.54592990310762</v>
      </c>
      <c r="X689" s="11">
        <f>AVERAGE(X685:X688)</f>
        <v>0</v>
      </c>
      <c r="Y689" s="15"/>
      <c r="Z689" s="8">
        <f>AVERAGE(B689,H689,N689,T689)</f>
        <v>35.280781446122354</v>
      </c>
      <c r="AA689" s="8">
        <f>AVERAGE(C689,I689,O689,U689)</f>
        <v>34.688078649245753</v>
      </c>
      <c r="AB689" s="8">
        <f>AVERAGE(D689,J689,P689,V689)</f>
        <v>15.014178429428529</v>
      </c>
      <c r="AC689" s="8">
        <f>AVERAGE(E689,K689,Q689,W689)</f>
        <v>14.892041105717782</v>
      </c>
      <c r="AD689" s="8">
        <f>AVERAGE(F689,L689,R689,X689)</f>
        <v>0.12492036948558688</v>
      </c>
    </row>
    <row r="692" spans="1:30" x14ac:dyDescent="0.2">
      <c r="A692" s="31" t="s">
        <v>164</v>
      </c>
      <c r="B692" s="32" t="s">
        <v>53</v>
      </c>
      <c r="C692" s="32"/>
      <c r="D692" s="32"/>
      <c r="E692" s="32"/>
      <c r="F692" s="32"/>
      <c r="G692" s="4" t="s">
        <v>64</v>
      </c>
      <c r="H692" s="32" t="s">
        <v>54</v>
      </c>
      <c r="I692" s="32"/>
      <c r="J692" s="32"/>
      <c r="K692" s="32"/>
      <c r="L692" s="32"/>
      <c r="M692" s="4" t="s">
        <v>64</v>
      </c>
      <c r="N692" s="32" t="s">
        <v>55</v>
      </c>
      <c r="O692" s="32"/>
      <c r="P692" s="32"/>
      <c r="Q692" s="32"/>
      <c r="R692" s="32"/>
      <c r="S692" s="4" t="s">
        <v>64</v>
      </c>
      <c r="T692" s="32" t="s">
        <v>56</v>
      </c>
      <c r="U692" s="32"/>
      <c r="V692" s="32"/>
      <c r="W692" s="32"/>
      <c r="X692" s="32"/>
      <c r="Y692" s="4" t="s">
        <v>64</v>
      </c>
    </row>
    <row r="693" spans="1:30" x14ac:dyDescent="0.2">
      <c r="A693" s="32"/>
      <c r="B693" s="4" t="s">
        <v>20</v>
      </c>
      <c r="C693" s="4" t="s">
        <v>21</v>
      </c>
      <c r="D693" s="4" t="s">
        <v>60</v>
      </c>
      <c r="E693" s="4" t="s">
        <v>61</v>
      </c>
      <c r="F693" s="4" t="s">
        <v>62</v>
      </c>
      <c r="G693" s="4"/>
      <c r="H693" s="4" t="s">
        <v>20</v>
      </c>
      <c r="I693" s="4" t="s">
        <v>21</v>
      </c>
      <c r="J693" s="4" t="s">
        <v>60</v>
      </c>
      <c r="K693" s="4" t="s">
        <v>61</v>
      </c>
      <c r="L693" s="4" t="s">
        <v>62</v>
      </c>
      <c r="M693" s="4"/>
      <c r="N693" s="4" t="s">
        <v>20</v>
      </c>
      <c r="O693" s="4" t="s">
        <v>21</v>
      </c>
      <c r="P693" s="4" t="s">
        <v>60</v>
      </c>
      <c r="Q693" s="4" t="s">
        <v>61</v>
      </c>
      <c r="R693" s="4" t="s">
        <v>62</v>
      </c>
      <c r="S693" s="4"/>
      <c r="T693" s="4" t="s">
        <v>20</v>
      </c>
      <c r="U693" s="4" t="s">
        <v>21</v>
      </c>
      <c r="V693" s="4" t="s">
        <v>60</v>
      </c>
      <c r="W693" s="4" t="s">
        <v>61</v>
      </c>
      <c r="X693" s="4" t="s">
        <v>62</v>
      </c>
      <c r="Y693" s="4"/>
    </row>
    <row r="694" spans="1:30" x14ac:dyDescent="0.2">
      <c r="A694" s="5" t="s">
        <v>57</v>
      </c>
      <c r="B694" s="8">
        <f>$J$97/$M$97*100</f>
        <v>18.612521150592219</v>
      </c>
      <c r="C694" s="8">
        <f>$J$98/$M$98*100</f>
        <v>56.006768189509302</v>
      </c>
      <c r="D694" s="8">
        <f>$J$99/$M$99*100</f>
        <v>11.6751269035533</v>
      </c>
      <c r="E694" s="8">
        <f>$J$100/$M$100*100</f>
        <v>13.705583756345177</v>
      </c>
      <c r="F694" s="8">
        <f>$J$101/$M$101*100</f>
        <v>0</v>
      </c>
      <c r="G694" s="8">
        <f>SUM(B694:F694)</f>
        <v>100</v>
      </c>
      <c r="H694" s="8">
        <f>$J$178/$M$178*100</f>
        <v>58.108108108108105</v>
      </c>
      <c r="I694" s="8">
        <f>$J$178/$M$178*100</f>
        <v>58.108108108108105</v>
      </c>
      <c r="J694" s="8">
        <f>$J$179/$M$179*100</f>
        <v>8.1081081081081088</v>
      </c>
      <c r="K694" s="8">
        <f>$J$180/$M$180*100</f>
        <v>25.675675675675674</v>
      </c>
      <c r="L694" s="8">
        <f>$J$181/$M$181*100</f>
        <v>0</v>
      </c>
      <c r="M694" s="8">
        <f>SUM(H694:L694)</f>
        <v>150</v>
      </c>
      <c r="N694" s="8">
        <f>$J$257/$M$257*100</f>
        <v>26.865671641791046</v>
      </c>
      <c r="O694" s="8">
        <f>$J$258/$M$258*100</f>
        <v>46.268656716417908</v>
      </c>
      <c r="P694" s="8">
        <f>$J$259/$M$259*100</f>
        <v>2.4875621890547266</v>
      </c>
      <c r="Q694" s="8">
        <f>$J$260/$M$260*100</f>
        <v>24.378109452736318</v>
      </c>
      <c r="R694" s="8">
        <f>$J$261/$M$261*100</f>
        <v>0</v>
      </c>
      <c r="S694" s="8">
        <f>SUM(N694:R694)</f>
        <v>100</v>
      </c>
      <c r="T694" s="8">
        <f>$J$17/$M$17*100</f>
        <v>9.375</v>
      </c>
      <c r="U694" s="8">
        <f>$J$18/$M$18*100</f>
        <v>42.1875</v>
      </c>
      <c r="V694" s="8">
        <f>$J$19/$M$19*100</f>
        <v>23.4375</v>
      </c>
      <c r="W694" s="8">
        <f>$J$20/$M$20*100</f>
        <v>23.4375</v>
      </c>
      <c r="X694" s="8">
        <f>$J$21/$M$21*100</f>
        <v>1.5625</v>
      </c>
      <c r="Y694" s="8">
        <f>SUM(T694:X694)</f>
        <v>100</v>
      </c>
    </row>
    <row r="695" spans="1:30" x14ac:dyDescent="0.2">
      <c r="A695" s="5" t="s">
        <v>58</v>
      </c>
      <c r="B695" s="8">
        <f>$J$117/$M$117*100</f>
        <v>21.481481481481481</v>
      </c>
      <c r="C695" s="8">
        <f>$J$118/$M$118*100</f>
        <v>31.851851851851855</v>
      </c>
      <c r="D695" s="8">
        <f>$J$119/$M$119*100</f>
        <v>17.777777777777779</v>
      </c>
      <c r="E695" s="8">
        <f>$J$120/$M$120*100</f>
        <v>28.888888888888886</v>
      </c>
      <c r="F695" s="8">
        <f>$J$121/$M$121*100</f>
        <v>0</v>
      </c>
      <c r="G695" s="8">
        <f>SUM(B695:F695)</f>
        <v>100</v>
      </c>
      <c r="H695" s="8">
        <f>$J$197/$M$197*100</f>
        <v>30.303030303030305</v>
      </c>
      <c r="I695" s="8">
        <f>$J$198/$M$198*100</f>
        <v>33.333333333333329</v>
      </c>
      <c r="J695" s="8">
        <f>$J$199/$M$199*100</f>
        <v>18.181818181818183</v>
      </c>
      <c r="K695" s="8">
        <f>$J$200/$M$200*100</f>
        <v>18.181818181818183</v>
      </c>
      <c r="L695" s="8">
        <f>$J$201/$M$201*100</f>
        <v>0</v>
      </c>
      <c r="M695" s="8">
        <f>SUM(H695:L695)</f>
        <v>100</v>
      </c>
      <c r="N695" s="8">
        <f>$J$278/$M$278*100</f>
        <v>38.311688311688314</v>
      </c>
      <c r="O695" s="8">
        <f>$J$278/$M$278*100</f>
        <v>38.311688311688314</v>
      </c>
      <c r="P695" s="8">
        <f>$J$279/$M$279*100</f>
        <v>9.0909090909090917</v>
      </c>
      <c r="Q695" s="8">
        <f>$J$280/$M$280*100</f>
        <v>42.207792207792203</v>
      </c>
      <c r="R695" s="8">
        <f>$J$281/$M$281*100</f>
        <v>0.64935064935064934</v>
      </c>
      <c r="S695" s="8">
        <f>SUM(N695:R695)</f>
        <v>128.57142857142858</v>
      </c>
      <c r="T695" s="8">
        <f>$J$37/$M$37*100</f>
        <v>14.285714285714285</v>
      </c>
      <c r="U695" s="8">
        <f>$J$38/$M$38*100</f>
        <v>35.714285714285715</v>
      </c>
      <c r="V695" s="8">
        <f>$J$39/$M$39*100</f>
        <v>14.285714285714285</v>
      </c>
      <c r="W695" s="8">
        <f>$J$40/$M$40*100</f>
        <v>35.714285714285715</v>
      </c>
      <c r="X695" s="8">
        <f>$J$41/$M$41*100</f>
        <v>0</v>
      </c>
      <c r="Y695" s="8">
        <f>SUM(T695:X695)</f>
        <v>100</v>
      </c>
    </row>
    <row r="696" spans="1:30" x14ac:dyDescent="0.2">
      <c r="A696" s="5" t="s">
        <v>142</v>
      </c>
      <c r="B696" s="8">
        <f>$J$137/$M$137*100</f>
        <v>7.6923076923076925</v>
      </c>
      <c r="C696" s="8">
        <f>$J$138/$M$138*100</f>
        <v>28.205128205128204</v>
      </c>
      <c r="D696" s="8">
        <f>$J$139/$M$139*100</f>
        <v>35.897435897435898</v>
      </c>
      <c r="E696" s="8">
        <f>$J$140/$M$140*100</f>
        <v>28.205128205128204</v>
      </c>
      <c r="F696" s="8">
        <f>$J$141/$M$141*100</f>
        <v>0</v>
      </c>
      <c r="G696" s="8">
        <f>SUM(B696:F696)</f>
        <v>100</v>
      </c>
      <c r="H696" s="8">
        <f>$J$217/$M$217*100</f>
        <v>0</v>
      </c>
      <c r="I696" s="8">
        <f>$J$218/$M$218*100</f>
        <v>73.68421052631578</v>
      </c>
      <c r="J696" s="8">
        <f>$J$219/$M$219*100</f>
        <v>21.052631578947366</v>
      </c>
      <c r="K696" s="8">
        <f>$J$220/$M$220*100</f>
        <v>5.2631578947368416</v>
      </c>
      <c r="L696" s="8">
        <f>$J$221/$M$221*100</f>
        <v>0</v>
      </c>
      <c r="M696" s="8">
        <f>SUM(H696:L696)</f>
        <v>99.999999999999986</v>
      </c>
      <c r="N696" s="8">
        <f>$J$297/$M$297*100</f>
        <v>3.7037037037037033</v>
      </c>
      <c r="O696" s="8">
        <f>$J$298/$M$298*100</f>
        <v>44.444444444444443</v>
      </c>
      <c r="P696" s="8">
        <f>$J$299/$M$299*100</f>
        <v>20.37037037037037</v>
      </c>
      <c r="Q696" s="8">
        <f>$J$300/$M$300*100</f>
        <v>31.481481481481481</v>
      </c>
      <c r="R696" s="8">
        <f>$J$301/$M$301*100</f>
        <v>0</v>
      </c>
      <c r="S696" s="8">
        <f>SUM(N696:R696)</f>
        <v>100</v>
      </c>
      <c r="T696" s="8">
        <f>$J$57/$M$57*100</f>
        <v>0</v>
      </c>
      <c r="U696" s="8">
        <f>$J$58/$M$58*100</f>
        <v>35</v>
      </c>
      <c r="V696" s="8">
        <f>$J$59/$M$59*100</f>
        <v>20</v>
      </c>
      <c r="W696" s="8">
        <f>$J$60/$M$60*100</f>
        <v>45</v>
      </c>
      <c r="X696" s="8">
        <f>$J$61/$M$61*100</f>
        <v>0</v>
      </c>
      <c r="Y696" s="8">
        <f>SUM(T696:X696)</f>
        <v>100</v>
      </c>
    </row>
    <row r="697" spans="1:30" ht="16" thickBot="1" x14ac:dyDescent="0.25">
      <c r="A697" s="9" t="s">
        <v>59</v>
      </c>
      <c r="B697" s="8">
        <f>$J$157/$M$157*100</f>
        <v>29.390681003584231</v>
      </c>
      <c r="C697" s="8">
        <f>$J$158/$M$158*100</f>
        <v>38.70967741935484</v>
      </c>
      <c r="D697" s="8">
        <f>$J$159/$M$159*100</f>
        <v>12.186379928315413</v>
      </c>
      <c r="E697" s="8">
        <f>$J$160/$M$160*100</f>
        <v>19.713261648745519</v>
      </c>
      <c r="F697" s="8">
        <f>$J$161/$M$161*100</f>
        <v>0</v>
      </c>
      <c r="G697" s="8">
        <f>SUM(B697:F697)</f>
        <v>100</v>
      </c>
      <c r="H697" s="8">
        <f>$J$237/$M$237*100</f>
        <v>8.3333333333333321</v>
      </c>
      <c r="I697" s="8">
        <f>$J$238/$M$238*100</f>
        <v>41.666666666666671</v>
      </c>
      <c r="J697" s="8">
        <f>$J$239/$M$239*100</f>
        <v>8.3333333333333321</v>
      </c>
      <c r="K697" s="8">
        <f>$J$240/$M$240*100</f>
        <v>41.666666666666671</v>
      </c>
      <c r="L697" s="8">
        <f>$J$241/$M$241*100</f>
        <v>0</v>
      </c>
      <c r="M697" s="8">
        <f>SUM(H697:L697)</f>
        <v>100</v>
      </c>
      <c r="N697" s="8">
        <f>$J$317/$M$317*100</f>
        <v>20.27027027027027</v>
      </c>
      <c r="O697" s="8">
        <f>$J$318/$M$318*100</f>
        <v>25.675675675675674</v>
      </c>
      <c r="P697" s="8">
        <f>$J$319/$M$319*100</f>
        <v>5.4054054054054053</v>
      </c>
      <c r="Q697" s="8">
        <f>$J$320/$M$320*100</f>
        <v>48.648648648648653</v>
      </c>
      <c r="R697" s="8">
        <f>$J$321/$M$321*100</f>
        <v>0</v>
      </c>
      <c r="S697" s="8">
        <f>SUM(N697:R697)</f>
        <v>100</v>
      </c>
      <c r="T697" s="8">
        <f>$J$78/$M$78*100</f>
        <v>41.25</v>
      </c>
      <c r="U697" s="8">
        <f>$J$78/$M$78*100</f>
        <v>41.25</v>
      </c>
      <c r="V697" s="8">
        <f>$J$79/$M$79*100</f>
        <v>13.750000000000002</v>
      </c>
      <c r="W697" s="8">
        <f>$J$80/$M$80*100</f>
        <v>26.25</v>
      </c>
      <c r="X697" s="8">
        <f>$J$81/$M$81*100</f>
        <v>0</v>
      </c>
      <c r="Y697" s="8">
        <f>SUM(T697:X697)</f>
        <v>122.5</v>
      </c>
    </row>
    <row r="698" spans="1:30" x14ac:dyDescent="0.2">
      <c r="A698" s="10" t="s">
        <v>50</v>
      </c>
      <c r="B698" s="11">
        <f>AVERAGE(B694:B696)</f>
        <v>15.92877010812713</v>
      </c>
      <c r="C698" s="12">
        <f>AVERAGE(C694:C697)</f>
        <v>38.69335641646105</v>
      </c>
      <c r="D698" s="11">
        <f>AVERAGE(D694:D697)</f>
        <v>19.384180126770598</v>
      </c>
      <c r="E698" s="11">
        <f>AVERAGE(E694:E697)</f>
        <v>22.628215624776946</v>
      </c>
      <c r="F698" s="11">
        <f>AVERAGE(F694:F697)</f>
        <v>0</v>
      </c>
      <c r="G698" s="12"/>
      <c r="H698" s="11">
        <f>AVERAGE(H694:H697)</f>
        <v>24.186117936117935</v>
      </c>
      <c r="I698" s="13">
        <f>AVERAGE(I694:I697)</f>
        <v>51.698079658605977</v>
      </c>
      <c r="J698" s="14">
        <f>AVERAGE(J694:J697)</f>
        <v>13.918972800551746</v>
      </c>
      <c r="K698" s="14">
        <f>AVERAGE(K694:K697)</f>
        <v>22.696829604724343</v>
      </c>
      <c r="L698" s="14">
        <f>AVERAGE(L694:L697)</f>
        <v>0</v>
      </c>
      <c r="M698" s="12"/>
      <c r="N698" s="14">
        <f>AVERAGE(N694:N697)</f>
        <v>22.287833481863338</v>
      </c>
      <c r="O698" s="12">
        <f>AVERAGE(O694:O697)</f>
        <v>38.675116287056582</v>
      </c>
      <c r="P698" s="11">
        <f>AVERAGE(P694:P697)</f>
        <v>9.3385617639348979</v>
      </c>
      <c r="Q698" s="11">
        <f>AVERAGE(Q694:Q697)</f>
        <v>36.679007947664665</v>
      </c>
      <c r="R698" s="11">
        <f>AVERAGE(R694:R697)</f>
        <v>0.16233766233766234</v>
      </c>
      <c r="S698" s="15"/>
      <c r="T698" s="14">
        <f>AVERAGE(T694:T697)</f>
        <v>16.227678571428569</v>
      </c>
      <c r="U698" s="12">
        <f>AVERAGE(U694:U697)</f>
        <v>38.537946428571431</v>
      </c>
      <c r="V698" s="11">
        <f>AVERAGE(V694:V697)</f>
        <v>17.868303571428573</v>
      </c>
      <c r="W698" s="11">
        <f>AVERAGE(W694:W697)</f>
        <v>32.600446428571431</v>
      </c>
      <c r="X698" s="11">
        <f>AVERAGE(X694:X697)</f>
        <v>0.390625</v>
      </c>
      <c r="Y698" s="15"/>
      <c r="Z698" s="8">
        <f>AVERAGE(B698,H698,N698,T698)</f>
        <v>19.657600024384244</v>
      </c>
      <c r="AA698" s="8">
        <f>AVERAGE(C698,I698,O698,U698)</f>
        <v>41.901124697673765</v>
      </c>
      <c r="AB698" s="8">
        <f>AVERAGE(D698,J698,P698,V698)</f>
        <v>15.127504565671455</v>
      </c>
      <c r="AC698" s="8">
        <f>AVERAGE(E698,K698,Q698,W698)</f>
        <v>28.651124901434347</v>
      </c>
      <c r="AD698" s="8">
        <f>AVERAGE(F698,L698,R698,X698)</f>
        <v>0.13824066558441558</v>
      </c>
    </row>
    <row r="701" spans="1:30" ht="15" customHeight="1" x14ac:dyDescent="0.2">
      <c r="A701" s="31" t="s">
        <v>161</v>
      </c>
      <c r="B701" s="32" t="s">
        <v>53</v>
      </c>
      <c r="C701" s="32"/>
      <c r="D701" s="32"/>
      <c r="E701" s="32"/>
      <c r="F701" s="32"/>
      <c r="G701" s="4" t="s">
        <v>64</v>
      </c>
      <c r="H701" s="32" t="s">
        <v>54</v>
      </c>
      <c r="I701" s="32"/>
      <c r="J701" s="32"/>
      <c r="K701" s="32"/>
      <c r="L701" s="32"/>
      <c r="M701" s="4" t="s">
        <v>64</v>
      </c>
      <c r="N701" s="32" t="s">
        <v>55</v>
      </c>
      <c r="O701" s="32"/>
      <c r="P701" s="32"/>
      <c r="Q701" s="32"/>
      <c r="R701" s="32"/>
      <c r="S701" s="4" t="s">
        <v>64</v>
      </c>
      <c r="T701" s="32" t="s">
        <v>56</v>
      </c>
      <c r="U701" s="32"/>
      <c r="V701" s="32"/>
      <c r="W701" s="32"/>
      <c r="X701" s="32"/>
      <c r="Y701" s="4" t="s">
        <v>64</v>
      </c>
    </row>
    <row r="702" spans="1:30" x14ac:dyDescent="0.2">
      <c r="A702" s="32"/>
      <c r="B702" s="4" t="s">
        <v>20</v>
      </c>
      <c r="C702" s="4" t="s">
        <v>21</v>
      </c>
      <c r="D702" s="4" t="s">
        <v>60</v>
      </c>
      <c r="E702" s="4" t="s">
        <v>61</v>
      </c>
      <c r="F702" s="4" t="s">
        <v>62</v>
      </c>
      <c r="G702" s="4"/>
      <c r="H702" s="4" t="s">
        <v>20</v>
      </c>
      <c r="I702" s="4" t="s">
        <v>21</v>
      </c>
      <c r="J702" s="4" t="s">
        <v>60</v>
      </c>
      <c r="K702" s="4" t="s">
        <v>61</v>
      </c>
      <c r="L702" s="4" t="s">
        <v>62</v>
      </c>
      <c r="M702" s="4"/>
      <c r="N702" s="4" t="s">
        <v>20</v>
      </c>
      <c r="O702" s="4" t="s">
        <v>21</v>
      </c>
      <c r="P702" s="4" t="s">
        <v>60</v>
      </c>
      <c r="Q702" s="4" t="s">
        <v>61</v>
      </c>
      <c r="R702" s="4" t="s">
        <v>62</v>
      </c>
      <c r="S702" s="4"/>
      <c r="T702" s="4" t="s">
        <v>20</v>
      </c>
      <c r="U702" s="4" t="s">
        <v>21</v>
      </c>
      <c r="V702" s="4" t="s">
        <v>60</v>
      </c>
      <c r="W702" s="4" t="s">
        <v>61</v>
      </c>
      <c r="X702" s="4" t="s">
        <v>62</v>
      </c>
      <c r="Y702" s="4"/>
    </row>
    <row r="703" spans="1:30" x14ac:dyDescent="0.2">
      <c r="A703" s="5" t="s">
        <v>57</v>
      </c>
      <c r="B703" s="8">
        <f>$K$87/$M$87*100</f>
        <v>9.67741935483871</v>
      </c>
      <c r="C703" s="8">
        <f>$K$88/$M$88*100</f>
        <v>10.483870967741936</v>
      </c>
      <c r="D703" s="8">
        <f>$K$89/$M$89*100</f>
        <v>5.6451612903225801</v>
      </c>
      <c r="E703" s="8">
        <f>$K$90/$M$90*100</f>
        <v>1.2096774193548387</v>
      </c>
      <c r="F703" s="8">
        <f>$K$91/$M$91*100</f>
        <v>0</v>
      </c>
      <c r="G703" s="8">
        <f>SUM(B703:F703)</f>
        <v>27.016129032258068</v>
      </c>
      <c r="H703" s="8">
        <f>$K$167/$M$167*100</f>
        <v>25</v>
      </c>
      <c r="I703" s="8">
        <f>$K$168/$M$168*100</f>
        <v>0</v>
      </c>
      <c r="J703" s="8">
        <f>$K$169/$M$169*100</f>
        <v>6.25</v>
      </c>
      <c r="K703" s="8">
        <f>$K$170/$M$170*100</f>
        <v>0</v>
      </c>
      <c r="L703" s="8">
        <f>$K$171/$M$171*100</f>
        <v>0</v>
      </c>
      <c r="M703" s="8">
        <f>SUM(H703:L703)</f>
        <v>31.25</v>
      </c>
      <c r="N703" s="8">
        <f>$K$247/$M$247*100</f>
        <v>32.183908045977013</v>
      </c>
      <c r="O703" s="8">
        <f>$K$248/$M$248*100</f>
        <v>4.980842911877394</v>
      </c>
      <c r="P703" s="8">
        <f>$K$249/$M$249*100</f>
        <v>3.4482758620689653</v>
      </c>
      <c r="Q703" s="8">
        <f>$K$250/$M$250*100</f>
        <v>1.5325670498084289</v>
      </c>
      <c r="R703" s="8">
        <f>$K$251/$M$251*100</f>
        <v>0</v>
      </c>
      <c r="S703" s="8">
        <f>SUM(N703:R703)</f>
        <v>42.145593869731805</v>
      </c>
      <c r="T703" s="8">
        <f>$K$7/$M$7*100</f>
        <v>64.615384615384613</v>
      </c>
      <c r="U703" s="8">
        <f>$K$8/$M$8*100</f>
        <v>12.307692307692308</v>
      </c>
      <c r="V703" s="8">
        <f>$K$9/$M$9*100</f>
        <v>20</v>
      </c>
      <c r="W703" s="8">
        <f>$K$10/$M$10*100</f>
        <v>0</v>
      </c>
      <c r="X703" s="8">
        <f>$K$11/$M$11*100</f>
        <v>0</v>
      </c>
      <c r="Y703" s="8">
        <f>SUM(T703:X703)</f>
        <v>96.92307692307692</v>
      </c>
    </row>
    <row r="704" spans="1:30" x14ac:dyDescent="0.2">
      <c r="A704" s="5" t="s">
        <v>58</v>
      </c>
      <c r="B704" s="8">
        <f>$K$107/$M$107*100</f>
        <v>14.97005988023952</v>
      </c>
      <c r="C704" s="8">
        <f>$K$108/$M$108*100</f>
        <v>10.179640718562874</v>
      </c>
      <c r="D704" s="8">
        <f>$K$109/$M$109*100</f>
        <v>5.9880239520958085</v>
      </c>
      <c r="E704" s="8">
        <f>$K$110/$M$110*100</f>
        <v>3.5928143712574849</v>
      </c>
      <c r="F704" s="8">
        <f>$K$111/$M$111*100</f>
        <v>0</v>
      </c>
      <c r="G704" s="8">
        <f>SUM(B705:F705)</f>
        <v>37.5</v>
      </c>
      <c r="H704" s="8">
        <f>$K$187/$M$187*100</f>
        <v>11.76470588235294</v>
      </c>
      <c r="I704" s="8">
        <f>$K$188/$M$188*100</f>
        <v>11.76470588235294</v>
      </c>
      <c r="J704" s="8">
        <f>$K$189/$M$189*100</f>
        <v>0</v>
      </c>
      <c r="K704" s="8">
        <f>$K$190/$M$190*100</f>
        <v>0</v>
      </c>
      <c r="L704" s="8">
        <f>$K$191/$M$191*100</f>
        <v>0</v>
      </c>
      <c r="M704" s="8">
        <f>SUM(H705:L705)</f>
        <v>66.666666666666657</v>
      </c>
      <c r="N704" s="8">
        <f>$K$267/$M$267*100</f>
        <v>11.855670103092782</v>
      </c>
      <c r="O704" s="8">
        <f>$K$268/$M$268*100</f>
        <v>17.525773195876287</v>
      </c>
      <c r="P704" s="8">
        <f>$K$269/$M$269*100</f>
        <v>7.731958762886598</v>
      </c>
      <c r="Q704" s="8">
        <f>$K$270/$M$270*100</f>
        <v>9.7938144329896915</v>
      </c>
      <c r="R704" s="8">
        <f>$K$271/$M$271*100</f>
        <v>0</v>
      </c>
      <c r="S704" s="8">
        <f>SUM(N705:R705)</f>
        <v>71.014492753623188</v>
      </c>
      <c r="T704" s="8">
        <f>$K$27/$M$27*100</f>
        <v>10.344827586206897</v>
      </c>
      <c r="U704" s="8">
        <f>$K$28/$M$28*100</f>
        <v>10.344827586206897</v>
      </c>
      <c r="V704" s="8">
        <f>$K$29/$M$29*100</f>
        <v>6.8965517241379306</v>
      </c>
      <c r="W704" s="8">
        <f>$K$30/$M$30*100</f>
        <v>10.344827586206897</v>
      </c>
      <c r="X704" s="8">
        <f>$K$31/$M$31*100</f>
        <v>0</v>
      </c>
      <c r="Y704" s="8">
        <f>SUM(T705:X705)</f>
        <v>47.61904761904762</v>
      </c>
    </row>
    <row r="705" spans="1:30" x14ac:dyDescent="0.2">
      <c r="A705" s="5" t="s">
        <v>142</v>
      </c>
      <c r="B705" s="8">
        <f>$K$127/$M$127*100</f>
        <v>23.214285714285715</v>
      </c>
      <c r="C705" s="8">
        <f>$K$128/$M$128*100</f>
        <v>7.1428571428571423</v>
      </c>
      <c r="D705" s="8">
        <f>$K$129/$M$129*100</f>
        <v>5.3571428571428568</v>
      </c>
      <c r="E705" s="8">
        <f>$K$130/$M$130*100</f>
        <v>1.7857142857142856</v>
      </c>
      <c r="F705" s="8">
        <f>$K$131/$M$131*100</f>
        <v>0</v>
      </c>
      <c r="G705" s="8">
        <f>SUM(B705:F705)</f>
        <v>37.5</v>
      </c>
      <c r="H705" s="8">
        <f>$K$207/$M$207*100</f>
        <v>33.333333333333329</v>
      </c>
      <c r="I705" s="8">
        <f>$K$208/$M$208*100</f>
        <v>0</v>
      </c>
      <c r="J705" s="8">
        <f>$K$209/$M$209*100</f>
        <v>33.333333333333329</v>
      </c>
      <c r="K705" s="8">
        <f>$K$210/$M$210*100</f>
        <v>0</v>
      </c>
      <c r="L705" s="8">
        <f>$K$211/$M$211*100</f>
        <v>0</v>
      </c>
      <c r="M705" s="8">
        <f>SUM(H705:L705)</f>
        <v>66.666666666666657</v>
      </c>
      <c r="N705" s="8">
        <f>$K$287/$M$287*100</f>
        <v>46.376811594202898</v>
      </c>
      <c r="O705" s="8">
        <f>$K$288/$M$288*100</f>
        <v>13.043478260869565</v>
      </c>
      <c r="P705" s="8">
        <f>$K$289/$M$289*100</f>
        <v>4.3478260869565215</v>
      </c>
      <c r="Q705" s="8">
        <f>$K$290/$M$290*100</f>
        <v>7.2463768115942031</v>
      </c>
      <c r="R705" s="8">
        <f>$K$291/$M$291*100</f>
        <v>0</v>
      </c>
      <c r="S705" s="8">
        <f>SUM(N705:R705)</f>
        <v>71.014492753623188</v>
      </c>
      <c r="T705" s="8">
        <f>$K$47/$M$47*100</f>
        <v>35.714285714285715</v>
      </c>
      <c r="U705" s="8">
        <f>$K$48/$M$48*100</f>
        <v>4.7619047619047619</v>
      </c>
      <c r="V705" s="8">
        <f>$K$49/$M$49*100</f>
        <v>0</v>
      </c>
      <c r="W705" s="8">
        <f>$K$50/$M$50*100</f>
        <v>7.1428571428571423</v>
      </c>
      <c r="X705" s="8">
        <f>$K$51/$M$51*100</f>
        <v>0</v>
      </c>
      <c r="Y705" s="8">
        <f>SUM(T705:X705)</f>
        <v>47.61904761904762</v>
      </c>
    </row>
    <row r="706" spans="1:30" ht="16" thickBot="1" x14ac:dyDescent="0.25">
      <c r="A706" s="9" t="s">
        <v>59</v>
      </c>
      <c r="B706" s="8">
        <f>$K$147/$M$147*100</f>
        <v>8.9456869009584654</v>
      </c>
      <c r="C706" s="8">
        <f>$K$148/$M$148*100</f>
        <v>2.8753993610223643</v>
      </c>
      <c r="D706" s="8">
        <f>$K$149/$M$149*100</f>
        <v>2.8753993610223643</v>
      </c>
      <c r="E706" s="8">
        <f>$K$150/$M$150*100</f>
        <v>0.63897763578274758</v>
      </c>
      <c r="F706" s="8">
        <f>$K$151/$M$151*100</f>
        <v>0</v>
      </c>
      <c r="G706" s="8">
        <f>SUM(B706:F706)</f>
        <v>15.335463258785941</v>
      </c>
      <c r="H706" s="8">
        <f>$K$227/$M$227*100</f>
        <v>20</v>
      </c>
      <c r="I706" s="8">
        <f>$K$228/$M$228*100</f>
        <v>10</v>
      </c>
      <c r="J706" s="8">
        <f>$K$229/$M$229*100</f>
        <v>20</v>
      </c>
      <c r="K706" s="8">
        <f>$K$230/$M$230*100</f>
        <v>10</v>
      </c>
      <c r="L706" s="8">
        <f>$K$231/$M$231*100</f>
        <v>0</v>
      </c>
      <c r="M706" s="8">
        <f>SUM(H706:L706)</f>
        <v>60</v>
      </c>
      <c r="N706" s="8">
        <f>$K$307/$M$307*100</f>
        <v>28.888888888888886</v>
      </c>
      <c r="O706" s="8">
        <f>$K$308/$M$308*100</f>
        <v>4.4444444444444446</v>
      </c>
      <c r="P706" s="8">
        <f>$K$309/$M$309*100</f>
        <v>0</v>
      </c>
      <c r="Q706" s="8">
        <f>$K$310/$M$310*100</f>
        <v>3.7037037037037033</v>
      </c>
      <c r="R706" s="8">
        <f>$K$311/$M$311*100</f>
        <v>0</v>
      </c>
      <c r="S706" s="8">
        <f>SUM(N706:R706)</f>
        <v>37.037037037037031</v>
      </c>
      <c r="T706" s="8">
        <f>$K$67/$M$67*100</f>
        <v>15.068493150684931</v>
      </c>
      <c r="U706" s="8">
        <f>$K$68/$M$68*100</f>
        <v>2.7397260273972601</v>
      </c>
      <c r="V706" s="8">
        <f>$K$69/$M$69*100</f>
        <v>2.7397260273972601</v>
      </c>
      <c r="W706" s="8">
        <f>$K$70/$M$70*100</f>
        <v>2.7397260273972601</v>
      </c>
      <c r="X706" s="8">
        <f>$K$71/$M$71*100</f>
        <v>0</v>
      </c>
      <c r="Y706" s="8">
        <f>SUM(T706:X706)</f>
        <v>23.287671232876711</v>
      </c>
    </row>
    <row r="707" spans="1:30" x14ac:dyDescent="0.2">
      <c r="A707" s="10" t="s">
        <v>50</v>
      </c>
      <c r="B707" s="12">
        <f>AVERAGE(B703:B706)</f>
        <v>14.201862962580602</v>
      </c>
      <c r="C707" s="12">
        <f>AVERAGE(C703:C706)</f>
        <v>7.6704420475460786</v>
      </c>
      <c r="D707" s="11">
        <f>AVERAGE(D703:D706)</f>
        <v>4.9664318651459025</v>
      </c>
      <c r="E707" s="11">
        <f>AVERAGE(E703:E706)</f>
        <v>1.8067959280273393</v>
      </c>
      <c r="F707" s="11">
        <f>AVERAGE(F703:F706)</f>
        <v>0</v>
      </c>
      <c r="G707" s="12"/>
      <c r="H707" s="11">
        <f>AVERAGE(H703:H706)</f>
        <v>22.524509803921568</v>
      </c>
      <c r="I707" s="13">
        <f>AVERAGE(I703:I706)</f>
        <v>5.4411764705882355</v>
      </c>
      <c r="J707" s="14">
        <f>AVERAGE(J703:J706)</f>
        <v>14.895833333333332</v>
      </c>
      <c r="K707" s="14">
        <f>AVERAGE(K703:K706)</f>
        <v>2.5</v>
      </c>
      <c r="L707" s="14">
        <f>AVERAGE(L703:L706)</f>
        <v>0</v>
      </c>
      <c r="M707" s="12"/>
      <c r="N707" s="14">
        <f>AVERAGE(N703:N706)</f>
        <v>29.826319658040397</v>
      </c>
      <c r="O707" s="12">
        <f>AVERAGE(O703:O706)</f>
        <v>9.9986347032669212</v>
      </c>
      <c r="P707" s="11">
        <f>AVERAGE(P703:P706)</f>
        <v>3.8820151779780212</v>
      </c>
      <c r="Q707" s="11">
        <f>AVERAGE(Q703:Q706)</f>
        <v>5.5691154995240062</v>
      </c>
      <c r="R707" s="11">
        <f>AVERAGE(R703:R706)</f>
        <v>0</v>
      </c>
      <c r="S707" s="15"/>
      <c r="T707" s="14">
        <f>AVERAGE(T703:T706)</f>
        <v>31.435747766640539</v>
      </c>
      <c r="U707" s="12">
        <f>AVERAGE(U703:U706)</f>
        <v>7.5385376708003067</v>
      </c>
      <c r="V707" s="11">
        <f>AVERAGE(V703:V706)</f>
        <v>7.4090694378837973</v>
      </c>
      <c r="W707" s="11">
        <f>AVERAGE(W703:W706)</f>
        <v>5.0568526891153249</v>
      </c>
      <c r="X707" s="11">
        <f>AVERAGE(X703:X706)</f>
        <v>0</v>
      </c>
      <c r="Y707" s="15"/>
      <c r="Z707" s="8">
        <f>AVERAGE(B707,H707,N707,T707)</f>
        <v>24.497110047795772</v>
      </c>
      <c r="AA707" s="8">
        <f>AVERAGE(C707,I707,O707,U707)</f>
        <v>7.6621977230503857</v>
      </c>
      <c r="AB707" s="8">
        <f>AVERAGE(D707,J707,P707,V707)</f>
        <v>7.7883374535852639</v>
      </c>
      <c r="AC707" s="8">
        <f>AVERAGE(E707,K707,Q707,W707)</f>
        <v>3.7331910291666679</v>
      </c>
      <c r="AD707" s="8">
        <f>AVERAGE(F707,L707,R707,X707)</f>
        <v>0</v>
      </c>
    </row>
    <row r="710" spans="1:30" ht="15" customHeight="1" x14ac:dyDescent="0.2">
      <c r="A710" s="31" t="s">
        <v>162</v>
      </c>
      <c r="B710" s="32" t="s">
        <v>53</v>
      </c>
      <c r="C710" s="32"/>
      <c r="D710" s="32"/>
      <c r="E710" s="32"/>
      <c r="F710" s="32"/>
      <c r="G710" s="4" t="s">
        <v>64</v>
      </c>
      <c r="H710" s="32" t="s">
        <v>54</v>
      </c>
      <c r="I710" s="32"/>
      <c r="J710" s="32"/>
      <c r="K710" s="32"/>
      <c r="L710" s="32"/>
      <c r="M710" s="4" t="s">
        <v>64</v>
      </c>
      <c r="N710" s="32" t="s">
        <v>55</v>
      </c>
      <c r="O710" s="32"/>
      <c r="P710" s="32"/>
      <c r="Q710" s="32"/>
      <c r="R710" s="32"/>
      <c r="S710" s="4" t="s">
        <v>64</v>
      </c>
      <c r="T710" s="32" t="s">
        <v>56</v>
      </c>
      <c r="U710" s="32"/>
      <c r="V710" s="32"/>
      <c r="W710" s="32"/>
      <c r="X710" s="32"/>
      <c r="Y710" s="4" t="s">
        <v>64</v>
      </c>
    </row>
    <row r="711" spans="1:30" x14ac:dyDescent="0.2">
      <c r="A711" s="32"/>
      <c r="B711" s="4" t="s">
        <v>20</v>
      </c>
      <c r="C711" s="4" t="s">
        <v>21</v>
      </c>
      <c r="D711" s="4" t="s">
        <v>60</v>
      </c>
      <c r="E711" s="4" t="s">
        <v>61</v>
      </c>
      <c r="F711" s="4" t="s">
        <v>62</v>
      </c>
      <c r="G711" s="4"/>
      <c r="H711" s="4" t="s">
        <v>20</v>
      </c>
      <c r="I711" s="4" t="s">
        <v>21</v>
      </c>
      <c r="J711" s="4" t="s">
        <v>60</v>
      </c>
      <c r="K711" s="4" t="s">
        <v>61</v>
      </c>
      <c r="L711" s="4" t="s">
        <v>62</v>
      </c>
      <c r="M711" s="4"/>
      <c r="N711" s="4" t="s">
        <v>20</v>
      </c>
      <c r="O711" s="4" t="s">
        <v>21</v>
      </c>
      <c r="P711" s="4" t="s">
        <v>60</v>
      </c>
      <c r="Q711" s="4" t="s">
        <v>61</v>
      </c>
      <c r="R711" s="4" t="s">
        <v>62</v>
      </c>
      <c r="S711" s="4"/>
      <c r="T711" s="4" t="s">
        <v>20</v>
      </c>
      <c r="U711" s="4" t="s">
        <v>21</v>
      </c>
      <c r="V711" s="4" t="s">
        <v>60</v>
      </c>
      <c r="W711" s="4" t="s">
        <v>61</v>
      </c>
      <c r="X711" s="4" t="s">
        <v>62</v>
      </c>
      <c r="Y711" s="4"/>
    </row>
    <row r="712" spans="1:30" x14ac:dyDescent="0.2">
      <c r="A712" s="5" t="s">
        <v>57</v>
      </c>
      <c r="B712" s="8">
        <f>$K$92/$M$92*100</f>
        <v>7.328605200945626</v>
      </c>
      <c r="C712" s="8">
        <f>$K$93/$M$93*100</f>
        <v>8.2742316784869967</v>
      </c>
      <c r="D712" s="8">
        <f>$K$94/$M$94*100</f>
        <v>4.0189125295508275</v>
      </c>
      <c r="E712" s="8">
        <f>$K$95/$M$95*100</f>
        <v>3.0732860520094563</v>
      </c>
      <c r="F712" s="8">
        <f>$K$96/$M$96*100</f>
        <v>0</v>
      </c>
      <c r="G712" s="8">
        <f>SUM(B712:F712)</f>
        <v>22.695035460992909</v>
      </c>
      <c r="H712" s="8">
        <f>$K$172/$M$172*100</f>
        <v>16.949152542372879</v>
      </c>
      <c r="I712" s="8">
        <f>$K$173/$M$173*100</f>
        <v>20.33898305084746</v>
      </c>
      <c r="J712" s="8">
        <f>$K$174/$M$174*100</f>
        <v>11.864406779661017</v>
      </c>
      <c r="K712" s="8">
        <f>$K$175/$M$175*100</f>
        <v>5.0847457627118651</v>
      </c>
      <c r="L712" s="8">
        <f>$K$176/$M$176*100</f>
        <v>0</v>
      </c>
      <c r="M712" s="8">
        <f>SUM(H712:L712)</f>
        <v>54.237288135593218</v>
      </c>
      <c r="N712" s="8">
        <f>$K$252/$M$252*100</f>
        <v>28.030303030303028</v>
      </c>
      <c r="O712" s="8">
        <f>$K$253/$M$253*100</f>
        <v>22.727272727272727</v>
      </c>
      <c r="P712" s="8">
        <f>$K$254/$M$254*100</f>
        <v>1.5151515151515151</v>
      </c>
      <c r="Q712" s="8">
        <f>$K$255/$M$255*100</f>
        <v>3.7878787878787881</v>
      </c>
      <c r="R712" s="8">
        <f>$K$256/$M$256*100</f>
        <v>0</v>
      </c>
      <c r="S712" s="8">
        <f>SUM(N712:R712)</f>
        <v>56.060606060606055</v>
      </c>
      <c r="T712" s="8">
        <f>$K$12/$M$12*100</f>
        <v>35.849056603773583</v>
      </c>
      <c r="U712" s="8">
        <f>$K$13/$M$13*100</f>
        <v>43.39622641509434</v>
      </c>
      <c r="V712" s="8">
        <f>$K$14/$M$14*100</f>
        <v>7.5471698113207548</v>
      </c>
      <c r="W712" s="8">
        <f>$K$15/$M$15*100</f>
        <v>5.6603773584905666</v>
      </c>
      <c r="X712" s="8">
        <f>$K$16/$M$16*100</f>
        <v>0</v>
      </c>
      <c r="Y712" s="8">
        <f>SUM(T712:X712)</f>
        <v>92.452830188679243</v>
      </c>
    </row>
    <row r="713" spans="1:30" x14ac:dyDescent="0.2">
      <c r="A713" s="5" t="s">
        <v>58</v>
      </c>
      <c r="B713" s="8">
        <f>$K$112/$M$112*100</f>
        <v>5.6737588652482271</v>
      </c>
      <c r="C713" s="8">
        <f>$K$113/$M$113*100</f>
        <v>7.8014184397163122</v>
      </c>
      <c r="D713" s="8">
        <f>$K$114/$M$114*100</f>
        <v>11.347517730496454</v>
      </c>
      <c r="E713" s="8">
        <f>$K$115/$M$115*100</f>
        <v>7.8014184397163122</v>
      </c>
      <c r="F713" s="8">
        <f>$K$116/$M$116*100</f>
        <v>0</v>
      </c>
      <c r="G713" s="8">
        <f>SUM(B713:F713)</f>
        <v>32.62411347517731</v>
      </c>
      <c r="H713" s="8">
        <f>$K$192/$M$192*100</f>
        <v>8</v>
      </c>
      <c r="I713" s="8">
        <f>$K$193/$M$193*100</f>
        <v>16</v>
      </c>
      <c r="J713" s="8">
        <f>$K$194/$M$194*100</f>
        <v>8</v>
      </c>
      <c r="K713" s="8">
        <f>$K$195/$M$195*100</f>
        <v>0</v>
      </c>
      <c r="L713" s="8">
        <f>$K$196/$M$196*100</f>
        <v>0</v>
      </c>
      <c r="M713" s="8">
        <f>SUM(H713:L713)</f>
        <v>32</v>
      </c>
      <c r="N713" s="8">
        <f>$K$272/$M$272*100</f>
        <v>9.3406593406593412</v>
      </c>
      <c r="O713" s="8">
        <f>$K$273/$M$273*100</f>
        <v>14.835164835164836</v>
      </c>
      <c r="P713" s="8">
        <f>$K$274/$M$274*100</f>
        <v>4.9450549450549453</v>
      </c>
      <c r="Q713" s="8">
        <f>$K$275/$M$275*100</f>
        <v>10.989010989010989</v>
      </c>
      <c r="R713" s="8">
        <f>$K$276/$M$276*100</f>
        <v>0</v>
      </c>
      <c r="S713" s="8">
        <f>SUM(N713:R713)</f>
        <v>40.109890109890109</v>
      </c>
      <c r="T713" s="8">
        <f>$K$32/$M$32*100</f>
        <v>15.789473684210526</v>
      </c>
      <c r="U713" s="8">
        <f>$K$33/$M$33*100</f>
        <v>15.789473684210526</v>
      </c>
      <c r="V713" s="8">
        <f>$K$34/$M$34*100</f>
        <v>0</v>
      </c>
      <c r="W713" s="8">
        <f>$K$35/$M$35*100</f>
        <v>36.84210526315789</v>
      </c>
      <c r="X713" s="8">
        <f>$K$36/$M$36*100</f>
        <v>0</v>
      </c>
      <c r="Y713" s="8">
        <f>SUM(T713:X713)</f>
        <v>68.421052631578945</v>
      </c>
    </row>
    <row r="714" spans="1:30" x14ac:dyDescent="0.2">
      <c r="A714" s="5" t="s">
        <v>142</v>
      </c>
      <c r="B714" s="8">
        <f>$K$132/$M$132*100</f>
        <v>8.3333333333333321</v>
      </c>
      <c r="C714" s="8">
        <f>$K$133/$M$133*100</f>
        <v>19.444444444444446</v>
      </c>
      <c r="D714" s="8">
        <f>$K$134/$M$134*100</f>
        <v>16.666666666666664</v>
      </c>
      <c r="E714" s="8">
        <f>$K$135/$M$135*100</f>
        <v>2.7777777777777777</v>
      </c>
      <c r="F714" s="8">
        <f>$K$136/$M$136*100</f>
        <v>0</v>
      </c>
      <c r="G714" s="8">
        <f>SUM(B714:F714)</f>
        <v>47.222222222222221</v>
      </c>
      <c r="H714" s="8">
        <f>$K$212/$M$212*100</f>
        <v>8.3333333333333321</v>
      </c>
      <c r="I714" s="8">
        <f>$K$213/$M$213*100</f>
        <v>41.666666666666671</v>
      </c>
      <c r="J714" s="8">
        <f>$K$214/$M$214*100</f>
        <v>16.666666666666664</v>
      </c>
      <c r="K714" s="8">
        <f>$K$215/$M$215*100</f>
        <v>0</v>
      </c>
      <c r="L714" s="8">
        <f>$K$216/$M$216*100</f>
        <v>0</v>
      </c>
      <c r="M714" s="8">
        <f>SUM(H714:L714)</f>
        <v>66.666666666666657</v>
      </c>
      <c r="N714" s="8">
        <f>$K$292/$M$292*100</f>
        <v>26.086956521739129</v>
      </c>
      <c r="O714" s="8">
        <f>$K$293/$M$293*100</f>
        <v>30.434782608695656</v>
      </c>
      <c r="P714" s="8">
        <f>$K$294/$M$294*100</f>
        <v>14.492753623188406</v>
      </c>
      <c r="Q714" s="8">
        <f>$K$295/$M$295*100</f>
        <v>7.2463768115942031</v>
      </c>
      <c r="R714" s="8">
        <f>$K$296/$M$296*100</f>
        <v>0</v>
      </c>
      <c r="S714" s="8">
        <f>SUM(N714:R714)</f>
        <v>78.260869565217391</v>
      </c>
      <c r="T714" s="8">
        <f>$K$52/$M$52*100</f>
        <v>11.111111111111111</v>
      </c>
      <c r="U714" s="8">
        <f>$K$53/$M$53*100</f>
        <v>27.777777777777779</v>
      </c>
      <c r="V714" s="8">
        <f>$K$54/$M$54*100</f>
        <v>5.5555555555555554</v>
      </c>
      <c r="W714" s="8">
        <f>$K$55/$M$55*100</f>
        <v>16.666666666666664</v>
      </c>
      <c r="X714" s="8">
        <f>$K$56/$M$56*100</f>
        <v>0</v>
      </c>
      <c r="Y714" s="8">
        <f>SUM(T714:X714)</f>
        <v>61.111111111111107</v>
      </c>
    </row>
    <row r="715" spans="1:30" ht="16" thickBot="1" x14ac:dyDescent="0.25">
      <c r="A715" s="9" t="s">
        <v>59</v>
      </c>
      <c r="B715" s="8">
        <f>$K$152/$M$152*100</f>
        <v>4.2763157894736841</v>
      </c>
      <c r="C715" s="8">
        <f>$K$153/$M$153*100</f>
        <v>9.2105263157894726</v>
      </c>
      <c r="D715" s="8">
        <f>$K$154/$M$154*100</f>
        <v>2.9605263157894735</v>
      </c>
      <c r="E715" s="8">
        <f>$K$155/$M$155*100</f>
        <v>3.6184210526315792</v>
      </c>
      <c r="F715" s="8">
        <f>$K$156/$M$156*100</f>
        <v>0</v>
      </c>
      <c r="G715" s="8">
        <f>SUM(B715:F715)</f>
        <v>20.065789473684209</v>
      </c>
      <c r="H715" s="8">
        <f>$K$232/$M$232*100</f>
        <v>0</v>
      </c>
      <c r="I715" s="8">
        <f>$K$233/$M$233*100</f>
        <v>25</v>
      </c>
      <c r="J715" s="8">
        <f>$K$234/$M$234*100</f>
        <v>18.75</v>
      </c>
      <c r="K715" s="8">
        <f>$K$235/$M$235*100</f>
        <v>6.25</v>
      </c>
      <c r="L715" s="8">
        <f>$K$236/$M$236*100</f>
        <v>0</v>
      </c>
      <c r="M715" s="8">
        <f>SUM(H715:L715)</f>
        <v>50</v>
      </c>
      <c r="N715" s="8">
        <f>$K$312/$M$312*100</f>
        <v>2.8571428571428572</v>
      </c>
      <c r="O715" s="8">
        <f>$K$313/$M$313*100</f>
        <v>22.857142857142858</v>
      </c>
      <c r="P715" s="8">
        <f>$K$314/$M$314*100</f>
        <v>7.1428571428571423</v>
      </c>
      <c r="Q715" s="8">
        <f>$K$315/$M$315*100</f>
        <v>5.7142857142857144</v>
      </c>
      <c r="R715" s="8">
        <f>$K$316/$M$316*100</f>
        <v>0</v>
      </c>
      <c r="S715" s="8">
        <f>SUM(N715:R715)</f>
        <v>38.571428571428577</v>
      </c>
      <c r="T715" s="8">
        <f>$K$72/$M$72*100</f>
        <v>3.3898305084745761</v>
      </c>
      <c r="U715" s="8">
        <f>$K$73/$M$73*100</f>
        <v>5.0847457627118651</v>
      </c>
      <c r="V715" s="8">
        <f>$K$74/$M$74*100</f>
        <v>1.6949152542372881</v>
      </c>
      <c r="W715" s="8">
        <f>$K$75/$M$75*100</f>
        <v>5.0847457627118651</v>
      </c>
      <c r="X715" s="8">
        <f>$K$76/$M$76*100</f>
        <v>0</v>
      </c>
      <c r="Y715" s="8">
        <f>SUM(T715:X715)</f>
        <v>15.254237288135595</v>
      </c>
    </row>
    <row r="716" spans="1:30" x14ac:dyDescent="0.2">
      <c r="A716" s="10" t="s">
        <v>50</v>
      </c>
      <c r="B716" s="12">
        <f>AVERAGE(B712:B715)</f>
        <v>6.4030032972502173</v>
      </c>
      <c r="C716" s="12">
        <f>AVERAGE(C712:C715)</f>
        <v>11.182655219609307</v>
      </c>
      <c r="D716" s="11">
        <f>AVERAGE(D712:D715)</f>
        <v>8.7484058106258544</v>
      </c>
      <c r="E716" s="11">
        <f>AVERAGE(E712:E715)</f>
        <v>4.3177258305337816</v>
      </c>
      <c r="F716" s="11">
        <f>AVERAGE(F712:F715)</f>
        <v>0</v>
      </c>
      <c r="G716" s="12"/>
      <c r="H716" s="11">
        <f>AVERAGE(H712:H715)</f>
        <v>8.3206214689265536</v>
      </c>
      <c r="I716" s="13">
        <f>AVERAGE(I712:I715)</f>
        <v>25.751412429378533</v>
      </c>
      <c r="J716" s="14">
        <f>AVERAGE(J712:J715)</f>
        <v>13.82026836158192</v>
      </c>
      <c r="K716" s="14">
        <f>AVERAGE(K712:K715)</f>
        <v>2.8336864406779663</v>
      </c>
      <c r="L716" s="14">
        <f>AVERAGE(L712:L715)</f>
        <v>0</v>
      </c>
      <c r="M716" s="12"/>
      <c r="N716" s="14">
        <f>AVERAGE(N712:N715)</f>
        <v>16.57876543746109</v>
      </c>
      <c r="O716" s="12">
        <f>AVERAGE(O712:O715)</f>
        <v>22.713590757069021</v>
      </c>
      <c r="P716" s="11">
        <f>AVERAGE(P712:P715)</f>
        <v>7.0239543065630023</v>
      </c>
      <c r="Q716" s="11">
        <f>AVERAGE(Q712:Q715)</f>
        <v>6.9343880756924241</v>
      </c>
      <c r="R716" s="11">
        <f>AVERAGE(R712:R715)</f>
        <v>0</v>
      </c>
      <c r="S716" s="15"/>
      <c r="T716" s="14">
        <f>AVERAGE(T712:T715)</f>
        <v>16.53486797689245</v>
      </c>
      <c r="U716" s="12">
        <f>AVERAGE(U712:U715)</f>
        <v>23.012055909948629</v>
      </c>
      <c r="V716" s="11">
        <f>AVERAGE(V712:V715)</f>
        <v>3.6994101552783993</v>
      </c>
      <c r="W716" s="11">
        <f>AVERAGE(W712:W715)</f>
        <v>16.063473762756747</v>
      </c>
      <c r="X716" s="11">
        <f>AVERAGE(X712:X715)</f>
        <v>0</v>
      </c>
      <c r="Y716" s="15"/>
      <c r="Z716" s="8">
        <f>AVERAGE(B716,H716,N716,T716)</f>
        <v>11.959314545132578</v>
      </c>
      <c r="AA716" s="8">
        <f>AVERAGE(C716,I716,O716,U716)</f>
        <v>20.664928579001373</v>
      </c>
      <c r="AB716" s="8">
        <f>AVERAGE(D716,J716,P716,V716)</f>
        <v>8.3230096585122944</v>
      </c>
      <c r="AC716" s="8">
        <f>AVERAGE(E716,K716,Q716,W716)</f>
        <v>7.5373185274152297</v>
      </c>
      <c r="AD716" s="8">
        <f>AVERAGE(F716,L716,R716,X716)</f>
        <v>0</v>
      </c>
    </row>
    <row r="719" spans="1:30" ht="15" customHeight="1" x14ac:dyDescent="0.2">
      <c r="A719" s="31" t="s">
        <v>163</v>
      </c>
      <c r="B719" s="32" t="s">
        <v>53</v>
      </c>
      <c r="C719" s="32"/>
      <c r="D719" s="32"/>
      <c r="E719" s="32"/>
      <c r="F719" s="32"/>
      <c r="G719" s="4" t="s">
        <v>64</v>
      </c>
      <c r="H719" s="32" t="s">
        <v>54</v>
      </c>
      <c r="I719" s="32"/>
      <c r="J719" s="32"/>
      <c r="K719" s="32"/>
      <c r="L719" s="32"/>
      <c r="M719" s="4" t="s">
        <v>64</v>
      </c>
      <c r="N719" s="32" t="s">
        <v>55</v>
      </c>
      <c r="O719" s="32"/>
      <c r="P719" s="32"/>
      <c r="Q719" s="32"/>
      <c r="R719" s="32"/>
      <c r="S719" s="4" t="s">
        <v>64</v>
      </c>
      <c r="T719" s="32" t="s">
        <v>56</v>
      </c>
      <c r="U719" s="32"/>
      <c r="V719" s="32"/>
      <c r="W719" s="32"/>
      <c r="X719" s="32"/>
      <c r="Y719" s="4" t="s">
        <v>64</v>
      </c>
    </row>
    <row r="720" spans="1:30" x14ac:dyDescent="0.2">
      <c r="A720" s="32"/>
      <c r="B720" s="4" t="s">
        <v>20</v>
      </c>
      <c r="C720" s="4" t="s">
        <v>21</v>
      </c>
      <c r="D720" s="4" t="s">
        <v>60</v>
      </c>
      <c r="E720" s="4" t="s">
        <v>61</v>
      </c>
      <c r="F720" s="4" t="s">
        <v>62</v>
      </c>
      <c r="G720" s="4"/>
      <c r="H720" s="4" t="s">
        <v>20</v>
      </c>
      <c r="I720" s="4" t="s">
        <v>21</v>
      </c>
      <c r="J720" s="4" t="s">
        <v>60</v>
      </c>
      <c r="K720" s="4" t="s">
        <v>61</v>
      </c>
      <c r="L720" s="4" t="s">
        <v>62</v>
      </c>
      <c r="M720" s="4"/>
      <c r="N720" s="4" t="s">
        <v>20</v>
      </c>
      <c r="O720" s="4" t="s">
        <v>21</v>
      </c>
      <c r="P720" s="4" t="s">
        <v>60</v>
      </c>
      <c r="Q720" s="4" t="s">
        <v>61</v>
      </c>
      <c r="R720" s="4" t="s">
        <v>62</v>
      </c>
      <c r="S720" s="4"/>
      <c r="T720" s="4" t="s">
        <v>20</v>
      </c>
      <c r="U720" s="4" t="s">
        <v>21</v>
      </c>
      <c r="V720" s="4" t="s">
        <v>60</v>
      </c>
      <c r="W720" s="4" t="s">
        <v>61</v>
      </c>
      <c r="X720" s="4" t="s">
        <v>62</v>
      </c>
      <c r="Y720" s="4"/>
    </row>
    <row r="721" spans="1:30" x14ac:dyDescent="0.2">
      <c r="A721" s="5" t="s">
        <v>57</v>
      </c>
      <c r="B721" s="8">
        <f>$K$97/$M$97*100</f>
        <v>0.33840947546531303</v>
      </c>
      <c r="C721" s="8">
        <f>$K$98/$M$98*100</f>
        <v>12.521150592216582</v>
      </c>
      <c r="D721" s="8">
        <f>$K$99/$M$99*100</f>
        <v>1.1844331641285957</v>
      </c>
      <c r="E721" s="8">
        <f>$K$100/$M$100*100</f>
        <v>3.8917089678511001</v>
      </c>
      <c r="F721" s="8">
        <f>$K$101/$M$101*100</f>
        <v>0</v>
      </c>
      <c r="G721" s="8">
        <f>SUM(B721:F721)</f>
        <v>17.935702199661591</v>
      </c>
      <c r="H721" s="8">
        <f>$K$178/$M$178*100</f>
        <v>5.4054054054054053</v>
      </c>
      <c r="I721" s="8">
        <f>$K$178/$M$178*100</f>
        <v>5.4054054054054053</v>
      </c>
      <c r="J721" s="8">
        <f>$K$179/$M$179*100</f>
        <v>1.3513513513513513</v>
      </c>
      <c r="K721" s="8">
        <f>$K$180/$M$180*100</f>
        <v>6.756756756756757</v>
      </c>
      <c r="L721" s="8">
        <f>$K$181/$M$181*100</f>
        <v>0</v>
      </c>
      <c r="M721" s="8">
        <f>SUM(H721:L721)</f>
        <v>18.918918918918919</v>
      </c>
      <c r="N721" s="8">
        <f>$K$257/$M$257*100</f>
        <v>0.49751243781094528</v>
      </c>
      <c r="O721" s="8">
        <f>$K$258/$M$258*100</f>
        <v>34.82587064676617</v>
      </c>
      <c r="P721" s="8">
        <f>$K$259/$M$259*100</f>
        <v>1.9900497512437811</v>
      </c>
      <c r="Q721" s="8">
        <f>$K$260/$M$260*100</f>
        <v>14.427860696517413</v>
      </c>
      <c r="R721" s="8">
        <f>$K$261/$M$261*100</f>
        <v>0</v>
      </c>
      <c r="S721" s="8">
        <f>SUM(N721:R721)</f>
        <v>51.741293532338311</v>
      </c>
      <c r="T721" s="8">
        <f>$K$17/$M$17*100</f>
        <v>3.125</v>
      </c>
      <c r="U721" s="8">
        <f>$K$18/$M$18*100</f>
        <v>32.8125</v>
      </c>
      <c r="V721" s="8">
        <f>$K$19/$M$19*100</f>
        <v>14.0625</v>
      </c>
      <c r="W721" s="8">
        <f>$K$20/$M$20*100</f>
        <v>17.1875</v>
      </c>
      <c r="X721" s="8">
        <f>$K$21/$M$21*100</f>
        <v>0</v>
      </c>
      <c r="Y721" s="8">
        <f>SUM(T721:X721)</f>
        <v>67.1875</v>
      </c>
    </row>
    <row r="722" spans="1:30" x14ac:dyDescent="0.2">
      <c r="A722" s="5" t="s">
        <v>58</v>
      </c>
      <c r="B722" s="8">
        <f>$K$117/$M$117*100</f>
        <v>1.4814814814814816</v>
      </c>
      <c r="C722" s="8">
        <f>$K$118/$M$118*100</f>
        <v>11.851851851851853</v>
      </c>
      <c r="D722" s="8">
        <f>$K$119/$M$119*100</f>
        <v>11.851851851851853</v>
      </c>
      <c r="E722" s="8">
        <f>$K$120/$M$120*100</f>
        <v>11.111111111111111</v>
      </c>
      <c r="F722" s="8">
        <f>$K$121/$M$121*100</f>
        <v>0</v>
      </c>
      <c r="G722" s="8">
        <f>SUM(B722:F722)</f>
        <v>36.296296296296298</v>
      </c>
      <c r="H722" s="8">
        <f>$K$197/$M$197*100</f>
        <v>6.0606060606060606</v>
      </c>
      <c r="I722" s="8">
        <f>$K$198/$M$198*100</f>
        <v>18.181818181818183</v>
      </c>
      <c r="J722" s="8">
        <f>$K$199/$M$199*100</f>
        <v>18.181818181818183</v>
      </c>
      <c r="K722" s="8">
        <f>$K$200/$M$200*100</f>
        <v>0</v>
      </c>
      <c r="L722" s="8">
        <f>$K$201/$M$201*100</f>
        <v>0</v>
      </c>
      <c r="M722" s="8">
        <f>SUM(H722:L722)</f>
        <v>42.424242424242422</v>
      </c>
      <c r="N722" s="8">
        <f>$K$278/$M$278*100</f>
        <v>18.831168831168831</v>
      </c>
      <c r="O722" s="8">
        <f>$K$278/$M$278*100</f>
        <v>18.831168831168831</v>
      </c>
      <c r="P722" s="8">
        <f>$K$279/$M$279*100</f>
        <v>3.8961038961038961</v>
      </c>
      <c r="Q722" s="8">
        <f>$K$280/$M$280*100</f>
        <v>20.779220779220779</v>
      </c>
      <c r="R722" s="8">
        <f>$K$281/$M$281*100</f>
        <v>0</v>
      </c>
      <c r="S722" s="8">
        <f>SUM(N722:R722)</f>
        <v>62.337662337662337</v>
      </c>
      <c r="T722" s="8">
        <f>$K$37/$M$37*100</f>
        <v>0</v>
      </c>
      <c r="U722" s="8">
        <f>$K$38/$M$38*100</f>
        <v>7.1428571428571423</v>
      </c>
      <c r="V722" s="8">
        <f>$K$39/$M$39*100</f>
        <v>7.1428571428571423</v>
      </c>
      <c r="W722" s="8">
        <f>$K$40/$M$40*100</f>
        <v>21.428571428571427</v>
      </c>
      <c r="X722" s="8">
        <f>$K$41/$M$41*100</f>
        <v>0</v>
      </c>
      <c r="Y722" s="8">
        <f>SUM(T722:X722)</f>
        <v>35.714285714285708</v>
      </c>
    </row>
    <row r="723" spans="1:30" x14ac:dyDescent="0.2">
      <c r="A723" s="5" t="s">
        <v>142</v>
      </c>
      <c r="B723" s="8">
        <f>$K$137/$M$137*100</f>
        <v>0</v>
      </c>
      <c r="C723" s="8">
        <f>$K$138/$M$138*100</f>
        <v>12.820512820512819</v>
      </c>
      <c r="D723" s="8">
        <f>$K$139/$M$139*100</f>
        <v>17.948717948717949</v>
      </c>
      <c r="E723" s="8">
        <f>$K$140/$M$140*100</f>
        <v>12.820512820512819</v>
      </c>
      <c r="F723" s="8">
        <f>$K$141/$M$141*100</f>
        <v>0</v>
      </c>
      <c r="G723" s="8">
        <f>SUM(B723:F723)</f>
        <v>43.589743589743584</v>
      </c>
      <c r="H723" s="8">
        <f>$K$217/$M$217*100</f>
        <v>0</v>
      </c>
      <c r="I723" s="8">
        <f>$K$218/$M$218*100</f>
        <v>26.315789473684209</v>
      </c>
      <c r="J723" s="8">
        <f>$K$219/$M$219*100</f>
        <v>10.526315789473683</v>
      </c>
      <c r="K723" s="8">
        <f>$K$220/$M$220*100</f>
        <v>0</v>
      </c>
      <c r="L723" s="8">
        <f>$K$221/$M$221*100</f>
        <v>0</v>
      </c>
      <c r="M723" s="8">
        <f>SUM(H723:L723)</f>
        <v>36.84210526315789</v>
      </c>
      <c r="N723" s="8">
        <f>$K$297/$M$297*100</f>
        <v>3.7037037037037033</v>
      </c>
      <c r="O723" s="8">
        <f>$K$298/$M$298*100</f>
        <v>37.037037037037038</v>
      </c>
      <c r="P723" s="8">
        <f>$K$299/$M$299*100</f>
        <v>20.37037037037037</v>
      </c>
      <c r="Q723" s="8">
        <f>$K$300/$M$300*100</f>
        <v>22.222222222222221</v>
      </c>
      <c r="R723" s="8">
        <f>$K$301/$M$301*100</f>
        <v>0</v>
      </c>
      <c r="S723" s="8">
        <f>SUM(N723:R723)</f>
        <v>83.333333333333343</v>
      </c>
      <c r="T723" s="8">
        <f>$K$57/$M$57*100</f>
        <v>0</v>
      </c>
      <c r="U723" s="8">
        <f>$K$58/$M$58*100</f>
        <v>35</v>
      </c>
      <c r="V723" s="8">
        <f>$K$59/$M$59*100</f>
        <v>20</v>
      </c>
      <c r="W723" s="8">
        <f>$K$60/$M$60*100</f>
        <v>35</v>
      </c>
      <c r="X723" s="8">
        <f>$K$61/$M$61*100</f>
        <v>0</v>
      </c>
      <c r="Y723" s="8">
        <f>SUM(T723:X723)</f>
        <v>90</v>
      </c>
    </row>
    <row r="724" spans="1:30" ht="16" thickBot="1" x14ac:dyDescent="0.25">
      <c r="A724" s="9" t="s">
        <v>59</v>
      </c>
      <c r="B724" s="8">
        <f>$K$157/$M$157*100</f>
        <v>0</v>
      </c>
      <c r="C724" s="8">
        <f>$K$158/$M$158*100</f>
        <v>6.4516129032258061</v>
      </c>
      <c r="D724" s="8">
        <f>$K$159/$M$159*100</f>
        <v>4.3010752688172049</v>
      </c>
      <c r="E724" s="8">
        <f>$K$160/$M$160*100</f>
        <v>5.7347670250896057</v>
      </c>
      <c r="F724" s="8">
        <f>$K$161/$M$161*100</f>
        <v>0</v>
      </c>
      <c r="G724" s="8">
        <f>SUM(B724:F724)</f>
        <v>16.487455197132618</v>
      </c>
      <c r="H724" s="8">
        <f>$K$237/$M$237*100</f>
        <v>0</v>
      </c>
      <c r="I724" s="8">
        <f>$K$238/$M$238*100</f>
        <v>8.3333333333333321</v>
      </c>
      <c r="J724" s="8">
        <f>$K$239/$M$239*100</f>
        <v>0</v>
      </c>
      <c r="K724" s="8">
        <f>$K$240/$M$240*100</f>
        <v>8.3333333333333321</v>
      </c>
      <c r="L724" s="8">
        <f>$K$241/$M$241*100</f>
        <v>0</v>
      </c>
      <c r="M724" s="8">
        <f>SUM(H724:L724)</f>
        <v>16.666666666666664</v>
      </c>
      <c r="N724" s="8">
        <f>$K$317/$M$317*100</f>
        <v>1.3513513513513513</v>
      </c>
      <c r="O724" s="8">
        <f>$K$318/$M$318*100</f>
        <v>17.567567567567568</v>
      </c>
      <c r="P724" s="8">
        <f>$K$319/$M$319*100</f>
        <v>4.0540540540540544</v>
      </c>
      <c r="Q724" s="8">
        <f>$K$320/$M$320*100</f>
        <v>31.081081081081081</v>
      </c>
      <c r="R724" s="8">
        <f>$K$321/$M$321*100</f>
        <v>0</v>
      </c>
      <c r="S724" s="8">
        <f>SUM(N724:R724)</f>
        <v>54.054054054054056</v>
      </c>
      <c r="T724" s="8">
        <f>$K$78/$M$78*100</f>
        <v>8.75</v>
      </c>
      <c r="U724" s="8">
        <f>$K$78/$M$78*100</f>
        <v>8.75</v>
      </c>
      <c r="V724" s="8">
        <f>$K$79/$M$79*100</f>
        <v>3.75</v>
      </c>
      <c r="W724" s="8">
        <f>$K$80/$M$80*100</f>
        <v>13.750000000000002</v>
      </c>
      <c r="X724" s="8">
        <f>$K$81/$M$81*100</f>
        <v>0</v>
      </c>
      <c r="Y724" s="8">
        <f>SUM(T724:X724)</f>
        <v>35</v>
      </c>
    </row>
    <row r="725" spans="1:30" x14ac:dyDescent="0.2">
      <c r="A725" s="10" t="s">
        <v>50</v>
      </c>
      <c r="B725" s="12">
        <f>AVERAGE(B721:B724)</f>
        <v>0.45497273923669868</v>
      </c>
      <c r="C725" s="12">
        <f>AVERAGE(C721:C724)</f>
        <v>10.911282041951765</v>
      </c>
      <c r="D725" s="11">
        <f>AVERAGE(D721:D724)</f>
        <v>8.8215195583789008</v>
      </c>
      <c r="E725" s="11">
        <f>AVERAGE(E721:E724)</f>
        <v>8.3895249811411592</v>
      </c>
      <c r="F725" s="11">
        <f>AVERAGE(F721:F724)</f>
        <v>0</v>
      </c>
      <c r="G725" s="12"/>
      <c r="H725" s="11">
        <f>AVERAGE(H721:H724)</f>
        <v>2.8665028665028665</v>
      </c>
      <c r="I725" s="13">
        <f>AVERAGE(I721:I724)</f>
        <v>14.559086598560281</v>
      </c>
      <c r="J725" s="14">
        <f>AVERAGE(J721:J724)</f>
        <v>7.5148713306608048</v>
      </c>
      <c r="K725" s="14">
        <f>AVERAGE(K721:K724)</f>
        <v>3.7725225225225225</v>
      </c>
      <c r="L725" s="14">
        <f>AVERAGE(L721:L724)</f>
        <v>0</v>
      </c>
      <c r="M725" s="12"/>
      <c r="N725" s="14">
        <f>AVERAGE(N721:N724)</f>
        <v>6.0959340810087079</v>
      </c>
      <c r="O725" s="12">
        <f>AVERAGE(O721:O724)</f>
        <v>27.065411020634901</v>
      </c>
      <c r="P725" s="11">
        <f>AVERAGE(P721:P724)</f>
        <v>7.5776445179430247</v>
      </c>
      <c r="Q725" s="11">
        <f>AVERAGE(Q721:Q724)</f>
        <v>22.127596194760372</v>
      </c>
      <c r="R725" s="11">
        <f>AVERAGE(R721:R724)</f>
        <v>0</v>
      </c>
      <c r="S725" s="15"/>
      <c r="T725" s="14">
        <f>AVERAGE(T721:T724)</f>
        <v>2.96875</v>
      </c>
      <c r="U725" s="12">
        <f>AVERAGE(U721:U724)</f>
        <v>20.926339285714285</v>
      </c>
      <c r="V725" s="11">
        <f>AVERAGE(V721:V724)</f>
        <v>11.238839285714285</v>
      </c>
      <c r="W725" s="11">
        <f>AVERAGE(W721:W724)</f>
        <v>21.841517857142858</v>
      </c>
      <c r="X725" s="11">
        <f>AVERAGE(X721:X724)</f>
        <v>0</v>
      </c>
      <c r="Y725" s="15"/>
      <c r="Z725" s="8">
        <f>AVERAGE(B725,H725,N725,T725)</f>
        <v>3.0965399216870684</v>
      </c>
      <c r="AA725" s="8">
        <f>AVERAGE(C725,I725,O725,U725)</f>
        <v>18.36552973671531</v>
      </c>
      <c r="AB725" s="8">
        <f>AVERAGE(D725,J725,P725,V725)</f>
        <v>8.7882186731742529</v>
      </c>
      <c r="AC725" s="8">
        <f>AVERAGE(E725,K725,Q725,W725)</f>
        <v>14.03279038889173</v>
      </c>
      <c r="AD725" s="8">
        <f>AVERAGE(F725,L725,R725,X725)</f>
        <v>0</v>
      </c>
    </row>
    <row r="728" spans="1:30" ht="15" customHeight="1" x14ac:dyDescent="0.2"/>
    <row r="730" spans="1:30" ht="15" customHeight="1" x14ac:dyDescent="0.2">
      <c r="A730" s="31" t="s">
        <v>152</v>
      </c>
      <c r="B730" s="32" t="s">
        <v>53</v>
      </c>
      <c r="C730" s="32"/>
      <c r="D730" s="32"/>
      <c r="E730" s="32"/>
      <c r="F730" s="32"/>
      <c r="G730" s="4" t="s">
        <v>64</v>
      </c>
      <c r="H730" s="32" t="s">
        <v>54</v>
      </c>
      <c r="I730" s="32"/>
      <c r="J730" s="32"/>
      <c r="K730" s="32"/>
      <c r="L730" s="32"/>
      <c r="M730" s="4" t="s">
        <v>64</v>
      </c>
      <c r="N730" s="32" t="s">
        <v>55</v>
      </c>
      <c r="O730" s="32"/>
      <c r="P730" s="32"/>
      <c r="Q730" s="32"/>
      <c r="R730" s="32"/>
      <c r="S730" s="4" t="s">
        <v>64</v>
      </c>
      <c r="T730" s="32" t="s">
        <v>56</v>
      </c>
      <c r="U730" s="32"/>
      <c r="V730" s="32"/>
      <c r="W730" s="32"/>
      <c r="X730" s="32"/>
      <c r="Y730" s="4" t="s">
        <v>64</v>
      </c>
    </row>
    <row r="731" spans="1:30" x14ac:dyDescent="0.2">
      <c r="A731" s="31"/>
      <c r="B731" s="4" t="s">
        <v>20</v>
      </c>
      <c r="C731" s="4" t="s">
        <v>21</v>
      </c>
      <c r="D731" s="4" t="s">
        <v>60</v>
      </c>
      <c r="E731" s="4" t="s">
        <v>61</v>
      </c>
      <c r="F731" s="4" t="s">
        <v>62</v>
      </c>
      <c r="G731" s="4"/>
      <c r="H731" s="4" t="s">
        <v>20</v>
      </c>
      <c r="I731" s="4" t="s">
        <v>21</v>
      </c>
      <c r="J731" s="4" t="s">
        <v>60</v>
      </c>
      <c r="K731" s="4" t="s">
        <v>61</v>
      </c>
      <c r="L731" s="4" t="s">
        <v>62</v>
      </c>
      <c r="M731" s="4"/>
      <c r="N731" s="4" t="s">
        <v>20</v>
      </c>
      <c r="O731" s="4" t="s">
        <v>21</v>
      </c>
      <c r="P731" s="4" t="s">
        <v>60</v>
      </c>
      <c r="Q731" s="4" t="s">
        <v>61</v>
      </c>
      <c r="R731" s="4" t="s">
        <v>62</v>
      </c>
      <c r="S731" s="4"/>
      <c r="T731" s="4" t="s">
        <v>20</v>
      </c>
      <c r="U731" s="4" t="s">
        <v>21</v>
      </c>
      <c r="V731" s="4" t="s">
        <v>60</v>
      </c>
      <c r="W731" s="4" t="s">
        <v>61</v>
      </c>
      <c r="X731" s="4" t="s">
        <v>62</v>
      </c>
      <c r="Y731" s="4"/>
    </row>
    <row r="732" spans="1:30" x14ac:dyDescent="0.2">
      <c r="A732" s="5" t="s">
        <v>57</v>
      </c>
      <c r="B732" s="8">
        <f>$I$467/$L$467*100</f>
        <v>75.728155339805824</v>
      </c>
      <c r="C732" s="8">
        <f>$I$468/$L$468*100</f>
        <v>5.825242718446602</v>
      </c>
      <c r="D732" s="8">
        <f>$I$469/$L$469*100</f>
        <v>0.97087378640776689</v>
      </c>
      <c r="E732" s="8">
        <f>$I$470/$L$470*100</f>
        <v>18.446601941747574</v>
      </c>
      <c r="F732" s="8">
        <f>$I$471/$L$471*100</f>
        <v>0</v>
      </c>
      <c r="G732" s="8">
        <f>SUM(B732:F732)</f>
        <v>100.97087378640776</v>
      </c>
      <c r="H732" s="8">
        <f>$I$547/$L$547*100</f>
        <v>54.54545454545454</v>
      </c>
      <c r="I732" s="8">
        <f>$I$548/$L$548*100</f>
        <v>9.0909090909090917</v>
      </c>
      <c r="J732" s="8">
        <f>$I$549/$L$549*100</f>
        <v>13.636363636363635</v>
      </c>
      <c r="K732" s="8">
        <f>$I$550/$L$550*100</f>
        <v>22.727272727272727</v>
      </c>
      <c r="L732" s="8">
        <f>$I$551/$L$551*100</f>
        <v>0</v>
      </c>
      <c r="M732" s="8">
        <f>SUM(H732:L732)</f>
        <v>100</v>
      </c>
      <c r="N732" s="8">
        <f>$I$627/$L$627*100</f>
        <v>50</v>
      </c>
      <c r="O732" s="8">
        <f>$I$628/$L$628*100</f>
        <v>20.588235294117645</v>
      </c>
      <c r="P732" s="8">
        <f>$I$629/$L$629*100</f>
        <v>0</v>
      </c>
      <c r="Q732" s="8">
        <f>$I$630/$L$630*100</f>
        <v>29.411764705882355</v>
      </c>
      <c r="R732" s="8">
        <f>$I$631/$L$631*100</f>
        <v>0</v>
      </c>
      <c r="S732" s="8">
        <f>SUM(N732:R732)</f>
        <v>100</v>
      </c>
      <c r="T732" s="8">
        <f>$I$387/$L$387*100</f>
        <v>42.857142857142854</v>
      </c>
      <c r="U732" s="8">
        <f>$I$388/$L$388*100</f>
        <v>57.142857142857139</v>
      </c>
      <c r="V732" s="8">
        <f>$I$389/$L$389*100</f>
        <v>0</v>
      </c>
      <c r="W732" s="8">
        <f>$I$390/$L$390*100</f>
        <v>0</v>
      </c>
      <c r="X732" s="8">
        <f>$I$391/$L$391*100</f>
        <v>0</v>
      </c>
      <c r="Y732" s="8">
        <f>SUM(T732:X732)</f>
        <v>100</v>
      </c>
    </row>
    <row r="733" spans="1:30" x14ac:dyDescent="0.2">
      <c r="A733" s="5" t="s">
        <v>58</v>
      </c>
      <c r="B733" s="8">
        <f>$I$427/$L$427*100</f>
        <v>79.878048780487802</v>
      </c>
      <c r="C733" s="8">
        <f>$I$428/$L$428*100</f>
        <v>10.975609756097562</v>
      </c>
      <c r="D733" s="8">
        <f>$I$429/$L$429*100</f>
        <v>1.8292682926829267</v>
      </c>
      <c r="E733" s="8">
        <f>$I$430/$L$430*100</f>
        <v>7.3170731707317067</v>
      </c>
      <c r="F733" s="8">
        <f>$I$431/$L$431*100</f>
        <v>0</v>
      </c>
      <c r="G733" s="8">
        <f>SUM(B733:F733)</f>
        <v>99.999999999999986</v>
      </c>
      <c r="H733" s="8">
        <f>$I$507/$L$507*100</f>
        <v>52.631578947368418</v>
      </c>
      <c r="I733" s="8">
        <f>$I$508/$L$508*100</f>
        <v>10.526315789473683</v>
      </c>
      <c r="J733" s="8">
        <f>$I$509/$L$509*100</f>
        <v>21.052631578947366</v>
      </c>
      <c r="K733" s="8">
        <f>$I$510/$L$510*100</f>
        <v>15.789473684210526</v>
      </c>
      <c r="L733" s="8">
        <f>$I$511/$L$511*100</f>
        <v>0</v>
      </c>
      <c r="M733" s="8">
        <f>SUM(H733:L733)</f>
        <v>99.999999999999986</v>
      </c>
      <c r="N733" s="8">
        <f>$I$587/$L$587*100</f>
        <v>42.857142857142854</v>
      </c>
      <c r="O733" s="8">
        <f>$I$588/$L$588*100</f>
        <v>9.5238095238095237</v>
      </c>
      <c r="P733" s="8">
        <f>$I$589/$L$589*100</f>
        <v>9.5238095238095237</v>
      </c>
      <c r="Q733" s="8">
        <f>$I$590/$L$590*100</f>
        <v>38.095238095238095</v>
      </c>
      <c r="R733" s="8">
        <f>$I$591/$L$591*100</f>
        <v>0</v>
      </c>
      <c r="S733" s="8">
        <f>SUM(N733:R733)</f>
        <v>100</v>
      </c>
      <c r="T733" s="8">
        <f>$I$347/$L$347*100</f>
        <v>80</v>
      </c>
      <c r="U733" s="8">
        <f>$I$348/$L$348*100</f>
        <v>5</v>
      </c>
      <c r="V733" s="8">
        <f>$I$349/$L$349*100</f>
        <v>0</v>
      </c>
      <c r="W733" s="8">
        <f>$I$350/$L$350*100</f>
        <v>15</v>
      </c>
      <c r="X733" s="8">
        <f>$I$351/$L$351*100</f>
        <v>0</v>
      </c>
      <c r="Y733" s="8">
        <f>SUM(T733:X733)</f>
        <v>100</v>
      </c>
    </row>
    <row r="734" spans="1:30" ht="15" customHeight="1" x14ac:dyDescent="0.2">
      <c r="A734" s="5" t="s">
        <v>142</v>
      </c>
      <c r="B734" s="8">
        <f>$I$447/$L$447*100</f>
        <v>0</v>
      </c>
      <c r="C734" s="8">
        <f>$I$448/$L$448*100</f>
        <v>100</v>
      </c>
      <c r="D734" s="8">
        <f>$I$449/$L$449*100</f>
        <v>0</v>
      </c>
      <c r="E734" s="8">
        <f>$I$450/$L$450*100</f>
        <v>0</v>
      </c>
      <c r="F734" s="8">
        <f>$I$451/$L$451*100</f>
        <v>0</v>
      </c>
      <c r="G734" s="8">
        <f>SUM(B734:F734)</f>
        <v>100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f>SUM(H734:L734)</f>
        <v>0</v>
      </c>
      <c r="N734" s="8">
        <f>$I$607/$L$607*100</f>
        <v>50</v>
      </c>
      <c r="O734" s="8">
        <f>$I$608/$L$608*100</f>
        <v>50</v>
      </c>
      <c r="P734" s="8">
        <f>$I$609/$L$609*100</f>
        <v>0</v>
      </c>
      <c r="Q734" s="8">
        <f>$I$610/$L$610*100</f>
        <v>0</v>
      </c>
      <c r="R734" s="8">
        <f>$I$611/$L$611*100</f>
        <v>0</v>
      </c>
      <c r="S734" s="8">
        <f>SUM(N734:R734)</f>
        <v>100</v>
      </c>
      <c r="T734" s="8">
        <f>$I$367/$L$367*100</f>
        <v>0</v>
      </c>
      <c r="U734" s="8">
        <f>$I$368/$L$368*100</f>
        <v>100</v>
      </c>
      <c r="V734" s="8">
        <f>$I$369/$L$369*100</f>
        <v>0</v>
      </c>
      <c r="W734" s="8">
        <f>$I$370/$L$370*100</f>
        <v>0</v>
      </c>
      <c r="X734" s="8">
        <f>$I$371/$L$371*100</f>
        <v>0</v>
      </c>
      <c r="Y734" s="8">
        <f>SUM(T734:X734)</f>
        <v>100</v>
      </c>
    </row>
    <row r="735" spans="1:30" ht="16" thickBot="1" x14ac:dyDescent="0.25">
      <c r="A735" s="9" t="s">
        <v>59</v>
      </c>
      <c r="B735" s="8">
        <f>$I$407/$L$407*100</f>
        <v>50</v>
      </c>
      <c r="C735" s="8">
        <f>$I$408/$L$408*100</f>
        <v>25</v>
      </c>
      <c r="D735" s="8">
        <f>$I$409/$L$409*100</f>
        <v>15</v>
      </c>
      <c r="E735" s="8">
        <f>$I$410/$L$410*100</f>
        <v>10</v>
      </c>
      <c r="F735" s="8">
        <f>$I$411/$L$411*100</f>
        <v>0</v>
      </c>
      <c r="G735" s="8">
        <f>SUM(B735:F735)</f>
        <v>100</v>
      </c>
      <c r="H735" s="8">
        <f>$I$487/$L$487*100</f>
        <v>40</v>
      </c>
      <c r="I735" s="8">
        <f>$I$488/$L$488*100</f>
        <v>0</v>
      </c>
      <c r="J735" s="8">
        <f>$I$489/$L$489*100</f>
        <v>60</v>
      </c>
      <c r="K735" s="8">
        <f>$I$490/$L$490*100</f>
        <v>0</v>
      </c>
      <c r="L735" s="8">
        <f>$I$491/$L$491*100</f>
        <v>0</v>
      </c>
      <c r="M735" s="8">
        <f>SUM(H735:L735)</f>
        <v>100</v>
      </c>
      <c r="N735" s="8">
        <f>$I$567/$L$567*100</f>
        <v>40</v>
      </c>
      <c r="O735" s="8">
        <f>$I$568/$L$568*100</f>
        <v>40</v>
      </c>
      <c r="P735" s="8">
        <f>$I$569/$L$569*100</f>
        <v>0</v>
      </c>
      <c r="Q735" s="8">
        <f>$I$570/$L$570*100</f>
        <v>20</v>
      </c>
      <c r="R735" s="8">
        <f>$I$571/$L$571*100</f>
        <v>0</v>
      </c>
      <c r="S735" s="8">
        <f>SUM(N735:R735)</f>
        <v>100</v>
      </c>
      <c r="T735" s="8">
        <f>$I$327/$L$327*100</f>
        <v>43.75</v>
      </c>
      <c r="U735" s="8">
        <f>$I$328/$L$328*100</f>
        <v>37.5</v>
      </c>
      <c r="V735" s="8">
        <f>$I$329/$L$329*100</f>
        <v>12.5</v>
      </c>
      <c r="W735" s="8">
        <f>$I$330/$L$330*100</f>
        <v>6.25</v>
      </c>
      <c r="X735" s="8">
        <f>$I$331/$L$331*100</f>
        <v>0</v>
      </c>
      <c r="Y735" s="8">
        <f>SUM(T735:X735)</f>
        <v>100</v>
      </c>
    </row>
    <row r="736" spans="1:30" x14ac:dyDescent="0.2">
      <c r="A736" s="10" t="s">
        <v>50</v>
      </c>
      <c r="B736" s="12">
        <f>AVERAGE(B732:B735)</f>
        <v>51.401551030073406</v>
      </c>
      <c r="C736" s="12">
        <f>AVERAGE(C732:C735)</f>
        <v>35.450213118636043</v>
      </c>
      <c r="D736" s="11">
        <f>AVERAGE(D732:D735)</f>
        <v>4.4500355197726735</v>
      </c>
      <c r="E736" s="11">
        <f>AVERAGE(E732:E735)</f>
        <v>8.9409187781198192</v>
      </c>
      <c r="F736" s="11">
        <f>AVERAGE(F732:F735)</f>
        <v>0</v>
      </c>
      <c r="G736" s="12"/>
      <c r="H736" s="11">
        <f>AVERAGE(H732:H735)</f>
        <v>36.794258373205736</v>
      </c>
      <c r="I736" s="13">
        <f>AVERAGE(I732:I735)</f>
        <v>4.9043062200956937</v>
      </c>
      <c r="J736" s="14">
        <f>AVERAGE(J732:J735)</f>
        <v>23.672248803827749</v>
      </c>
      <c r="K736" s="14">
        <f>AVERAGE(K732:K735)</f>
        <v>9.6291866028708135</v>
      </c>
      <c r="L736" s="14">
        <f>AVERAGE(L732:L735)</f>
        <v>0</v>
      </c>
      <c r="M736" s="12"/>
      <c r="N736" s="14">
        <f>AVERAGE(N732:N735)</f>
        <v>45.714285714285715</v>
      </c>
      <c r="O736" s="12">
        <f>AVERAGE(O732:O735)</f>
        <v>30.028011204481793</v>
      </c>
      <c r="P736" s="11">
        <f>AVERAGE(P732:P735)</f>
        <v>2.3809523809523809</v>
      </c>
      <c r="Q736" s="11">
        <f>AVERAGE(Q732:Q735)</f>
        <v>21.876750700280112</v>
      </c>
      <c r="R736" s="11">
        <f>AVERAGE(R732:R735)</f>
        <v>0</v>
      </c>
      <c r="S736" s="15"/>
      <c r="T736" s="14">
        <f>AVERAGE(T732:T735)</f>
        <v>41.651785714285715</v>
      </c>
      <c r="U736" s="12">
        <f>AVERAGE(U732:U735)</f>
        <v>49.910714285714285</v>
      </c>
      <c r="V736" s="11">
        <f>AVERAGE(V732:V735)</f>
        <v>3.125</v>
      </c>
      <c r="W736" s="11">
        <f>AVERAGE(W732:W735)</f>
        <v>5.3125</v>
      </c>
      <c r="X736" s="11">
        <f>AVERAGE(X732:X735)</f>
        <v>0</v>
      </c>
      <c r="Y736" s="15"/>
      <c r="Z736" s="8">
        <f t="shared" ref="Z736:AD737" si="16">AVERAGE(B736,H736,N736,T736)</f>
        <v>43.890470207962643</v>
      </c>
      <c r="AA736" s="8">
        <f t="shared" si="16"/>
        <v>30.073311207231953</v>
      </c>
      <c r="AB736" s="8">
        <f t="shared" si="16"/>
        <v>8.4070591761382012</v>
      </c>
      <c r="AC736" s="8">
        <f t="shared" si="16"/>
        <v>11.439839020317686</v>
      </c>
      <c r="AD736" s="8">
        <f t="shared" si="16"/>
        <v>0</v>
      </c>
    </row>
    <row r="737" spans="1:30" ht="15" customHeight="1" x14ac:dyDescent="0.2">
      <c r="B737" s="8">
        <f>AVERAGE(B732:B733,B735)</f>
        <v>68.535401373431213</v>
      </c>
      <c r="C737" s="8">
        <f t="shared" ref="C737:F737" si="17">AVERAGE(C732:C733,C735)</f>
        <v>13.933617491514722</v>
      </c>
      <c r="D737" s="8">
        <f t="shared" si="17"/>
        <v>5.9333806930302311</v>
      </c>
      <c r="E737" s="8">
        <f t="shared" si="17"/>
        <v>11.921225037493093</v>
      </c>
      <c r="F737" s="8">
        <f t="shared" si="17"/>
        <v>0</v>
      </c>
      <c r="H737" s="8">
        <f>AVERAGE(H732:H733,H735)</f>
        <v>49.059011164274317</v>
      </c>
      <c r="I737" s="8">
        <f t="shared" ref="I737:L737" si="18">AVERAGE(I732:I733,I735)</f>
        <v>6.5390749601275919</v>
      </c>
      <c r="J737" s="8">
        <f t="shared" si="18"/>
        <v>31.562998405103666</v>
      </c>
      <c r="K737" s="8">
        <f t="shared" si="18"/>
        <v>12.838915470494419</v>
      </c>
      <c r="L737" s="8">
        <f t="shared" si="18"/>
        <v>0</v>
      </c>
      <c r="N737" s="8">
        <f>AVERAGE(N732:N733,N735)</f>
        <v>44.285714285714285</v>
      </c>
      <c r="O737" s="8">
        <f t="shared" ref="O737:R737" si="19">AVERAGE(O732:O733,O735)</f>
        <v>23.370681605975722</v>
      </c>
      <c r="P737" s="8">
        <f t="shared" si="19"/>
        <v>3.1746031746031744</v>
      </c>
      <c r="Q737" s="8">
        <f t="shared" si="19"/>
        <v>29.169000933706815</v>
      </c>
      <c r="R737" s="8">
        <f t="shared" si="19"/>
        <v>0</v>
      </c>
      <c r="T737" s="8">
        <f>AVERAGE(T732:T733,T735)</f>
        <v>55.535714285714285</v>
      </c>
      <c r="U737" s="8">
        <f t="shared" ref="U737:X737" si="20">AVERAGE(U732:U733,U735)</f>
        <v>33.214285714285715</v>
      </c>
      <c r="V737" s="8">
        <f t="shared" si="20"/>
        <v>4.166666666666667</v>
      </c>
      <c r="W737" s="8">
        <f t="shared" si="20"/>
        <v>7.083333333333333</v>
      </c>
      <c r="X737" s="8">
        <f t="shared" si="20"/>
        <v>0</v>
      </c>
      <c r="Z737" s="8">
        <f t="shared" si="16"/>
        <v>54.35396027728352</v>
      </c>
      <c r="AA737" s="8">
        <f t="shared" si="16"/>
        <v>19.264414942975939</v>
      </c>
      <c r="AB737" s="8">
        <f t="shared" si="16"/>
        <v>11.209412234850936</v>
      </c>
      <c r="AC737" s="8">
        <f t="shared" si="16"/>
        <v>15.253118693756916</v>
      </c>
      <c r="AD737" s="8">
        <f t="shared" si="16"/>
        <v>0</v>
      </c>
    </row>
    <row r="739" spans="1:30" ht="48" x14ac:dyDescent="0.2">
      <c r="A739" s="2" t="s">
        <v>153</v>
      </c>
      <c r="B739" s="3" t="s">
        <v>53</v>
      </c>
      <c r="C739" s="3"/>
      <c r="D739" s="3"/>
      <c r="E739" s="3"/>
      <c r="F739" s="3"/>
      <c r="G739" s="4" t="s">
        <v>64</v>
      </c>
      <c r="H739" s="3" t="s">
        <v>54</v>
      </c>
      <c r="I739" s="3"/>
      <c r="J739" s="3"/>
      <c r="K739" s="3"/>
      <c r="L739" s="3"/>
      <c r="M739" s="4" t="s">
        <v>64</v>
      </c>
      <c r="N739" s="3" t="s">
        <v>55</v>
      </c>
      <c r="O739" s="3"/>
      <c r="P739" s="3"/>
      <c r="Q739" s="3"/>
      <c r="R739" s="3"/>
      <c r="S739" s="4" t="s">
        <v>64</v>
      </c>
      <c r="T739" s="3" t="s">
        <v>56</v>
      </c>
      <c r="U739" s="3"/>
      <c r="V739" s="3"/>
      <c r="W739" s="3"/>
      <c r="X739" s="3"/>
      <c r="Y739" s="4" t="s">
        <v>64</v>
      </c>
    </row>
    <row r="740" spans="1:30" x14ac:dyDescent="0.2">
      <c r="A740" s="3"/>
      <c r="B740" s="4" t="s">
        <v>20</v>
      </c>
      <c r="C740" s="4" t="s">
        <v>21</v>
      </c>
      <c r="D740" s="4" t="s">
        <v>60</v>
      </c>
      <c r="E740" s="4" t="s">
        <v>61</v>
      </c>
      <c r="F740" s="4" t="s">
        <v>62</v>
      </c>
      <c r="G740" s="4"/>
      <c r="H740" s="4" t="s">
        <v>20</v>
      </c>
      <c r="I740" s="4" t="s">
        <v>21</v>
      </c>
      <c r="J740" s="4" t="s">
        <v>60</v>
      </c>
      <c r="K740" s="4" t="s">
        <v>61</v>
      </c>
      <c r="L740" s="4" t="s">
        <v>62</v>
      </c>
      <c r="M740" s="4"/>
      <c r="N740" s="4" t="s">
        <v>20</v>
      </c>
      <c r="O740" s="4" t="s">
        <v>21</v>
      </c>
      <c r="P740" s="4" t="s">
        <v>60</v>
      </c>
      <c r="Q740" s="4" t="s">
        <v>61</v>
      </c>
      <c r="R740" s="4" t="s">
        <v>62</v>
      </c>
      <c r="S740" s="4"/>
      <c r="T740" s="4" t="s">
        <v>20</v>
      </c>
      <c r="U740" s="4" t="s">
        <v>21</v>
      </c>
      <c r="V740" s="4" t="s">
        <v>60</v>
      </c>
      <c r="W740" s="4" t="s">
        <v>61</v>
      </c>
      <c r="X740" s="4" t="s">
        <v>62</v>
      </c>
      <c r="Y740" s="4"/>
    </row>
    <row r="741" spans="1:30" x14ac:dyDescent="0.2">
      <c r="A741" s="5" t="s">
        <v>57</v>
      </c>
      <c r="B741" s="8">
        <f>$I$472/$L$472*100</f>
        <v>74.747474747474755</v>
      </c>
      <c r="C741" s="8">
        <f>$I$473/$L$473*100</f>
        <v>8.0808080808080813</v>
      </c>
      <c r="D741" s="8">
        <f>$I$474/$L$474*100</f>
        <v>0</v>
      </c>
      <c r="E741" s="8">
        <f>$I$475/$L$475*100</f>
        <v>17.171717171717169</v>
      </c>
      <c r="F741" s="8">
        <f>$I$476/$L$476*100</f>
        <v>0</v>
      </c>
      <c r="G741" s="8">
        <f>SUM(B741:F741)</f>
        <v>100</v>
      </c>
      <c r="H741" s="8">
        <f>$I$552/$L$552*100</f>
        <v>66.666666666666657</v>
      </c>
      <c r="I741" s="8">
        <f>$I$553/$L$553*100</f>
        <v>25</v>
      </c>
      <c r="J741" s="8">
        <f>$I$554/$L$554*100</f>
        <v>0</v>
      </c>
      <c r="K741" s="8">
        <f>$I$555/$L$555*100</f>
        <v>8.3333333333333321</v>
      </c>
      <c r="L741" s="8">
        <f>$I$556/$L$556*100</f>
        <v>0</v>
      </c>
      <c r="M741" s="8">
        <f>SUM(H741:L741)</f>
        <v>99.999999999999986</v>
      </c>
      <c r="N741" s="8">
        <f>$I$632/$L$632*100</f>
        <v>48.484848484848484</v>
      </c>
      <c r="O741" s="8">
        <f>$I$633/$L$633*100</f>
        <v>12.121212121212121</v>
      </c>
      <c r="P741" s="8">
        <f>$I$634/$L$634*100</f>
        <v>3.0303030303030303</v>
      </c>
      <c r="Q741" s="8">
        <f>$I$635/$L$635*100</f>
        <v>36.363636363636367</v>
      </c>
      <c r="R741" s="8">
        <f>$I$636/$L$636*100</f>
        <v>0</v>
      </c>
      <c r="S741" s="8">
        <f>SUM(N741:R741)</f>
        <v>100</v>
      </c>
      <c r="T741" s="8">
        <f>$I$392/$L$392*100</f>
        <v>70</v>
      </c>
      <c r="U741" s="8">
        <f>$I$393/$L$393*100</f>
        <v>20</v>
      </c>
      <c r="V741" s="8">
        <f>$I$394/$L$394*100</f>
        <v>0</v>
      </c>
      <c r="W741" s="8">
        <f>$I$395/$L$395*100</f>
        <v>10</v>
      </c>
      <c r="X741" s="8">
        <f>$I$396/$L$396*100</f>
        <v>0</v>
      </c>
      <c r="Y741" s="8">
        <f>SUM(T741:X741)</f>
        <v>100</v>
      </c>
    </row>
    <row r="742" spans="1:30" x14ac:dyDescent="0.2">
      <c r="A742" s="5" t="s">
        <v>58</v>
      </c>
      <c r="B742" s="8">
        <f>$I$432/$L$432*100</f>
        <v>72.067039106145245</v>
      </c>
      <c r="C742" s="8">
        <f>$I$433/$L$433*100</f>
        <v>12.849162011173185</v>
      </c>
      <c r="D742" s="8">
        <f>$I$434/$L$434*100</f>
        <v>2.7932960893854748</v>
      </c>
      <c r="E742" s="8">
        <f>$I$435/$L$435*100</f>
        <v>12.290502793296088</v>
      </c>
      <c r="F742" s="8">
        <f>$I$436/$L$436*100</f>
        <v>0</v>
      </c>
      <c r="G742" s="8">
        <f>SUM(B742:F742)</f>
        <v>99.999999999999986</v>
      </c>
      <c r="H742" s="8">
        <f>$I$512/$L$512*100</f>
        <v>59.090909090909093</v>
      </c>
      <c r="I742" s="8">
        <f>$I$513/$L$513*100</f>
        <v>9.0909090909090917</v>
      </c>
      <c r="J742" s="8">
        <f>$I$514/$L$514*100</f>
        <v>9.0909090909090917</v>
      </c>
      <c r="K742" s="8">
        <f>$I$515/$L$515*100</f>
        <v>22.727272727272727</v>
      </c>
      <c r="L742" s="8">
        <f>$I$516/$L$516*100</f>
        <v>0</v>
      </c>
      <c r="M742" s="8">
        <f>SUM(H742:L742)</f>
        <v>100</v>
      </c>
      <c r="N742" s="8">
        <f>$I$592/$L$592*100</f>
        <v>42.857142857142854</v>
      </c>
      <c r="O742" s="8">
        <f>$I$593/$L$593*100</f>
        <v>14.285714285714285</v>
      </c>
      <c r="P742" s="8">
        <f>$I$594/$L$594*100</f>
        <v>7.1428571428571423</v>
      </c>
      <c r="Q742" s="8">
        <f>$I$595/$L$595*100</f>
        <v>35.714285714285715</v>
      </c>
      <c r="R742" s="8">
        <f>$I$596/$L$596*100</f>
        <v>0</v>
      </c>
      <c r="S742" s="8">
        <f>SUM(N742:R742)</f>
        <v>100</v>
      </c>
      <c r="T742" s="8">
        <f>$I$352/$L$352*100</f>
        <v>77.777777777777786</v>
      </c>
      <c r="U742" s="8">
        <f>$I$353/$L$353*100</f>
        <v>22.222222222222221</v>
      </c>
      <c r="V742" s="8">
        <f>$I$354/$L$354*100</f>
        <v>0</v>
      </c>
      <c r="W742" s="8">
        <f>$I$355/$L$355*100</f>
        <v>0</v>
      </c>
      <c r="X742" s="8">
        <f>$I$356/$L$356*100</f>
        <v>0</v>
      </c>
      <c r="Y742" s="8">
        <f>SUM(T742:X742)</f>
        <v>100</v>
      </c>
    </row>
    <row r="743" spans="1:30" ht="15" customHeight="1" x14ac:dyDescent="0.2">
      <c r="A743" s="5" t="s">
        <v>142</v>
      </c>
      <c r="B743" s="8">
        <f>$I$452/$L$452*100</f>
        <v>100</v>
      </c>
      <c r="C743" s="8">
        <f>$I$453/$L$453*100</f>
        <v>0</v>
      </c>
      <c r="D743" s="8">
        <f>$I$454/$L$454*100</f>
        <v>0</v>
      </c>
      <c r="E743" s="8">
        <f>$I$455/$L$455*100</f>
        <v>0</v>
      </c>
      <c r="F743" s="8">
        <f>$I$456/$L$456*100</f>
        <v>0</v>
      </c>
      <c r="G743" s="8">
        <f>SUM(B743:F743)</f>
        <v>100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f>SUM(H743:L743)</f>
        <v>0</v>
      </c>
      <c r="N743" s="8">
        <f>$I$612/$L$612*100</f>
        <v>33.333333333333329</v>
      </c>
      <c r="O743" s="8">
        <f>$I$613/$L$613*100</f>
        <v>66.666666666666657</v>
      </c>
      <c r="P743" s="8">
        <f>$I$614/$L$614*100</f>
        <v>0</v>
      </c>
      <c r="Q743" s="8">
        <f>$I$615/$L$615*100</f>
        <v>0</v>
      </c>
      <c r="R743" s="8">
        <f>$I$616/$L$616*100</f>
        <v>0</v>
      </c>
      <c r="S743" s="8">
        <f>SUM(N743:R743)</f>
        <v>99.999999999999986</v>
      </c>
      <c r="T743" s="8">
        <f>$I$372/$L$372*100</f>
        <v>0</v>
      </c>
      <c r="U743" s="8">
        <f>$I$373/$L$373*100</f>
        <v>100</v>
      </c>
      <c r="V743" s="8">
        <f>$I$374/$L$374*100</f>
        <v>0</v>
      </c>
      <c r="W743" s="8">
        <f>$I$375/$L$375*100</f>
        <v>0</v>
      </c>
      <c r="X743" s="8">
        <f>$I$376/$L$376*100</f>
        <v>0</v>
      </c>
      <c r="Y743" s="8">
        <f>SUM(T743:X743)</f>
        <v>100</v>
      </c>
    </row>
    <row r="744" spans="1:30" ht="16" thickBot="1" x14ac:dyDescent="0.25">
      <c r="A744" s="9" t="s">
        <v>59</v>
      </c>
      <c r="B744" s="8">
        <f>$I$412/$L$412*100</f>
        <v>25</v>
      </c>
      <c r="C744" s="8">
        <f>$I$413/$L$413*100</f>
        <v>35</v>
      </c>
      <c r="D744" s="8">
        <f>$I$414/$L$414*100</f>
        <v>20</v>
      </c>
      <c r="E744" s="8">
        <f>$I$415/$L$415*100</f>
        <v>20</v>
      </c>
      <c r="F744" s="8">
        <f>$I$416/$L$416*100</f>
        <v>0</v>
      </c>
      <c r="G744" s="8">
        <f>SUM(B744:F744)</f>
        <v>100</v>
      </c>
      <c r="H744" s="8">
        <f>$I$492/$L$492*100</f>
        <v>83.333333333333343</v>
      </c>
      <c r="I744" s="8">
        <f>$I$493/$L$493*100</f>
        <v>0</v>
      </c>
      <c r="J744" s="8">
        <f>$I$494/$L$494*100</f>
        <v>16.666666666666664</v>
      </c>
      <c r="K744" s="8">
        <f>$I$495/$L$495*100</f>
        <v>0</v>
      </c>
      <c r="L744" s="8">
        <f>$I$496/$L$496*100</f>
        <v>0</v>
      </c>
      <c r="M744" s="8">
        <f>SUM(H744:L744)</f>
        <v>100</v>
      </c>
      <c r="N744" s="8">
        <f>$I$572/$L$572*100</f>
        <v>52.941176470588239</v>
      </c>
      <c r="O744" s="8">
        <f>$I$573/$L$573*100</f>
        <v>29.411764705882355</v>
      </c>
      <c r="P744" s="8">
        <f>$I$574/$L$574*100</f>
        <v>5.8823529411764701</v>
      </c>
      <c r="Q744" s="8">
        <f>$I$575/$L$575*100</f>
        <v>11.76470588235294</v>
      </c>
      <c r="R744" s="8">
        <f>$I$576/$L$576*100</f>
        <v>0</v>
      </c>
      <c r="S744" s="8">
        <f>SUM(N744:R744)</f>
        <v>100</v>
      </c>
      <c r="T744" s="8">
        <f>$I$332/$L$332*100</f>
        <v>50</v>
      </c>
      <c r="U744" s="8">
        <f>$I$333/$L$333*100</f>
        <v>25</v>
      </c>
      <c r="V744" s="8">
        <f>$I$334/$L$334*100</f>
        <v>25</v>
      </c>
      <c r="W744" s="8">
        <f>$I$335/$L$335*100</f>
        <v>0</v>
      </c>
      <c r="X744" s="8">
        <f>$I$336/$L$336*100</f>
        <v>0</v>
      </c>
      <c r="Y744" s="8">
        <f>SUM(T744:X744)</f>
        <v>100</v>
      </c>
    </row>
    <row r="745" spans="1:30" x14ac:dyDescent="0.2">
      <c r="A745" s="10" t="s">
        <v>50</v>
      </c>
      <c r="B745" s="12">
        <f>AVERAGE(B741:B744)</f>
        <v>67.953628463404996</v>
      </c>
      <c r="C745" s="12">
        <f>AVERAGE(C741:C744)</f>
        <v>13.982492522995317</v>
      </c>
      <c r="D745" s="11">
        <f>AVERAGE(D741:D744)</f>
        <v>5.6983240223463687</v>
      </c>
      <c r="E745" s="11">
        <f>AVERAGE(E741:E744)</f>
        <v>12.365554991253315</v>
      </c>
      <c r="F745" s="11">
        <f>AVERAGE(F741:F744)</f>
        <v>0</v>
      </c>
      <c r="G745" s="12"/>
      <c r="H745" s="11">
        <f>AVERAGE(H741:H744)</f>
        <v>52.272727272727273</v>
      </c>
      <c r="I745" s="13">
        <f>AVERAGE(I741:I744)</f>
        <v>8.5227272727272734</v>
      </c>
      <c r="J745" s="14">
        <f>AVERAGE(J741:J744)</f>
        <v>6.4393939393939394</v>
      </c>
      <c r="K745" s="14">
        <f>AVERAGE(K741:K744)</f>
        <v>7.7651515151515147</v>
      </c>
      <c r="L745" s="14">
        <f>AVERAGE(L741:L744)</f>
        <v>0</v>
      </c>
      <c r="M745" s="12"/>
      <c r="N745" s="14">
        <f>AVERAGE(N741:N744)</f>
        <v>44.404125286478227</v>
      </c>
      <c r="O745" s="12">
        <f>AVERAGE(O741:O744)</f>
        <v>30.621339444868852</v>
      </c>
      <c r="P745" s="11">
        <f>AVERAGE(P741:P744)</f>
        <v>4.0138782785841611</v>
      </c>
      <c r="Q745" s="11">
        <f>AVERAGE(Q741:Q744)</f>
        <v>20.960656990068756</v>
      </c>
      <c r="R745" s="11">
        <f>AVERAGE(R741:R744)</f>
        <v>0</v>
      </c>
      <c r="S745" s="15"/>
      <c r="T745" s="14">
        <f>AVERAGE(T741:T744)</f>
        <v>49.444444444444443</v>
      </c>
      <c r="U745" s="12">
        <f>AVERAGE(U741:U744)</f>
        <v>41.805555555555557</v>
      </c>
      <c r="V745" s="11">
        <f>AVERAGE(V741:V744)</f>
        <v>6.25</v>
      </c>
      <c r="W745" s="11">
        <f>AVERAGE(W741:W744)</f>
        <v>2.5</v>
      </c>
      <c r="X745" s="11">
        <f>AVERAGE(X741:X744)</f>
        <v>0</v>
      </c>
      <c r="Y745" s="15"/>
      <c r="Z745" s="8">
        <f t="shared" ref="Z745:AD746" si="21">AVERAGE(B745,H745,N745,T745)</f>
        <v>53.518731366763731</v>
      </c>
      <c r="AA745" s="8">
        <f t="shared" si="21"/>
        <v>23.733028699036751</v>
      </c>
      <c r="AB745" s="8">
        <f t="shared" si="21"/>
        <v>5.6003990600811173</v>
      </c>
      <c r="AC745" s="8">
        <f t="shared" si="21"/>
        <v>10.897840874118398</v>
      </c>
      <c r="AD745" s="8">
        <f t="shared" si="21"/>
        <v>0</v>
      </c>
    </row>
    <row r="746" spans="1:30" ht="15" customHeight="1" x14ac:dyDescent="0.2">
      <c r="B746" s="8">
        <f>AVERAGE(B741:B742,B744)</f>
        <v>57.271504617873326</v>
      </c>
      <c r="C746" s="8">
        <f>AVERAGE(C741:C742,C744)</f>
        <v>18.643323363993755</v>
      </c>
      <c r="D746" s="8">
        <f>AVERAGE(D741:D742,D744)</f>
        <v>7.5977653631284916</v>
      </c>
      <c r="E746" s="8">
        <f>AVERAGE(E741:E742,E744)</f>
        <v>16.48740665500442</v>
      </c>
      <c r="F746" s="8">
        <f>AVERAGE(F741:F742,F744)</f>
        <v>0</v>
      </c>
      <c r="H746" s="8">
        <f>AVERAGE(H741:H742,H744)</f>
        <v>69.696969696969703</v>
      </c>
      <c r="I746" s="8">
        <f>AVERAGE(I741:I742,I744)</f>
        <v>11.363636363636365</v>
      </c>
      <c r="J746" s="8">
        <f>AVERAGE(J741:J742,J744)</f>
        <v>8.5858585858585865</v>
      </c>
      <c r="K746" s="8">
        <f>AVERAGE(K741:K742,K744)</f>
        <v>10.353535353535353</v>
      </c>
      <c r="L746" s="8">
        <f>AVERAGE(L741:L742,L744)</f>
        <v>0</v>
      </c>
      <c r="N746" s="8">
        <f>AVERAGE(N741:N742,N744)</f>
        <v>48.094389270859857</v>
      </c>
      <c r="O746" s="8">
        <f>AVERAGE(O741:O742,O744)</f>
        <v>18.606230370936256</v>
      </c>
      <c r="P746" s="8">
        <f>AVERAGE(P741:P742,P744)</f>
        <v>5.3518377047788812</v>
      </c>
      <c r="Q746" s="8">
        <f>AVERAGE(Q741:Q742,Q744)</f>
        <v>27.947542653425007</v>
      </c>
      <c r="R746" s="8">
        <f>AVERAGE(R741:R742,R744)</f>
        <v>0</v>
      </c>
      <c r="T746" s="8">
        <f>AVERAGE(T741:T742,T744)</f>
        <v>65.925925925925924</v>
      </c>
      <c r="U746" s="8">
        <f>AVERAGE(U741:U742,U744)</f>
        <v>22.407407407407408</v>
      </c>
      <c r="V746" s="8">
        <f>AVERAGE(V741:V742,V744)</f>
        <v>8.3333333333333339</v>
      </c>
      <c r="W746" s="8">
        <f>AVERAGE(W741:W742,W744)</f>
        <v>3.3333333333333335</v>
      </c>
      <c r="X746" s="8">
        <f>AVERAGE(X741:X742,X744)</f>
        <v>0</v>
      </c>
      <c r="Z746" s="8">
        <f t="shared" si="21"/>
        <v>60.247197377907206</v>
      </c>
      <c r="AA746" s="8">
        <f t="shared" si="21"/>
        <v>17.755149376493446</v>
      </c>
      <c r="AB746" s="8">
        <f t="shared" si="21"/>
        <v>7.4671987467748231</v>
      </c>
      <c r="AC746" s="8">
        <f t="shared" si="21"/>
        <v>14.530454498824529</v>
      </c>
      <c r="AD746" s="8">
        <f t="shared" si="21"/>
        <v>0</v>
      </c>
    </row>
    <row r="748" spans="1:30" ht="48" x14ac:dyDescent="0.2">
      <c r="A748" s="2" t="s">
        <v>154</v>
      </c>
      <c r="B748" s="3" t="s">
        <v>53</v>
      </c>
      <c r="C748" s="3"/>
      <c r="D748" s="3"/>
      <c r="E748" s="3"/>
      <c r="F748" s="3"/>
      <c r="G748" s="4" t="s">
        <v>64</v>
      </c>
      <c r="H748" s="3" t="s">
        <v>54</v>
      </c>
      <c r="I748" s="3"/>
      <c r="J748" s="3"/>
      <c r="K748" s="3"/>
      <c r="L748" s="3"/>
      <c r="M748" s="4" t="s">
        <v>64</v>
      </c>
      <c r="N748" s="3" t="s">
        <v>55</v>
      </c>
      <c r="O748" s="3"/>
      <c r="P748" s="3"/>
      <c r="Q748" s="3"/>
      <c r="R748" s="3"/>
      <c r="S748" s="4" t="s">
        <v>64</v>
      </c>
      <c r="T748" s="3" t="s">
        <v>56</v>
      </c>
      <c r="U748" s="3"/>
      <c r="V748" s="3"/>
      <c r="W748" s="3"/>
      <c r="X748" s="3"/>
      <c r="Y748" s="4" t="s">
        <v>64</v>
      </c>
    </row>
    <row r="749" spans="1:30" x14ac:dyDescent="0.2">
      <c r="A749" s="3"/>
      <c r="B749" s="4" t="s">
        <v>20</v>
      </c>
      <c r="C749" s="4" t="s">
        <v>21</v>
      </c>
      <c r="D749" s="4" t="s">
        <v>60</v>
      </c>
      <c r="E749" s="4" t="s">
        <v>61</v>
      </c>
      <c r="F749" s="4" t="s">
        <v>62</v>
      </c>
      <c r="G749" s="4"/>
      <c r="H749" s="4" t="s">
        <v>20</v>
      </c>
      <c r="I749" s="4" t="s">
        <v>21</v>
      </c>
      <c r="J749" s="4" t="s">
        <v>60</v>
      </c>
      <c r="K749" s="4" t="s">
        <v>61</v>
      </c>
      <c r="L749" s="4" t="s">
        <v>62</v>
      </c>
      <c r="M749" s="4"/>
      <c r="N749" s="4" t="s">
        <v>20</v>
      </c>
      <c r="O749" s="4" t="s">
        <v>21</v>
      </c>
      <c r="P749" s="4" t="s">
        <v>60</v>
      </c>
      <c r="Q749" s="4" t="s">
        <v>61</v>
      </c>
      <c r="R749" s="4" t="s">
        <v>62</v>
      </c>
      <c r="S749" s="4"/>
      <c r="T749" s="4" t="s">
        <v>20</v>
      </c>
      <c r="U749" s="4" t="s">
        <v>21</v>
      </c>
      <c r="V749" s="4" t="s">
        <v>60</v>
      </c>
      <c r="W749" s="4" t="s">
        <v>61</v>
      </c>
      <c r="X749" s="4" t="s">
        <v>62</v>
      </c>
      <c r="Y749" s="4"/>
    </row>
    <row r="750" spans="1:30" x14ac:dyDescent="0.2">
      <c r="A750" s="5" t="s">
        <v>57</v>
      </c>
      <c r="B750" s="8">
        <f>$I$477/$L$477*100</f>
        <v>41.904761904761905</v>
      </c>
      <c r="C750" s="8">
        <f>$I$478/$L$478*100</f>
        <v>31.428571428571427</v>
      </c>
      <c r="D750" s="8">
        <f>$I$479/$L$479*100</f>
        <v>8.5714285714285712</v>
      </c>
      <c r="E750" s="8">
        <f>$I$480/$L$480*100</f>
        <v>18.095238095238095</v>
      </c>
      <c r="F750" s="8">
        <f>$I$481/$L$481*100</f>
        <v>0</v>
      </c>
      <c r="G750" s="8">
        <f>SUM(B750:F750)</f>
        <v>100</v>
      </c>
      <c r="H750" s="8">
        <f>$I$557/$L$557*100</f>
        <v>21.428571428571427</v>
      </c>
      <c r="I750" s="8">
        <f>$I$558/$L$558*100</f>
        <v>64.285714285714292</v>
      </c>
      <c r="J750" s="8">
        <f>$I$559/$L$559*100</f>
        <v>0</v>
      </c>
      <c r="K750" s="8">
        <f>$I$560/$L$560*100</f>
        <v>14.285714285714285</v>
      </c>
      <c r="L750" s="8">
        <f>$I$561/$L$561*100</f>
        <v>0</v>
      </c>
      <c r="M750" s="8">
        <f>SUM(H750:L750)</f>
        <v>100</v>
      </c>
      <c r="N750" s="8">
        <f>$I$637/$L$637*100</f>
        <v>50</v>
      </c>
      <c r="O750" s="8">
        <f>$I$638/$L$638*100</f>
        <v>9.375</v>
      </c>
      <c r="P750" s="8">
        <f>$I$639/$L$639*100</f>
        <v>9.375</v>
      </c>
      <c r="Q750" s="8">
        <f>$I$640/$L$640*100</f>
        <v>31.25</v>
      </c>
      <c r="R750" s="8">
        <f>$I$641/$L$641*100</f>
        <v>0</v>
      </c>
      <c r="S750" s="8">
        <f>SUM(N750:R750)</f>
        <v>100</v>
      </c>
      <c r="T750" s="8">
        <f>$I$397/$L$397*100</f>
        <v>85.714285714285708</v>
      </c>
      <c r="U750" s="8">
        <f>$I$398/$L$398*100</f>
        <v>0</v>
      </c>
      <c r="V750" s="8">
        <f>$I$399/$L$399*100</f>
        <v>0</v>
      </c>
      <c r="W750" s="8">
        <f>$I$400/$L$400*100</f>
        <v>14.285714285714285</v>
      </c>
      <c r="X750" s="8">
        <f>$I$41*100</f>
        <v>0</v>
      </c>
      <c r="Y750" s="8">
        <f>SUM(T750:X750)</f>
        <v>100</v>
      </c>
    </row>
    <row r="751" spans="1:30" x14ac:dyDescent="0.2">
      <c r="A751" s="5" t="s">
        <v>58</v>
      </c>
      <c r="B751" s="8">
        <f>$I$437/$L$437*100</f>
        <v>68.141592920353972</v>
      </c>
      <c r="C751" s="8">
        <f>$I$438/$L$438*100</f>
        <v>18.584070796460178</v>
      </c>
      <c r="D751" s="8">
        <f>$I$439/$L$439*100</f>
        <v>3.9823008849557522</v>
      </c>
      <c r="E751" s="8">
        <f>$I$440/$L$440*100</f>
        <v>9.2920353982300892</v>
      </c>
      <c r="F751" s="8">
        <f>$I$441/$L$441*100</f>
        <v>0</v>
      </c>
      <c r="G751" s="8">
        <f>SUM(B751:F751)</f>
        <v>99.999999999999986</v>
      </c>
      <c r="H751" s="8">
        <f>$I$517/$L$517*100</f>
        <v>41.17647058823529</v>
      </c>
      <c r="I751" s="8">
        <f>$I$518/$L$518*100</f>
        <v>35.294117647058826</v>
      </c>
      <c r="J751" s="8">
        <f>$I$519/$L$519*100</f>
        <v>5.8823529411764701</v>
      </c>
      <c r="K751" s="8">
        <f>$I$520/$L$520*100</f>
        <v>17.647058823529413</v>
      </c>
      <c r="L751" s="8">
        <f>$I$521/$L$521*100</f>
        <v>0</v>
      </c>
      <c r="M751" s="8">
        <f>SUM(H751:L751)</f>
        <v>100</v>
      </c>
      <c r="N751" s="8">
        <f>$I$597/$L$597*100</f>
        <v>45</v>
      </c>
      <c r="O751" s="8">
        <f>$I$598/$L$598*100</f>
        <v>10</v>
      </c>
      <c r="P751" s="8">
        <f>$I$599/$L$599*100</f>
        <v>10</v>
      </c>
      <c r="Q751" s="8">
        <f>$I$600/$L$600*100</f>
        <v>35</v>
      </c>
      <c r="R751" s="8">
        <f>$I$61*100</f>
        <v>0</v>
      </c>
      <c r="S751" s="8">
        <f>SUM(N751:R751)</f>
        <v>100</v>
      </c>
      <c r="T751" s="8">
        <f>$I$357/$L$357*100</f>
        <v>50</v>
      </c>
      <c r="U751" s="8">
        <f>$I$358/$L$358*100</f>
        <v>43.75</v>
      </c>
      <c r="V751" s="8">
        <f>$I$359/$L$359*100</f>
        <v>6.25</v>
      </c>
      <c r="W751" s="8">
        <f>$I$360/$L$360*100</f>
        <v>0</v>
      </c>
      <c r="X751" s="8">
        <f>$I$361/$L$361*100</f>
        <v>0</v>
      </c>
      <c r="Y751" s="8">
        <f>SUM(T751:X751)</f>
        <v>100</v>
      </c>
    </row>
    <row r="752" spans="1:30" x14ac:dyDescent="0.2">
      <c r="A752" s="5" t="s">
        <v>142</v>
      </c>
      <c r="B752" s="8">
        <f>$I$457/$L$457*100</f>
        <v>0</v>
      </c>
      <c r="C752" s="8">
        <f>$I$458/$L$458*100</f>
        <v>50</v>
      </c>
      <c r="D752" s="8">
        <f>$I$459/$L$459*100</f>
        <v>0</v>
      </c>
      <c r="E752" s="8">
        <f>$I$460/$L$460*100</f>
        <v>50</v>
      </c>
      <c r="F752" s="8">
        <f>$I$461/$L$461*100</f>
        <v>0</v>
      </c>
      <c r="G752" s="8">
        <f>SUM(B752:F752)</f>
        <v>100</v>
      </c>
      <c r="H752" s="8">
        <f>$I$537/$L$537*100</f>
        <v>0</v>
      </c>
      <c r="I752" s="8">
        <f>$I$538/$L$538*100</f>
        <v>0</v>
      </c>
      <c r="J752" s="8">
        <f>$I$539/$L$539*100</f>
        <v>100</v>
      </c>
      <c r="K752" s="8">
        <f>$I$540/$L$540*100</f>
        <v>0</v>
      </c>
      <c r="L752" s="8">
        <f>$I$541/$L$541*100</f>
        <v>0</v>
      </c>
      <c r="M752" s="8">
        <f>SUM(H752:L752)</f>
        <v>100</v>
      </c>
      <c r="N752" s="8">
        <f>$I$617/$L$617*100</f>
        <v>66.666666666666657</v>
      </c>
      <c r="O752" s="8">
        <f>$I$618/$L$618*100</f>
        <v>0</v>
      </c>
      <c r="P752" s="8">
        <f>$I$619/$L$619*100</f>
        <v>0</v>
      </c>
      <c r="Q752" s="8">
        <f>$I$620/$L$620*100</f>
        <v>33.333333333333329</v>
      </c>
      <c r="R752" s="8">
        <f>$I$621/$L$621*100</f>
        <v>0</v>
      </c>
      <c r="S752" s="8">
        <f>SUM(N752:R752)</f>
        <v>99.999999999999986</v>
      </c>
      <c r="T752" s="8">
        <f>$I$377/$L$377*100</f>
        <v>0</v>
      </c>
      <c r="U752" s="8">
        <f>$I$378/$L$378*100</f>
        <v>100</v>
      </c>
      <c r="V752" s="8">
        <f>$I$379/$L$379*100</f>
        <v>0</v>
      </c>
      <c r="W752" s="8">
        <f>$I$380/$L$380*100</f>
        <v>0</v>
      </c>
      <c r="X752" s="8">
        <f>$I$381/$L$381*100</f>
        <v>0</v>
      </c>
      <c r="Y752" s="8">
        <f>SUM(T752:X752)</f>
        <v>100</v>
      </c>
    </row>
    <row r="753" spans="1:40" ht="16" thickBot="1" x14ac:dyDescent="0.25">
      <c r="A753" s="9" t="s">
        <v>59</v>
      </c>
      <c r="B753" s="8">
        <f>$I$417/$L$417*100</f>
        <v>8.3333333333333321</v>
      </c>
      <c r="C753" s="8">
        <f>$I$418/$L$418*100</f>
        <v>66.666666666666657</v>
      </c>
      <c r="D753" s="8">
        <f>$I$419/$L$419*100</f>
        <v>8.3333333333333321</v>
      </c>
      <c r="E753" s="8">
        <f>$I$420/$L$420*100</f>
        <v>16.666666666666664</v>
      </c>
      <c r="F753" s="8">
        <f>$I$421/$L$421*100</f>
        <v>0</v>
      </c>
      <c r="G753" s="8">
        <f>SUM(B753:F753)</f>
        <v>99.999999999999972</v>
      </c>
      <c r="H753" s="8">
        <f>$I$497/$L$497*100</f>
        <v>0</v>
      </c>
      <c r="I753" s="8">
        <f>$I$498/$L$498*100</f>
        <v>66.666666666666657</v>
      </c>
      <c r="J753" s="8">
        <f>$I$499/$L$499*100</f>
        <v>0</v>
      </c>
      <c r="K753" s="8">
        <f>$I$500/$L$500*100</f>
        <v>33.333333333333329</v>
      </c>
      <c r="L753" s="8">
        <f>$I$51*100</f>
        <v>0</v>
      </c>
      <c r="M753" s="8">
        <f>SUM(H753:L753)</f>
        <v>99.999999999999986</v>
      </c>
      <c r="N753" s="8">
        <f>$I$577/$L$577*100</f>
        <v>41.666666666666671</v>
      </c>
      <c r="O753" s="8">
        <f>$I$578/$L$578*100</f>
        <v>25</v>
      </c>
      <c r="P753" s="8">
        <f>$I$579/$L$579*100</f>
        <v>8.3333333333333321</v>
      </c>
      <c r="Q753" s="8">
        <f>$I$580/$L$580*100</f>
        <v>25</v>
      </c>
      <c r="R753" s="8">
        <f>$I$581/$L$581*100</f>
        <v>0</v>
      </c>
      <c r="S753" s="8">
        <f>SUM(N753:R753)</f>
        <v>100</v>
      </c>
      <c r="T753" s="8">
        <f>$I$337/$L$337*100</f>
        <v>16.666666666666664</v>
      </c>
      <c r="U753" s="8">
        <f>$I$338/$L$338*100</f>
        <v>66.666666666666657</v>
      </c>
      <c r="V753" s="8">
        <f>$I$339/$L$339*100</f>
        <v>0</v>
      </c>
      <c r="W753" s="8">
        <f>$I$340/$L$340*100</f>
        <v>16.666666666666664</v>
      </c>
      <c r="X753" s="8">
        <f>$I$341/$L$341*100</f>
        <v>0</v>
      </c>
      <c r="Y753" s="8">
        <f>SUM(T753:X753)</f>
        <v>99.999999999999972</v>
      </c>
    </row>
    <row r="754" spans="1:40" x14ac:dyDescent="0.2">
      <c r="A754" s="10" t="s">
        <v>50</v>
      </c>
      <c r="B754" s="12">
        <f>AVERAGE(B750:B753)</f>
        <v>29.594922039612303</v>
      </c>
      <c r="C754" s="12">
        <f>AVERAGE(C750:C753)</f>
        <v>41.669827222924567</v>
      </c>
      <c r="D754" s="11">
        <f>AVERAGE(D750:D753)</f>
        <v>5.2217656974294133</v>
      </c>
      <c r="E754" s="11">
        <f>AVERAGE(E750:E753)</f>
        <v>23.513485040033714</v>
      </c>
      <c r="F754" s="11">
        <f>AVERAGE(F750:F753)</f>
        <v>0</v>
      </c>
      <c r="G754" s="12"/>
      <c r="H754" s="11">
        <f>AVERAGE(H750:H753)</f>
        <v>15.65126050420168</v>
      </c>
      <c r="I754" s="13">
        <f>AVERAGE(I750:I753)</f>
        <v>41.561624649859944</v>
      </c>
      <c r="J754" s="14">
        <f>AVERAGE(J750:J753)</f>
        <v>26.470588235294116</v>
      </c>
      <c r="K754" s="14">
        <f>AVERAGE(K750:K753)</f>
        <v>16.316526610644257</v>
      </c>
      <c r="L754" s="14">
        <f>AVERAGE(L750:L753)</f>
        <v>0</v>
      </c>
      <c r="M754" s="12"/>
      <c r="N754" s="14">
        <f>AVERAGE(N750:N753)</f>
        <v>50.833333333333329</v>
      </c>
      <c r="O754" s="12">
        <f>AVERAGE(O750:O753)</f>
        <v>11.09375</v>
      </c>
      <c r="P754" s="11">
        <f>AVERAGE(P750:P753)</f>
        <v>6.927083333333333</v>
      </c>
      <c r="Q754" s="11">
        <f>AVERAGE(Q750:Q753)</f>
        <v>31.145833333333332</v>
      </c>
      <c r="R754" s="11">
        <f>AVERAGE(R750:R753)</f>
        <v>0</v>
      </c>
      <c r="S754" s="15"/>
      <c r="T754" s="14">
        <f>AVERAGE(T750:T753)</f>
        <v>38.095238095238095</v>
      </c>
      <c r="U754" s="12">
        <f>AVERAGE(U750:U753)</f>
        <v>52.604166666666664</v>
      </c>
      <c r="V754" s="11">
        <f>AVERAGE(V750:V753)</f>
        <v>1.5625</v>
      </c>
      <c r="W754" s="11">
        <f>AVERAGE(W750:W753)</f>
        <v>7.7380952380952372</v>
      </c>
      <c r="X754" s="11">
        <f>AVERAGE(X750:X753)</f>
        <v>0</v>
      </c>
      <c r="Y754" s="15"/>
      <c r="Z754" s="8">
        <f t="shared" ref="Z754:AD755" si="22">AVERAGE(B754,H754,N754,T754)</f>
        <v>33.543688493096354</v>
      </c>
      <c r="AA754" s="8">
        <f t="shared" si="22"/>
        <v>36.73234213486279</v>
      </c>
      <c r="AB754" s="8">
        <f t="shared" si="22"/>
        <v>10.045484316514216</v>
      </c>
      <c r="AC754" s="8">
        <f t="shared" si="22"/>
        <v>19.678485055526636</v>
      </c>
      <c r="AD754" s="8">
        <f t="shared" si="22"/>
        <v>0</v>
      </c>
    </row>
    <row r="755" spans="1:40" x14ac:dyDescent="0.2">
      <c r="B755" s="8">
        <f>AVERAGE(B750:B751,B753)</f>
        <v>39.459896052816404</v>
      </c>
      <c r="C755" s="8">
        <f>AVERAGE(C750:C751,C753)</f>
        <v>38.893102963899423</v>
      </c>
      <c r="D755" s="8">
        <f>AVERAGE(D750:D751,D753)</f>
        <v>6.9623542632392175</v>
      </c>
      <c r="E755" s="8">
        <f>AVERAGE(E750:E751,E753)</f>
        <v>14.684646720044951</v>
      </c>
      <c r="F755" s="8">
        <f>AVERAGE(F750:F751,F753)</f>
        <v>0</v>
      </c>
      <c r="H755" s="8">
        <f>AVERAGE(H750:H751,H753)</f>
        <v>20.868347338935575</v>
      </c>
      <c r="I755" s="8">
        <f>AVERAGE(I750:I751,I753)</f>
        <v>55.415499533146594</v>
      </c>
      <c r="J755" s="8">
        <f>AVERAGE(J750:J751,J753)</f>
        <v>1.9607843137254901</v>
      </c>
      <c r="K755" s="8">
        <f>AVERAGE(K750:K751,K753)</f>
        <v>21.755368814192341</v>
      </c>
      <c r="L755" s="8">
        <f>AVERAGE(L750:L751,L753)</f>
        <v>0</v>
      </c>
      <c r="N755" s="8">
        <f>AVERAGE(N750:N751,N753)</f>
        <v>45.555555555555564</v>
      </c>
      <c r="O755" s="8">
        <f>AVERAGE(O750:O751,O753)</f>
        <v>14.791666666666666</v>
      </c>
      <c r="P755" s="8">
        <f>AVERAGE(P750:P751,P753)</f>
        <v>9.2361111111111107</v>
      </c>
      <c r="Q755" s="8">
        <f>AVERAGE(Q750:Q751,Q753)</f>
        <v>30.416666666666668</v>
      </c>
      <c r="R755" s="8">
        <f>AVERAGE(R750:R751,R753)</f>
        <v>0</v>
      </c>
      <c r="T755" s="8">
        <f>AVERAGE(T750:T751,T753)</f>
        <v>50.793650793650791</v>
      </c>
      <c r="U755" s="8">
        <f>AVERAGE(U750:U751,U753)</f>
        <v>36.80555555555555</v>
      </c>
      <c r="V755" s="8">
        <f>AVERAGE(V750:V751,V753)</f>
        <v>2.0833333333333335</v>
      </c>
      <c r="W755" s="8">
        <f>AVERAGE(W750:W751,W753)</f>
        <v>10.317460317460316</v>
      </c>
      <c r="X755" s="8">
        <f>AVERAGE(X750:X751,X753)</f>
        <v>0</v>
      </c>
      <c r="Z755" s="8">
        <f t="shared" si="22"/>
        <v>39.169362435239584</v>
      </c>
      <c r="AA755" s="8">
        <f t="shared" si="22"/>
        <v>36.476456179817063</v>
      </c>
      <c r="AB755" s="8">
        <f t="shared" si="22"/>
        <v>5.0606457553522874</v>
      </c>
      <c r="AC755" s="8">
        <f t="shared" si="22"/>
        <v>19.293535629591069</v>
      </c>
      <c r="AD755" s="8">
        <f t="shared" si="22"/>
        <v>0</v>
      </c>
    </row>
    <row r="757" spans="1:40" ht="48" x14ac:dyDescent="0.2">
      <c r="A757" s="2" t="s">
        <v>155</v>
      </c>
      <c r="B757" s="3" t="s">
        <v>53</v>
      </c>
      <c r="C757" s="3"/>
      <c r="D757" s="3"/>
      <c r="E757" s="3"/>
      <c r="F757" s="3"/>
      <c r="G757" s="4" t="s">
        <v>64</v>
      </c>
      <c r="H757" s="3" t="s">
        <v>54</v>
      </c>
      <c r="I757" s="3"/>
      <c r="J757" s="3"/>
      <c r="K757" s="3"/>
      <c r="L757" s="3"/>
      <c r="M757" s="4" t="s">
        <v>64</v>
      </c>
      <c r="N757" s="3" t="s">
        <v>55</v>
      </c>
      <c r="O757" s="3"/>
      <c r="P757" s="3"/>
      <c r="Q757" s="3"/>
      <c r="R757" s="3"/>
      <c r="S757" s="4" t="s">
        <v>64</v>
      </c>
      <c r="T757" s="3" t="s">
        <v>56</v>
      </c>
      <c r="U757" s="3"/>
      <c r="V757" s="3"/>
      <c r="W757" s="3"/>
      <c r="X757" s="3"/>
      <c r="Y757" s="4" t="s">
        <v>64</v>
      </c>
    </row>
    <row r="758" spans="1:40" x14ac:dyDescent="0.2">
      <c r="A758" s="3"/>
      <c r="B758" s="4" t="s">
        <v>20</v>
      </c>
      <c r="C758" s="4" t="s">
        <v>21</v>
      </c>
      <c r="D758" s="4" t="s">
        <v>60</v>
      </c>
      <c r="E758" s="4" t="s">
        <v>61</v>
      </c>
      <c r="F758" s="4" t="s">
        <v>62</v>
      </c>
      <c r="G758" s="4"/>
      <c r="H758" s="4" t="s">
        <v>20</v>
      </c>
      <c r="I758" s="4" t="s">
        <v>21</v>
      </c>
      <c r="J758" s="4" t="s">
        <v>60</v>
      </c>
      <c r="K758" s="4" t="s">
        <v>61</v>
      </c>
      <c r="L758" s="4" t="s">
        <v>62</v>
      </c>
      <c r="M758" s="4"/>
      <c r="N758" s="4" t="s">
        <v>20</v>
      </c>
      <c r="O758" s="4" t="s">
        <v>21</v>
      </c>
      <c r="P758" s="4" t="s">
        <v>60</v>
      </c>
      <c r="Q758" s="4" t="s">
        <v>61</v>
      </c>
      <c r="R758" s="4" t="s">
        <v>62</v>
      </c>
      <c r="S758" s="4"/>
      <c r="T758" s="4" t="s">
        <v>20</v>
      </c>
      <c r="U758" s="4" t="s">
        <v>21</v>
      </c>
      <c r="V758" s="4" t="s">
        <v>60</v>
      </c>
      <c r="W758" s="4" t="s">
        <v>61</v>
      </c>
      <c r="X758" s="4" t="s">
        <v>62</v>
      </c>
      <c r="Y758" s="4"/>
    </row>
    <row r="759" spans="1:40" x14ac:dyDescent="0.2">
      <c r="A759" s="5" t="s">
        <v>57</v>
      </c>
      <c r="B759" s="8">
        <f>$J$467/$M$467*100</f>
        <v>57.894736842105267</v>
      </c>
      <c r="C759" s="8">
        <f>$J$468/$M$468*100</f>
        <v>25.730994152046783</v>
      </c>
      <c r="D759" s="8">
        <f>$J$469/$M$469*100</f>
        <v>12.865497076023392</v>
      </c>
      <c r="E759" s="8">
        <f>$J$470/$M$470*100</f>
        <v>3.5087719298245612</v>
      </c>
      <c r="F759" s="8">
        <f>$J$471/$M$471*100</f>
        <v>0</v>
      </c>
      <c r="G759" s="8">
        <f>SUM(B759:F759)</f>
        <v>100</v>
      </c>
      <c r="H759" s="8">
        <f>$J$547/$M$547*100</f>
        <v>76.470588235294116</v>
      </c>
      <c r="I759" s="8">
        <f>$J$548/$M$548*100</f>
        <v>20.588235294117645</v>
      </c>
      <c r="J759" s="8">
        <f>$J$549/$M$549*100</f>
        <v>2.9411764705882351</v>
      </c>
      <c r="K759" s="8">
        <f>$J$550/$M$550*100</f>
        <v>0</v>
      </c>
      <c r="L759" s="8">
        <f>$J$551/$M$551*100</f>
        <v>0</v>
      </c>
      <c r="M759" s="8">
        <f>SUM(H759:L759)</f>
        <v>100</v>
      </c>
      <c r="N759" s="8">
        <f>$J$627/$M$627*100</f>
        <v>90</v>
      </c>
      <c r="O759" s="8">
        <f>$J$628/$M$628*100</f>
        <v>8.125</v>
      </c>
      <c r="P759" s="8">
        <f>$J$629/$M$629*100</f>
        <v>0.625</v>
      </c>
      <c r="Q759" s="8">
        <f>$J$630/$M$630*100</f>
        <v>1.25</v>
      </c>
      <c r="R759" s="8">
        <f>$J$631/$M$631*100</f>
        <v>0</v>
      </c>
      <c r="S759" s="8">
        <f>SUM(N759:R759)</f>
        <v>100</v>
      </c>
      <c r="T759" s="8">
        <f>$J$387/$M$387*100</f>
        <v>57.142857142857139</v>
      </c>
      <c r="U759" s="8">
        <f>$J$388/$M$388*100</f>
        <v>35.714285714285715</v>
      </c>
      <c r="V759" s="8">
        <f>$J$389/$M$389*100</f>
        <v>0</v>
      </c>
      <c r="W759" s="8">
        <f>$J$390/$M$390*100</f>
        <v>7.1428571428571423</v>
      </c>
      <c r="X759" s="8">
        <f>$J$391/$M$391*100</f>
        <v>0</v>
      </c>
      <c r="Y759" s="8">
        <f>SUM(T759:X759)</f>
        <v>100</v>
      </c>
      <c r="Z759" s="8">
        <f>AVERAGE(B759:F759,H759:L759,N759:R759,T759:X759)</f>
        <v>20</v>
      </c>
    </row>
    <row r="760" spans="1:40" x14ac:dyDescent="0.2">
      <c r="A760" s="5" t="s">
        <v>58</v>
      </c>
      <c r="B760" s="8">
        <f>$J$427/$M$427*100</f>
        <v>40.689655172413794</v>
      </c>
      <c r="C760" s="8">
        <f>$J$428/$M$428*100</f>
        <v>24.137931034482758</v>
      </c>
      <c r="D760" s="8">
        <f>$J$429/$M$429*100</f>
        <v>13.793103448275861</v>
      </c>
      <c r="E760" s="8">
        <f>$J$430/$M$430*100</f>
        <v>21.379310344827587</v>
      </c>
      <c r="F760" s="8">
        <f>$J$431/$M$431*100</f>
        <v>0</v>
      </c>
      <c r="G760" s="8">
        <f>SUM(B760:F760)</f>
        <v>100</v>
      </c>
      <c r="H760" s="8">
        <f>$J$507/$M$507*100</f>
        <v>56.000000000000007</v>
      </c>
      <c r="I760" s="8">
        <f>$J$508/$M$508*100</f>
        <v>28.000000000000004</v>
      </c>
      <c r="J760" s="8">
        <f>$J$509/$M$509*100</f>
        <v>4</v>
      </c>
      <c r="K760" s="8">
        <f>$J$510/$M$510*100</f>
        <v>12</v>
      </c>
      <c r="L760" s="8">
        <f>$J$511/$M$511*100</f>
        <v>0</v>
      </c>
      <c r="M760" s="8">
        <f>SUM(H760:L760)</f>
        <v>100.00000000000001</v>
      </c>
      <c r="N760" s="8">
        <f>$J$587/$M$587*100</f>
        <v>27.941176470588236</v>
      </c>
      <c r="O760" s="8">
        <f>$J$588/$M$588*100</f>
        <v>31.617647058823529</v>
      </c>
      <c r="P760" s="8">
        <f>$J$589/$M$589*100</f>
        <v>11.76470588235294</v>
      </c>
      <c r="Q760" s="8">
        <f>$J$590/$M$590*100</f>
        <v>28.676470588235293</v>
      </c>
      <c r="R760" s="8">
        <f>$J$591/$M$591*100</f>
        <v>0</v>
      </c>
      <c r="S760" s="8">
        <f>SUM(N760:R760)</f>
        <v>100</v>
      </c>
      <c r="T760" s="8">
        <f>$J$347/$M$347*100</f>
        <v>42.307692307692307</v>
      </c>
      <c r="U760" s="8">
        <f>$J$348/$M$348*100</f>
        <v>11.538461538461538</v>
      </c>
      <c r="V760" s="8">
        <f>$J$349/$M$349*100</f>
        <v>3.8461538461538463</v>
      </c>
      <c r="W760" s="8">
        <f>$J$350/$M$350*100</f>
        <v>42.307692307692307</v>
      </c>
      <c r="X760" s="8">
        <f>$J$351/$M$351*100</f>
        <v>0</v>
      </c>
      <c r="Y760" s="8">
        <f>SUM(T760:X760)</f>
        <v>100</v>
      </c>
      <c r="Z760" s="8">
        <f t="shared" ref="Z760:Z762" si="23">AVERAGE(B760:F760,H760:L760,N760:R760,T760:X760)</f>
        <v>20.000000000000004</v>
      </c>
    </row>
    <row r="761" spans="1:40" x14ac:dyDescent="0.2">
      <c r="A761" s="5" t="s">
        <v>142</v>
      </c>
      <c r="B761" s="8">
        <f>$J$447/$M$447*100</f>
        <v>66.666666666666657</v>
      </c>
      <c r="C761" s="8">
        <f>$J$448/$M$448*100</f>
        <v>25</v>
      </c>
      <c r="D761" s="8">
        <f>$J$449/$M$449*100</f>
        <v>8.3333333333333321</v>
      </c>
      <c r="E761" s="8">
        <f>$J$450/$M$450*100</f>
        <v>0</v>
      </c>
      <c r="F761" s="8">
        <f>$J$451/$M$451*100</f>
        <v>0</v>
      </c>
      <c r="G761" s="8">
        <f>SUM(B761:F761)</f>
        <v>99.999999999999986</v>
      </c>
      <c r="H761" s="8">
        <f>$J$527/$M$527*100</f>
        <v>100</v>
      </c>
      <c r="I761" s="8">
        <f>$J$528/$M$528*100</f>
        <v>0</v>
      </c>
      <c r="J761" s="8">
        <f>$J$529/$M$529*100</f>
        <v>0</v>
      </c>
      <c r="K761" s="8">
        <f>$J$530/$M$530*100</f>
        <v>0</v>
      </c>
      <c r="L761" s="8">
        <f>$J$531/$M$531*100</f>
        <v>0</v>
      </c>
      <c r="M761" s="8">
        <f>SUM(H761:L761)</f>
        <v>100</v>
      </c>
      <c r="N761" s="8">
        <f>$J$607/$M$607*100</f>
        <v>54.838709677419352</v>
      </c>
      <c r="O761" s="8">
        <f>$J$608/$M$608*100</f>
        <v>29.032258064516132</v>
      </c>
      <c r="P761" s="8">
        <f>$J$609/$M$609*100</f>
        <v>6.4516129032258061</v>
      </c>
      <c r="Q761" s="8">
        <f>$J$610/$M$610*100</f>
        <v>9.67741935483871</v>
      </c>
      <c r="R761" s="8">
        <f>$J$611/$M$611*100</f>
        <v>0</v>
      </c>
      <c r="S761" s="8">
        <f>SUM(N761:R761)</f>
        <v>100</v>
      </c>
      <c r="T761" s="8">
        <f>$J$367/$M$367*100</f>
        <v>60</v>
      </c>
      <c r="U761" s="8">
        <f>$J$368/$M$368*100</f>
        <v>20</v>
      </c>
      <c r="V761" s="8">
        <f>$J$369/$M$369*100</f>
        <v>20</v>
      </c>
      <c r="W761" s="8">
        <f>$J$370/$M$370*100</f>
        <v>0</v>
      </c>
      <c r="X761" s="8">
        <f>$J$371/$M$371*100</f>
        <v>0</v>
      </c>
      <c r="Y761" s="8">
        <f>SUM(T761:X761)</f>
        <v>100</v>
      </c>
      <c r="Z761" s="8">
        <f>AVERAGE(B761:F761,H761:L761,N761:R761,T761:X761)</f>
        <v>20</v>
      </c>
    </row>
    <row r="762" spans="1:40" ht="16" thickBot="1" x14ac:dyDescent="0.25">
      <c r="A762" s="9" t="s">
        <v>59</v>
      </c>
      <c r="B762" s="8">
        <f>$J$407/$M$407*100</f>
        <v>58.57988165680473</v>
      </c>
      <c r="C762" s="8">
        <f>$J$408/$M$408*100</f>
        <v>31.952662721893493</v>
      </c>
      <c r="D762" s="8">
        <f>$J$409/$M$409*100</f>
        <v>4.7337278106508878</v>
      </c>
      <c r="E762" s="8">
        <f>$J$410/$M$410*100</f>
        <v>4.7337278106508878</v>
      </c>
      <c r="F762" s="8">
        <f>$J$411/$M$411*100</f>
        <v>0</v>
      </c>
      <c r="G762" s="8">
        <f>SUM(B762:F762)</f>
        <v>100</v>
      </c>
      <c r="H762" s="8">
        <f>$J$487/$M$487*100</f>
        <v>63.636363636363633</v>
      </c>
      <c r="I762" s="8">
        <f>$J$488/$M$488*100</f>
        <v>36.363636363636367</v>
      </c>
      <c r="J762" s="8">
        <f>$J$489/$M$489*100</f>
        <v>0</v>
      </c>
      <c r="K762" s="8">
        <f>$J$490/$M$490*100</f>
        <v>0</v>
      </c>
      <c r="L762" s="8">
        <f>$J$491/$M$491*100</f>
        <v>0</v>
      </c>
      <c r="M762" s="8">
        <f>SUM(H762:L762)</f>
        <v>100</v>
      </c>
      <c r="N762" s="8">
        <f>$J$567/$M$567*100</f>
        <v>90.322580645161281</v>
      </c>
      <c r="O762" s="8">
        <f>$J$568/$M$568*100</f>
        <v>6.4516129032258061</v>
      </c>
      <c r="P762" s="8">
        <f>$J$569/$M$569*100</f>
        <v>1.6129032258064515</v>
      </c>
      <c r="Q762" s="8">
        <f>$J$570/$M$570*100</f>
        <v>1.6129032258064515</v>
      </c>
      <c r="R762" s="8">
        <f>$J$571/$M$571*100</f>
        <v>0</v>
      </c>
      <c r="S762" s="8">
        <f>SUM(N762:R762)</f>
        <v>99.999999999999986</v>
      </c>
      <c r="T762" s="8">
        <f>$J$327/$M$327*100</f>
        <v>82.051282051282044</v>
      </c>
      <c r="U762" s="8">
        <f>$J$328/$M$328*100</f>
        <v>7.6923076923076925</v>
      </c>
      <c r="V762" s="8">
        <f>$J$329/$M$329*100</f>
        <v>5.1282051282051277</v>
      </c>
      <c r="W762" s="8">
        <f>$J$330/$M$330*100</f>
        <v>5.1282051282051277</v>
      </c>
      <c r="X762" s="8">
        <f>$J$331/$M$331*100</f>
        <v>0</v>
      </c>
      <c r="Y762" s="8">
        <f>SUM(T762:X762)</f>
        <v>99.999999999999986</v>
      </c>
      <c r="Z762" s="8">
        <f t="shared" si="23"/>
        <v>20</v>
      </c>
    </row>
    <row r="763" spans="1:40" x14ac:dyDescent="0.2">
      <c r="A763" s="10" t="s">
        <v>50</v>
      </c>
      <c r="B763" s="12">
        <f>AVERAGE(B759:B762)</f>
        <v>55.957735084497614</v>
      </c>
      <c r="C763" s="12">
        <f>AVERAGE(C759:C762)</f>
        <v>26.705396977105757</v>
      </c>
      <c r="D763" s="11">
        <f>AVERAGE(D759:D762)</f>
        <v>9.9314154170708697</v>
      </c>
      <c r="E763" s="11">
        <f>AVERAGE(E759:E762)</f>
        <v>7.4054525213257589</v>
      </c>
      <c r="F763" s="11">
        <f>AVERAGE(F759:F762)</f>
        <v>0</v>
      </c>
      <c r="G763" s="12"/>
      <c r="H763" s="11">
        <f>AVERAGE(H759:H762)</f>
        <v>74.026737967914443</v>
      </c>
      <c r="I763" s="13">
        <f>AVERAGE(I759:I762)</f>
        <v>21.237967914438507</v>
      </c>
      <c r="J763" s="14">
        <f>AVERAGE(J759:J762)</f>
        <v>1.7352941176470589</v>
      </c>
      <c r="K763" s="14">
        <f>AVERAGE(K759:K762)</f>
        <v>3</v>
      </c>
      <c r="L763" s="14">
        <f>AVERAGE(L759:L762)</f>
        <v>0</v>
      </c>
      <c r="M763" s="12"/>
      <c r="N763" s="14">
        <f>AVERAGE(N759:N762)</f>
        <v>65.775616698292225</v>
      </c>
      <c r="O763" s="12">
        <f>AVERAGE(O759:O762)</f>
        <v>18.806629506641368</v>
      </c>
      <c r="P763" s="11">
        <f>AVERAGE(P759:P762)</f>
        <v>5.1135555028462996</v>
      </c>
      <c r="Q763" s="11">
        <f>AVERAGE(Q759:Q762)</f>
        <v>10.304198292220113</v>
      </c>
      <c r="R763" s="11">
        <f>AVERAGE(R759:R762)</f>
        <v>0</v>
      </c>
      <c r="S763" s="15"/>
      <c r="T763" s="14">
        <f>AVERAGE(T759:T762)</f>
        <v>60.375457875457869</v>
      </c>
      <c r="U763" s="12">
        <f>AVERAGE(U759:U762)</f>
        <v>18.736263736263737</v>
      </c>
      <c r="V763" s="11">
        <f>AVERAGE(V759:V762)</f>
        <v>7.2435897435897436</v>
      </c>
      <c r="W763" s="11">
        <f>AVERAGE(W759:W762)</f>
        <v>13.644688644688642</v>
      </c>
      <c r="X763" s="11">
        <f>AVERAGE(X759:X762)</f>
        <v>0</v>
      </c>
      <c r="Y763" s="15"/>
      <c r="Z763" s="8">
        <f t="shared" ref="Z763:AD764" si="24">AVERAGE(B763,H763,N763,T763)</f>
        <v>64.033886906540545</v>
      </c>
      <c r="AA763" s="8">
        <f t="shared" si="24"/>
        <v>21.371564533612343</v>
      </c>
      <c r="AB763" s="8">
        <f t="shared" si="24"/>
        <v>6.0059636952884929</v>
      </c>
      <c r="AC763" s="8">
        <f t="shared" si="24"/>
        <v>8.5885848645586282</v>
      </c>
      <c r="AD763" s="8">
        <f t="shared" si="24"/>
        <v>0</v>
      </c>
    </row>
    <row r="764" spans="1:40" x14ac:dyDescent="0.2">
      <c r="B764" s="8">
        <f>AVERAGE(B759:B760,B762)</f>
        <v>52.388091223774602</v>
      </c>
      <c r="C764" s="8">
        <f>AVERAGE(C759:C760,C762)</f>
        <v>27.273862636141008</v>
      </c>
      <c r="D764" s="8">
        <f>AVERAGE(D759:D760,D762)</f>
        <v>10.46410944498338</v>
      </c>
      <c r="E764" s="8">
        <f>AVERAGE(E759:E760,E762)</f>
        <v>9.8739366951010119</v>
      </c>
      <c r="F764" s="8">
        <f>AVERAGE(F759:F760,F762)</f>
        <v>0</v>
      </c>
      <c r="H764" s="8">
        <f>AVERAGE(H759:H760,H762)</f>
        <v>65.368983957219243</v>
      </c>
      <c r="I764" s="8">
        <f>AVERAGE(I759:I760,I762)</f>
        <v>28.317290552584677</v>
      </c>
      <c r="J764" s="8">
        <f>AVERAGE(J759:J760,J762)</f>
        <v>2.3137254901960786</v>
      </c>
      <c r="K764" s="8">
        <f>AVERAGE(K759:K760,K762)</f>
        <v>4</v>
      </c>
      <c r="L764" s="8">
        <f>AVERAGE(L759:L760,L762)</f>
        <v>0</v>
      </c>
      <c r="N764" s="8">
        <f>AVERAGE(N759:N760,N762)</f>
        <v>69.421252371916509</v>
      </c>
      <c r="O764" s="8">
        <f>AVERAGE(O759:O760,O762)</f>
        <v>15.398086654016446</v>
      </c>
      <c r="P764" s="8">
        <f>AVERAGE(P759:P760,P762)</f>
        <v>4.6675363693864638</v>
      </c>
      <c r="Q764" s="8">
        <f>AVERAGE(Q759:Q760,Q762)</f>
        <v>10.513124604680582</v>
      </c>
      <c r="R764" s="8">
        <f>AVERAGE(R759:R760,R762)</f>
        <v>0</v>
      </c>
      <c r="T764" s="8">
        <f>AVERAGE(T759:T760,T762)</f>
        <v>60.500610500610492</v>
      </c>
      <c r="U764" s="8">
        <f>AVERAGE(U759:U760,U762)</f>
        <v>18.315018315018317</v>
      </c>
      <c r="V764" s="8">
        <f>AVERAGE(V759:V760,V762)</f>
        <v>2.9914529914529915</v>
      </c>
      <c r="W764" s="8">
        <f>AVERAGE(W759:W760,W762)</f>
        <v>18.192918192918189</v>
      </c>
      <c r="X764" s="8">
        <f>AVERAGE(X759:X760,X762)</f>
        <v>0</v>
      </c>
      <c r="Z764" s="8">
        <f t="shared" si="24"/>
        <v>61.919734513380206</v>
      </c>
      <c r="AA764" s="8">
        <f t="shared" si="24"/>
        <v>22.326064539440114</v>
      </c>
      <c r="AB764" s="8">
        <f t="shared" si="24"/>
        <v>5.1092060740047289</v>
      </c>
      <c r="AC764" s="8">
        <f t="shared" si="24"/>
        <v>10.644994873174944</v>
      </c>
      <c r="AD764" s="8">
        <f t="shared" si="24"/>
        <v>0</v>
      </c>
    </row>
    <row r="766" spans="1:40" ht="48" x14ac:dyDescent="0.2">
      <c r="A766" s="2" t="s">
        <v>156</v>
      </c>
      <c r="B766" s="3" t="s">
        <v>53</v>
      </c>
      <c r="C766" s="3"/>
      <c r="D766" s="3"/>
      <c r="E766" s="3"/>
      <c r="F766" s="3"/>
      <c r="G766" s="4" t="s">
        <v>64</v>
      </c>
      <c r="H766" s="3" t="s">
        <v>54</v>
      </c>
      <c r="I766" s="3"/>
      <c r="J766" s="3"/>
      <c r="K766" s="3"/>
      <c r="L766" s="3"/>
      <c r="M766" s="4" t="s">
        <v>64</v>
      </c>
      <c r="N766" s="3" t="s">
        <v>55</v>
      </c>
      <c r="O766" s="3"/>
      <c r="P766" s="3"/>
      <c r="Q766" s="3"/>
      <c r="R766" s="3"/>
      <c r="S766" s="4" t="s">
        <v>64</v>
      </c>
      <c r="T766" s="3" t="s">
        <v>56</v>
      </c>
      <c r="U766" s="3"/>
      <c r="V766" s="3"/>
      <c r="W766" s="3"/>
      <c r="X766" s="3"/>
      <c r="Y766" s="4" t="s">
        <v>64</v>
      </c>
    </row>
    <row r="767" spans="1:40" x14ac:dyDescent="0.2">
      <c r="A767" s="3"/>
      <c r="B767" s="4" t="s">
        <v>20</v>
      </c>
      <c r="C767" s="4" t="s">
        <v>21</v>
      </c>
      <c r="D767" s="4" t="s">
        <v>60</v>
      </c>
      <c r="E767" s="4" t="s">
        <v>61</v>
      </c>
      <c r="F767" s="4" t="s">
        <v>62</v>
      </c>
      <c r="G767" s="4"/>
      <c r="H767" s="4" t="s">
        <v>20</v>
      </c>
      <c r="I767" s="4" t="s">
        <v>21</v>
      </c>
      <c r="J767" s="4" t="s">
        <v>60</v>
      </c>
      <c r="K767" s="4" t="s">
        <v>61</v>
      </c>
      <c r="L767" s="4" t="s">
        <v>62</v>
      </c>
      <c r="M767" s="4"/>
      <c r="N767" s="4" t="s">
        <v>20</v>
      </c>
      <c r="O767" s="4" t="s">
        <v>21</v>
      </c>
      <c r="P767" s="4" t="s">
        <v>60</v>
      </c>
      <c r="Q767" s="4" t="s">
        <v>61</v>
      </c>
      <c r="R767" s="4" t="s">
        <v>62</v>
      </c>
      <c r="S767" s="4"/>
      <c r="T767" s="4" t="s">
        <v>20</v>
      </c>
      <c r="U767" s="4" t="s">
        <v>21</v>
      </c>
      <c r="V767" s="4" t="s">
        <v>60</v>
      </c>
      <c r="W767" s="4" t="s">
        <v>61</v>
      </c>
      <c r="X767" s="4" t="s">
        <v>62</v>
      </c>
      <c r="Y767" s="4"/>
      <c r="AG767" t="s">
        <v>150</v>
      </c>
      <c r="AH767" s="3" t="s">
        <v>20</v>
      </c>
      <c r="AI767" s="3" t="s">
        <v>21</v>
      </c>
      <c r="AJ767" s="3" t="s">
        <v>60</v>
      </c>
      <c r="AK767" s="3" t="s">
        <v>61</v>
      </c>
      <c r="AL767" s="3" t="s">
        <v>62</v>
      </c>
      <c r="AM767" s="3" t="s">
        <v>200</v>
      </c>
      <c r="AN767" s="3" t="s">
        <v>201</v>
      </c>
    </row>
    <row r="768" spans="1:40" x14ac:dyDescent="0.2">
      <c r="A768" s="5" t="s">
        <v>57</v>
      </c>
      <c r="B768" s="8">
        <f>$J$472/$M$472*100</f>
        <v>37.444933920704848</v>
      </c>
      <c r="C768" s="8">
        <f>$J$473/$M$473*100</f>
        <v>38.766519823788549</v>
      </c>
      <c r="D768" s="8">
        <f>$J$474/$M$474*100</f>
        <v>11.013215859030836</v>
      </c>
      <c r="E768" s="8">
        <f>$J$475/$M$475*100</f>
        <v>12.77533039647577</v>
      </c>
      <c r="F768" s="8">
        <f>$J$476/$M$476*100</f>
        <v>0</v>
      </c>
      <c r="G768" s="8">
        <f>SUM(B768:F768)</f>
        <v>100</v>
      </c>
      <c r="H768" s="8">
        <f>$J$552/$M$552*100</f>
        <v>57.142857142857139</v>
      </c>
      <c r="I768" s="8">
        <f>$J$553/$M$553*100</f>
        <v>31.428571428571427</v>
      </c>
      <c r="J768" s="8">
        <f>$J$554/$M$554*100</f>
        <v>5.7142857142857144</v>
      </c>
      <c r="K768" s="8">
        <f>$J$555/$M$555*100</f>
        <v>5.7142857142857144</v>
      </c>
      <c r="L768" s="8">
        <f>$J$556/$M$556*100</f>
        <v>0</v>
      </c>
      <c r="M768" s="8">
        <f>SUM(H768:L768)</f>
        <v>99.999999999999986</v>
      </c>
      <c r="N768" s="8">
        <f>$J$632/$M$632*100</f>
        <v>72.592592592592595</v>
      </c>
      <c r="O768" s="8">
        <f>$J$633/$M$633*100</f>
        <v>18.518518518518519</v>
      </c>
      <c r="P768" s="8">
        <f>$J$634/$M$634*100</f>
        <v>2.9629629629629632</v>
      </c>
      <c r="Q768" s="8">
        <f>$J$635/$M$635*100</f>
        <v>5.9259259259259265</v>
      </c>
      <c r="R768" s="8">
        <f>$J$636/$M$636*100</f>
        <v>0</v>
      </c>
      <c r="S768" s="8">
        <f>SUM(N768:R768)</f>
        <v>100</v>
      </c>
      <c r="T768" s="8">
        <f>$J$392/$M$392*100</f>
        <v>61.111111111111114</v>
      </c>
      <c r="U768" s="8">
        <f>$J$393/$M$393*100</f>
        <v>16.666666666666664</v>
      </c>
      <c r="V768" s="8">
        <f>$J$394/$M$394*100</f>
        <v>11.111111111111111</v>
      </c>
      <c r="W768" s="8">
        <f>$J$395/$M$395*100</f>
        <v>11.111111111111111</v>
      </c>
      <c r="X768" s="8">
        <f>$J$396/$M$396*100</f>
        <v>0</v>
      </c>
      <c r="Y768" s="8">
        <f>SUM(T768:X768)</f>
        <v>100</v>
      </c>
      <c r="Z768" s="8">
        <f>AVERAGE(B768:F768,H768:L768,N768:R768,T768:X768)</f>
        <v>20.000000000000004</v>
      </c>
      <c r="AG768" s="18" t="s">
        <v>158</v>
      </c>
      <c r="AH768" s="8" cm="1">
        <f t="array" ref="AH768:AL768">Z736:AD736</f>
        <v>43.890470207962643</v>
      </c>
      <c r="AI768" s="8">
        <v>30.073311207231953</v>
      </c>
      <c r="AJ768" s="7">
        <v>8.4070591761382012</v>
      </c>
      <c r="AK768" s="7">
        <v>11.439839020317686</v>
      </c>
      <c r="AL768" s="8">
        <v>0</v>
      </c>
      <c r="AM768" s="8">
        <f>SUM(AH768:AI768)</f>
        <v>73.963781415194603</v>
      </c>
      <c r="AN768" s="8">
        <f>SUM(AH768:AJ768)</f>
        <v>82.370840591332808</v>
      </c>
    </row>
    <row r="769" spans="1:51" ht="16" thickBot="1" x14ac:dyDescent="0.25">
      <c r="A769" s="5" t="s">
        <v>58</v>
      </c>
      <c r="B769" s="8">
        <f>$J$432/$M$432*100</f>
        <v>32</v>
      </c>
      <c r="C769" s="8">
        <f>$J$433/$M$433*100</f>
        <v>33.6</v>
      </c>
      <c r="D769" s="8">
        <f>$J$434/$M$434*100</f>
        <v>16.8</v>
      </c>
      <c r="E769" s="8">
        <f>$J$435/$M$435*100</f>
        <v>17.599999999999998</v>
      </c>
      <c r="F769" s="8">
        <f>$J$436/$M$436*100</f>
        <v>0</v>
      </c>
      <c r="G769" s="8">
        <f>SUM(B769:F769)</f>
        <v>99.999999999999986</v>
      </c>
      <c r="H769" s="8">
        <f>$J$512/$M$512*100</f>
        <v>50</v>
      </c>
      <c r="I769" s="8">
        <f>$J$513/$M$513*100</f>
        <v>22.222222222222221</v>
      </c>
      <c r="J769" s="8">
        <f>$J$514/$M$514*100</f>
        <v>11.111111111111111</v>
      </c>
      <c r="K769" s="8">
        <f>$J$515/$M$515*100</f>
        <v>16.666666666666664</v>
      </c>
      <c r="L769" s="8">
        <f>$J$516/$M$516*100</f>
        <v>0</v>
      </c>
      <c r="M769" s="8">
        <f>SUM(H769:L769)</f>
        <v>100</v>
      </c>
      <c r="N769" s="8">
        <f>$J$592/$M$592*100</f>
        <v>16.901408450704224</v>
      </c>
      <c r="O769" s="8">
        <f>$J$593/$M$593*100</f>
        <v>36.619718309859159</v>
      </c>
      <c r="P769" s="8">
        <f>$J$594/$M$594*100</f>
        <v>14.084507042253522</v>
      </c>
      <c r="Q769" s="8">
        <f>$J$595/$M$595*100</f>
        <v>30.985915492957744</v>
      </c>
      <c r="R769" s="8">
        <f>$J$596/$M$596*100</f>
        <v>1.4084507042253522</v>
      </c>
      <c r="S769" s="8">
        <f>SUM(N769:R769)</f>
        <v>100.00000000000001</v>
      </c>
      <c r="T769" s="8">
        <f>$J$352/$M$352*100</f>
        <v>19.230769230769234</v>
      </c>
      <c r="U769" s="8">
        <f>$J$353/$M$353*100</f>
        <v>26.923076923076923</v>
      </c>
      <c r="V769" s="8">
        <f>$J$354/$M$354*100</f>
        <v>11.538461538461538</v>
      </c>
      <c r="W769" s="8">
        <f>$J$355/$M$355*100</f>
        <v>42.307692307692307</v>
      </c>
      <c r="X769" s="8">
        <f>$J$356/$M$356*100</f>
        <v>0</v>
      </c>
      <c r="Y769" s="8">
        <f>SUM(T769:X769)</f>
        <v>100</v>
      </c>
      <c r="Z769" s="8">
        <f t="shared" ref="Z769:Z771" si="25">AVERAGE(B769:F769,H769:L769,N769:R769,T769:X769)</f>
        <v>20</v>
      </c>
      <c r="AG769" s="18" t="s">
        <v>159</v>
      </c>
      <c r="AH769" s="8" cm="1">
        <f t="array" ref="AH769:AL769">Z745:AD745</f>
        <v>53.518731366763731</v>
      </c>
      <c r="AI769" s="8">
        <v>23.733028699036751</v>
      </c>
      <c r="AJ769" s="7">
        <v>5.6003990600811173</v>
      </c>
      <c r="AK769" s="8">
        <v>10.897840874118398</v>
      </c>
      <c r="AL769" s="8">
        <v>0</v>
      </c>
      <c r="AM769" s="8">
        <f>SUM(AH769:AI769)</f>
        <v>77.251760065800482</v>
      </c>
      <c r="AN769" s="8">
        <f>SUM(AH769:AJ769)</f>
        <v>82.852159125881599</v>
      </c>
      <c r="AQ769" s="27" t="s">
        <v>236</v>
      </c>
      <c r="AS769" s="3" t="s">
        <v>20</v>
      </c>
      <c r="AT769" s="3" t="s">
        <v>21</v>
      </c>
      <c r="AU769" s="3" t="s">
        <v>60</v>
      </c>
      <c r="AV769" s="3" t="s">
        <v>61</v>
      </c>
      <c r="AW769" s="3" t="s">
        <v>62</v>
      </c>
      <c r="AX769" s="3" t="s">
        <v>237</v>
      </c>
      <c r="AY769" s="3" t="s">
        <v>238</v>
      </c>
    </row>
    <row r="770" spans="1:51" x14ac:dyDescent="0.2">
      <c r="A770" s="5" t="s">
        <v>142</v>
      </c>
      <c r="B770" s="8">
        <f>$J$452/$M$452*100</f>
        <v>33.333333333333329</v>
      </c>
      <c r="C770" s="8">
        <f>$J$453/$M$453*100</f>
        <v>14.285714285714285</v>
      </c>
      <c r="D770" s="8">
        <f>$J$454/$M$454*100</f>
        <v>28.571428571428569</v>
      </c>
      <c r="E770" s="8">
        <f>$J$455/$M$455*100</f>
        <v>23.809523809523807</v>
      </c>
      <c r="F770" s="8">
        <f>$J$456/$M$456*100</f>
        <v>0</v>
      </c>
      <c r="G770" s="8">
        <f>SUM(B770:F770)</f>
        <v>99.999999999999986</v>
      </c>
      <c r="H770" s="8">
        <f>$J$532/$M$532*100</f>
        <v>50</v>
      </c>
      <c r="I770" s="8">
        <f>$J$533/$M$533*100</f>
        <v>50</v>
      </c>
      <c r="J770" s="8">
        <f>$J$534/$M$534*100</f>
        <v>0</v>
      </c>
      <c r="K770" s="8">
        <f>$J$535/$M$535*100</f>
        <v>0</v>
      </c>
      <c r="L770" s="8">
        <f>$J$536/$M$536*100</f>
        <v>0</v>
      </c>
      <c r="M770" s="8">
        <f>SUM(H770:L770)</f>
        <v>100</v>
      </c>
      <c r="N770" s="8">
        <f>$J$612/$M$612*100</f>
        <v>27.500000000000004</v>
      </c>
      <c r="O770" s="8">
        <f>$J$613/$M$613*100</f>
        <v>37.5</v>
      </c>
      <c r="P770" s="8">
        <f>$J$614/$M$614*100</f>
        <v>10</v>
      </c>
      <c r="Q770" s="8">
        <f>$J$615/$M$615*100</f>
        <v>25</v>
      </c>
      <c r="R770" s="8">
        <f>$J$616/$M$616*100</f>
        <v>0</v>
      </c>
      <c r="S770" s="8">
        <f>SUM(N770:R770)</f>
        <v>100</v>
      </c>
      <c r="T770" s="8">
        <f>$J$372/$M$372*100</f>
        <v>42.105263157894733</v>
      </c>
      <c r="U770" s="8">
        <f>$J$373/$M$373*100</f>
        <v>26.315789473684209</v>
      </c>
      <c r="V770" s="8">
        <f>$J$374/$M$374*100</f>
        <v>21.052631578947366</v>
      </c>
      <c r="W770" s="8">
        <f>$J$375/$M$375*100</f>
        <v>10.526315789473683</v>
      </c>
      <c r="X770" s="8">
        <f>$J$376/$M$376*100</f>
        <v>0</v>
      </c>
      <c r="Y770" s="8">
        <f>SUM(T770:X770)</f>
        <v>100</v>
      </c>
      <c r="Z770" s="8">
        <f>AVERAGE(B770:F770,H770:L770,N770:R770,T770:X770)</f>
        <v>20</v>
      </c>
      <c r="AG770" s="18" t="s">
        <v>160</v>
      </c>
      <c r="AH770" s="8" cm="1">
        <f t="array" ref="AH770:AL770">Z754:AD754</f>
        <v>33.543688493096354</v>
      </c>
      <c r="AI770" s="8">
        <v>36.73234213486279</v>
      </c>
      <c r="AJ770" s="8">
        <v>10.045484316514216</v>
      </c>
      <c r="AK770" s="8">
        <v>19.678485055526636</v>
      </c>
      <c r="AL770" s="8">
        <v>0</v>
      </c>
      <c r="AM770" s="8">
        <f t="shared" ref="AM770" si="26">SUM(AH770:AI770)</f>
        <v>70.276030627959145</v>
      </c>
      <c r="AN770" s="8">
        <f>SUM(AH770:AJ770)</f>
        <v>80.321514944473364</v>
      </c>
      <c r="AP770" s="19" t="s">
        <v>168</v>
      </c>
      <c r="AQ770" s="8">
        <f>SUM(AH776:AK776)</f>
        <v>47.955726658883492</v>
      </c>
      <c r="AS770" s="8">
        <f>AH776/$AQ$770*100</f>
        <v>65.306548210345028</v>
      </c>
      <c r="AT770" s="8">
        <f t="shared" ref="AT770:AW770" si="27">AI776/$AQ$770*100</f>
        <v>18.832342586317296</v>
      </c>
      <c r="AU770" s="8">
        <f t="shared" si="27"/>
        <v>6.9392531012896814</v>
      </c>
      <c r="AV770" s="8">
        <f t="shared" si="27"/>
        <v>8.9218561020480074</v>
      </c>
      <c r="AW770" s="8">
        <f t="shared" si="27"/>
        <v>0</v>
      </c>
      <c r="AX770" s="8">
        <f>SUM(AS770:AT770)</f>
        <v>84.138890796662324</v>
      </c>
      <c r="AY770" s="8" cm="1">
        <f t="array" ref="AY770:AY772">AU774:AU776</f>
        <v>91.078143897952003</v>
      </c>
    </row>
    <row r="771" spans="1:51" ht="16" thickBot="1" x14ac:dyDescent="0.25">
      <c r="A771" s="9" t="s">
        <v>59</v>
      </c>
      <c r="B771" s="8">
        <f>$J$412/$M$412*100</f>
        <v>53.793103448275858</v>
      </c>
      <c r="C771" s="8">
        <f>$J$413/$M$413*100</f>
        <v>32.41379310344827</v>
      </c>
      <c r="D771" s="8">
        <f>$J$414/$M$414*100</f>
        <v>6.8965517241379306</v>
      </c>
      <c r="E771" s="8">
        <f>$J$415/$M$415*100</f>
        <v>7.5862068965517242</v>
      </c>
      <c r="F771" s="8">
        <f>$J$416/$M$416*100</f>
        <v>0</v>
      </c>
      <c r="G771" s="8">
        <f>SUM(B771:F771)</f>
        <v>100.68965517241379</v>
      </c>
      <c r="H771" s="8">
        <f>$J$492/$M$492*100</f>
        <v>53.333333333333336</v>
      </c>
      <c r="I771" s="8">
        <f>$J$493/$M$493*100</f>
        <v>40</v>
      </c>
      <c r="J771" s="8">
        <f>$J$494/$M$494*100</f>
        <v>0</v>
      </c>
      <c r="K771" s="8">
        <f>$J$495/$M$495*100</f>
        <v>6.666666666666667</v>
      </c>
      <c r="L771" s="8">
        <f>$J$496/$M$496*100</f>
        <v>0</v>
      </c>
      <c r="M771" s="8">
        <f>SUM(H771:L771)</f>
        <v>100.00000000000001</v>
      </c>
      <c r="N771" s="8">
        <f>$J$572/$M$572*100</f>
        <v>78.125</v>
      </c>
      <c r="O771" s="8">
        <f>$J$573/$M$573*100</f>
        <v>14.0625</v>
      </c>
      <c r="P771" s="8">
        <f>$J$574/$M$574*100</f>
        <v>1.5625</v>
      </c>
      <c r="Q771" s="8">
        <f>$J$575/$M$575*100</f>
        <v>6.25</v>
      </c>
      <c r="R771" s="8">
        <f>$J$576/$M$576*100</f>
        <v>0</v>
      </c>
      <c r="S771" s="8">
        <f>SUM(N771:R771)</f>
        <v>100</v>
      </c>
      <c r="T771" s="8">
        <f>$J$332/$M$332*100</f>
        <v>48.979591836734691</v>
      </c>
      <c r="U771" s="8">
        <f>$J$333/$M$333*100</f>
        <v>28.571428571428569</v>
      </c>
      <c r="V771" s="8">
        <f>$J$334/$M$334*100</f>
        <v>8.1632653061224492</v>
      </c>
      <c r="W771" s="8">
        <f>$J$335/$M$335*100</f>
        <v>14.285714285714285</v>
      </c>
      <c r="X771" s="8">
        <f>$J$336/$M$336*100</f>
        <v>0</v>
      </c>
      <c r="Y771" s="8">
        <f>SUM(T771:X771)</f>
        <v>100</v>
      </c>
      <c r="Z771" s="8">
        <f t="shared" si="25"/>
        <v>20.03448275862069</v>
      </c>
      <c r="AP771" s="18" t="s">
        <v>169</v>
      </c>
      <c r="AQ771" s="8">
        <f>SUM(AH777:AK777)</f>
        <v>51.726884333028849</v>
      </c>
      <c r="AS771" s="8">
        <f>AH777/$AQ$771*100</f>
        <v>43.62415352220804</v>
      </c>
      <c r="AT771" s="8">
        <f t="shared" ref="AT771:AW771" si="28">AI777/$AQ$771*100</f>
        <v>27.366482670117215</v>
      </c>
      <c r="AU771" s="8">
        <f t="shared" si="28"/>
        <v>10.917302209410348</v>
      </c>
      <c r="AV771" s="8">
        <f t="shared" si="28"/>
        <v>18.09206159826439</v>
      </c>
      <c r="AW771" s="8">
        <f t="shared" si="28"/>
        <v>0</v>
      </c>
      <c r="AX771" s="8">
        <f>SUM(AS771:AT771)</f>
        <v>70.990636192325255</v>
      </c>
      <c r="AY771" s="8">
        <v>81.907938401735606</v>
      </c>
    </row>
    <row r="772" spans="1:51" x14ac:dyDescent="0.2">
      <c r="A772" s="10" t="s">
        <v>50</v>
      </c>
      <c r="B772" s="12">
        <f>AVERAGE(B768:B771)</f>
        <v>39.142842675578507</v>
      </c>
      <c r="C772" s="12">
        <f>AVERAGE(C768:C771)</f>
        <v>29.766506803237778</v>
      </c>
      <c r="D772" s="11">
        <f>AVERAGE(D768:D771)</f>
        <v>15.820299038649333</v>
      </c>
      <c r="E772" s="11">
        <f>AVERAGE(E768:E771)</f>
        <v>15.442765275637823</v>
      </c>
      <c r="F772" s="11">
        <f>AVERAGE(F768:F771)</f>
        <v>0</v>
      </c>
      <c r="G772" s="12"/>
      <c r="H772" s="11">
        <f>AVERAGE(H768:H771)</f>
        <v>52.61904761904762</v>
      </c>
      <c r="I772" s="13">
        <f>AVERAGE(I768:I771)</f>
        <v>35.912698412698411</v>
      </c>
      <c r="J772" s="14">
        <f>AVERAGE(J768:J771)</f>
        <v>4.2063492063492065</v>
      </c>
      <c r="K772" s="14">
        <f>AVERAGE(K768:K771)</f>
        <v>7.2619047619047619</v>
      </c>
      <c r="L772" s="14">
        <f>AVERAGE(L768:L771)</f>
        <v>0</v>
      </c>
      <c r="M772" s="12"/>
      <c r="N772" s="14">
        <f>AVERAGE(N768:N771)</f>
        <v>48.779750260824201</v>
      </c>
      <c r="O772" s="12">
        <f>AVERAGE(O768:O771)</f>
        <v>26.675184207094418</v>
      </c>
      <c r="P772" s="11">
        <f>AVERAGE(P768:P771)</f>
        <v>7.1524925013041214</v>
      </c>
      <c r="Q772" s="11">
        <f>AVERAGE(Q768:Q771)</f>
        <v>17.040460354720917</v>
      </c>
      <c r="R772" s="11">
        <f>AVERAGE(R768:R771)</f>
        <v>0.35211267605633806</v>
      </c>
      <c r="S772" s="15"/>
      <c r="T772" s="14">
        <f>AVERAGE(T768:T771)</f>
        <v>42.856683834127445</v>
      </c>
      <c r="U772" s="12">
        <f>AVERAGE(U768:U771)</f>
        <v>24.619240408714091</v>
      </c>
      <c r="V772" s="11">
        <f>AVERAGE(V768:V771)</f>
        <v>12.966367383660616</v>
      </c>
      <c r="W772" s="11">
        <f>AVERAGE(W768:W771)</f>
        <v>19.557708373497846</v>
      </c>
      <c r="X772" s="11">
        <f>AVERAGE(X768:X771)</f>
        <v>0</v>
      </c>
      <c r="Y772" s="15"/>
      <c r="Z772" s="8">
        <f t="shared" ref="Z772:AD773" si="29">AVERAGE(B772,H772,N772,T772)</f>
        <v>45.849581097394442</v>
      </c>
      <c r="AA772" s="8">
        <f t="shared" si="29"/>
        <v>29.243407457936176</v>
      </c>
      <c r="AB772" s="8">
        <f t="shared" si="29"/>
        <v>10.036377032490819</v>
      </c>
      <c r="AC772" s="8">
        <f t="shared" si="29"/>
        <v>14.825709691440338</v>
      </c>
      <c r="AD772" s="8">
        <f t="shared" si="29"/>
        <v>8.8028169014084515E-2</v>
      </c>
      <c r="AG772" t="s">
        <v>151</v>
      </c>
      <c r="AH772" s="3" t="s">
        <v>20</v>
      </c>
      <c r="AI772" s="3" t="s">
        <v>21</v>
      </c>
      <c r="AJ772" s="3" t="s">
        <v>60</v>
      </c>
      <c r="AK772" s="3" t="s">
        <v>61</v>
      </c>
      <c r="AL772" s="3" t="s">
        <v>62</v>
      </c>
      <c r="AP772" s="18" t="s">
        <v>170</v>
      </c>
      <c r="AQ772" s="8">
        <f>SUM(AH778:AK778)</f>
        <v>54.396581800720945</v>
      </c>
      <c r="AS772" s="8">
        <f>AH778/$AQ$772*100</f>
        <v>1.2078907539785411</v>
      </c>
      <c r="AT772" s="8">
        <f t="shared" ref="AT772:AW772" si="30">AI778/$AQ$772*100</f>
        <v>46.925334015066618</v>
      </c>
      <c r="AU772" s="8">
        <f t="shared" si="30"/>
        <v>19.351169496174993</v>
      </c>
      <c r="AV772" s="8">
        <f t="shared" si="30"/>
        <v>32.515605734779854</v>
      </c>
      <c r="AW772" s="8">
        <f t="shared" si="30"/>
        <v>0</v>
      </c>
      <c r="AX772" s="8">
        <f>SUM(AS772:AT772)</f>
        <v>48.133224769045157</v>
      </c>
      <c r="AY772" s="8">
        <v>67.484394265220146</v>
      </c>
    </row>
    <row r="773" spans="1:51" x14ac:dyDescent="0.2">
      <c r="B773" s="8">
        <f>AVERAGE(B768:B769,B771)</f>
        <v>41.079345789660231</v>
      </c>
      <c r="C773" s="8">
        <f>AVERAGE(C768:C769,C771)</f>
        <v>34.926770975745605</v>
      </c>
      <c r="D773" s="8">
        <f>AVERAGE(D768:D769,D771)</f>
        <v>11.569922527722923</v>
      </c>
      <c r="E773" s="8">
        <f>AVERAGE(E768:E769,E771)</f>
        <v>12.653845764342497</v>
      </c>
      <c r="F773" s="8">
        <f>AVERAGE(F768:F769,F771)</f>
        <v>0</v>
      </c>
      <c r="H773" s="8">
        <f>AVERAGE(H768:H769,H771)</f>
        <v>53.492063492063494</v>
      </c>
      <c r="I773" s="8">
        <f>AVERAGE(I768:I769,I771)</f>
        <v>31.216931216931215</v>
      </c>
      <c r="J773" s="8">
        <f>AVERAGE(J768:J769,J771)</f>
        <v>5.6084656084656084</v>
      </c>
      <c r="K773" s="8">
        <f>AVERAGE(K768:K769,K771)</f>
        <v>9.6825396825396819</v>
      </c>
      <c r="L773" s="8">
        <f>AVERAGE(L768:L769,L771)</f>
        <v>0</v>
      </c>
      <c r="N773" s="8">
        <f>AVERAGE(N768:N769,N771)</f>
        <v>55.873000347765604</v>
      </c>
      <c r="O773" s="8">
        <f>AVERAGE(O768:O769,O771)</f>
        <v>23.06691227612589</v>
      </c>
      <c r="P773" s="8">
        <f>AVERAGE(P768:P769,P771)</f>
        <v>6.2033233350721622</v>
      </c>
      <c r="Q773" s="8">
        <f>AVERAGE(Q768:Q769,Q771)</f>
        <v>14.387280472961223</v>
      </c>
      <c r="R773" s="8">
        <f>AVERAGE(R768:R769,R771)</f>
        <v>0.46948356807511743</v>
      </c>
      <c r="T773" s="8">
        <f>AVERAGE(T768:T769,T771)</f>
        <v>43.107157392871677</v>
      </c>
      <c r="U773" s="8">
        <f>AVERAGE(U768:U769,U771)</f>
        <v>24.053724053724054</v>
      </c>
      <c r="V773" s="8">
        <f>AVERAGE(V768:V769,V771)</f>
        <v>10.270945985231698</v>
      </c>
      <c r="W773" s="8">
        <f>AVERAGE(W768:W769,W771)</f>
        <v>22.568172568172571</v>
      </c>
      <c r="X773" s="8">
        <f>AVERAGE(X768:X769,X771)</f>
        <v>0</v>
      </c>
      <c r="Z773" s="8">
        <f t="shared" si="29"/>
        <v>48.387891755590253</v>
      </c>
      <c r="AA773" s="8">
        <f t="shared" si="29"/>
        <v>28.316084630631689</v>
      </c>
      <c r="AB773" s="8">
        <f t="shared" si="29"/>
        <v>8.413164364123098</v>
      </c>
      <c r="AC773" s="8">
        <f t="shared" si="29"/>
        <v>14.822959622003992</v>
      </c>
      <c r="AD773" s="8">
        <f t="shared" si="29"/>
        <v>0.11737089201877936</v>
      </c>
      <c r="AG773" s="18" t="s">
        <v>158</v>
      </c>
      <c r="AH773" s="8">
        <f>Z763</f>
        <v>64.033886906540545</v>
      </c>
      <c r="AI773" s="8">
        <f t="shared" ref="AI773:AL773" si="31">AA763</f>
        <v>21.371564533612343</v>
      </c>
      <c r="AJ773" s="8">
        <f t="shared" si="31"/>
        <v>6.0059636952884929</v>
      </c>
      <c r="AK773" s="8">
        <f t="shared" si="31"/>
        <v>8.5885848645586282</v>
      </c>
      <c r="AL773" s="8">
        <f t="shared" si="31"/>
        <v>0</v>
      </c>
      <c r="AM773" s="8">
        <f>SUM(AH773:AI773)</f>
        <v>85.405451440152888</v>
      </c>
      <c r="AN773" s="8">
        <f>SUM(AH773:AJ773)</f>
        <v>91.411415135441388</v>
      </c>
    </row>
    <row r="774" spans="1:51" x14ac:dyDescent="0.2">
      <c r="AG774" s="18" t="s">
        <v>159</v>
      </c>
      <c r="AH774" s="8">
        <f>Z772</f>
        <v>45.849581097394442</v>
      </c>
      <c r="AI774" s="8">
        <f t="shared" ref="AI774:AL774" si="32">AA772</f>
        <v>29.243407457936176</v>
      </c>
      <c r="AJ774" s="8">
        <f t="shared" si="32"/>
        <v>10.036377032490819</v>
      </c>
      <c r="AK774" s="8">
        <f t="shared" si="32"/>
        <v>14.825709691440338</v>
      </c>
      <c r="AL774" s="8">
        <f t="shared" si="32"/>
        <v>8.8028169014084515E-2</v>
      </c>
      <c r="AM774" s="8">
        <f t="shared" ref="AM774:AM775" si="33">SUM(AH774:AI774)</f>
        <v>75.092988555330621</v>
      </c>
      <c r="AN774" s="8">
        <f>SUM(AH774:AJ774)</f>
        <v>85.129365587821439</v>
      </c>
      <c r="AS774" s="3" t="s">
        <v>237</v>
      </c>
      <c r="AT774" s="8">
        <f>SUM(AS770:AT770)</f>
        <v>84.138890796662324</v>
      </c>
      <c r="AU774" s="8">
        <f>SUM(AS770:AU770)</f>
        <v>91.078143897952003</v>
      </c>
    </row>
    <row r="775" spans="1:51" ht="30" customHeight="1" thickBot="1" x14ac:dyDescent="0.25">
      <c r="A775" s="2" t="s">
        <v>157</v>
      </c>
      <c r="B775" s="3" t="s">
        <v>53</v>
      </c>
      <c r="C775" s="3"/>
      <c r="D775" s="3"/>
      <c r="E775" s="3"/>
      <c r="F775" s="3"/>
      <c r="G775" s="4" t="s">
        <v>64</v>
      </c>
      <c r="H775" s="3" t="s">
        <v>54</v>
      </c>
      <c r="I775" s="3"/>
      <c r="J775" s="3"/>
      <c r="K775" s="3"/>
      <c r="L775" s="3"/>
      <c r="M775" s="4" t="s">
        <v>64</v>
      </c>
      <c r="N775" s="3" t="s">
        <v>55</v>
      </c>
      <c r="O775" s="3"/>
      <c r="P775" s="3"/>
      <c r="Q775" s="3"/>
      <c r="R775" s="3"/>
      <c r="S775" s="4" t="s">
        <v>64</v>
      </c>
      <c r="T775" s="3" t="s">
        <v>56</v>
      </c>
      <c r="U775" s="3"/>
      <c r="V775" s="3"/>
      <c r="W775" s="3"/>
      <c r="X775" s="3"/>
      <c r="Y775" s="4" t="s">
        <v>64</v>
      </c>
      <c r="AG775" s="18" t="s">
        <v>160</v>
      </c>
      <c r="AH775" s="8" cm="1">
        <f t="array" ref="AH775:AL775">Z781:AD781</f>
        <v>13.581282099539091</v>
      </c>
      <c r="AI775" s="8">
        <v>47.970116669737635</v>
      </c>
      <c r="AJ775" s="8">
        <v>14.73263610214822</v>
      </c>
      <c r="AK775" s="8">
        <v>23.71596512857505</v>
      </c>
      <c r="AL775" s="8">
        <v>0</v>
      </c>
      <c r="AM775" s="8">
        <f t="shared" si="33"/>
        <v>61.55139876927673</v>
      </c>
      <c r="AN775" s="8">
        <f>SUM(AH775:AJ775)</f>
        <v>76.28403487142495</v>
      </c>
      <c r="AT775" s="8">
        <f>SUM(AS771:AT771)</f>
        <v>70.990636192325255</v>
      </c>
      <c r="AU775" s="8">
        <f t="shared" ref="AU775:AU776" si="34">SUM(AS771:AU771)</f>
        <v>81.907938401735606</v>
      </c>
    </row>
    <row r="776" spans="1:51" x14ac:dyDescent="0.2">
      <c r="A776" s="3"/>
      <c r="B776" s="4" t="s">
        <v>20</v>
      </c>
      <c r="C776" s="4" t="s">
        <v>21</v>
      </c>
      <c r="D776" s="4" t="s">
        <v>60</v>
      </c>
      <c r="E776" s="4" t="s">
        <v>61</v>
      </c>
      <c r="F776" s="4" t="s">
        <v>62</v>
      </c>
      <c r="G776" s="4"/>
      <c r="H776" s="4" t="s">
        <v>20</v>
      </c>
      <c r="I776" s="4" t="s">
        <v>21</v>
      </c>
      <c r="J776" s="4" t="s">
        <v>60</v>
      </c>
      <c r="K776" s="4" t="s">
        <v>61</v>
      </c>
      <c r="L776" s="4" t="s">
        <v>62</v>
      </c>
      <c r="M776" s="4"/>
      <c r="N776" s="4" t="s">
        <v>20</v>
      </c>
      <c r="O776" s="4" t="s">
        <v>21</v>
      </c>
      <c r="P776" s="4" t="s">
        <v>60</v>
      </c>
      <c r="Q776" s="4" t="s">
        <v>61</v>
      </c>
      <c r="R776" s="4" t="s">
        <v>62</v>
      </c>
      <c r="S776" s="4"/>
      <c r="T776" s="4" t="s">
        <v>20</v>
      </c>
      <c r="U776" s="4" t="s">
        <v>21</v>
      </c>
      <c r="V776" s="4" t="s">
        <v>60</v>
      </c>
      <c r="W776" s="4" t="s">
        <v>61</v>
      </c>
      <c r="X776" s="4" t="s">
        <v>62</v>
      </c>
      <c r="Y776" s="4"/>
      <c r="AG776" s="19" t="s">
        <v>168</v>
      </c>
      <c r="AH776" s="20" cm="1">
        <f t="array" ref="AH776:AL776">Z790:AD790</f>
        <v>31.318229750105029</v>
      </c>
      <c r="AI776" s="21">
        <v>9.0311867341588332</v>
      </c>
      <c r="AJ776" s="21">
        <v>3.3277692494225755</v>
      </c>
      <c r="AK776" s="21">
        <v>4.2785409251970599</v>
      </c>
      <c r="AL776" s="20">
        <v>0</v>
      </c>
      <c r="AM776" s="8">
        <f>AVERAGE(AH776:AK776)</f>
        <v>11.988931664720873</v>
      </c>
      <c r="AT776" s="8">
        <f t="shared" ref="AT775:AT776" si="35">SUM(AS772:AT772)</f>
        <v>48.133224769045157</v>
      </c>
      <c r="AU776" s="8">
        <f t="shared" si="34"/>
        <v>67.484394265220146</v>
      </c>
    </row>
    <row r="777" spans="1:51" x14ac:dyDescent="0.2">
      <c r="A777" s="5" t="s">
        <v>57</v>
      </c>
      <c r="B777" s="8">
        <f>$J$477/$M$477*100</f>
        <v>18.333333333333332</v>
      </c>
      <c r="C777" s="8">
        <f>$J$478/$M$478*100</f>
        <v>50.833333333333329</v>
      </c>
      <c r="D777" s="8">
        <f>$J$479/$M$479*100</f>
        <v>15</v>
      </c>
      <c r="E777" s="8">
        <f>$J$480/$M$480*100</f>
        <v>15.833333333333332</v>
      </c>
      <c r="F777" s="8">
        <f>$J$481/$M$481*100</f>
        <v>0</v>
      </c>
      <c r="G777" s="8">
        <f>SUM(B777:F777)</f>
        <v>99.999999999999986</v>
      </c>
      <c r="H777" s="8">
        <f>$J$557/$M$557*100</f>
        <v>4.3478260869565215</v>
      </c>
      <c r="I777" s="8">
        <f>$J$558/$M$558*100</f>
        <v>69.565217391304344</v>
      </c>
      <c r="J777" s="8">
        <f>$J$559/$M$559*100</f>
        <v>13.043478260869565</v>
      </c>
      <c r="K777" s="8">
        <f>$J$560/$M$560*100</f>
        <v>13.043478260869565</v>
      </c>
      <c r="L777" s="8">
        <f>$J$561/$M$561*100</f>
        <v>0</v>
      </c>
      <c r="M777" s="8">
        <f>SUM(H777:L777)</f>
        <v>99.999999999999986</v>
      </c>
      <c r="N777" s="8">
        <f>$J$637/$M$637*100</f>
        <v>35.897435897435898</v>
      </c>
      <c r="O777" s="8">
        <f>$J$638/$M$638*100</f>
        <v>44.871794871794876</v>
      </c>
      <c r="P777" s="8">
        <f>$J$639/$M$639*100</f>
        <v>7.6923076923076925</v>
      </c>
      <c r="Q777" s="8">
        <f>$J$640/$M$640*100</f>
        <v>11.538461538461538</v>
      </c>
      <c r="R777" s="8">
        <f>$J$641/$M$641*100</f>
        <v>0</v>
      </c>
      <c r="S777" s="8">
        <f>SUM(N777:R777)</f>
        <v>100</v>
      </c>
      <c r="T777" s="8">
        <f>$J$397/$M$397*100</f>
        <v>0</v>
      </c>
      <c r="U777" s="8">
        <f>$J$398/$M$398*100</f>
        <v>47.058823529411761</v>
      </c>
      <c r="V777" s="8">
        <f>$J$399/$M$399*100</f>
        <v>29.411764705882355</v>
      </c>
      <c r="W777" s="8">
        <f>$J$400/$M$400*100</f>
        <v>23.52941176470588</v>
      </c>
      <c r="X777" s="8">
        <f>$J$41*100</f>
        <v>0</v>
      </c>
      <c r="Y777" s="8">
        <f>SUM(T777:X777)</f>
        <v>100</v>
      </c>
      <c r="Z777" s="8">
        <f>AVERAGE(B777:F777,H777:L777,N777:R777,T777:X777)</f>
        <v>19.999999999999996</v>
      </c>
      <c r="AG777" s="18" t="s">
        <v>169</v>
      </c>
      <c r="AH777" s="8" cm="1">
        <f t="array" ref="AH777:AL777">Z799:AD799</f>
        <v>22.565415433695481</v>
      </c>
      <c r="AI777" s="8">
        <v>14.155828836789917</v>
      </c>
      <c r="AJ777" s="7">
        <v>5.6471802861488936</v>
      </c>
      <c r="AK777" s="7">
        <v>9.3584597763945503</v>
      </c>
      <c r="AL777" s="8">
        <v>0</v>
      </c>
      <c r="AM777" s="8">
        <f t="shared" ref="AM777:AM782" si="36">AVERAGE(AH777:AK777)</f>
        <v>12.931721083257212</v>
      </c>
    </row>
    <row r="778" spans="1:51" x14ac:dyDescent="0.2">
      <c r="A778" s="5" t="s">
        <v>58</v>
      </c>
      <c r="B778" s="8">
        <f>$J$437/$M$437*100</f>
        <v>16.666666666666664</v>
      </c>
      <c r="C778" s="8">
        <f>$J$438/$M$438*100</f>
        <v>33.333333333333329</v>
      </c>
      <c r="D778" s="8">
        <f>$J$439/$M$439*100</f>
        <v>26.388888888888889</v>
      </c>
      <c r="E778" s="8">
        <f>$J$440/$M$440*100</f>
        <v>23.611111111111111</v>
      </c>
      <c r="F778" s="8">
        <f>$J$441/$M$441*100</f>
        <v>0</v>
      </c>
      <c r="G778" s="8">
        <f>SUM(B778:F778)</f>
        <v>100</v>
      </c>
      <c r="H778" s="8">
        <f>$J$517/$M$517*100</f>
        <v>13.333333333333334</v>
      </c>
      <c r="I778" s="8">
        <f>$J$518/$M$518*100</f>
        <v>46.666666666666664</v>
      </c>
      <c r="J778" s="8">
        <f>$J$519/$M$519*100</f>
        <v>13.333333333333334</v>
      </c>
      <c r="K778" s="8">
        <f>$J$520/$M$520*100</f>
        <v>26.666666666666668</v>
      </c>
      <c r="L778" s="8">
        <f>$J$521/$M$521*100</f>
        <v>0</v>
      </c>
      <c r="M778" s="8">
        <f>SUM(H778:L778)</f>
        <v>100</v>
      </c>
      <c r="N778" s="8">
        <f>$J$597/$M$597*100</f>
        <v>6</v>
      </c>
      <c r="O778" s="8">
        <f>$J$598/$M$598*100</f>
        <v>30</v>
      </c>
      <c r="P778" s="8">
        <f>$J$599/$M$599*100</f>
        <v>13</v>
      </c>
      <c r="Q778" s="8">
        <f>$J$600/$M$600*100</f>
        <v>51</v>
      </c>
      <c r="R778" s="8">
        <f>$J$61*100</f>
        <v>0</v>
      </c>
      <c r="S778" s="8">
        <f>SUM(N778:R778)</f>
        <v>100</v>
      </c>
      <c r="T778" s="8">
        <f>$J$357/$M$357*100</f>
        <v>6.25</v>
      </c>
      <c r="U778" s="8">
        <f>$J$358/$M$358*100</f>
        <v>25</v>
      </c>
      <c r="V778" s="8">
        <f>$J$359/$M$359*100</f>
        <v>6.25</v>
      </c>
      <c r="W778" s="8">
        <f>$J$360/$M$360*100</f>
        <v>62.5</v>
      </c>
      <c r="X778" s="8">
        <f>$J$361/$M$361*100</f>
        <v>0</v>
      </c>
      <c r="Y778" s="8">
        <f>SUM(T778:X778)</f>
        <v>100</v>
      </c>
      <c r="Z778" s="8">
        <f t="shared" ref="Z778:Z780" si="37">AVERAGE(B778:F778,H778:L778,N778:R778,T778:X778)</f>
        <v>20</v>
      </c>
      <c r="AG778" s="18" t="s">
        <v>170</v>
      </c>
      <c r="AH778" s="7" cm="1">
        <f t="array" ref="AH778:AL778">Z808:AD808</f>
        <v>0.65705128205128205</v>
      </c>
      <c r="AI778" s="8">
        <v>25.525777702767243</v>
      </c>
      <c r="AJ778" s="8">
        <v>10.52637474438299</v>
      </c>
      <c r="AK778" s="8">
        <v>17.687378071519433</v>
      </c>
      <c r="AL778" s="8">
        <v>0</v>
      </c>
      <c r="AM778" s="8">
        <f t="shared" si="36"/>
        <v>13.599145450180236</v>
      </c>
    </row>
    <row r="779" spans="1:51" x14ac:dyDescent="0.2">
      <c r="A779" s="5" t="s">
        <v>142</v>
      </c>
      <c r="B779" s="8">
        <f>$J$457/$M$457*100</f>
        <v>7.1428571428571423</v>
      </c>
      <c r="C779" s="8">
        <f>$J$458/$M$458*100</f>
        <v>42.857142857142854</v>
      </c>
      <c r="D779" s="8">
        <f>$J$459/$M$459*100</f>
        <v>35.714285714285715</v>
      </c>
      <c r="E779" s="8">
        <f>$J$460/$M$460*100</f>
        <v>14.285714285714285</v>
      </c>
      <c r="F779" s="8">
        <f>$J$461/$M$461*100</f>
        <v>0</v>
      </c>
      <c r="G779" s="8">
        <f>SUM(B779:F779)</f>
        <v>100</v>
      </c>
      <c r="H779" s="8">
        <f>$J$537/$M$537*100</f>
        <v>0</v>
      </c>
      <c r="I779" s="8">
        <f>$J$538/$M$538*100</f>
        <v>100</v>
      </c>
      <c r="J779" s="8">
        <f>$J$539/$M$539*100</f>
        <v>0</v>
      </c>
      <c r="K779" s="8">
        <f>$J$540/$M$540*100</f>
        <v>0</v>
      </c>
      <c r="L779" s="8">
        <f>$J$541/$M$541*100</f>
        <v>0</v>
      </c>
      <c r="M779" s="8">
        <f>SUM(H779:L779)</f>
        <v>100</v>
      </c>
      <c r="N779" s="8">
        <f>$J$617/$M$617*100</f>
        <v>0</v>
      </c>
      <c r="O779" s="8">
        <f>$J$618/$M$618*100</f>
        <v>50</v>
      </c>
      <c r="P779" s="8">
        <f>$J$619/$M$619*100</f>
        <v>17.857142857142858</v>
      </c>
      <c r="Q779" s="8">
        <f>$J$620/$M$620*100</f>
        <v>32.142857142857146</v>
      </c>
      <c r="R779" s="8">
        <f>$J$621/$M$621*100</f>
        <v>0</v>
      </c>
      <c r="S779" s="8">
        <f>SUM(N779:R779)</f>
        <v>100</v>
      </c>
      <c r="T779" s="8">
        <f>$J$377/$M$377*100</f>
        <v>0</v>
      </c>
      <c r="U779" s="8">
        <f>$J$378/$M$378*100</f>
        <v>33.333333333333329</v>
      </c>
      <c r="V779" s="8">
        <f>$J$379/$M$379*100</f>
        <v>16.666666666666664</v>
      </c>
      <c r="W779" s="8">
        <f>$J$380/$M$380*100</f>
        <v>50</v>
      </c>
      <c r="X779" s="8">
        <f>$J$381/$M$381*100</f>
        <v>0</v>
      </c>
      <c r="Y779" s="8">
        <f>SUM(T779:X779)</f>
        <v>100</v>
      </c>
      <c r="Z779" s="8">
        <f>AVERAGE(B779:F779,H779:L779,N779:R779,T779:X779)</f>
        <v>20</v>
      </c>
      <c r="AH779" s="27" t="s">
        <v>198</v>
      </c>
      <c r="AI779" s="27"/>
      <c r="AJ779" s="27"/>
      <c r="AK779" s="27"/>
      <c r="AL779" s="27"/>
      <c r="AM779" s="8" t="s">
        <v>199</v>
      </c>
    </row>
    <row r="780" spans="1:51" ht="16" thickBot="1" x14ac:dyDescent="0.25">
      <c r="A780" s="9" t="s">
        <v>59</v>
      </c>
      <c r="B780" s="8">
        <f>$J$417/$M$417*100</f>
        <v>21.232876712328768</v>
      </c>
      <c r="C780" s="8">
        <f>$J$418/$M$418*100</f>
        <v>56.164383561643838</v>
      </c>
      <c r="D780" s="8">
        <f>$J$419/$M$419*100</f>
        <v>10.95890410958904</v>
      </c>
      <c r="E780" s="8">
        <f>$J$420/$M$420*100</f>
        <v>11.643835616438356</v>
      </c>
      <c r="F780" s="8">
        <f>$J$421/$M$421*100</f>
        <v>0</v>
      </c>
      <c r="G780" s="8">
        <f>SUM(B780:F780)</f>
        <v>100</v>
      </c>
      <c r="H780" s="8">
        <f>$J$497/$M$497*100</f>
        <v>12.5</v>
      </c>
      <c r="I780" s="8">
        <f>$J$498/$M$498*100</f>
        <v>50</v>
      </c>
      <c r="J780" s="8">
        <f>$J$499/$M$499*100</f>
        <v>25</v>
      </c>
      <c r="K780" s="8">
        <f>$J$500/$M$500*100</f>
        <v>12.5</v>
      </c>
      <c r="L780" s="8">
        <f>$J$501/$M$501*100</f>
        <v>0</v>
      </c>
      <c r="M780" s="8">
        <f>SUM(H780:L780)</f>
        <v>100</v>
      </c>
      <c r="N780" s="8">
        <f>$J$577/$M$577*100</f>
        <v>32.352941176470587</v>
      </c>
      <c r="O780" s="8">
        <f>$J$578/$M$578*100</f>
        <v>50</v>
      </c>
      <c r="P780" s="8">
        <f>$J$579/$M$579*100</f>
        <v>0</v>
      </c>
      <c r="Q780" s="8">
        <f>$J$580/$M$580*100</f>
        <v>17.647058823529413</v>
      </c>
      <c r="R780" s="8">
        <f>$J$581/$M$581*100</f>
        <v>0</v>
      </c>
      <c r="S780" s="8">
        <f>SUM(N780:R780)</f>
        <v>100</v>
      </c>
      <c r="T780" s="8">
        <f>$J$337/$M$337*100</f>
        <v>43.243243243243242</v>
      </c>
      <c r="U780" s="8">
        <f>$J$338/$M$338*100</f>
        <v>37.837837837837839</v>
      </c>
      <c r="V780" s="8">
        <f>$J$339/$M$339*100</f>
        <v>5.4054054054054053</v>
      </c>
      <c r="W780" s="8">
        <f>$J$340/$M$340*100</f>
        <v>13.513513513513514</v>
      </c>
      <c r="X780" s="8">
        <f>$J$341/$M$341*100</f>
        <v>0</v>
      </c>
      <c r="Y780" s="8">
        <f>SUM(T780:X780)</f>
        <v>100</v>
      </c>
      <c r="Z780" s="8">
        <f t="shared" si="37"/>
        <v>19.999999999999996</v>
      </c>
      <c r="AH780" s="28">
        <f>AH776/AH773</f>
        <v>0.48908837590657211</v>
      </c>
      <c r="AI780" s="24">
        <f t="shared" ref="AI780:AK780" si="38">AI776/AI773</f>
        <v>0.42257957857764428</v>
      </c>
      <c r="AJ780" s="24">
        <f t="shared" si="38"/>
        <v>0.55407748335760265</v>
      </c>
      <c r="AK780" s="24">
        <f t="shared" si="38"/>
        <v>0.49816599505848119</v>
      </c>
      <c r="AM780" s="24">
        <f>AVERAGE(AH780:AK780)</f>
        <v>0.490977858225075</v>
      </c>
      <c r="AN780" s="24"/>
      <c r="AP780" t="s">
        <v>150</v>
      </c>
      <c r="AQ780" s="3" t="s">
        <v>20</v>
      </c>
      <c r="AR780" s="3" t="s">
        <v>21</v>
      </c>
      <c r="AS780" s="3" t="s">
        <v>60</v>
      </c>
      <c r="AT780" s="3" t="s">
        <v>61</v>
      </c>
      <c r="AU780" s="3" t="s">
        <v>62</v>
      </c>
    </row>
    <row r="781" spans="1:51" x14ac:dyDescent="0.2">
      <c r="A781" s="10" t="s">
        <v>50</v>
      </c>
      <c r="B781" s="12">
        <f>AVERAGE(B777:B780)</f>
        <v>15.843933463796477</v>
      </c>
      <c r="C781" s="12">
        <f>AVERAGE(C777:C780)</f>
        <v>45.797048271363337</v>
      </c>
      <c r="D781" s="11">
        <f>AVERAGE(D777:D780)</f>
        <v>22.015519678190913</v>
      </c>
      <c r="E781" s="11">
        <f>AVERAGE(E777:E780)</f>
        <v>16.343498586649272</v>
      </c>
      <c r="F781" s="11">
        <f>AVERAGE(F777:F780)</f>
        <v>0</v>
      </c>
      <c r="G781" s="12"/>
      <c r="H781" s="11">
        <f>AVERAGE(H777:H780)</f>
        <v>7.5452898550724639</v>
      </c>
      <c r="I781" s="13">
        <f>AVERAGE(I777:I780)</f>
        <v>66.55797101449275</v>
      </c>
      <c r="J781" s="14">
        <f>AVERAGE(J777:J780)</f>
        <v>12.844202898550725</v>
      </c>
      <c r="K781" s="14">
        <f>AVERAGE(K777:K780)</f>
        <v>13.052536231884059</v>
      </c>
      <c r="L781" s="14">
        <f>AVERAGE(L777:L780)</f>
        <v>0</v>
      </c>
      <c r="M781" s="12"/>
      <c r="N781" s="14">
        <f>AVERAGE(N777:N780)</f>
        <v>18.562594268476623</v>
      </c>
      <c r="O781" s="12">
        <f>AVERAGE(O777:O780)</f>
        <v>43.717948717948715</v>
      </c>
      <c r="P781" s="11">
        <f>AVERAGE(P777:P780)</f>
        <v>9.6373626373626387</v>
      </c>
      <c r="Q781" s="11">
        <f>AVERAGE(Q777:Q780)</f>
        <v>28.082094376212027</v>
      </c>
      <c r="R781" s="11">
        <f>AVERAGE(R777:R780)</f>
        <v>0</v>
      </c>
      <c r="S781" s="15"/>
      <c r="T781" s="14">
        <f>AVERAGE(T777:T780)</f>
        <v>12.373310810810811</v>
      </c>
      <c r="U781" s="12">
        <f>AVERAGE(U777:U780)</f>
        <v>35.807498675145737</v>
      </c>
      <c r="V781" s="11">
        <f>AVERAGE(V777:V780)</f>
        <v>14.433459194488606</v>
      </c>
      <c r="W781" s="11">
        <f>AVERAGE(W777:W780)</f>
        <v>37.38573131955485</v>
      </c>
      <c r="X781" s="11">
        <f>AVERAGE(X777:X780)</f>
        <v>0</v>
      </c>
      <c r="Y781" s="15"/>
      <c r="Z781" s="8">
        <f t="shared" ref="Z781:AD782" si="39">AVERAGE(B781,H781,N781,T781)</f>
        <v>13.581282099539091</v>
      </c>
      <c r="AA781" s="8">
        <f t="shared" si="39"/>
        <v>47.970116669737635</v>
      </c>
      <c r="AB781" s="8">
        <f t="shared" si="39"/>
        <v>14.73263610214822</v>
      </c>
      <c r="AC781" s="8">
        <f t="shared" si="39"/>
        <v>23.71596512857505</v>
      </c>
      <c r="AD781" s="8">
        <f t="shared" si="39"/>
        <v>0</v>
      </c>
      <c r="AH781" s="24">
        <f t="shared" ref="AH781:AK782" si="40">AH777/AH774</f>
        <v>0.4921618669920157</v>
      </c>
      <c r="AI781" s="24">
        <f t="shared" si="40"/>
        <v>0.48406906264776817</v>
      </c>
      <c r="AJ781" s="24">
        <f t="shared" si="40"/>
        <v>0.56267119777059449</v>
      </c>
      <c r="AK781" s="24">
        <f t="shared" si="40"/>
        <v>0.63123182438933645</v>
      </c>
      <c r="AM781" s="24">
        <f t="shared" si="36"/>
        <v>0.54253348794992873</v>
      </c>
      <c r="AN781" s="24"/>
      <c r="AP781" s="18" t="s">
        <v>158</v>
      </c>
      <c r="AQ781" s="8" cm="1">
        <f t="array" ref="AQ781:AU781">Z737:AD737</f>
        <v>54.35396027728352</v>
      </c>
      <c r="AR781" s="8">
        <v>19.264414942975939</v>
      </c>
      <c r="AS781" s="7">
        <v>11.209412234850936</v>
      </c>
      <c r="AT781" s="7">
        <v>15.253118693756916</v>
      </c>
      <c r="AU781" s="8">
        <v>0</v>
      </c>
    </row>
    <row r="782" spans="1:51" ht="16" thickBot="1" x14ac:dyDescent="0.25">
      <c r="B782" s="8">
        <f>AVERAGE(B777:B778,B780)</f>
        <v>18.744292237442924</v>
      </c>
      <c r="C782" s="8">
        <f>AVERAGE(C777:C778,C780)</f>
        <v>46.777016742770165</v>
      </c>
      <c r="D782" s="8">
        <f>AVERAGE(D777:D778,D780)</f>
        <v>17.449264332825976</v>
      </c>
      <c r="E782" s="8">
        <f>AVERAGE(E777:E778,E780)</f>
        <v>17.029426686960932</v>
      </c>
      <c r="F782" s="8">
        <f>AVERAGE(F777:F778,F780)</f>
        <v>0</v>
      </c>
      <c r="H782" s="8">
        <f>AVERAGE(H777:H778,H780)</f>
        <v>10.060386473429952</v>
      </c>
      <c r="I782" s="8">
        <f>AVERAGE(I777:I778,I780)</f>
        <v>55.410628019323667</v>
      </c>
      <c r="J782" s="8">
        <f>AVERAGE(J777:J778,J780)</f>
        <v>17.125603864734298</v>
      </c>
      <c r="K782" s="8">
        <f>AVERAGE(K777:K778,K780)</f>
        <v>17.403381642512077</v>
      </c>
      <c r="L782" s="8">
        <f>AVERAGE(L777:L778,L780)</f>
        <v>0</v>
      </c>
      <c r="N782" s="8">
        <f>AVERAGE(N777:N778,N780)</f>
        <v>24.750125691302163</v>
      </c>
      <c r="O782" s="8">
        <f>AVERAGE(O777:O778,O780)</f>
        <v>41.623931623931625</v>
      </c>
      <c r="P782" s="8">
        <f>AVERAGE(P777:P778,P780)</f>
        <v>6.8974358974358978</v>
      </c>
      <c r="Q782" s="8">
        <f>AVERAGE(Q777:Q778,Q780)</f>
        <v>26.728506787330318</v>
      </c>
      <c r="R782" s="8">
        <f>AVERAGE(R777:R778,R780)</f>
        <v>0</v>
      </c>
      <c r="T782" s="8">
        <f>AVERAGE(T777:T778,T780)</f>
        <v>16.497747747747749</v>
      </c>
      <c r="U782" s="8">
        <f>AVERAGE(U777:U778,U780)</f>
        <v>36.632220455749867</v>
      </c>
      <c r="V782" s="8">
        <f>AVERAGE(V777:V778,V780)</f>
        <v>13.689056703762587</v>
      </c>
      <c r="W782" s="8">
        <f>AVERAGE(W777:W778,W780)</f>
        <v>33.1809750927398</v>
      </c>
      <c r="X782" s="8">
        <f>AVERAGE(X777:X778,X780)</f>
        <v>0</v>
      </c>
      <c r="Z782" s="8">
        <f t="shared" si="39"/>
        <v>17.513138037480697</v>
      </c>
      <c r="AA782" s="8">
        <f t="shared" si="39"/>
        <v>45.110949210443835</v>
      </c>
      <c r="AB782" s="8">
        <f t="shared" si="39"/>
        <v>13.790340199689691</v>
      </c>
      <c r="AC782" s="8">
        <f t="shared" si="39"/>
        <v>23.585572552385781</v>
      </c>
      <c r="AD782" s="8">
        <f t="shared" si="39"/>
        <v>0</v>
      </c>
      <c r="AH782" s="24">
        <f>AH778/AH775</f>
        <v>4.837917931721486E-2</v>
      </c>
      <c r="AI782" s="24">
        <f>AI778/AI775</f>
        <v>0.53211831604467208</v>
      </c>
      <c r="AJ782" s="24">
        <f t="shared" si="40"/>
        <v>0.71449363653583353</v>
      </c>
      <c r="AK782" s="24">
        <f t="shared" si="40"/>
        <v>0.74580047557112261</v>
      </c>
      <c r="AM782" s="26">
        <f t="shared" si="36"/>
        <v>0.5101979018672107</v>
      </c>
      <c r="AN782" s="24"/>
      <c r="AP782" s="18" t="s">
        <v>159</v>
      </c>
      <c r="AQ782" s="8" cm="1">
        <f t="array" ref="AQ782:AU782">Z746:AD746</f>
        <v>60.247197377907206</v>
      </c>
      <c r="AR782" s="8">
        <v>17.755149376493446</v>
      </c>
      <c r="AS782" s="7">
        <v>7.4671987467748231</v>
      </c>
      <c r="AT782" s="8">
        <v>14.530454498824529</v>
      </c>
      <c r="AU782" s="8">
        <v>0</v>
      </c>
    </row>
    <row r="783" spans="1:51" x14ac:dyDescent="0.2">
      <c r="AG783" t="s">
        <v>199</v>
      </c>
      <c r="AH783" s="25">
        <f>AVERAGE(AH780:AH782)</f>
        <v>0.34320980740526758</v>
      </c>
      <c r="AI783" s="25">
        <f t="shared" ref="AI783:AK783" si="41">AVERAGE(AI780:AI782)</f>
        <v>0.47958898575669484</v>
      </c>
      <c r="AJ783" s="25">
        <f t="shared" si="41"/>
        <v>0.61041410588801026</v>
      </c>
      <c r="AK783" s="25">
        <f t="shared" si="41"/>
        <v>0.62506609833964666</v>
      </c>
      <c r="AM783" s="25">
        <f>AVERAGE(AM780:AM782)</f>
        <v>0.51456974934740474</v>
      </c>
      <c r="AP783" s="18" t="s">
        <v>160</v>
      </c>
      <c r="AQ783" s="8" cm="1">
        <f t="array" ref="AQ783:AU783">Z755:AD755</f>
        <v>39.169362435239584</v>
      </c>
      <c r="AR783" s="8">
        <v>36.476456179817063</v>
      </c>
      <c r="AS783" s="8">
        <v>5.0606457553522874</v>
      </c>
      <c r="AT783" s="8">
        <v>19.293535629591069</v>
      </c>
      <c r="AU783" s="8">
        <v>0</v>
      </c>
    </row>
    <row r="784" spans="1:51" ht="23" customHeight="1" x14ac:dyDescent="0.2">
      <c r="A784" s="31" t="s">
        <v>165</v>
      </c>
      <c r="B784" s="32" t="s">
        <v>53</v>
      </c>
      <c r="C784" s="32"/>
      <c r="D784" s="32"/>
      <c r="E784" s="32"/>
      <c r="F784" s="32"/>
      <c r="G784" s="4" t="s">
        <v>64</v>
      </c>
      <c r="H784" s="32" t="s">
        <v>54</v>
      </c>
      <c r="I784" s="32"/>
      <c r="J784" s="32"/>
      <c r="K784" s="32"/>
      <c r="L784" s="32"/>
      <c r="M784" s="4" t="s">
        <v>64</v>
      </c>
      <c r="N784" s="32" t="s">
        <v>55</v>
      </c>
      <c r="O784" s="32"/>
      <c r="P784" s="32"/>
      <c r="Q784" s="32"/>
      <c r="R784" s="32"/>
      <c r="S784" s="4" t="s">
        <v>64</v>
      </c>
      <c r="T784" s="32" t="s">
        <v>56</v>
      </c>
      <c r="U784" s="32"/>
      <c r="V784" s="32"/>
      <c r="W784" s="32"/>
      <c r="X784" s="32"/>
      <c r="Y784" s="4" t="s">
        <v>64</v>
      </c>
    </row>
    <row r="785" spans="1:49" x14ac:dyDescent="0.2">
      <c r="A785" s="31"/>
      <c r="B785" s="4" t="s">
        <v>20</v>
      </c>
      <c r="C785" s="4" t="s">
        <v>21</v>
      </c>
      <c r="D785" s="4" t="s">
        <v>60</v>
      </c>
      <c r="E785" s="4" t="s">
        <v>61</v>
      </c>
      <c r="F785" s="4" t="s">
        <v>62</v>
      </c>
      <c r="G785" s="4"/>
      <c r="H785" s="4" t="s">
        <v>20</v>
      </c>
      <c r="I785" s="4" t="s">
        <v>21</v>
      </c>
      <c r="J785" s="4" t="s">
        <v>60</v>
      </c>
      <c r="K785" s="4" t="s">
        <v>61</v>
      </c>
      <c r="L785" s="4" t="s">
        <v>62</v>
      </c>
      <c r="M785" s="4"/>
      <c r="N785" s="4" t="s">
        <v>20</v>
      </c>
      <c r="O785" s="4" t="s">
        <v>21</v>
      </c>
      <c r="P785" s="4" t="s">
        <v>60</v>
      </c>
      <c r="Q785" s="4" t="s">
        <v>61</v>
      </c>
      <c r="R785" s="4" t="s">
        <v>62</v>
      </c>
      <c r="S785" s="4"/>
      <c r="T785" s="4" t="s">
        <v>20</v>
      </c>
      <c r="U785" s="4" t="s">
        <v>21</v>
      </c>
      <c r="V785" s="4" t="s">
        <v>60</v>
      </c>
      <c r="W785" s="4" t="s">
        <v>61</v>
      </c>
      <c r="X785" s="4" t="s">
        <v>62</v>
      </c>
      <c r="Y785" s="4"/>
      <c r="AP785" t="s">
        <v>151</v>
      </c>
      <c r="AQ785" s="3" t="s">
        <v>20</v>
      </c>
      <c r="AR785" s="3" t="s">
        <v>21</v>
      </c>
      <c r="AS785" s="3" t="s">
        <v>60</v>
      </c>
      <c r="AT785" s="3" t="s">
        <v>61</v>
      </c>
      <c r="AU785" s="3" t="s">
        <v>62</v>
      </c>
    </row>
    <row r="786" spans="1:49" ht="16" thickBot="1" x14ac:dyDescent="0.25">
      <c r="A786" s="5" t="s">
        <v>57</v>
      </c>
      <c r="B786" s="8">
        <f>$K$467/$M$467*100</f>
        <v>28.07017543859649</v>
      </c>
      <c r="C786" s="8">
        <f>$K$468/$M$468*100</f>
        <v>10.526315789473683</v>
      </c>
      <c r="D786" s="8">
        <f>$K$469/$M$469*100</f>
        <v>6.4327485380116958</v>
      </c>
      <c r="E786" s="8">
        <f>$K$470/$M$470*100</f>
        <v>1.7543859649122806</v>
      </c>
      <c r="F786" s="8">
        <f>$K$471/$M$471*100</f>
        <v>0</v>
      </c>
      <c r="G786" s="8">
        <f>SUM(B786:F786)</f>
        <v>46.783625730994146</v>
      </c>
      <c r="H786" s="8">
        <f>$K$547/$M$547*100</f>
        <v>41.17647058823529</v>
      </c>
      <c r="I786" s="8">
        <f>$K$548/$M$548*100</f>
        <v>5.8823529411764701</v>
      </c>
      <c r="J786" s="8">
        <f>$K$549/$M$549*100</f>
        <v>0</v>
      </c>
      <c r="K786" s="8">
        <f>$K$550/$M$550*100</f>
        <v>0</v>
      </c>
      <c r="L786" s="8">
        <f>$K$551/$M$551*100</f>
        <v>0</v>
      </c>
      <c r="M786" s="8">
        <f>SUM(H786:L786)</f>
        <v>47.058823529411761</v>
      </c>
      <c r="N786" s="8">
        <f>$K$627/$M$627*100</f>
        <v>43.75</v>
      </c>
      <c r="O786" s="8">
        <f>$K$628/$M$628*100</f>
        <v>6.25</v>
      </c>
      <c r="P786" s="8">
        <f>$K$629/$M$629*100</f>
        <v>0</v>
      </c>
      <c r="Q786" s="8">
        <f>$K$630/$M$630*100</f>
        <v>1.25</v>
      </c>
      <c r="R786" s="8">
        <f>$K$631/$M$631*100</f>
        <v>0</v>
      </c>
      <c r="S786" s="8">
        <f>SUM(N786:R786)</f>
        <v>51.25</v>
      </c>
      <c r="T786" s="8">
        <f>$K$387/$M$387*100</f>
        <v>50</v>
      </c>
      <c r="U786" s="8">
        <f>$K$388/$M$388*100</f>
        <v>28.571428571428569</v>
      </c>
      <c r="V786" s="8">
        <f>$K$389/$M$389*100</f>
        <v>0</v>
      </c>
      <c r="W786" s="8">
        <f>$K$390/$M$390*100</f>
        <v>0</v>
      </c>
      <c r="X786" s="8">
        <f>$K$391/$M$391*100</f>
        <v>0</v>
      </c>
      <c r="Y786" s="8">
        <f>SUM(T786:X786)</f>
        <v>78.571428571428569</v>
      </c>
      <c r="Z786" s="8">
        <f>AVERAGE(B786:F786,H786:L786,N786:R786,T786:X786)</f>
        <v>11.183193891591722</v>
      </c>
      <c r="AP786" s="18" t="s">
        <v>158</v>
      </c>
      <c r="AQ786" s="8" cm="1">
        <f t="array" ref="AQ786:AU786">Z764:AD764</f>
        <v>61.919734513380206</v>
      </c>
      <c r="AR786" s="8">
        <v>22.326064539440114</v>
      </c>
      <c r="AS786" s="7">
        <v>5.1092060740047289</v>
      </c>
      <c r="AT786" s="7">
        <v>10.644994873174944</v>
      </c>
      <c r="AU786" s="8">
        <v>0</v>
      </c>
    </row>
    <row r="787" spans="1:49" x14ac:dyDescent="0.2">
      <c r="A787" s="5" t="s">
        <v>58</v>
      </c>
      <c r="B787" s="8">
        <f>$K$427/$M$427*100</f>
        <v>22.068965517241381</v>
      </c>
      <c r="C787" s="8">
        <f>$K$428/$M$428*100</f>
        <v>15.172413793103448</v>
      </c>
      <c r="D787" s="8">
        <f>$K$429/$M$429*100</f>
        <v>6.8965517241379306</v>
      </c>
      <c r="E787" s="8">
        <f>$K$430/$M$430*100</f>
        <v>6.8965517241379306</v>
      </c>
      <c r="F787" s="8">
        <f>$K$431/$M$431*100</f>
        <v>0</v>
      </c>
      <c r="G787" s="8">
        <f>SUM(B787:F787)</f>
        <v>51.034482758620683</v>
      </c>
      <c r="H787" s="8">
        <f>$K$507/$M$507*100</f>
        <v>28.000000000000004</v>
      </c>
      <c r="I787" s="8">
        <f>$K$508/$M$508*100</f>
        <v>8</v>
      </c>
      <c r="J787" s="8">
        <f>$K$509/$M$509*100</f>
        <v>4</v>
      </c>
      <c r="K787" s="8">
        <f>$K$510/$M$510*100</f>
        <v>4</v>
      </c>
      <c r="L787" s="8">
        <f>$K$511/$M$511*100</f>
        <v>0</v>
      </c>
      <c r="M787" s="8">
        <f>SUM(H787:L787)</f>
        <v>44</v>
      </c>
      <c r="N787" s="8">
        <f>$K$587/$M$587*100</f>
        <v>11.76470588235294</v>
      </c>
      <c r="O787" s="8">
        <f>$K$588/$M$588*100</f>
        <v>17.647058823529413</v>
      </c>
      <c r="P787" s="8">
        <f>$K$589/$M$589*100</f>
        <v>7.3529411764705888</v>
      </c>
      <c r="Q787" s="8">
        <f>$K$590/$M$590*100</f>
        <v>16.911764705882355</v>
      </c>
      <c r="R787" s="8">
        <f>$K$591/$M$591*100</f>
        <v>0</v>
      </c>
      <c r="S787" s="8">
        <f>SUM(N787:R787)</f>
        <v>53.676470588235297</v>
      </c>
      <c r="T787" s="8">
        <f>$K$347/$M$347*100</f>
        <v>19.230769230769234</v>
      </c>
      <c r="U787" s="8">
        <f>$K$348/$M$348*100</f>
        <v>0</v>
      </c>
      <c r="V787" s="8">
        <f>$K$349/$M$349*100</f>
        <v>3.8461538461538463</v>
      </c>
      <c r="W787" s="8">
        <f>$K$350/$M$350*100</f>
        <v>26.923076923076923</v>
      </c>
      <c r="X787" s="8">
        <f>$K$351/$M$351*100</f>
        <v>0</v>
      </c>
      <c r="Y787" s="8">
        <f>SUM(T787:X787)</f>
        <v>50</v>
      </c>
      <c r="Z787" s="8">
        <f t="shared" ref="Z787:Z789" si="42">AVERAGE(B787:F787,H787:L787,N787:R787,T787:X787)</f>
        <v>9.9355476673427994</v>
      </c>
      <c r="AH787" s="19" t="s">
        <v>168</v>
      </c>
      <c r="AI787" s="18" t="s">
        <v>169</v>
      </c>
      <c r="AJ787" s="18" t="s">
        <v>170</v>
      </c>
      <c r="AP787" s="18" t="s">
        <v>159</v>
      </c>
      <c r="AQ787" s="8" cm="1">
        <f t="array" ref="AQ787:AU787">Z773:AD773</f>
        <v>48.387891755590253</v>
      </c>
      <c r="AR787" s="8">
        <v>28.316084630631689</v>
      </c>
      <c r="AS787" s="8">
        <v>8.413164364123098</v>
      </c>
      <c r="AT787" s="8">
        <v>14.822959622003992</v>
      </c>
      <c r="AU787" s="16">
        <v>0.11737089201877936</v>
      </c>
    </row>
    <row r="788" spans="1:49" ht="16" thickBot="1" x14ac:dyDescent="0.25">
      <c r="A788" s="5" t="s">
        <v>142</v>
      </c>
      <c r="B788" s="8">
        <f>$K$447/$M$447*100</f>
        <v>29.166666666666668</v>
      </c>
      <c r="C788" s="8">
        <f>$K$448/$M$448*100</f>
        <v>4.1666666666666661</v>
      </c>
      <c r="D788" s="8">
        <f>$K$449/$M$449*100</f>
        <v>0</v>
      </c>
      <c r="E788" s="8">
        <f>$K$450/$M$450*100</f>
        <v>0</v>
      </c>
      <c r="F788" s="8">
        <f>$K$451/$M$451*100</f>
        <v>0</v>
      </c>
      <c r="G788" s="8">
        <f>SUM(B788:F788)</f>
        <v>33.333333333333336</v>
      </c>
      <c r="H788" s="8">
        <f>$K$527/$M$527*100</f>
        <v>50</v>
      </c>
      <c r="I788" s="8">
        <f>$K$528/$M$528*100</f>
        <v>0</v>
      </c>
      <c r="J788" s="8">
        <f>$K$529/$M$529*100</f>
        <v>0</v>
      </c>
      <c r="K788" s="8">
        <f>$K$530/$M$530*100</f>
        <v>0</v>
      </c>
      <c r="L788" s="8">
        <f>$K$531/$M$531*100</f>
        <v>0</v>
      </c>
      <c r="M788" s="8">
        <f>SUM(H788:L788)</f>
        <v>50</v>
      </c>
      <c r="N788" s="8">
        <f>$K$607/$M$607*100</f>
        <v>41.935483870967744</v>
      </c>
      <c r="O788" s="8">
        <f>$K$608/$M$608*100</f>
        <v>25.806451612903224</v>
      </c>
      <c r="P788" s="8">
        <f>$K$609/$M$609*100</f>
        <v>6.4516129032258061</v>
      </c>
      <c r="Q788" s="8">
        <f>$K$610/$M$610*100</f>
        <v>3.225806451612903</v>
      </c>
      <c r="R788" s="8">
        <f>$K$611/$M$611*100</f>
        <v>0</v>
      </c>
      <c r="S788" s="8">
        <f>SUM(N788:R788)</f>
        <v>77.41935483870968</v>
      </c>
      <c r="T788" s="8">
        <f>$K$367/$M$367*100</f>
        <v>46.666666666666664</v>
      </c>
      <c r="U788" s="8">
        <f>$K$368/$M$368*100</f>
        <v>13.333333333333334</v>
      </c>
      <c r="V788" s="8">
        <f>$K$369/$M$369*100</f>
        <v>13.333333333333334</v>
      </c>
      <c r="W788" s="8">
        <f>$K$370/$M$370*100</f>
        <v>0</v>
      </c>
      <c r="X788" s="8">
        <f>$K$371/$M$371*100</f>
        <v>0</v>
      </c>
      <c r="Y788" s="8">
        <f>SUM(T788:X788)</f>
        <v>73.333333333333329</v>
      </c>
      <c r="Z788" s="8">
        <f>AVERAGE(B788:F788,H788:L788,N788:R788,T788:X788)</f>
        <v>11.704301075268818</v>
      </c>
      <c r="AG788" s="5" t="s">
        <v>57</v>
      </c>
      <c r="AH788" s="24">
        <f>Z786/Z759</f>
        <v>0.55915969457958614</v>
      </c>
      <c r="AI788" s="24">
        <f>Z795/Z759</f>
        <v>0.5246509568095471</v>
      </c>
      <c r="AJ788" s="24">
        <f>Z804/Z777</f>
        <v>0.54352703455964335</v>
      </c>
      <c r="AK788" s="25">
        <f>AVERAGE(AH788:AJ788)</f>
        <v>0.54244589531625886</v>
      </c>
      <c r="AP788" s="18" t="s">
        <v>160</v>
      </c>
      <c r="AQ788" s="8" cm="1">
        <f t="array" ref="AQ788:AU788">Z782:AD782</f>
        <v>17.513138037480697</v>
      </c>
      <c r="AR788" s="8">
        <v>45.110949210443835</v>
      </c>
      <c r="AS788" s="8">
        <v>13.790340199689691</v>
      </c>
      <c r="AT788" s="8">
        <v>23.585572552385781</v>
      </c>
      <c r="AU788" s="8">
        <v>0</v>
      </c>
    </row>
    <row r="789" spans="1:49" ht="16" thickBot="1" x14ac:dyDescent="0.25">
      <c r="A789" s="9" t="s">
        <v>59</v>
      </c>
      <c r="B789" s="8">
        <f>$K$407/$M$407*100</f>
        <v>13.609467455621301</v>
      </c>
      <c r="C789" s="8">
        <f>$K$408/$M$408*100</f>
        <v>5.9171597633136095</v>
      </c>
      <c r="D789" s="8">
        <f>$K$409/$M$409*100</f>
        <v>2.3668639053254439</v>
      </c>
      <c r="E789" s="8">
        <f>$K$410/$M$410*100</f>
        <v>2.3668639053254439</v>
      </c>
      <c r="F789" s="8">
        <f>$K$411/$M$411*100</f>
        <v>0</v>
      </c>
      <c r="G789" s="8">
        <f>SUM(B789:F789)</f>
        <v>24.260355029585803</v>
      </c>
      <c r="H789" s="8">
        <f>$K$487/$M$487*100</f>
        <v>36.363636363636367</v>
      </c>
      <c r="I789" s="8">
        <f>$K$488/$M$488*100</f>
        <v>0</v>
      </c>
      <c r="J789" s="8">
        <f>$K$489/$M$489*100</f>
        <v>0</v>
      </c>
      <c r="K789" s="8">
        <f>$K$490/$M$490*100</f>
        <v>0</v>
      </c>
      <c r="L789" s="8">
        <f>$K$491/$M$491*100</f>
        <v>0</v>
      </c>
      <c r="M789" s="8">
        <f>SUM(H789:L789)</f>
        <v>36.363636363636367</v>
      </c>
      <c r="N789" s="8">
        <f>$K$567/$M$567*100</f>
        <v>29.032258064516132</v>
      </c>
      <c r="O789" s="8">
        <f>$K$568/$M$568*100</f>
        <v>3.225806451612903</v>
      </c>
      <c r="P789" s="8">
        <f>$K$569/$M$569*100</f>
        <v>0</v>
      </c>
      <c r="Q789" s="8">
        <f>$K$570/$M$570*100</f>
        <v>0</v>
      </c>
      <c r="R789" s="8">
        <f>$K$571/$M$571*100</f>
        <v>0</v>
      </c>
      <c r="S789" s="8">
        <f>SUM(N789:R789)</f>
        <v>32.258064516129032</v>
      </c>
      <c r="T789" s="8">
        <f>$K$327/$M$327*100</f>
        <v>10.256410256410255</v>
      </c>
      <c r="U789" s="8">
        <f>$K$328/$M$328*100</f>
        <v>0</v>
      </c>
      <c r="V789" s="8">
        <f>$K$329/$M$329*100</f>
        <v>2.5641025641025639</v>
      </c>
      <c r="W789" s="8">
        <f>$K$330/$M$330*100</f>
        <v>5.1282051282051277</v>
      </c>
      <c r="X789" s="8">
        <f>$K$331/$M$331*100</f>
        <v>0</v>
      </c>
      <c r="Y789" s="8">
        <f>SUM(T789:X789)</f>
        <v>17.948717948717949</v>
      </c>
      <c r="Z789" s="8">
        <f t="shared" si="42"/>
        <v>5.5415386929034574</v>
      </c>
      <c r="AG789" s="5" t="s">
        <v>58</v>
      </c>
      <c r="AH789" s="24">
        <f t="shared" ref="AH789:AH791" si="43">Z787/Z760</f>
        <v>0.49677738336713989</v>
      </c>
      <c r="AI789" s="24">
        <f t="shared" ref="AI789:AI791" si="44">Z796/Z760</f>
        <v>0.49896545082460564</v>
      </c>
      <c r="AJ789" s="24">
        <f t="shared" ref="AJ789:AJ791" si="45">Z805/Z778</f>
        <v>0.63555555555555565</v>
      </c>
      <c r="AK789" s="25">
        <f t="shared" ref="AK789:AK791" si="46">AVERAGE(AH789:AJ789)</f>
        <v>0.54376612991576712</v>
      </c>
      <c r="AP789" s="19" t="s">
        <v>168</v>
      </c>
      <c r="AQ789" s="20" cm="1">
        <f t="array" ref="AQ789:AU789">Z791:AD791</f>
        <v>27.776904899781613</v>
      </c>
      <c r="AR789" s="21">
        <v>8.4327113444698423</v>
      </c>
      <c r="AS789" s="21">
        <v>2.7882801461835056</v>
      </c>
      <c r="AT789" s="21">
        <v>5.4359040292950045</v>
      </c>
      <c r="AU789" s="20">
        <v>0</v>
      </c>
      <c r="AV789" s="8">
        <f>AVERAGE(AQ789:AT789)</f>
        <v>11.108450104932491</v>
      </c>
    </row>
    <row r="790" spans="1:49" x14ac:dyDescent="0.2">
      <c r="A790" s="10" t="s">
        <v>50</v>
      </c>
      <c r="B790" s="12">
        <f>AVERAGE(B786:B789)</f>
        <v>23.228818769531461</v>
      </c>
      <c r="C790" s="12">
        <f>AVERAGE(C786:C789)</f>
        <v>8.9456390031393518</v>
      </c>
      <c r="D790" s="11">
        <f>AVERAGE(D786:D789)</f>
        <v>3.9240410418687675</v>
      </c>
      <c r="E790" s="11">
        <f>AVERAGE(E786:E789)</f>
        <v>2.7544503985939137</v>
      </c>
      <c r="F790" s="11">
        <f>AVERAGE(F786:F789)</f>
        <v>0</v>
      </c>
      <c r="G790" s="12"/>
      <c r="H790" s="11">
        <f>AVERAGE(H786:H789)</f>
        <v>38.885026737967912</v>
      </c>
      <c r="I790" s="13">
        <f>AVERAGE(I786:I789)</f>
        <v>3.4705882352941178</v>
      </c>
      <c r="J790" s="14">
        <f>AVERAGE(J786:J789)</f>
        <v>1</v>
      </c>
      <c r="K790" s="14">
        <f>AVERAGE(K786:K789)</f>
        <v>1</v>
      </c>
      <c r="L790" s="14">
        <f>AVERAGE(L786:L789)</f>
        <v>0</v>
      </c>
      <c r="M790" s="12"/>
      <c r="N790" s="14">
        <f>AVERAGE(N786:N789)</f>
        <v>31.620611954459203</v>
      </c>
      <c r="O790" s="12">
        <f>AVERAGE(O786:O789)</f>
        <v>13.232329222011385</v>
      </c>
      <c r="P790" s="11">
        <f>AVERAGE(P786:P789)</f>
        <v>3.4511385199240987</v>
      </c>
      <c r="Q790" s="11">
        <f>AVERAGE(Q786:Q789)</f>
        <v>5.3468927893738147</v>
      </c>
      <c r="R790" s="11">
        <f>AVERAGE(R786:R789)</f>
        <v>0</v>
      </c>
      <c r="S790" s="15"/>
      <c r="T790" s="14">
        <f>AVERAGE(T786:T789)</f>
        <v>31.538461538461533</v>
      </c>
      <c r="U790" s="12">
        <f>AVERAGE(U786:U789)</f>
        <v>10.476190476190476</v>
      </c>
      <c r="V790" s="11">
        <f>AVERAGE(V786:V789)</f>
        <v>4.9358974358974361</v>
      </c>
      <c r="W790" s="11">
        <f>AVERAGE(W786:W789)</f>
        <v>8.0128205128205128</v>
      </c>
      <c r="X790" s="11">
        <f>AVERAGE(X786:X789)</f>
        <v>0</v>
      </c>
      <c r="Y790" s="15"/>
      <c r="Z790" s="8">
        <f t="shared" ref="Z790:AD791" si="47">AVERAGE(B790,H790,N790,T790)</f>
        <v>31.318229750105029</v>
      </c>
      <c r="AA790" s="8">
        <f t="shared" si="47"/>
        <v>9.0311867341588332</v>
      </c>
      <c r="AB790" s="8">
        <f t="shared" si="47"/>
        <v>3.3277692494225755</v>
      </c>
      <c r="AC790" s="8">
        <f t="shared" si="47"/>
        <v>4.2785409251970599</v>
      </c>
      <c r="AD790" s="8">
        <f t="shared" si="47"/>
        <v>0</v>
      </c>
      <c r="AG790" s="5" t="s">
        <v>142</v>
      </c>
      <c r="AH790" s="24">
        <f t="shared" si="43"/>
        <v>0.58521505376344085</v>
      </c>
      <c r="AI790" s="24">
        <f t="shared" si="44"/>
        <v>0.75642230576441094</v>
      </c>
      <c r="AJ790" s="24">
        <f t="shared" si="45"/>
        <v>0.7321428571428571</v>
      </c>
      <c r="AK790" s="25">
        <f t="shared" si="46"/>
        <v>0.69126007222356967</v>
      </c>
      <c r="AP790" s="18" t="s">
        <v>169</v>
      </c>
      <c r="AQ790" s="8" cm="1">
        <f t="array" ref="AQ790:AU790">Z800:AD800</f>
        <v>19.179743552362563</v>
      </c>
      <c r="AR790" s="8">
        <v>10.66171915080761</v>
      </c>
      <c r="AS790" s="7">
        <v>4.3565369563021177</v>
      </c>
      <c r="AT790" s="7">
        <v>9.5571025924191311</v>
      </c>
      <c r="AU790" s="8">
        <v>0</v>
      </c>
      <c r="AV790" s="8">
        <f t="shared" ref="AV790:AV791" si="48">AVERAGE(AQ790:AT790)</f>
        <v>10.938775562972854</v>
      </c>
    </row>
    <row r="791" spans="1:49" ht="16" thickBot="1" x14ac:dyDescent="0.25">
      <c r="B791" s="8">
        <f>AVERAGE(B786:B787,B789)</f>
        <v>21.249536137153058</v>
      </c>
      <c r="C791" s="8">
        <f>AVERAGE(C786:C787,C789)</f>
        <v>10.53862978196358</v>
      </c>
      <c r="D791" s="8">
        <f>AVERAGE(D786:D787,D789)</f>
        <v>5.2320547224916902</v>
      </c>
      <c r="E791" s="8">
        <f>AVERAGE(E786:E787,E789)</f>
        <v>3.6726005314585515</v>
      </c>
      <c r="F791" s="8">
        <f>AVERAGE(F786:F787,F789)</f>
        <v>0</v>
      </c>
      <c r="H791" s="8">
        <f>AVERAGE(H786:H787,H789)</f>
        <v>35.180035650623886</v>
      </c>
      <c r="I791" s="8">
        <f>AVERAGE(I786:I787,I789)</f>
        <v>4.6274509803921573</v>
      </c>
      <c r="J791" s="8">
        <f>AVERAGE(J786:J787,J789)</f>
        <v>1.3333333333333333</v>
      </c>
      <c r="K791" s="8">
        <f>AVERAGE(K786:K787,K789)</f>
        <v>1.3333333333333333</v>
      </c>
      <c r="L791" s="8">
        <f>AVERAGE(L786:L787,L789)</f>
        <v>0</v>
      </c>
      <c r="N791" s="8">
        <f>AVERAGE(N786:N787,N789)</f>
        <v>28.182321315623025</v>
      </c>
      <c r="O791" s="8">
        <f>AVERAGE(O786:O787,O789)</f>
        <v>9.0409550917141051</v>
      </c>
      <c r="P791" s="8">
        <f>AVERAGE(P786:P787,P789)</f>
        <v>2.4509803921568629</v>
      </c>
      <c r="Q791" s="8">
        <f>AVERAGE(Q786:Q787,Q789)</f>
        <v>6.0539215686274517</v>
      </c>
      <c r="R791" s="8">
        <f>AVERAGE(R786:R787,R789)</f>
        <v>0</v>
      </c>
      <c r="T791" s="8">
        <f>AVERAGE(T786:T787,T789)</f>
        <v>26.49572649572649</v>
      </c>
      <c r="U791" s="8">
        <f>AVERAGE(U786:U787,U789)</f>
        <v>9.5238095238095237</v>
      </c>
      <c r="V791" s="8">
        <f>AVERAGE(V786:V787,V789)</f>
        <v>2.1367521367521367</v>
      </c>
      <c r="W791" s="8">
        <f>AVERAGE(W786:W787,W789)</f>
        <v>10.683760683760683</v>
      </c>
      <c r="X791" s="8">
        <f>AVERAGE(X786:X787,X789)</f>
        <v>0</v>
      </c>
      <c r="Z791" s="8">
        <f t="shared" si="47"/>
        <v>27.776904899781613</v>
      </c>
      <c r="AA791" s="8">
        <f t="shared" si="47"/>
        <v>8.4327113444698423</v>
      </c>
      <c r="AB791" s="8">
        <f t="shared" si="47"/>
        <v>2.7882801461835056</v>
      </c>
      <c r="AC791" s="8">
        <f t="shared" si="47"/>
        <v>5.4359040292950045</v>
      </c>
      <c r="AD791" s="8">
        <f t="shared" si="47"/>
        <v>0</v>
      </c>
      <c r="AG791" s="9" t="s">
        <v>59</v>
      </c>
      <c r="AH791" s="24">
        <f t="shared" si="43"/>
        <v>0.27707693464517286</v>
      </c>
      <c r="AI791" s="24">
        <f t="shared" si="44"/>
        <v>0.28903665992258976</v>
      </c>
      <c r="AJ791" s="24">
        <f t="shared" si="45"/>
        <v>0.26463782477078207</v>
      </c>
      <c r="AK791" s="25">
        <f t="shared" si="46"/>
        <v>0.27691713977951493</v>
      </c>
      <c r="AM791" s="25">
        <f>AVERAGE(AH788:AJ791)</f>
        <v>0.51359730930877756</v>
      </c>
      <c r="AP791" s="18" t="s">
        <v>170</v>
      </c>
      <c r="AQ791" s="7" cm="1">
        <f t="array" ref="AQ791:AU791">Z809:AD809</f>
        <v>0.87606837606837606</v>
      </c>
      <c r="AR791" s="8">
        <v>20.839925825911884</v>
      </c>
      <c r="AS791" s="8">
        <v>9.3724679131455737</v>
      </c>
      <c r="AT791" s="8">
        <v>17.035551714406864</v>
      </c>
      <c r="AU791" s="8">
        <v>0</v>
      </c>
      <c r="AV791" s="8">
        <f t="shared" si="48"/>
        <v>12.031003457383175</v>
      </c>
    </row>
    <row r="792" spans="1:49" x14ac:dyDescent="0.2">
      <c r="AV792" s="8"/>
    </row>
    <row r="793" spans="1:49" ht="16" customHeight="1" x14ac:dyDescent="0.2">
      <c r="A793" s="31" t="s">
        <v>166</v>
      </c>
      <c r="B793" s="32" t="s">
        <v>53</v>
      </c>
      <c r="C793" s="32"/>
      <c r="D793" s="32"/>
      <c r="E793" s="32"/>
      <c r="F793" s="32"/>
      <c r="G793" s="4" t="s">
        <v>64</v>
      </c>
      <c r="H793" s="32" t="s">
        <v>54</v>
      </c>
      <c r="I793" s="32"/>
      <c r="J793" s="32"/>
      <c r="K793" s="32"/>
      <c r="L793" s="32"/>
      <c r="M793" s="4" t="s">
        <v>64</v>
      </c>
      <c r="N793" s="32" t="s">
        <v>55</v>
      </c>
      <c r="O793" s="32"/>
      <c r="P793" s="32"/>
      <c r="Q793" s="32"/>
      <c r="R793" s="32"/>
      <c r="S793" s="4" t="s">
        <v>64</v>
      </c>
      <c r="T793" s="32" t="s">
        <v>56</v>
      </c>
      <c r="U793" s="32"/>
      <c r="V793" s="32"/>
      <c r="W793" s="32"/>
      <c r="X793" s="32"/>
      <c r="Y793" s="4" t="s">
        <v>64</v>
      </c>
      <c r="AH793" s="25"/>
      <c r="AI793" s="25"/>
      <c r="AJ793" s="25"/>
      <c r="AK793" s="25"/>
      <c r="AQ793">
        <f>AQ789/AQ786</f>
        <v>0.4485953487700971</v>
      </c>
      <c r="AR793">
        <f t="shared" ref="AR793:AT793" si="49">AR789/AR786</f>
        <v>0.37770702174460857</v>
      </c>
      <c r="AS793">
        <f t="shared" si="49"/>
        <v>0.54573648151912946</v>
      </c>
      <c r="AT793">
        <f t="shared" si="49"/>
        <v>0.51065351313539031</v>
      </c>
      <c r="AV793" s="16">
        <f t="shared" ref="AV793:AV795" si="50">AVERAGE(AQ793:AT793)</f>
        <v>0.47067309129230639</v>
      </c>
    </row>
    <row r="794" spans="1:49" x14ac:dyDescent="0.2">
      <c r="A794" s="31"/>
      <c r="B794" s="4" t="s">
        <v>20</v>
      </c>
      <c r="C794" s="4" t="s">
        <v>21</v>
      </c>
      <c r="D794" s="4" t="s">
        <v>60</v>
      </c>
      <c r="E794" s="4" t="s">
        <v>61</v>
      </c>
      <c r="F794" s="4" t="s">
        <v>62</v>
      </c>
      <c r="G794" s="4"/>
      <c r="H794" s="4" t="s">
        <v>20</v>
      </c>
      <c r="I794" s="4" t="s">
        <v>21</v>
      </c>
      <c r="J794" s="4" t="s">
        <v>60</v>
      </c>
      <c r="K794" s="4" t="s">
        <v>61</v>
      </c>
      <c r="L794" s="4" t="s">
        <v>62</v>
      </c>
      <c r="M794" s="4"/>
      <c r="N794" s="4" t="s">
        <v>20</v>
      </c>
      <c r="O794" s="4" t="s">
        <v>21</v>
      </c>
      <c r="P794" s="4" t="s">
        <v>60</v>
      </c>
      <c r="Q794" s="4" t="s">
        <v>61</v>
      </c>
      <c r="R794" s="4" t="s">
        <v>62</v>
      </c>
      <c r="S794" s="4"/>
      <c r="T794" s="4" t="s">
        <v>20</v>
      </c>
      <c r="U794" s="4" t="s">
        <v>21</v>
      </c>
      <c r="V794" s="4" t="s">
        <v>60</v>
      </c>
      <c r="W794" s="4" t="s">
        <v>61</v>
      </c>
      <c r="X794" s="4" t="s">
        <v>62</v>
      </c>
      <c r="Y794" s="4"/>
      <c r="AQ794">
        <f t="shared" ref="AQ794:AT794" si="51">AQ790/AQ787</f>
        <v>0.39637485446236098</v>
      </c>
      <c r="AR794">
        <f t="shared" si="51"/>
        <v>0.37652519018374481</v>
      </c>
      <c r="AS794">
        <f t="shared" si="51"/>
        <v>0.51782382558458417</v>
      </c>
      <c r="AT794">
        <f t="shared" si="51"/>
        <v>0.6447499579120527</v>
      </c>
      <c r="AV794" s="16">
        <f t="shared" si="50"/>
        <v>0.48386845703568571</v>
      </c>
    </row>
    <row r="795" spans="1:49" x14ac:dyDescent="0.2">
      <c r="A795" s="5" t="s">
        <v>57</v>
      </c>
      <c r="B795" s="8">
        <f>$K$472/$M$472*100</f>
        <v>12.77533039647577</v>
      </c>
      <c r="C795" s="8">
        <f>$K$473/$M$473*100</f>
        <v>14.096916299559473</v>
      </c>
      <c r="D795" s="8">
        <f>$K$474/$M$474*100</f>
        <v>3.9647577092511015</v>
      </c>
      <c r="E795" s="8">
        <f>$K$475/$M$475*100</f>
        <v>7.4889867841409687</v>
      </c>
      <c r="F795" s="8">
        <f>$K$476/$M$476*100</f>
        <v>0</v>
      </c>
      <c r="G795" s="8">
        <f>SUM(B795:F795)</f>
        <v>38.325991189427313</v>
      </c>
      <c r="H795" s="8">
        <f>$K$552/$M$552*100</f>
        <v>14.285714285714285</v>
      </c>
      <c r="I795" s="8">
        <f>$K$553/$M$553*100</f>
        <v>11.428571428571429</v>
      </c>
      <c r="J795" s="8">
        <f>$K$554/$M$554*100</f>
        <v>0</v>
      </c>
      <c r="K795" s="8">
        <f>$K$555/$M$555*100</f>
        <v>2.8571428571428572</v>
      </c>
      <c r="L795" s="8">
        <f>$K$556/$M$556*100</f>
        <v>0</v>
      </c>
      <c r="M795" s="8">
        <f>SUM(H795:L795)</f>
        <v>28.571428571428573</v>
      </c>
      <c r="N795" s="8">
        <f>$K$632/$M$632*100</f>
        <v>32.592592592592595</v>
      </c>
      <c r="O795" s="8">
        <f>$K$633/$M$633*100</f>
        <v>12.592592592592592</v>
      </c>
      <c r="P795" s="8">
        <f>$K$634/$M$634*100</f>
        <v>2.9629629629629632</v>
      </c>
      <c r="Q795" s="8">
        <f>$K$635/$M$635*100</f>
        <v>5.9259259259259265</v>
      </c>
      <c r="R795" s="8">
        <f>$K$636/$M$636*100</f>
        <v>0</v>
      </c>
      <c r="S795" s="8">
        <f>SUM(N795:R795)</f>
        <v>54.074074074074076</v>
      </c>
      <c r="T795" s="8">
        <f>$K$392/$M$392*100</f>
        <v>61.111111111111114</v>
      </c>
      <c r="U795" s="8">
        <f>$K$393/$M$393*100</f>
        <v>11.111111111111111</v>
      </c>
      <c r="V795" s="8">
        <f>$K$394/$M$394*100</f>
        <v>11.111111111111111</v>
      </c>
      <c r="W795" s="8">
        <f>$K$395/$M$395*100</f>
        <v>5.5555555555555554</v>
      </c>
      <c r="X795" s="8">
        <f>$K$396/$M$396*100</f>
        <v>0</v>
      </c>
      <c r="Y795" s="8">
        <f>SUM(T795:X795)</f>
        <v>88.8888888888889</v>
      </c>
      <c r="Z795" s="8">
        <f>AVERAGE(B795:F795,H795:L795,N795:R795,T795:X795)</f>
        <v>10.493019136190942</v>
      </c>
      <c r="AQ795">
        <f t="shared" ref="AQ795:AT795" si="52">AQ791/AQ788</f>
        <v>5.0023495172222168E-2</v>
      </c>
      <c r="AR795">
        <f t="shared" si="52"/>
        <v>0.46197045707668549</v>
      </c>
      <c r="AS795">
        <f t="shared" si="52"/>
        <v>0.67964007975354168</v>
      </c>
      <c r="AT795">
        <f t="shared" si="52"/>
        <v>0.72228696914477264</v>
      </c>
      <c r="AV795" s="16">
        <f t="shared" si="50"/>
        <v>0.47848025028680546</v>
      </c>
      <c r="AW795">
        <f>AVERAGE(AQ793:AT795)</f>
        <v>0.47767393287159926</v>
      </c>
    </row>
    <row r="796" spans="1:49" x14ac:dyDescent="0.2">
      <c r="A796" s="5" t="s">
        <v>58</v>
      </c>
      <c r="B796" s="8">
        <f>$K$432/$M$432*100</f>
        <v>12</v>
      </c>
      <c r="C796" s="8">
        <f>$K$433/$M$433*100</f>
        <v>15.2</v>
      </c>
      <c r="D796" s="8">
        <f>$K$434/$M$434*100</f>
        <v>8.7999999999999989</v>
      </c>
      <c r="E796" s="8">
        <f>$K$435/$M$435*100</f>
        <v>7.1999999999999993</v>
      </c>
      <c r="F796" s="8">
        <f>$K$436/$M$436*100</f>
        <v>0</v>
      </c>
      <c r="G796" s="8">
        <f>SUM(B796:F796)</f>
        <v>43.2</v>
      </c>
      <c r="H796" s="8">
        <f>$K$512/$M$512*100</f>
        <v>11.111111111111111</v>
      </c>
      <c r="I796" s="8">
        <f>$K$513/$M$513*100</f>
        <v>11.111111111111111</v>
      </c>
      <c r="J796" s="8">
        <f>$K$514/$M$514*100</f>
        <v>5.5555555555555554</v>
      </c>
      <c r="K796" s="8">
        <f>$K$515/$M$515*100</f>
        <v>11.111111111111111</v>
      </c>
      <c r="L796" s="8">
        <f>$K$516/$M$516*100</f>
        <v>0</v>
      </c>
      <c r="M796" s="8">
        <f>SUM(H796:L796)</f>
        <v>38.888888888888886</v>
      </c>
      <c r="N796" s="8">
        <f>$K$592/$M$592*100</f>
        <v>7.7464788732394361</v>
      </c>
      <c r="O796" s="8">
        <f>$K$593/$M$593*100</f>
        <v>19.014084507042252</v>
      </c>
      <c r="P796" s="8">
        <f>$K$594/$M$594*100</f>
        <v>9.8591549295774641</v>
      </c>
      <c r="Q796" s="8">
        <f>$K$595/$M$595*100</f>
        <v>15.492957746478872</v>
      </c>
      <c r="R796" s="8">
        <f>$K$596/$M$596*100</f>
        <v>0</v>
      </c>
      <c r="S796" s="8">
        <f>SUM(N796:R796)</f>
        <v>52.112676056338024</v>
      </c>
      <c r="T796" s="8">
        <f>$K$352/$M$352*100</f>
        <v>7.6923076923076925</v>
      </c>
      <c r="U796" s="8">
        <f>$K$353/$M$353*100</f>
        <v>15.384615384615385</v>
      </c>
      <c r="V796" s="8">
        <f>$K$354/$M$354*100</f>
        <v>3.8461538461538463</v>
      </c>
      <c r="W796" s="8">
        <f>$K$355/$M$355*100</f>
        <v>38.461538461538467</v>
      </c>
      <c r="X796" s="8">
        <f>$K$356/$M$356*100</f>
        <v>0</v>
      </c>
      <c r="Y796" s="8">
        <f>SUM(T796:X796)</f>
        <v>65.384615384615387</v>
      </c>
      <c r="Z796" s="8">
        <f t="shared" ref="Z796:Z798" si="53">AVERAGE(B796:F796,H796:L796,N796:R796,T796:X796)</f>
        <v>9.979309016492115</v>
      </c>
    </row>
    <row r="797" spans="1:49" x14ac:dyDescent="0.2">
      <c r="A797" s="5" t="s">
        <v>142</v>
      </c>
      <c r="B797" s="8">
        <f>$K$452/$M$452*100</f>
        <v>19.047619047619047</v>
      </c>
      <c r="C797" s="8">
        <f>$K$453/$M$453*100</f>
        <v>0</v>
      </c>
      <c r="D797" s="8">
        <f>$K$454/$M$454*100</f>
        <v>9.5238095238095237</v>
      </c>
      <c r="E797" s="8">
        <f>$K$455/$M$455*100</f>
        <v>9.5238095238095237</v>
      </c>
      <c r="F797" s="8">
        <f>$K$456/$M$456*100</f>
        <v>0</v>
      </c>
      <c r="G797" s="8">
        <f>SUM(B797:F797)</f>
        <v>38.095238095238095</v>
      </c>
      <c r="H797" s="8">
        <f>$K$532/$M$532*100</f>
        <v>50</v>
      </c>
      <c r="I797" s="8">
        <f>$K$533/$M$533*100</f>
        <v>50</v>
      </c>
      <c r="J797" s="8">
        <f>$K$534/$M$534*100</f>
        <v>0</v>
      </c>
      <c r="K797" s="8">
        <f>$K$535/$M$535*100</f>
        <v>0</v>
      </c>
      <c r="L797" s="8">
        <f>$K$536/$M$536*100</f>
        <v>0</v>
      </c>
      <c r="M797" s="8">
        <f>SUM(H797:L797)</f>
        <v>100</v>
      </c>
      <c r="N797" s="8">
        <f>$K$612/$M$612*100</f>
        <v>25</v>
      </c>
      <c r="O797" s="8">
        <f>$K$613/$M$613*100</f>
        <v>27.500000000000004</v>
      </c>
      <c r="P797" s="8">
        <f>$K$614/$M$614*100</f>
        <v>7.5</v>
      </c>
      <c r="Q797" s="8">
        <f>$K$615/$M$615*100</f>
        <v>15</v>
      </c>
      <c r="R797" s="8">
        <f>$K$616/$M$616*100</f>
        <v>0</v>
      </c>
      <c r="S797" s="8">
        <f>SUM(N797:R797)</f>
        <v>75</v>
      </c>
      <c r="T797" s="8">
        <f>$K$372/$M$372*100</f>
        <v>36.84210526315789</v>
      </c>
      <c r="U797" s="8">
        <f>$K$373/$M$373*100</f>
        <v>21.052631578947366</v>
      </c>
      <c r="V797" s="8">
        <f>$K$374/$M$374*100</f>
        <v>21.052631578947366</v>
      </c>
      <c r="W797" s="8">
        <f>$K$375/$M$375*100</f>
        <v>10.526315789473683</v>
      </c>
      <c r="X797" s="8">
        <f>$K$376/$M$376*100</f>
        <v>0</v>
      </c>
      <c r="Y797" s="8">
        <f>SUM(T797:X797)</f>
        <v>89.473684210526315</v>
      </c>
      <c r="Z797" s="8">
        <f>AVERAGE(B797:F797,H797:L797,N797:R797,T797:X797)</f>
        <v>15.128446115288218</v>
      </c>
      <c r="AF797" s="5" t="s">
        <v>57</v>
      </c>
      <c r="AG797" s="8">
        <f>$K$467</f>
        <v>48</v>
      </c>
      <c r="AH797" s="8">
        <f>$K$547</f>
        <v>14</v>
      </c>
      <c r="AI797" s="8">
        <f>$K$627</f>
        <v>70</v>
      </c>
      <c r="AJ797" s="8">
        <f>$K$387</f>
        <v>7</v>
      </c>
      <c r="AL797" s="8">
        <f>$K$468</f>
        <v>18</v>
      </c>
      <c r="AM797" s="8">
        <f>$K$548</f>
        <v>2</v>
      </c>
      <c r="AN797" s="8">
        <f>$K$628</f>
        <v>10</v>
      </c>
      <c r="AO797" s="8">
        <f>$K$388</f>
        <v>4</v>
      </c>
    </row>
    <row r="798" spans="1:49" ht="16" thickBot="1" x14ac:dyDescent="0.25">
      <c r="A798" s="9" t="s">
        <v>59</v>
      </c>
      <c r="B798" s="8">
        <f>$K$412/$M$412*100</f>
        <v>10.344827586206897</v>
      </c>
      <c r="C798" s="8">
        <f>$K$413/$M$413*100</f>
        <v>8.2758620689655178</v>
      </c>
      <c r="D798" s="8">
        <f>$K$414/$M$414*100</f>
        <v>4.1379310344827589</v>
      </c>
      <c r="E798" s="8">
        <f>$K$415/$M$415*100</f>
        <v>4.1379310344827589</v>
      </c>
      <c r="F798" s="8">
        <f>$K$416/$M$416*100</f>
        <v>0</v>
      </c>
      <c r="G798" s="8">
        <f>SUM(B798:F798)</f>
        <v>26.896551724137929</v>
      </c>
      <c r="H798" s="8">
        <f>$K$492/$M$492*100</f>
        <v>20</v>
      </c>
      <c r="I798" s="8">
        <f>$K$493/$M$493*100</f>
        <v>0</v>
      </c>
      <c r="J798" s="8">
        <f>$K$494/$M$494*100</f>
        <v>0</v>
      </c>
      <c r="K798" s="8">
        <f>$K$495/$M$495*100</f>
        <v>0</v>
      </c>
      <c r="L798" s="8">
        <f>$K$496/$M$496*100</f>
        <v>0</v>
      </c>
      <c r="M798" s="8">
        <f>SUM(H798:L798)</f>
        <v>20</v>
      </c>
      <c r="N798" s="8">
        <f>$K$572/$M$572*100</f>
        <v>34.375</v>
      </c>
      <c r="O798" s="8">
        <f>$K$573/$M$573*100</f>
        <v>1.5625</v>
      </c>
      <c r="P798" s="8">
        <f>$K$574/$M$574*100</f>
        <v>0</v>
      </c>
      <c r="Q798" s="8">
        <f>$K$575/$M$575*100</f>
        <v>6.25</v>
      </c>
      <c r="R798" s="8">
        <f>$K$576/$M$576*100</f>
        <v>0</v>
      </c>
      <c r="S798" s="8">
        <f>SUM(N798:R798)</f>
        <v>42.1875</v>
      </c>
      <c r="T798" s="8">
        <f>$K$332/$M$332*100</f>
        <v>6.1224489795918364</v>
      </c>
      <c r="U798" s="8">
        <f>$K$333/$M$333*100</f>
        <v>8.1632653061224492</v>
      </c>
      <c r="V798" s="8">
        <f>$K$334/$M$334*100</f>
        <v>2.0408163265306123</v>
      </c>
      <c r="W798" s="8">
        <f>$K$335/$M$335*100</f>
        <v>10.204081632653061</v>
      </c>
      <c r="X798" s="8">
        <f>$K$336/$M$336*100</f>
        <v>0</v>
      </c>
      <c r="Y798" s="8">
        <f>SUM(T798:X798)</f>
        <v>26.530612244897959</v>
      </c>
      <c r="Z798" s="8">
        <f t="shared" si="53"/>
        <v>5.7807331984517951</v>
      </c>
      <c r="AF798" s="5" t="s">
        <v>58</v>
      </c>
      <c r="AG798" s="8">
        <f>$K$427</f>
        <v>32</v>
      </c>
      <c r="AH798" s="8">
        <f>$K$507</f>
        <v>7</v>
      </c>
      <c r="AI798" s="8">
        <f>$K$587</f>
        <v>16</v>
      </c>
      <c r="AJ798" s="8">
        <f>$K$347</f>
        <v>5</v>
      </c>
      <c r="AL798" s="8">
        <f>$K$428</f>
        <v>22</v>
      </c>
      <c r="AM798" s="8">
        <f>$K$508</f>
        <v>2</v>
      </c>
      <c r="AN798" s="8">
        <f>$K$588</f>
        <v>24</v>
      </c>
      <c r="AO798" s="8">
        <f>$K$348</f>
        <v>0</v>
      </c>
    </row>
    <row r="799" spans="1:49" x14ac:dyDescent="0.2">
      <c r="A799" s="10" t="s">
        <v>50</v>
      </c>
      <c r="B799" s="12">
        <f>AVERAGE(B795:B798)</f>
        <v>13.541944257575429</v>
      </c>
      <c r="C799" s="12">
        <f>AVERAGE(C795:C798)</f>
        <v>9.3931945921312465</v>
      </c>
      <c r="D799" s="11">
        <f>AVERAGE(D795:D798)</f>
        <v>6.6066245668858459</v>
      </c>
      <c r="E799" s="11">
        <f>AVERAGE(E795:E798)</f>
        <v>7.0876818356083122</v>
      </c>
      <c r="F799" s="11">
        <f>AVERAGE(F795:F798)</f>
        <v>0</v>
      </c>
      <c r="G799" s="12"/>
      <c r="H799" s="11">
        <f>AVERAGE(H795:H798)</f>
        <v>23.849206349206348</v>
      </c>
      <c r="I799" s="13">
        <f>AVERAGE(I795:I798)</f>
        <v>18.134920634920633</v>
      </c>
      <c r="J799" s="14">
        <f>AVERAGE(J795:J798)</f>
        <v>1.3888888888888888</v>
      </c>
      <c r="K799" s="14">
        <f>AVERAGE(K795:K798)</f>
        <v>3.4920634920634921</v>
      </c>
      <c r="L799" s="14">
        <f>AVERAGE(L795:L798)</f>
        <v>0</v>
      </c>
      <c r="M799" s="12"/>
      <c r="N799" s="14">
        <f>AVERAGE(N795:N798)</f>
        <v>24.928517866458009</v>
      </c>
      <c r="O799" s="12">
        <f>AVERAGE(O795:O798)</f>
        <v>15.167294274908713</v>
      </c>
      <c r="P799" s="11">
        <f>AVERAGE(P795:P798)</f>
        <v>5.0805294731351065</v>
      </c>
      <c r="Q799" s="11">
        <f>AVERAGE(Q795:Q798)</f>
        <v>10.667220918101201</v>
      </c>
      <c r="R799" s="11">
        <f>AVERAGE(R795:R798)</f>
        <v>0</v>
      </c>
      <c r="S799" s="15"/>
      <c r="T799" s="14">
        <f>AVERAGE(T795:T798)</f>
        <v>27.941993261542134</v>
      </c>
      <c r="U799" s="12">
        <f>AVERAGE(U795:U798)</f>
        <v>13.927905845199076</v>
      </c>
      <c r="V799" s="11">
        <f>AVERAGE(V795:V798)</f>
        <v>9.5126782156857335</v>
      </c>
      <c r="W799" s="11">
        <f>AVERAGE(W795:W798)</f>
        <v>16.186872859805192</v>
      </c>
      <c r="X799" s="11">
        <f>AVERAGE(X795:X798)</f>
        <v>0</v>
      </c>
      <c r="Y799" s="15"/>
      <c r="Z799" s="8">
        <f t="shared" ref="Z799:AD800" si="54">AVERAGE(B799,H799,N799,T799)</f>
        <v>22.565415433695481</v>
      </c>
      <c r="AA799" s="8">
        <f t="shared" si="54"/>
        <v>14.155828836789917</v>
      </c>
      <c r="AB799" s="8">
        <f t="shared" si="54"/>
        <v>5.6471802861488936</v>
      </c>
      <c r="AC799" s="8">
        <f t="shared" si="54"/>
        <v>9.3584597763945503</v>
      </c>
      <c r="AD799" s="8">
        <f t="shared" si="54"/>
        <v>0</v>
      </c>
      <c r="AF799" s="5" t="s">
        <v>142</v>
      </c>
      <c r="AG799" s="8">
        <f>$K$447</f>
        <v>7</v>
      </c>
      <c r="AH799" s="8">
        <f>$K$527</f>
        <v>1</v>
      </c>
      <c r="AI799" s="8">
        <f>$K$607</f>
        <v>13</v>
      </c>
      <c r="AJ799" s="8">
        <f>$K$367</f>
        <v>7</v>
      </c>
      <c r="AL799" s="8">
        <f>$K$448</f>
        <v>1</v>
      </c>
      <c r="AM799" s="8">
        <f>$K$528</f>
        <v>0</v>
      </c>
      <c r="AN799" s="8">
        <f>$K$608</f>
        <v>8</v>
      </c>
      <c r="AO799" s="8">
        <f>$K$368</f>
        <v>2</v>
      </c>
    </row>
    <row r="800" spans="1:49" ht="16" thickBot="1" x14ac:dyDescent="0.25">
      <c r="B800" s="8">
        <f>AVERAGE(B795:B796,B798)</f>
        <v>11.70671932756089</v>
      </c>
      <c r="C800" s="8">
        <f>AVERAGE(C795:C796,C798)</f>
        <v>12.524259456174995</v>
      </c>
      <c r="D800" s="8">
        <f>AVERAGE(D795:D796,D798)</f>
        <v>5.634229581244619</v>
      </c>
      <c r="E800" s="8">
        <f>AVERAGE(E795:E796,E798)</f>
        <v>6.2756392728745753</v>
      </c>
      <c r="F800" s="8">
        <f>AVERAGE(F795:F796,F798)</f>
        <v>0</v>
      </c>
      <c r="H800" s="8">
        <f>AVERAGE(H795:H796,H798)</f>
        <v>15.132275132275131</v>
      </c>
      <c r="I800" s="8">
        <f>AVERAGE(I795:I796,I798)</f>
        <v>7.5132275132275126</v>
      </c>
      <c r="J800" s="8">
        <f>AVERAGE(J795:J796,J798)</f>
        <v>1.8518518518518519</v>
      </c>
      <c r="K800" s="8">
        <f>AVERAGE(K795:K796,K798)</f>
        <v>4.6560846560846558</v>
      </c>
      <c r="L800" s="8">
        <f>AVERAGE(L795:L796,L798)</f>
        <v>0</v>
      </c>
      <c r="N800" s="8">
        <f>AVERAGE(N795:N796,N798)</f>
        <v>24.904690488610679</v>
      </c>
      <c r="O800" s="8">
        <f>AVERAGE(O795:O796,O798)</f>
        <v>11.056392366544948</v>
      </c>
      <c r="P800" s="8">
        <f>AVERAGE(P795:P796,P798)</f>
        <v>4.2740392975134762</v>
      </c>
      <c r="Q800" s="8">
        <f>AVERAGE(Q795:Q796,Q798)</f>
        <v>9.2229612241349326</v>
      </c>
      <c r="R800" s="8">
        <f>AVERAGE(R795:R796,R798)</f>
        <v>0</v>
      </c>
      <c r="T800" s="8">
        <f>AVERAGE(T795:T796,T798)</f>
        <v>24.97528926100355</v>
      </c>
      <c r="U800" s="8">
        <f>AVERAGE(U795:U796,U798)</f>
        <v>11.552997267282981</v>
      </c>
      <c r="V800" s="8">
        <f>AVERAGE(V795:V796,V798)</f>
        <v>5.6660270945985234</v>
      </c>
      <c r="W800" s="8">
        <f>AVERAGE(W795:W796,W798)</f>
        <v>18.073725216582361</v>
      </c>
      <c r="X800" s="8">
        <f>AVERAGE(X795:X796,X798)</f>
        <v>0</v>
      </c>
      <c r="Z800" s="8">
        <f t="shared" si="54"/>
        <v>19.179743552362563</v>
      </c>
      <c r="AA800" s="8">
        <f t="shared" si="54"/>
        <v>10.66171915080761</v>
      </c>
      <c r="AB800" s="8">
        <f t="shared" si="54"/>
        <v>4.3565369563021177</v>
      </c>
      <c r="AC800" s="8">
        <f t="shared" si="54"/>
        <v>9.5571025924191311</v>
      </c>
      <c r="AD800" s="8">
        <f t="shared" si="54"/>
        <v>0</v>
      </c>
      <c r="AF800" s="9" t="s">
        <v>59</v>
      </c>
      <c r="AG800" s="8">
        <f>$K$407</f>
        <v>23</v>
      </c>
      <c r="AH800" s="8">
        <f>$K$487</f>
        <v>4</v>
      </c>
      <c r="AI800" s="8">
        <f>$K$567</f>
        <v>18</v>
      </c>
      <c r="AJ800" s="8">
        <f>$K$327</f>
        <v>4</v>
      </c>
      <c r="AL800" s="8">
        <f>$K$408</f>
        <v>10</v>
      </c>
      <c r="AM800" s="8">
        <f>$K$488</f>
        <v>0</v>
      </c>
      <c r="AN800" s="8">
        <f>$K$568</f>
        <v>2</v>
      </c>
      <c r="AO800" s="8">
        <f>$K$328</f>
        <v>0</v>
      </c>
    </row>
    <row r="802" spans="1:42" ht="29" customHeight="1" x14ac:dyDescent="0.2">
      <c r="A802" s="31" t="s">
        <v>167</v>
      </c>
      <c r="B802" s="32" t="s">
        <v>53</v>
      </c>
      <c r="C802" s="32"/>
      <c r="D802" s="32"/>
      <c r="E802" s="32"/>
      <c r="F802" s="3"/>
      <c r="G802" s="4" t="s">
        <v>64</v>
      </c>
      <c r="H802" s="32" t="s">
        <v>54</v>
      </c>
      <c r="I802" s="32"/>
      <c r="J802" s="32"/>
      <c r="K802" s="32"/>
      <c r="L802" s="32"/>
      <c r="M802" s="4" t="s">
        <v>64</v>
      </c>
      <c r="N802" s="32" t="s">
        <v>55</v>
      </c>
      <c r="O802" s="32"/>
      <c r="P802" s="32"/>
      <c r="Q802" s="32"/>
      <c r="R802" s="32"/>
      <c r="S802" s="4" t="s">
        <v>64</v>
      </c>
      <c r="T802" s="32" t="s">
        <v>56</v>
      </c>
      <c r="U802" s="32"/>
      <c r="V802" s="32"/>
      <c r="W802" s="32"/>
      <c r="X802" s="32"/>
      <c r="Y802" s="4" t="s">
        <v>64</v>
      </c>
    </row>
    <row r="803" spans="1:42" x14ac:dyDescent="0.2">
      <c r="A803" s="31"/>
      <c r="B803" s="4" t="s">
        <v>20</v>
      </c>
      <c r="C803" s="4" t="s">
        <v>21</v>
      </c>
      <c r="D803" s="4" t="s">
        <v>60</v>
      </c>
      <c r="E803" s="4" t="s">
        <v>61</v>
      </c>
      <c r="F803" s="4" t="s">
        <v>62</v>
      </c>
      <c r="G803" s="4"/>
      <c r="H803" s="4" t="s">
        <v>20</v>
      </c>
      <c r="I803" s="4" t="s">
        <v>21</v>
      </c>
      <c r="J803" s="4" t="s">
        <v>60</v>
      </c>
      <c r="K803" s="4" t="s">
        <v>61</v>
      </c>
      <c r="L803" s="4" t="s">
        <v>62</v>
      </c>
      <c r="M803" s="4"/>
      <c r="N803" s="4" t="s">
        <v>20</v>
      </c>
      <c r="O803" s="4" t="s">
        <v>21</v>
      </c>
      <c r="P803" s="4" t="s">
        <v>60</v>
      </c>
      <c r="Q803" s="4" t="s">
        <v>61</v>
      </c>
      <c r="R803" s="4" t="s">
        <v>62</v>
      </c>
      <c r="S803" s="4"/>
      <c r="T803" s="4" t="s">
        <v>20</v>
      </c>
      <c r="U803" s="4" t="s">
        <v>21</v>
      </c>
      <c r="V803" s="4" t="s">
        <v>60</v>
      </c>
      <c r="W803" s="4" t="s">
        <v>61</v>
      </c>
      <c r="X803" s="4" t="s">
        <v>62</v>
      </c>
      <c r="Y803" s="4"/>
      <c r="AF803" s="5" t="s">
        <v>57</v>
      </c>
      <c r="AG803" s="8">
        <f>$J$467</f>
        <v>99</v>
      </c>
      <c r="AH803" s="8">
        <f>$J$547</f>
        <v>26</v>
      </c>
      <c r="AI803" s="8">
        <f>$J$627</f>
        <v>144</v>
      </c>
      <c r="AJ803" s="8">
        <f>$J$387</f>
        <v>8</v>
      </c>
      <c r="AL803" s="8">
        <f>$J$468</f>
        <v>44</v>
      </c>
      <c r="AM803" s="8">
        <f>$J$548</f>
        <v>7</v>
      </c>
      <c r="AN803" s="8">
        <f>$J$628</f>
        <v>13</v>
      </c>
      <c r="AO803" s="8">
        <f>$J$388</f>
        <v>5</v>
      </c>
    </row>
    <row r="804" spans="1:42" x14ac:dyDescent="0.2">
      <c r="A804" s="5" t="s">
        <v>57</v>
      </c>
      <c r="B804" s="8">
        <f>$K$477/$M$477*100</f>
        <v>0</v>
      </c>
      <c r="C804" s="8">
        <f>$K$478/$M$478*100</f>
        <v>15</v>
      </c>
      <c r="D804" s="8">
        <f>$K$479/$M$479*100</f>
        <v>5.833333333333333</v>
      </c>
      <c r="E804" s="8">
        <f>$K$480/$M$480*100</f>
        <v>6.666666666666667</v>
      </c>
      <c r="F804" s="8">
        <f>$K$481/$M$481*100</f>
        <v>0</v>
      </c>
      <c r="G804" s="8">
        <f>SUM(B804:F804)</f>
        <v>27.5</v>
      </c>
      <c r="H804" s="8">
        <f>$K$557/$M$557*100</f>
        <v>0</v>
      </c>
      <c r="I804" s="8">
        <f>$K$558/$M$558*100</f>
        <v>21.739130434782609</v>
      </c>
      <c r="J804" s="8">
        <f>$K$559/$M$559*100</f>
        <v>8.695652173913043</v>
      </c>
      <c r="K804" s="8">
        <f>$K$560/$M$560*100</f>
        <v>4.3478260869565215</v>
      </c>
      <c r="L804" s="8">
        <f>$K$561/$M$561*100</f>
        <v>0</v>
      </c>
      <c r="M804" s="8">
        <f>SUM(H804:L804)</f>
        <v>34.782608695652172</v>
      </c>
      <c r="N804" s="8">
        <f>$K$637/$M$637*100</f>
        <v>3.8461538461538463</v>
      </c>
      <c r="O804" s="8">
        <f>$K$638/$M$638*100</f>
        <v>34.615384615384613</v>
      </c>
      <c r="P804" s="8">
        <f>$K$639/$M$639*100</f>
        <v>6.4102564102564097</v>
      </c>
      <c r="Q804" s="8">
        <f>$K$640/$M$640*100</f>
        <v>10.256410256410255</v>
      </c>
      <c r="R804" s="8">
        <f>$K$641/$M$641*100</f>
        <v>0</v>
      </c>
      <c r="S804" s="8">
        <f>SUM(N804:R804)</f>
        <v>55.128205128205124</v>
      </c>
      <c r="T804" s="8">
        <f>$K$397/$M$397*100</f>
        <v>0</v>
      </c>
      <c r="U804" s="8">
        <f>$K$398/$M$398*100</f>
        <v>47.058823529411761</v>
      </c>
      <c r="V804" s="8">
        <f>$K$399/$M$399*100</f>
        <v>29.411764705882355</v>
      </c>
      <c r="W804" s="8">
        <f>$K$400/$M$400*100</f>
        <v>23.52941176470588</v>
      </c>
      <c r="X804" s="8">
        <f>$K$41*100</f>
        <v>0</v>
      </c>
      <c r="Y804" s="8">
        <f>SUM(T804:X804)</f>
        <v>100</v>
      </c>
      <c r="Z804" s="8">
        <f>AVERAGE(B804:F804,H804:L804,N804:R804,T804:X804)</f>
        <v>10.870540691192865</v>
      </c>
      <c r="AF804" s="5" t="s">
        <v>58</v>
      </c>
      <c r="AG804" s="8">
        <f>$J$427</f>
        <v>59</v>
      </c>
      <c r="AH804" s="8">
        <f>$J$507</f>
        <v>14</v>
      </c>
      <c r="AI804" s="8">
        <f>$J$587</f>
        <v>38</v>
      </c>
      <c r="AJ804" s="8">
        <f>$J$347</f>
        <v>11</v>
      </c>
      <c r="AL804" s="8">
        <f>$J$428</f>
        <v>35</v>
      </c>
      <c r="AM804" s="8">
        <f>$J$508</f>
        <v>7</v>
      </c>
      <c r="AN804" s="8">
        <f>$J$588</f>
        <v>43</v>
      </c>
      <c r="AO804" s="8">
        <f>$J$348</f>
        <v>3</v>
      </c>
    </row>
    <row r="805" spans="1:42" x14ac:dyDescent="0.2">
      <c r="A805" s="5" t="s">
        <v>58</v>
      </c>
      <c r="B805" s="8">
        <f>$K$437/$M$437*100</f>
        <v>0</v>
      </c>
      <c r="C805" s="8">
        <f>$K$438/$M$438*100</f>
        <v>23.611111111111111</v>
      </c>
      <c r="D805" s="8">
        <f>$K$439/$M$439*100</f>
        <v>15.277777777777779</v>
      </c>
      <c r="E805" s="8">
        <f>$K$440/$M$440*100</f>
        <v>16.666666666666664</v>
      </c>
      <c r="F805" s="8">
        <f>$K$441/$M$441*100</f>
        <v>0</v>
      </c>
      <c r="G805" s="8">
        <f>SUM(B805:F805)</f>
        <v>55.55555555555555</v>
      </c>
      <c r="H805" s="8">
        <f>$K$517/$M$517*100</f>
        <v>6.666666666666667</v>
      </c>
      <c r="I805" s="8">
        <f>$K$518/$M$518*100</f>
        <v>26.666666666666668</v>
      </c>
      <c r="J805" s="8">
        <f>$K$519/$M$519*100</f>
        <v>13.333333333333334</v>
      </c>
      <c r="K805" s="8">
        <f>$K$520/$M$520*100</f>
        <v>20</v>
      </c>
      <c r="L805" s="8">
        <f>$K$521/$M$521*100</f>
        <v>0</v>
      </c>
      <c r="M805" s="8">
        <f>SUM(H805:L805)</f>
        <v>66.666666666666671</v>
      </c>
      <c r="N805" s="8">
        <f>$K$597/$M$597*100</f>
        <v>0</v>
      </c>
      <c r="O805" s="8">
        <f>$K$598/$M$598*100</f>
        <v>15</v>
      </c>
      <c r="P805" s="8">
        <f>$K$599/$M$599*100</f>
        <v>10</v>
      </c>
      <c r="Q805" s="8">
        <f>$K$600/$M$600*100</f>
        <v>32</v>
      </c>
      <c r="R805" s="8">
        <f>$K$61*100</f>
        <v>0</v>
      </c>
      <c r="S805" s="8">
        <f>SUM(N805:R805)</f>
        <v>57</v>
      </c>
      <c r="T805" s="8">
        <f>$K$357/$M$357*100</f>
        <v>0</v>
      </c>
      <c r="U805" s="8">
        <f>$K$358/$M$358*100</f>
        <v>12.5</v>
      </c>
      <c r="V805" s="8">
        <f>$K$359/$M$359*100</f>
        <v>6.25</v>
      </c>
      <c r="W805" s="8">
        <f>$K$360/$M$360*100</f>
        <v>56.25</v>
      </c>
      <c r="X805" s="8">
        <f>$K$361/$M$361*100</f>
        <v>0</v>
      </c>
      <c r="Y805" s="8">
        <f>SUM(T805:X805)</f>
        <v>75</v>
      </c>
      <c r="Z805" s="8">
        <f t="shared" ref="Z805:Z807" si="55">AVERAGE(B805:F805,H805:L805,N805:R805,T805:X805)</f>
        <v>12.711111111111112</v>
      </c>
      <c r="AF805" s="5" t="s">
        <v>142</v>
      </c>
      <c r="AG805" s="8">
        <f>$J$447</f>
        <v>16</v>
      </c>
      <c r="AH805" s="8">
        <f>$J$527</f>
        <v>2</v>
      </c>
      <c r="AI805" s="8">
        <f>$J$607</f>
        <v>17</v>
      </c>
      <c r="AJ805" s="8">
        <f>$J$367</f>
        <v>9</v>
      </c>
      <c r="AL805" s="8">
        <f>$J$448</f>
        <v>6</v>
      </c>
      <c r="AM805" s="8">
        <f>$J$528</f>
        <v>0</v>
      </c>
      <c r="AN805" s="8">
        <f>$J$608</f>
        <v>9</v>
      </c>
      <c r="AO805" s="8">
        <f>$J$368</f>
        <v>3</v>
      </c>
    </row>
    <row r="806" spans="1:42" ht="16" thickBot="1" x14ac:dyDescent="0.25">
      <c r="A806" s="5" t="s">
        <v>142</v>
      </c>
      <c r="B806" s="8">
        <f>$K$457/$M$457*100</f>
        <v>0</v>
      </c>
      <c r="C806" s="8">
        <f>$K$458/$M$458*100</f>
        <v>28.571428571428569</v>
      </c>
      <c r="D806" s="8">
        <f>$K$459/$M$459*100</f>
        <v>21.428571428571427</v>
      </c>
      <c r="E806" s="8">
        <f>$K$460/$M$460*100</f>
        <v>7.1428571428571423</v>
      </c>
      <c r="F806" s="8">
        <f>$K$461/$M$461*100</f>
        <v>0</v>
      </c>
      <c r="G806" s="8">
        <f>SUM(B806:F806)</f>
        <v>57.142857142857139</v>
      </c>
      <c r="H806" s="8">
        <f>$K$537/$M$537*100</f>
        <v>0</v>
      </c>
      <c r="I806" s="8">
        <f>$K$538/$M$538*100</f>
        <v>66.666666666666657</v>
      </c>
      <c r="J806" s="8">
        <f>$K$539/$M$539*100</f>
        <v>0</v>
      </c>
      <c r="K806" s="8">
        <f>$K$540/$M$540*100</f>
        <v>0</v>
      </c>
      <c r="L806" s="8">
        <f>$K$541/$M$541*100</f>
        <v>0</v>
      </c>
      <c r="M806" s="8">
        <f>SUM(H806:L806)</f>
        <v>66.666666666666657</v>
      </c>
      <c r="N806" s="8">
        <f>$K$617/$M$617*100</f>
        <v>0</v>
      </c>
      <c r="O806" s="8">
        <f>$K$618/$M$618*100</f>
        <v>46.428571428571431</v>
      </c>
      <c r="P806" s="8">
        <f>$K$619/$M$619*100</f>
        <v>17.857142857142858</v>
      </c>
      <c r="Q806" s="8">
        <f>$K$620/$M$620*100</f>
        <v>21.428571428571427</v>
      </c>
      <c r="R806" s="8">
        <f>$K$621/$M$621*100</f>
        <v>0</v>
      </c>
      <c r="S806" s="8">
        <f>SUM(N806:R806)</f>
        <v>85.714285714285722</v>
      </c>
      <c r="T806" s="8">
        <f>$K$377/$M$377*100</f>
        <v>0</v>
      </c>
      <c r="U806" s="8">
        <f>$K$378/$M$378*100</f>
        <v>16.666666666666664</v>
      </c>
      <c r="V806" s="8">
        <f>$K$379/$M$379*100</f>
        <v>16.666666666666664</v>
      </c>
      <c r="W806" s="8">
        <f>$K$380/$M$380*100</f>
        <v>50</v>
      </c>
      <c r="X806" s="8">
        <f>$K$381/$M$381*100</f>
        <v>0</v>
      </c>
      <c r="Y806" s="8">
        <f>SUM(T806:X806)</f>
        <v>83.333333333333329</v>
      </c>
      <c r="Z806" s="8">
        <f>AVERAGE(B806:F806,H806:L806,N806:R806,T806:X806)</f>
        <v>14.642857142857142</v>
      </c>
      <c r="AF806" s="9" t="s">
        <v>59</v>
      </c>
      <c r="AG806" s="8">
        <f>$J$407</f>
        <v>99</v>
      </c>
      <c r="AH806" s="8">
        <f>$J$487</f>
        <v>7</v>
      </c>
      <c r="AI806" s="8">
        <f>$J$567</f>
        <v>56</v>
      </c>
      <c r="AJ806" s="8">
        <f>$J$327</f>
        <v>32</v>
      </c>
      <c r="AL806" s="8">
        <f>$J$408</f>
        <v>54</v>
      </c>
      <c r="AM806" s="8">
        <f>$J$488</f>
        <v>4</v>
      </c>
      <c r="AN806" s="8">
        <f>$J$568</f>
        <v>4</v>
      </c>
      <c r="AO806" s="8">
        <f>$J$328</f>
        <v>3</v>
      </c>
    </row>
    <row r="807" spans="1:42" ht="16" thickBot="1" x14ac:dyDescent="0.25">
      <c r="A807" s="9" t="s">
        <v>59</v>
      </c>
      <c r="B807" s="8">
        <f>$K$417/$M$417*100</f>
        <v>0</v>
      </c>
      <c r="C807" s="8">
        <f>$K$418/$M$418*100</f>
        <v>17.123287671232877</v>
      </c>
      <c r="D807" s="8">
        <f>$K$419/$M$419*100</f>
        <v>2.054794520547945</v>
      </c>
      <c r="E807" s="8">
        <f>$K$420/$M$420*100</f>
        <v>8.2191780821917799</v>
      </c>
      <c r="F807" s="8">
        <f>$K$421/$M$421*100</f>
        <v>0</v>
      </c>
      <c r="G807" s="8">
        <f>SUM(B807:F807)</f>
        <v>27.397260273972599</v>
      </c>
      <c r="H807" s="8">
        <f>$K$497/$M$497*100</f>
        <v>0</v>
      </c>
      <c r="I807" s="8">
        <f>$K$498/$M$498*100</f>
        <v>25</v>
      </c>
      <c r="J807" s="8">
        <f>$K$499/$M$499*100</f>
        <v>12.5</v>
      </c>
      <c r="K807" s="8">
        <f>$K$500/$M$500*100</f>
        <v>12.5</v>
      </c>
      <c r="L807" s="8">
        <f>$K$501/$M$501*100</f>
        <v>0</v>
      </c>
      <c r="M807" s="8">
        <f>SUM(H807:L807)</f>
        <v>50</v>
      </c>
      <c r="N807" s="8">
        <f>$K$577/$M$577*100</f>
        <v>0</v>
      </c>
      <c r="O807" s="8">
        <f>$K$578/$M$578*100</f>
        <v>11.76470588235294</v>
      </c>
      <c r="P807" s="8">
        <f>$K$579/$M$579*100</f>
        <v>0</v>
      </c>
      <c r="Q807" s="8">
        <f>$K$580/$M$580*100</f>
        <v>5.8823529411764701</v>
      </c>
      <c r="R807" s="8">
        <f>$K$581/$M$581*100</f>
        <v>0</v>
      </c>
      <c r="S807" s="8">
        <f>SUM(N807:R807)</f>
        <v>17.647058823529409</v>
      </c>
      <c r="T807" s="8">
        <f>$K$337/$M$337*100</f>
        <v>0</v>
      </c>
      <c r="U807" s="8">
        <f>$K$338/$M$338*100</f>
        <v>0</v>
      </c>
      <c r="V807" s="8">
        <f>$K$339/$M$339*100</f>
        <v>2.7027027027027026</v>
      </c>
      <c r="W807" s="8">
        <f>$K$340/$M$340*100</f>
        <v>8.1081081081081088</v>
      </c>
      <c r="X807" s="8">
        <f>$K$341/$M$341*100</f>
        <v>0</v>
      </c>
      <c r="Y807" s="8">
        <f>SUM(T807:X807)</f>
        <v>10.810810810810811</v>
      </c>
      <c r="Z807" s="8">
        <f t="shared" si="55"/>
        <v>5.2927564954156407</v>
      </c>
    </row>
    <row r="808" spans="1:42" x14ac:dyDescent="0.2">
      <c r="A808" s="10" t="s">
        <v>50</v>
      </c>
      <c r="B808" s="12">
        <f>AVERAGE(B804:B807)</f>
        <v>0</v>
      </c>
      <c r="C808" s="12">
        <f>AVERAGE(C804:C807)</f>
        <v>21.076456838443139</v>
      </c>
      <c r="D808" s="11">
        <f>AVERAGE(D804:D807)</f>
        <v>11.14861926505762</v>
      </c>
      <c r="E808" s="11">
        <f>AVERAGE(E804:E807)</f>
        <v>9.673842139595564</v>
      </c>
      <c r="F808" s="11">
        <f>AVERAGE(F804:F807)</f>
        <v>0</v>
      </c>
      <c r="G808" s="12"/>
      <c r="H808" s="11">
        <f>AVERAGE(H804:H807)</f>
        <v>1.6666666666666667</v>
      </c>
      <c r="I808" s="13">
        <f>AVERAGE(I804:I807)</f>
        <v>35.018115942028984</v>
      </c>
      <c r="J808" s="14">
        <f>AVERAGE(J804:J807)</f>
        <v>8.6322463768115938</v>
      </c>
      <c r="K808" s="14">
        <f>AVERAGE(K804:K807)</f>
        <v>9.2119565217391308</v>
      </c>
      <c r="L808" s="14">
        <f>AVERAGE(L804:L807)</f>
        <v>0</v>
      </c>
      <c r="M808" s="12"/>
      <c r="N808" s="14">
        <f>AVERAGE(N804:N807)</f>
        <v>0.96153846153846156</v>
      </c>
      <c r="O808" s="12">
        <f>AVERAGE(O804:O807)</f>
        <v>26.952165481577246</v>
      </c>
      <c r="P808" s="11">
        <f>AVERAGE(P804:P807)</f>
        <v>8.5668498168498175</v>
      </c>
      <c r="Q808" s="11">
        <f>AVERAGE(Q804:Q807)</f>
        <v>17.391833656539536</v>
      </c>
      <c r="R808" s="11">
        <f>AVERAGE(R804:R807)</f>
        <v>0</v>
      </c>
      <c r="S808" s="15"/>
      <c r="T808" s="14">
        <f>AVERAGE(T804:T807)</f>
        <v>0</v>
      </c>
      <c r="U808" s="12">
        <f>AVERAGE(U804:U807)</f>
        <v>19.056372549019606</v>
      </c>
      <c r="V808" s="11">
        <f>AVERAGE(V804:V807)</f>
        <v>13.75778351881293</v>
      </c>
      <c r="W808" s="11">
        <f>AVERAGE(W804:W807)</f>
        <v>34.471879968203496</v>
      </c>
      <c r="X808" s="11">
        <f>AVERAGE(X804:X807)</f>
        <v>0</v>
      </c>
      <c r="Y808" s="15"/>
      <c r="Z808" s="8">
        <f t="shared" ref="Z808:AD809" si="56">AVERAGE(B808,H808,N808,T808)</f>
        <v>0.65705128205128205</v>
      </c>
      <c r="AA808" s="8">
        <f t="shared" si="56"/>
        <v>25.525777702767243</v>
      </c>
      <c r="AB808" s="8">
        <f t="shared" si="56"/>
        <v>10.52637474438299</v>
      </c>
      <c r="AC808" s="8">
        <f t="shared" si="56"/>
        <v>17.687378071519433</v>
      </c>
      <c r="AD808" s="8">
        <f t="shared" si="56"/>
        <v>0</v>
      </c>
      <c r="AF808" s="5" t="s">
        <v>57</v>
      </c>
      <c r="AG808" s="8">
        <f>(AG797/AG803)*100</f>
        <v>48.484848484848484</v>
      </c>
      <c r="AH808" s="8">
        <f t="shared" ref="AH808:AJ808" si="57">(AH797/AH803)*100</f>
        <v>53.846153846153847</v>
      </c>
      <c r="AI808" s="8">
        <f t="shared" si="57"/>
        <v>48.611111111111107</v>
      </c>
      <c r="AJ808" s="8">
        <f t="shared" si="57"/>
        <v>87.5</v>
      </c>
      <c r="AK808" s="8">
        <f>AVERAGE(AG808:AJ808)</f>
        <v>59.610528360528363</v>
      </c>
      <c r="AL808" s="8">
        <f>(AL797/AL803)*100</f>
        <v>40.909090909090914</v>
      </c>
      <c r="AM808" s="8">
        <f t="shared" ref="AM808:AO808" si="58">(AM797/AM803)*100</f>
        <v>28.571428571428569</v>
      </c>
      <c r="AN808" s="8">
        <f t="shared" si="58"/>
        <v>76.923076923076934</v>
      </c>
      <c r="AO808" s="8">
        <f t="shared" si="58"/>
        <v>80</v>
      </c>
    </row>
    <row r="809" spans="1:42" x14ac:dyDescent="0.2">
      <c r="B809" s="8">
        <f>AVERAGE(B804:B805,B807)</f>
        <v>0</v>
      </c>
      <c r="C809" s="8">
        <f>AVERAGE(C804:C805,C807)</f>
        <v>18.578132927447996</v>
      </c>
      <c r="D809" s="8">
        <f>AVERAGE(D804:D805,D807)</f>
        <v>7.7219685438863515</v>
      </c>
      <c r="E809" s="8">
        <f>AVERAGE(E804:E805,E807)</f>
        <v>10.517503805175037</v>
      </c>
      <c r="F809" s="8">
        <f>AVERAGE(F804:F805,F807)</f>
        <v>0</v>
      </c>
      <c r="H809" s="8">
        <f>AVERAGE(H804:H805,H807)</f>
        <v>2.2222222222222223</v>
      </c>
      <c r="I809" s="8">
        <f>AVERAGE(I804:I805,I807)</f>
        <v>24.468599033816428</v>
      </c>
      <c r="J809" s="8">
        <f>AVERAGE(J804:J805,J807)</f>
        <v>11.509661835748792</v>
      </c>
      <c r="K809" s="8">
        <f>AVERAGE(K804:K805,K807)</f>
        <v>12.282608695652174</v>
      </c>
      <c r="L809" s="8">
        <f>AVERAGE(L804:L805,L807)</f>
        <v>0</v>
      </c>
      <c r="N809" s="8">
        <f>AVERAGE(N804:N805,N807)</f>
        <v>1.2820512820512822</v>
      </c>
      <c r="O809" s="8">
        <f>AVERAGE(O804:O805,O807)</f>
        <v>20.460030165912517</v>
      </c>
      <c r="P809" s="8">
        <f>AVERAGE(P804:P805,P807)</f>
        <v>5.4700854700854693</v>
      </c>
      <c r="Q809" s="8">
        <f>AVERAGE(Q804:Q805,Q807)</f>
        <v>16.046254399195576</v>
      </c>
      <c r="R809" s="8">
        <f>AVERAGE(R804:R805,R807)</f>
        <v>0</v>
      </c>
      <c r="T809" s="8">
        <f>AVERAGE(T804:T805,T807)</f>
        <v>0</v>
      </c>
      <c r="U809" s="8">
        <f>AVERAGE(U804:U805,U807)</f>
        <v>19.852941176470587</v>
      </c>
      <c r="V809" s="8">
        <f>AVERAGE(V804:V805,V807)</f>
        <v>12.788155802861686</v>
      </c>
      <c r="W809" s="8">
        <f>AVERAGE(W804:W805,W807)</f>
        <v>29.295839957604667</v>
      </c>
      <c r="X809" s="8">
        <f>AVERAGE(X804:X805,X807)</f>
        <v>0</v>
      </c>
      <c r="Z809" s="8">
        <f t="shared" si="56"/>
        <v>0.87606837606837606</v>
      </c>
      <c r="AA809" s="8">
        <f t="shared" si="56"/>
        <v>20.839925825911884</v>
      </c>
      <c r="AB809" s="8">
        <f t="shared" si="56"/>
        <v>9.3724679131455737</v>
      </c>
      <c r="AC809" s="8">
        <f t="shared" si="56"/>
        <v>17.035551714406864</v>
      </c>
      <c r="AD809" s="8">
        <f t="shared" si="56"/>
        <v>0</v>
      </c>
      <c r="AF809" s="5" t="s">
        <v>58</v>
      </c>
      <c r="AG809" s="8">
        <f t="shared" ref="AG809:AJ809" si="59">(AG798/AG804)*100</f>
        <v>54.237288135593218</v>
      </c>
      <c r="AH809" s="8">
        <f t="shared" si="59"/>
        <v>50</v>
      </c>
      <c r="AI809" s="8">
        <f t="shared" si="59"/>
        <v>42.105263157894733</v>
      </c>
      <c r="AJ809" s="8">
        <f t="shared" si="59"/>
        <v>45.454545454545453</v>
      </c>
      <c r="AK809" s="8">
        <f t="shared" ref="AK809:AK811" si="60">AVERAGE(AG809:AJ809)</f>
        <v>47.949274187008356</v>
      </c>
      <c r="AL809" s="8">
        <f t="shared" ref="AL809:AO809" si="61">(AL798/AL804)*100</f>
        <v>62.857142857142854</v>
      </c>
      <c r="AM809" s="8">
        <f t="shared" si="61"/>
        <v>28.571428571428569</v>
      </c>
      <c r="AN809" s="8">
        <f t="shared" si="61"/>
        <v>55.813953488372093</v>
      </c>
      <c r="AO809" s="8">
        <f t="shared" si="61"/>
        <v>0</v>
      </c>
    </row>
    <row r="810" spans="1:42" x14ac:dyDescent="0.2">
      <c r="AF810" s="5" t="s">
        <v>142</v>
      </c>
      <c r="AG810" s="8">
        <f t="shared" ref="AG810:AJ810" si="62">(AG799/AG805)*100</f>
        <v>43.75</v>
      </c>
      <c r="AH810" s="8">
        <f t="shared" si="62"/>
        <v>50</v>
      </c>
      <c r="AI810" s="8">
        <f t="shared" si="62"/>
        <v>76.470588235294116</v>
      </c>
      <c r="AJ810" s="8">
        <f t="shared" si="62"/>
        <v>77.777777777777786</v>
      </c>
      <c r="AK810" s="8">
        <f t="shared" si="60"/>
        <v>61.999591503267979</v>
      </c>
      <c r="AL810" s="8">
        <f t="shared" ref="AL810:AO810" si="63">(AL799/AL805)*100</f>
        <v>16.666666666666664</v>
      </c>
      <c r="AM810" s="8">
        <f>0</f>
        <v>0</v>
      </c>
      <c r="AN810" s="8">
        <f t="shared" si="63"/>
        <v>88.888888888888886</v>
      </c>
      <c r="AO810" s="8">
        <f t="shared" si="63"/>
        <v>66.666666666666657</v>
      </c>
    </row>
    <row r="811" spans="1:42" ht="16" thickBot="1" x14ac:dyDescent="0.25">
      <c r="AF811" s="9" t="s">
        <v>59</v>
      </c>
      <c r="AG811" s="8">
        <f t="shared" ref="AG811:AJ811" si="64">(AG800/AG806)*100</f>
        <v>23.232323232323232</v>
      </c>
      <c r="AH811" s="8">
        <f t="shared" si="64"/>
        <v>57.142857142857139</v>
      </c>
      <c r="AI811" s="8">
        <f t="shared" si="64"/>
        <v>32.142857142857146</v>
      </c>
      <c r="AJ811" s="8">
        <f t="shared" si="64"/>
        <v>12.5</v>
      </c>
      <c r="AK811" s="8">
        <f t="shared" si="60"/>
        <v>31.254509379509379</v>
      </c>
      <c r="AL811" s="8">
        <f t="shared" ref="AL811:AO811" si="65">(AL800/AL806)*100</f>
        <v>18.518518518518519</v>
      </c>
      <c r="AM811" s="8">
        <f t="shared" si="65"/>
        <v>0</v>
      </c>
      <c r="AN811" s="8">
        <f t="shared" si="65"/>
        <v>50</v>
      </c>
      <c r="AO811" s="8">
        <f t="shared" si="65"/>
        <v>0</v>
      </c>
    </row>
    <row r="812" spans="1:42" x14ac:dyDescent="0.2">
      <c r="AK812" s="8">
        <f>AVERAGE(AK808:AK811)</f>
        <v>50.203475857578525</v>
      </c>
      <c r="AP812" s="8">
        <f>AVERAGE(AL808:AO811)</f>
        <v>38.399178878830035</v>
      </c>
    </row>
  </sheetData>
  <mergeCells count="65">
    <mergeCell ref="A656:A657"/>
    <mergeCell ref="B656:F656"/>
    <mergeCell ref="H656:L656"/>
    <mergeCell ref="N656:R656"/>
    <mergeCell ref="T656:X656"/>
    <mergeCell ref="A647:A648"/>
    <mergeCell ref="B647:F647"/>
    <mergeCell ref="H647:L647"/>
    <mergeCell ref="N647:R647"/>
    <mergeCell ref="T647:X647"/>
    <mergeCell ref="A665:A666"/>
    <mergeCell ref="B665:F665"/>
    <mergeCell ref="H665:L665"/>
    <mergeCell ref="N665:R665"/>
    <mergeCell ref="T665:X665"/>
    <mergeCell ref="A683:A684"/>
    <mergeCell ref="B683:F683"/>
    <mergeCell ref="H683:L683"/>
    <mergeCell ref="N683:R683"/>
    <mergeCell ref="T683:X683"/>
    <mergeCell ref="A674:A675"/>
    <mergeCell ref="B674:F674"/>
    <mergeCell ref="H674:L674"/>
    <mergeCell ref="N674:R674"/>
    <mergeCell ref="T674:X674"/>
    <mergeCell ref="A692:A693"/>
    <mergeCell ref="B692:F692"/>
    <mergeCell ref="H692:L692"/>
    <mergeCell ref="N692:R692"/>
    <mergeCell ref="T692:X692"/>
    <mergeCell ref="A701:A702"/>
    <mergeCell ref="B701:F701"/>
    <mergeCell ref="H701:L701"/>
    <mergeCell ref="N701:R701"/>
    <mergeCell ref="T701:X701"/>
    <mergeCell ref="A719:A720"/>
    <mergeCell ref="B719:F719"/>
    <mergeCell ref="H719:L719"/>
    <mergeCell ref="N719:R719"/>
    <mergeCell ref="T719:X719"/>
    <mergeCell ref="A710:A711"/>
    <mergeCell ref="B710:F710"/>
    <mergeCell ref="H710:L710"/>
    <mergeCell ref="N710:R710"/>
    <mergeCell ref="T710:X710"/>
    <mergeCell ref="B802:E802"/>
    <mergeCell ref="A802:A803"/>
    <mergeCell ref="H802:L802"/>
    <mergeCell ref="N802:R802"/>
    <mergeCell ref="T802:X802"/>
    <mergeCell ref="T730:X730"/>
    <mergeCell ref="N730:R730"/>
    <mergeCell ref="H730:L730"/>
    <mergeCell ref="B730:F730"/>
    <mergeCell ref="A730:A731"/>
    <mergeCell ref="A793:A794"/>
    <mergeCell ref="B784:F784"/>
    <mergeCell ref="H784:L784"/>
    <mergeCell ref="N784:R784"/>
    <mergeCell ref="T784:X784"/>
    <mergeCell ref="A784:A785"/>
    <mergeCell ref="B793:F793"/>
    <mergeCell ref="H793:L793"/>
    <mergeCell ref="N793:R793"/>
    <mergeCell ref="T793:X793"/>
  </mergeCells>
  <phoneticPr fontId="6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5"/>
  <sheetViews>
    <sheetView tabSelected="1" topLeftCell="J1" zoomScale="60" zoomScaleNormal="60" workbookViewId="0">
      <pane ySplit="1" topLeftCell="A166" activePane="bottomLeft" state="frozen"/>
      <selection pane="bottomLeft" activeCell="AA309" sqref="AA309"/>
    </sheetView>
  </sheetViews>
  <sheetFormatPr baseColWidth="10" defaultColWidth="8.83203125" defaultRowHeight="15" x14ac:dyDescent="0.2"/>
  <cols>
    <col min="1" max="2" width="20" customWidth="1"/>
    <col min="3" max="3" width="8" customWidth="1"/>
    <col min="4" max="4" width="12" customWidth="1"/>
    <col min="5" max="5" width="30" customWidth="1"/>
    <col min="6" max="6" width="12" customWidth="1"/>
    <col min="7" max="7" width="18" customWidth="1"/>
    <col min="8" max="8" width="14" customWidth="1"/>
    <col min="9" max="14" width="20" customWidth="1"/>
    <col min="15" max="15" width="13" customWidth="1"/>
    <col min="16" max="16" width="9.83203125" bestFit="1" customWidth="1"/>
    <col min="20" max="20" width="6.6640625" bestFit="1" customWidth="1"/>
    <col min="22" max="22" width="9.83203125" bestFit="1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52</v>
      </c>
      <c r="E2" t="s">
        <v>18</v>
      </c>
      <c r="F2">
        <v>3</v>
      </c>
      <c r="G2" t="s">
        <v>19</v>
      </c>
      <c r="H2" t="s">
        <v>20</v>
      </c>
      <c r="I2">
        <v>212</v>
      </c>
      <c r="J2">
        <v>85</v>
      </c>
      <c r="K2">
        <v>0</v>
      </c>
      <c r="L2">
        <v>261</v>
      </c>
      <c r="M2">
        <v>98</v>
      </c>
      <c r="N2">
        <v>0</v>
      </c>
      <c r="O2">
        <v>997</v>
      </c>
    </row>
    <row r="3" spans="1:15" x14ac:dyDescent="0.2">
      <c r="A3" t="s">
        <v>15</v>
      </c>
      <c r="B3" t="s">
        <v>16</v>
      </c>
      <c r="C3" t="s">
        <v>17</v>
      </c>
      <c r="D3" t="s">
        <v>52</v>
      </c>
      <c r="E3" t="s">
        <v>18</v>
      </c>
      <c r="F3">
        <v>3</v>
      </c>
      <c r="G3" t="s">
        <v>19</v>
      </c>
      <c r="H3" t="s">
        <v>21</v>
      </c>
      <c r="I3">
        <v>17</v>
      </c>
      <c r="J3">
        <v>9</v>
      </c>
      <c r="K3">
        <v>0</v>
      </c>
      <c r="L3">
        <v>261</v>
      </c>
      <c r="M3">
        <v>98</v>
      </c>
      <c r="N3">
        <v>0</v>
      </c>
      <c r="O3">
        <v>997</v>
      </c>
    </row>
    <row r="4" spans="1:15" x14ac:dyDescent="0.2">
      <c r="A4" t="s">
        <v>15</v>
      </c>
      <c r="B4" t="s">
        <v>16</v>
      </c>
      <c r="C4" t="s">
        <v>17</v>
      </c>
      <c r="D4" t="s">
        <v>52</v>
      </c>
      <c r="E4" t="s">
        <v>18</v>
      </c>
      <c r="F4">
        <v>3</v>
      </c>
      <c r="G4" t="s">
        <v>19</v>
      </c>
      <c r="H4" t="s">
        <v>22</v>
      </c>
      <c r="I4">
        <v>2</v>
      </c>
      <c r="J4">
        <v>0</v>
      </c>
      <c r="K4">
        <v>0</v>
      </c>
      <c r="L4">
        <v>261</v>
      </c>
      <c r="M4">
        <v>98</v>
      </c>
      <c r="N4">
        <v>0</v>
      </c>
      <c r="O4">
        <v>997</v>
      </c>
    </row>
    <row r="5" spans="1:15" x14ac:dyDescent="0.2">
      <c r="A5" t="s">
        <v>15</v>
      </c>
      <c r="B5" t="s">
        <v>16</v>
      </c>
      <c r="C5" t="s">
        <v>17</v>
      </c>
      <c r="D5" t="s">
        <v>52</v>
      </c>
      <c r="E5" t="s">
        <v>18</v>
      </c>
      <c r="F5">
        <v>3</v>
      </c>
      <c r="G5" t="s">
        <v>19</v>
      </c>
      <c r="H5" t="s">
        <v>23</v>
      </c>
      <c r="I5">
        <v>30</v>
      </c>
      <c r="J5">
        <v>4</v>
      </c>
      <c r="K5">
        <v>0</v>
      </c>
      <c r="L5">
        <v>261</v>
      </c>
      <c r="M5">
        <v>98</v>
      </c>
      <c r="N5">
        <v>0</v>
      </c>
      <c r="O5">
        <v>997</v>
      </c>
    </row>
    <row r="6" spans="1:15" x14ac:dyDescent="0.2">
      <c r="A6" t="s">
        <v>15</v>
      </c>
      <c r="B6" t="s">
        <v>16</v>
      </c>
      <c r="C6" t="s">
        <v>17</v>
      </c>
      <c r="D6" t="s">
        <v>52</v>
      </c>
      <c r="E6" t="s">
        <v>18</v>
      </c>
      <c r="F6">
        <v>3</v>
      </c>
      <c r="G6" t="s">
        <v>19</v>
      </c>
      <c r="H6" t="s">
        <v>24</v>
      </c>
      <c r="I6">
        <v>0</v>
      </c>
      <c r="J6">
        <v>0</v>
      </c>
      <c r="K6">
        <v>0</v>
      </c>
      <c r="L6">
        <v>261</v>
      </c>
      <c r="M6">
        <v>98</v>
      </c>
      <c r="N6">
        <v>0</v>
      </c>
      <c r="O6">
        <v>997</v>
      </c>
    </row>
    <row r="7" spans="1:15" x14ac:dyDescent="0.2">
      <c r="A7" t="s">
        <v>15</v>
      </c>
      <c r="B7" t="s">
        <v>16</v>
      </c>
      <c r="C7" t="s">
        <v>17</v>
      </c>
      <c r="D7" t="s">
        <v>51</v>
      </c>
      <c r="E7" t="s">
        <v>25</v>
      </c>
      <c r="F7">
        <v>3</v>
      </c>
      <c r="G7" t="s">
        <v>19</v>
      </c>
      <c r="H7" t="s">
        <v>20</v>
      </c>
      <c r="I7">
        <v>184</v>
      </c>
      <c r="J7">
        <v>71</v>
      </c>
      <c r="K7">
        <v>0</v>
      </c>
      <c r="L7">
        <v>270</v>
      </c>
      <c r="M7">
        <v>89</v>
      </c>
      <c r="N7">
        <v>0</v>
      </c>
      <c r="O7">
        <v>999</v>
      </c>
    </row>
    <row r="8" spans="1:15" x14ac:dyDescent="0.2">
      <c r="A8" t="s">
        <v>15</v>
      </c>
      <c r="B8" t="s">
        <v>16</v>
      </c>
      <c r="C8" t="s">
        <v>17</v>
      </c>
      <c r="D8" t="s">
        <v>51</v>
      </c>
      <c r="E8" t="s">
        <v>25</v>
      </c>
      <c r="F8">
        <v>3</v>
      </c>
      <c r="G8" t="s">
        <v>19</v>
      </c>
      <c r="H8" t="s">
        <v>21</v>
      </c>
      <c r="I8">
        <v>27</v>
      </c>
      <c r="J8">
        <v>12</v>
      </c>
      <c r="K8">
        <v>0</v>
      </c>
      <c r="L8">
        <v>270</v>
      </c>
      <c r="M8">
        <v>89</v>
      </c>
      <c r="N8">
        <v>0</v>
      </c>
      <c r="O8">
        <v>999</v>
      </c>
    </row>
    <row r="9" spans="1:15" x14ac:dyDescent="0.2">
      <c r="A9" t="s">
        <v>15</v>
      </c>
      <c r="B9" t="s">
        <v>16</v>
      </c>
      <c r="C9" t="s">
        <v>17</v>
      </c>
      <c r="D9" t="s">
        <v>51</v>
      </c>
      <c r="E9" t="s">
        <v>25</v>
      </c>
      <c r="F9">
        <v>3</v>
      </c>
      <c r="G9" t="s">
        <v>19</v>
      </c>
      <c r="H9" t="s">
        <v>22</v>
      </c>
      <c r="I9">
        <v>5</v>
      </c>
      <c r="J9">
        <v>4</v>
      </c>
      <c r="K9">
        <v>0</v>
      </c>
      <c r="L9">
        <v>270</v>
      </c>
      <c r="M9">
        <v>89</v>
      </c>
      <c r="N9">
        <v>0</v>
      </c>
      <c r="O9">
        <v>999</v>
      </c>
    </row>
    <row r="10" spans="1:15" x14ac:dyDescent="0.2">
      <c r="A10" t="s">
        <v>15</v>
      </c>
      <c r="B10" t="s">
        <v>16</v>
      </c>
      <c r="C10" t="s">
        <v>17</v>
      </c>
      <c r="D10" t="s">
        <v>51</v>
      </c>
      <c r="E10" t="s">
        <v>25</v>
      </c>
      <c r="F10">
        <v>3</v>
      </c>
      <c r="G10" t="s">
        <v>19</v>
      </c>
      <c r="H10" t="s">
        <v>23</v>
      </c>
      <c r="I10">
        <v>54</v>
      </c>
      <c r="J10">
        <v>2</v>
      </c>
      <c r="K10">
        <v>0</v>
      </c>
      <c r="L10">
        <v>270</v>
      </c>
      <c r="M10">
        <v>89</v>
      </c>
      <c r="N10">
        <v>0</v>
      </c>
      <c r="O10">
        <v>999</v>
      </c>
    </row>
    <row r="11" spans="1:15" x14ac:dyDescent="0.2">
      <c r="A11" t="s">
        <v>15</v>
      </c>
      <c r="B11" t="s">
        <v>16</v>
      </c>
      <c r="C11" t="s">
        <v>17</v>
      </c>
      <c r="D11" t="s">
        <v>51</v>
      </c>
      <c r="E11" t="s">
        <v>25</v>
      </c>
      <c r="F11">
        <v>3</v>
      </c>
      <c r="G11" t="s">
        <v>19</v>
      </c>
      <c r="H11" t="s">
        <v>24</v>
      </c>
      <c r="I11">
        <v>0</v>
      </c>
      <c r="J11">
        <v>0</v>
      </c>
      <c r="K11">
        <v>0</v>
      </c>
      <c r="L11">
        <v>270</v>
      </c>
      <c r="M11">
        <v>89</v>
      </c>
      <c r="N11">
        <v>0</v>
      </c>
      <c r="O11">
        <v>999</v>
      </c>
    </row>
    <row r="12" spans="1:15" x14ac:dyDescent="0.2">
      <c r="A12" t="s">
        <v>15</v>
      </c>
      <c r="B12" t="s">
        <v>16</v>
      </c>
      <c r="C12" t="s">
        <v>17</v>
      </c>
      <c r="D12" t="s">
        <v>49</v>
      </c>
      <c r="E12" t="s">
        <v>26</v>
      </c>
      <c r="F12">
        <v>3</v>
      </c>
      <c r="G12" t="s">
        <v>19</v>
      </c>
      <c r="H12" t="s">
        <v>20</v>
      </c>
      <c r="I12">
        <v>157</v>
      </c>
      <c r="J12">
        <v>49</v>
      </c>
      <c r="K12">
        <v>0</v>
      </c>
      <c r="L12">
        <v>222</v>
      </c>
      <c r="M12">
        <v>63</v>
      </c>
      <c r="N12">
        <v>0</v>
      </c>
      <c r="O12">
        <v>998</v>
      </c>
    </row>
    <row r="13" spans="1:15" x14ac:dyDescent="0.2">
      <c r="A13" t="s">
        <v>15</v>
      </c>
      <c r="B13" t="s">
        <v>16</v>
      </c>
      <c r="C13" t="s">
        <v>17</v>
      </c>
      <c r="D13" t="s">
        <v>49</v>
      </c>
      <c r="E13" t="s">
        <v>26</v>
      </c>
      <c r="F13">
        <v>3</v>
      </c>
      <c r="G13" t="s">
        <v>19</v>
      </c>
      <c r="H13" t="s">
        <v>21</v>
      </c>
      <c r="I13">
        <v>15</v>
      </c>
      <c r="J13">
        <v>6</v>
      </c>
      <c r="K13">
        <v>0</v>
      </c>
      <c r="L13">
        <v>222</v>
      </c>
      <c r="M13">
        <v>63</v>
      </c>
      <c r="N13">
        <v>0</v>
      </c>
      <c r="O13">
        <v>998</v>
      </c>
    </row>
    <row r="14" spans="1:15" x14ac:dyDescent="0.2">
      <c r="A14" t="s">
        <v>15</v>
      </c>
      <c r="B14" t="s">
        <v>16</v>
      </c>
      <c r="C14" t="s">
        <v>17</v>
      </c>
      <c r="D14" t="s">
        <v>49</v>
      </c>
      <c r="E14" t="s">
        <v>26</v>
      </c>
      <c r="F14">
        <v>3</v>
      </c>
      <c r="G14" t="s">
        <v>19</v>
      </c>
      <c r="H14" t="s">
        <v>22</v>
      </c>
      <c r="I14">
        <v>7</v>
      </c>
      <c r="J14">
        <v>0</v>
      </c>
      <c r="K14">
        <v>0</v>
      </c>
      <c r="L14">
        <v>222</v>
      </c>
      <c r="M14">
        <v>63</v>
      </c>
      <c r="N14">
        <v>0</v>
      </c>
      <c r="O14">
        <v>998</v>
      </c>
    </row>
    <row r="15" spans="1:15" x14ac:dyDescent="0.2">
      <c r="A15" t="s">
        <v>15</v>
      </c>
      <c r="B15" t="s">
        <v>16</v>
      </c>
      <c r="C15" t="s">
        <v>17</v>
      </c>
      <c r="D15" t="s">
        <v>49</v>
      </c>
      <c r="E15" t="s">
        <v>26</v>
      </c>
      <c r="F15">
        <v>3</v>
      </c>
      <c r="G15" t="s">
        <v>19</v>
      </c>
      <c r="H15" t="s">
        <v>23</v>
      </c>
      <c r="I15">
        <v>43</v>
      </c>
      <c r="J15">
        <v>8</v>
      </c>
      <c r="K15">
        <v>0</v>
      </c>
      <c r="L15">
        <v>222</v>
      </c>
      <c r="M15">
        <v>63</v>
      </c>
      <c r="N15">
        <v>0</v>
      </c>
      <c r="O15">
        <v>998</v>
      </c>
    </row>
    <row r="16" spans="1:15" x14ac:dyDescent="0.2">
      <c r="A16" t="s">
        <v>15</v>
      </c>
      <c r="B16" t="s">
        <v>16</v>
      </c>
      <c r="C16" t="s">
        <v>17</v>
      </c>
      <c r="D16" t="s">
        <v>49</v>
      </c>
      <c r="E16" t="s">
        <v>26</v>
      </c>
      <c r="F16">
        <v>3</v>
      </c>
      <c r="G16" t="s">
        <v>19</v>
      </c>
      <c r="H16" t="s">
        <v>24</v>
      </c>
      <c r="I16">
        <v>0</v>
      </c>
      <c r="J16">
        <v>0</v>
      </c>
      <c r="K16">
        <v>0</v>
      </c>
      <c r="L16">
        <v>222</v>
      </c>
      <c r="M16">
        <v>63</v>
      </c>
      <c r="N16">
        <v>0</v>
      </c>
      <c r="O16">
        <v>998</v>
      </c>
    </row>
    <row r="17" spans="1:15" x14ac:dyDescent="0.2">
      <c r="A17" t="s">
        <v>27</v>
      </c>
      <c r="B17" t="s">
        <v>16</v>
      </c>
      <c r="C17" t="s">
        <v>17</v>
      </c>
      <c r="D17" t="s">
        <v>52</v>
      </c>
      <c r="E17" t="s">
        <v>28</v>
      </c>
      <c r="F17">
        <v>3</v>
      </c>
      <c r="G17" t="s">
        <v>19</v>
      </c>
      <c r="H17" t="s">
        <v>20</v>
      </c>
      <c r="I17">
        <v>38</v>
      </c>
      <c r="J17">
        <v>15</v>
      </c>
      <c r="K17">
        <v>0</v>
      </c>
      <c r="L17">
        <v>46</v>
      </c>
      <c r="M17">
        <v>18</v>
      </c>
      <c r="N17">
        <v>0</v>
      </c>
      <c r="O17">
        <v>996</v>
      </c>
    </row>
    <row r="18" spans="1:15" x14ac:dyDescent="0.2">
      <c r="A18" t="s">
        <v>27</v>
      </c>
      <c r="B18" t="s">
        <v>16</v>
      </c>
      <c r="C18" t="s">
        <v>17</v>
      </c>
      <c r="D18" t="s">
        <v>52</v>
      </c>
      <c r="E18" t="s">
        <v>28</v>
      </c>
      <c r="F18">
        <v>3</v>
      </c>
      <c r="G18" t="s">
        <v>19</v>
      </c>
      <c r="H18" t="s">
        <v>21</v>
      </c>
      <c r="I18">
        <v>4</v>
      </c>
      <c r="J18">
        <v>0</v>
      </c>
      <c r="K18">
        <v>0</v>
      </c>
      <c r="L18">
        <v>46</v>
      </c>
      <c r="M18">
        <v>18</v>
      </c>
      <c r="N18">
        <v>0</v>
      </c>
      <c r="O18">
        <v>996</v>
      </c>
    </row>
    <row r="19" spans="1:15" x14ac:dyDescent="0.2">
      <c r="A19" t="s">
        <v>27</v>
      </c>
      <c r="B19" t="s">
        <v>16</v>
      </c>
      <c r="C19" t="s">
        <v>17</v>
      </c>
      <c r="D19" t="s">
        <v>52</v>
      </c>
      <c r="E19" t="s">
        <v>28</v>
      </c>
      <c r="F19">
        <v>3</v>
      </c>
      <c r="G19" t="s">
        <v>19</v>
      </c>
      <c r="H19" t="s">
        <v>22</v>
      </c>
      <c r="I19">
        <v>2</v>
      </c>
      <c r="J19">
        <v>0</v>
      </c>
      <c r="K19">
        <v>0</v>
      </c>
      <c r="L19">
        <v>46</v>
      </c>
      <c r="M19">
        <v>18</v>
      </c>
      <c r="N19">
        <v>0</v>
      </c>
      <c r="O19">
        <v>996</v>
      </c>
    </row>
    <row r="20" spans="1:15" x14ac:dyDescent="0.2">
      <c r="A20" t="s">
        <v>27</v>
      </c>
      <c r="B20" t="s">
        <v>16</v>
      </c>
      <c r="C20" t="s">
        <v>17</v>
      </c>
      <c r="D20" t="s">
        <v>52</v>
      </c>
      <c r="E20" t="s">
        <v>28</v>
      </c>
      <c r="F20">
        <v>3</v>
      </c>
      <c r="G20" t="s">
        <v>19</v>
      </c>
      <c r="H20" t="s">
        <v>23</v>
      </c>
      <c r="I20">
        <v>2</v>
      </c>
      <c r="J20">
        <v>3</v>
      </c>
      <c r="K20">
        <v>0</v>
      </c>
      <c r="L20">
        <v>46</v>
      </c>
      <c r="M20">
        <v>18</v>
      </c>
      <c r="N20">
        <v>0</v>
      </c>
      <c r="O20">
        <v>996</v>
      </c>
    </row>
    <row r="21" spans="1:15" x14ac:dyDescent="0.2">
      <c r="A21" t="s">
        <v>27</v>
      </c>
      <c r="B21" t="s">
        <v>16</v>
      </c>
      <c r="C21" t="s">
        <v>17</v>
      </c>
      <c r="D21" t="s">
        <v>52</v>
      </c>
      <c r="E21" t="s">
        <v>28</v>
      </c>
      <c r="F21">
        <v>3</v>
      </c>
      <c r="G21" t="s">
        <v>19</v>
      </c>
      <c r="H21" t="s">
        <v>24</v>
      </c>
      <c r="I21">
        <v>0</v>
      </c>
      <c r="J21">
        <v>0</v>
      </c>
      <c r="K21">
        <v>0</v>
      </c>
      <c r="L21">
        <v>46</v>
      </c>
      <c r="M21">
        <v>18</v>
      </c>
      <c r="N21">
        <v>0</v>
      </c>
      <c r="O21">
        <v>996</v>
      </c>
    </row>
    <row r="22" spans="1:15" x14ac:dyDescent="0.2">
      <c r="A22" t="s">
        <v>27</v>
      </c>
      <c r="B22" t="s">
        <v>16</v>
      </c>
      <c r="C22" t="s">
        <v>17</v>
      </c>
      <c r="D22" t="s">
        <v>51</v>
      </c>
      <c r="E22" t="s">
        <v>29</v>
      </c>
      <c r="F22">
        <v>3</v>
      </c>
      <c r="G22" t="s">
        <v>19</v>
      </c>
      <c r="H22" t="s">
        <v>20</v>
      </c>
      <c r="I22">
        <v>31</v>
      </c>
      <c r="J22">
        <v>17</v>
      </c>
      <c r="K22">
        <v>0</v>
      </c>
      <c r="L22">
        <v>50</v>
      </c>
      <c r="M22">
        <v>24</v>
      </c>
      <c r="N22">
        <v>0</v>
      </c>
      <c r="O22">
        <v>991</v>
      </c>
    </row>
    <row r="23" spans="1:15" x14ac:dyDescent="0.2">
      <c r="A23" t="s">
        <v>27</v>
      </c>
      <c r="B23" t="s">
        <v>16</v>
      </c>
      <c r="C23" t="s">
        <v>17</v>
      </c>
      <c r="D23" t="s">
        <v>51</v>
      </c>
      <c r="E23" t="s">
        <v>29</v>
      </c>
      <c r="F23">
        <v>3</v>
      </c>
      <c r="G23" t="s">
        <v>19</v>
      </c>
      <c r="H23" t="s">
        <v>21</v>
      </c>
      <c r="I23">
        <v>9</v>
      </c>
      <c r="J23">
        <v>1</v>
      </c>
      <c r="K23">
        <v>0</v>
      </c>
      <c r="L23">
        <v>50</v>
      </c>
      <c r="M23">
        <v>24</v>
      </c>
      <c r="N23">
        <v>0</v>
      </c>
      <c r="O23">
        <v>991</v>
      </c>
    </row>
    <row r="24" spans="1:15" x14ac:dyDescent="0.2">
      <c r="A24" t="s">
        <v>27</v>
      </c>
      <c r="B24" t="s">
        <v>16</v>
      </c>
      <c r="C24" t="s">
        <v>17</v>
      </c>
      <c r="D24" t="s">
        <v>51</v>
      </c>
      <c r="E24" t="s">
        <v>29</v>
      </c>
      <c r="F24">
        <v>3</v>
      </c>
      <c r="G24" t="s">
        <v>19</v>
      </c>
      <c r="H24" t="s">
        <v>22</v>
      </c>
      <c r="I24">
        <v>1</v>
      </c>
      <c r="J24">
        <v>0</v>
      </c>
      <c r="K24">
        <v>0</v>
      </c>
      <c r="L24">
        <v>50</v>
      </c>
      <c r="M24">
        <v>24</v>
      </c>
      <c r="N24">
        <v>0</v>
      </c>
      <c r="O24">
        <v>991</v>
      </c>
    </row>
    <row r="25" spans="1:15" x14ac:dyDescent="0.2">
      <c r="A25" t="s">
        <v>27</v>
      </c>
      <c r="B25" t="s">
        <v>16</v>
      </c>
      <c r="C25" t="s">
        <v>17</v>
      </c>
      <c r="D25" t="s">
        <v>51</v>
      </c>
      <c r="E25" t="s">
        <v>29</v>
      </c>
      <c r="F25">
        <v>3</v>
      </c>
      <c r="G25" t="s">
        <v>19</v>
      </c>
      <c r="H25" t="s">
        <v>23</v>
      </c>
      <c r="I25">
        <v>9</v>
      </c>
      <c r="J25">
        <v>6</v>
      </c>
      <c r="K25">
        <v>0</v>
      </c>
      <c r="L25">
        <v>50</v>
      </c>
      <c r="M25">
        <v>24</v>
      </c>
      <c r="N25">
        <v>0</v>
      </c>
      <c r="O25">
        <v>991</v>
      </c>
    </row>
    <row r="26" spans="1:15" x14ac:dyDescent="0.2">
      <c r="A26" t="s">
        <v>27</v>
      </c>
      <c r="B26" t="s">
        <v>16</v>
      </c>
      <c r="C26" t="s">
        <v>17</v>
      </c>
      <c r="D26" t="s">
        <v>51</v>
      </c>
      <c r="E26" t="s">
        <v>29</v>
      </c>
      <c r="F26">
        <v>3</v>
      </c>
      <c r="G26" t="s">
        <v>19</v>
      </c>
      <c r="H26" t="s">
        <v>24</v>
      </c>
      <c r="I26">
        <v>0</v>
      </c>
      <c r="J26">
        <v>0</v>
      </c>
      <c r="K26">
        <v>0</v>
      </c>
      <c r="L26">
        <v>50</v>
      </c>
      <c r="M26">
        <v>24</v>
      </c>
      <c r="N26">
        <v>0</v>
      </c>
      <c r="O26">
        <v>991</v>
      </c>
    </row>
    <row r="27" spans="1:15" x14ac:dyDescent="0.2">
      <c r="A27" t="s">
        <v>27</v>
      </c>
      <c r="B27" t="s">
        <v>16</v>
      </c>
      <c r="C27" t="s">
        <v>17</v>
      </c>
      <c r="D27" t="s">
        <v>49</v>
      </c>
      <c r="E27" t="s">
        <v>30</v>
      </c>
      <c r="F27">
        <v>3</v>
      </c>
      <c r="G27" t="s">
        <v>19</v>
      </c>
      <c r="H27" t="s">
        <v>20</v>
      </c>
      <c r="I27">
        <v>38</v>
      </c>
      <c r="J27">
        <v>18</v>
      </c>
      <c r="K27">
        <v>0</v>
      </c>
      <c r="L27">
        <v>55</v>
      </c>
      <c r="M27">
        <v>25</v>
      </c>
      <c r="N27">
        <v>0</v>
      </c>
      <c r="O27">
        <v>994</v>
      </c>
    </row>
    <row r="28" spans="1:15" x14ac:dyDescent="0.2">
      <c r="A28" t="s">
        <v>27</v>
      </c>
      <c r="B28" t="s">
        <v>16</v>
      </c>
      <c r="C28" t="s">
        <v>17</v>
      </c>
      <c r="D28" t="s">
        <v>49</v>
      </c>
      <c r="E28" t="s">
        <v>30</v>
      </c>
      <c r="F28">
        <v>3</v>
      </c>
      <c r="G28" t="s">
        <v>19</v>
      </c>
      <c r="H28" t="s">
        <v>21</v>
      </c>
      <c r="I28">
        <v>4</v>
      </c>
      <c r="J28">
        <v>2</v>
      </c>
      <c r="K28">
        <v>0</v>
      </c>
      <c r="L28">
        <v>55</v>
      </c>
      <c r="M28">
        <v>25</v>
      </c>
      <c r="N28">
        <v>0</v>
      </c>
      <c r="O28">
        <v>994</v>
      </c>
    </row>
    <row r="29" spans="1:15" x14ac:dyDescent="0.2">
      <c r="A29" t="s">
        <v>27</v>
      </c>
      <c r="B29" t="s">
        <v>16</v>
      </c>
      <c r="C29" t="s">
        <v>17</v>
      </c>
      <c r="D29" t="s">
        <v>49</v>
      </c>
      <c r="E29" t="s">
        <v>30</v>
      </c>
      <c r="F29">
        <v>3</v>
      </c>
      <c r="G29" t="s">
        <v>19</v>
      </c>
      <c r="H29" t="s">
        <v>22</v>
      </c>
      <c r="I29">
        <v>6</v>
      </c>
      <c r="J29">
        <v>2</v>
      </c>
      <c r="K29">
        <v>0</v>
      </c>
      <c r="L29">
        <v>55</v>
      </c>
      <c r="M29">
        <v>25</v>
      </c>
      <c r="N29">
        <v>0</v>
      </c>
      <c r="O29">
        <v>994</v>
      </c>
    </row>
    <row r="30" spans="1:15" x14ac:dyDescent="0.2">
      <c r="A30" t="s">
        <v>27</v>
      </c>
      <c r="B30" t="s">
        <v>16</v>
      </c>
      <c r="C30" t="s">
        <v>17</v>
      </c>
      <c r="D30" t="s">
        <v>49</v>
      </c>
      <c r="E30" t="s">
        <v>30</v>
      </c>
      <c r="F30">
        <v>3</v>
      </c>
      <c r="G30" t="s">
        <v>19</v>
      </c>
      <c r="H30" t="s">
        <v>23</v>
      </c>
      <c r="I30">
        <v>7</v>
      </c>
      <c r="J30">
        <v>3</v>
      </c>
      <c r="K30">
        <v>0</v>
      </c>
      <c r="L30">
        <v>55</v>
      </c>
      <c r="M30">
        <v>25</v>
      </c>
      <c r="N30">
        <v>0</v>
      </c>
      <c r="O30">
        <v>994</v>
      </c>
    </row>
    <row r="31" spans="1:15" x14ac:dyDescent="0.2">
      <c r="A31" t="s">
        <v>27</v>
      </c>
      <c r="B31" t="s">
        <v>16</v>
      </c>
      <c r="C31" t="s">
        <v>17</v>
      </c>
      <c r="D31" t="s">
        <v>49</v>
      </c>
      <c r="E31" t="s">
        <v>30</v>
      </c>
      <c r="F31">
        <v>3</v>
      </c>
      <c r="G31" t="s">
        <v>19</v>
      </c>
      <c r="H31" t="s">
        <v>24</v>
      </c>
      <c r="I31">
        <v>0</v>
      </c>
      <c r="J31">
        <v>0</v>
      </c>
      <c r="K31">
        <v>0</v>
      </c>
      <c r="L31">
        <v>55</v>
      </c>
      <c r="M31">
        <v>25</v>
      </c>
      <c r="N31">
        <v>0</v>
      </c>
      <c r="O31">
        <v>994</v>
      </c>
    </row>
    <row r="32" spans="1:15" x14ac:dyDescent="0.2">
      <c r="A32" t="s">
        <v>31</v>
      </c>
      <c r="B32" t="s">
        <v>16</v>
      </c>
      <c r="C32" t="s">
        <v>17</v>
      </c>
      <c r="D32" t="s">
        <v>52</v>
      </c>
      <c r="E32" t="s">
        <v>32</v>
      </c>
      <c r="F32">
        <v>3</v>
      </c>
      <c r="G32" t="s">
        <v>19</v>
      </c>
      <c r="H32" t="s">
        <v>20</v>
      </c>
      <c r="I32">
        <v>199</v>
      </c>
      <c r="J32">
        <v>258</v>
      </c>
      <c r="K32">
        <v>0</v>
      </c>
      <c r="L32">
        <v>253</v>
      </c>
      <c r="M32">
        <v>273</v>
      </c>
      <c r="N32">
        <v>0</v>
      </c>
      <c r="O32">
        <v>685</v>
      </c>
    </row>
    <row r="33" spans="1:15" x14ac:dyDescent="0.2">
      <c r="A33" t="s">
        <v>31</v>
      </c>
      <c r="B33" t="s">
        <v>16</v>
      </c>
      <c r="C33" t="s">
        <v>17</v>
      </c>
      <c r="D33" t="s">
        <v>52</v>
      </c>
      <c r="E33" t="s">
        <v>32</v>
      </c>
      <c r="F33">
        <v>3</v>
      </c>
      <c r="G33" t="s">
        <v>19</v>
      </c>
      <c r="H33" t="s">
        <v>21</v>
      </c>
      <c r="I33">
        <v>12</v>
      </c>
      <c r="J33">
        <v>6</v>
      </c>
      <c r="K33">
        <v>0</v>
      </c>
      <c r="L33">
        <v>253</v>
      </c>
      <c r="M33">
        <v>273</v>
      </c>
      <c r="N33">
        <v>0</v>
      </c>
      <c r="O33">
        <v>685</v>
      </c>
    </row>
    <row r="34" spans="1:15" x14ac:dyDescent="0.2">
      <c r="A34" t="s">
        <v>31</v>
      </c>
      <c r="B34" t="s">
        <v>16</v>
      </c>
      <c r="C34" t="s">
        <v>17</v>
      </c>
      <c r="D34" t="s">
        <v>52</v>
      </c>
      <c r="E34" t="s">
        <v>32</v>
      </c>
      <c r="F34">
        <v>3</v>
      </c>
      <c r="G34" t="s">
        <v>19</v>
      </c>
      <c r="H34" t="s">
        <v>22</v>
      </c>
      <c r="I34">
        <v>2</v>
      </c>
      <c r="J34">
        <v>3</v>
      </c>
      <c r="K34">
        <v>0</v>
      </c>
      <c r="L34">
        <v>253</v>
      </c>
      <c r="M34">
        <v>273</v>
      </c>
      <c r="N34">
        <v>0</v>
      </c>
      <c r="O34">
        <v>685</v>
      </c>
    </row>
    <row r="35" spans="1:15" x14ac:dyDescent="0.2">
      <c r="A35" t="s">
        <v>31</v>
      </c>
      <c r="B35" t="s">
        <v>16</v>
      </c>
      <c r="C35" t="s">
        <v>17</v>
      </c>
      <c r="D35" t="s">
        <v>52</v>
      </c>
      <c r="E35" t="s">
        <v>32</v>
      </c>
      <c r="F35">
        <v>3</v>
      </c>
      <c r="G35" t="s">
        <v>19</v>
      </c>
      <c r="H35" t="s">
        <v>23</v>
      </c>
      <c r="I35">
        <v>40</v>
      </c>
      <c r="J35">
        <v>6</v>
      </c>
      <c r="K35">
        <v>0</v>
      </c>
      <c r="L35">
        <v>253</v>
      </c>
      <c r="M35">
        <v>273</v>
      </c>
      <c r="N35">
        <v>0</v>
      </c>
      <c r="O35">
        <v>685</v>
      </c>
    </row>
    <row r="36" spans="1:15" x14ac:dyDescent="0.2">
      <c r="A36" t="s">
        <v>31</v>
      </c>
      <c r="B36" t="s">
        <v>16</v>
      </c>
      <c r="C36" t="s">
        <v>17</v>
      </c>
      <c r="D36" t="s">
        <v>52</v>
      </c>
      <c r="E36" t="s">
        <v>32</v>
      </c>
      <c r="F36">
        <v>3</v>
      </c>
      <c r="G36" t="s">
        <v>19</v>
      </c>
      <c r="H36" t="s">
        <v>24</v>
      </c>
      <c r="I36">
        <v>0</v>
      </c>
      <c r="J36">
        <v>0</v>
      </c>
      <c r="K36">
        <v>0</v>
      </c>
      <c r="L36">
        <v>253</v>
      </c>
      <c r="M36">
        <v>273</v>
      </c>
      <c r="N36">
        <v>0</v>
      </c>
      <c r="O36">
        <v>685</v>
      </c>
    </row>
    <row r="37" spans="1:15" x14ac:dyDescent="0.2">
      <c r="A37" t="s">
        <v>31</v>
      </c>
      <c r="B37" t="s">
        <v>16</v>
      </c>
      <c r="C37" t="s">
        <v>17</v>
      </c>
      <c r="D37" t="s">
        <v>51</v>
      </c>
      <c r="E37" t="s">
        <v>33</v>
      </c>
      <c r="F37">
        <v>3</v>
      </c>
      <c r="G37" t="s">
        <v>19</v>
      </c>
      <c r="H37" t="s">
        <v>20</v>
      </c>
      <c r="I37">
        <v>163</v>
      </c>
      <c r="J37">
        <v>236</v>
      </c>
      <c r="K37">
        <v>0</v>
      </c>
      <c r="L37">
        <v>212</v>
      </c>
      <c r="M37">
        <v>286</v>
      </c>
      <c r="N37">
        <v>0</v>
      </c>
      <c r="O37">
        <v>684</v>
      </c>
    </row>
    <row r="38" spans="1:15" x14ac:dyDescent="0.2">
      <c r="A38" t="s">
        <v>31</v>
      </c>
      <c r="B38" t="s">
        <v>16</v>
      </c>
      <c r="C38" t="s">
        <v>17</v>
      </c>
      <c r="D38" t="s">
        <v>51</v>
      </c>
      <c r="E38" t="s">
        <v>33</v>
      </c>
      <c r="F38">
        <v>3</v>
      </c>
      <c r="G38" t="s">
        <v>19</v>
      </c>
      <c r="H38" t="s">
        <v>21</v>
      </c>
      <c r="I38">
        <v>21</v>
      </c>
      <c r="J38">
        <v>19</v>
      </c>
      <c r="K38">
        <v>0</v>
      </c>
      <c r="L38">
        <v>212</v>
      </c>
      <c r="M38">
        <v>286</v>
      </c>
      <c r="N38">
        <v>0</v>
      </c>
      <c r="O38">
        <v>684</v>
      </c>
    </row>
    <row r="39" spans="1:15" x14ac:dyDescent="0.2">
      <c r="A39" t="s">
        <v>31</v>
      </c>
      <c r="B39" t="s">
        <v>16</v>
      </c>
      <c r="C39" t="s">
        <v>17</v>
      </c>
      <c r="D39" t="s">
        <v>51</v>
      </c>
      <c r="E39" t="s">
        <v>33</v>
      </c>
      <c r="F39">
        <v>3</v>
      </c>
      <c r="G39" t="s">
        <v>19</v>
      </c>
      <c r="H39" t="s">
        <v>22</v>
      </c>
      <c r="I39">
        <v>1</v>
      </c>
      <c r="J39">
        <v>0</v>
      </c>
      <c r="K39">
        <v>0</v>
      </c>
      <c r="L39">
        <v>212</v>
      </c>
      <c r="M39">
        <v>286</v>
      </c>
      <c r="N39">
        <v>0</v>
      </c>
      <c r="O39">
        <v>684</v>
      </c>
    </row>
    <row r="40" spans="1:15" x14ac:dyDescent="0.2">
      <c r="A40" t="s">
        <v>31</v>
      </c>
      <c r="B40" t="s">
        <v>16</v>
      </c>
      <c r="C40" t="s">
        <v>17</v>
      </c>
      <c r="D40" t="s">
        <v>51</v>
      </c>
      <c r="E40" t="s">
        <v>33</v>
      </c>
      <c r="F40">
        <v>3</v>
      </c>
      <c r="G40" t="s">
        <v>19</v>
      </c>
      <c r="H40" t="s">
        <v>23</v>
      </c>
      <c r="I40">
        <v>27</v>
      </c>
      <c r="J40">
        <v>31</v>
      </c>
      <c r="K40">
        <v>0</v>
      </c>
      <c r="L40">
        <v>212</v>
      </c>
      <c r="M40">
        <v>286</v>
      </c>
      <c r="N40">
        <v>0</v>
      </c>
      <c r="O40">
        <v>684</v>
      </c>
    </row>
    <row r="41" spans="1:15" x14ac:dyDescent="0.2">
      <c r="A41" t="s">
        <v>31</v>
      </c>
      <c r="B41" t="s">
        <v>16</v>
      </c>
      <c r="C41" t="s">
        <v>17</v>
      </c>
      <c r="D41" t="s">
        <v>51</v>
      </c>
      <c r="E41" t="s">
        <v>33</v>
      </c>
      <c r="F41">
        <v>3</v>
      </c>
      <c r="G41" t="s">
        <v>19</v>
      </c>
      <c r="H41" t="s">
        <v>24</v>
      </c>
      <c r="I41">
        <v>0</v>
      </c>
      <c r="J41">
        <v>0</v>
      </c>
      <c r="K41">
        <v>0</v>
      </c>
      <c r="L41">
        <v>212</v>
      </c>
      <c r="M41">
        <v>286</v>
      </c>
      <c r="N41">
        <v>0</v>
      </c>
      <c r="O41">
        <v>684</v>
      </c>
    </row>
    <row r="42" spans="1:15" x14ac:dyDescent="0.2">
      <c r="A42" t="s">
        <v>31</v>
      </c>
      <c r="B42" t="s">
        <v>16</v>
      </c>
      <c r="C42" t="s">
        <v>17</v>
      </c>
      <c r="D42" t="s">
        <v>49</v>
      </c>
      <c r="E42" t="s">
        <v>34</v>
      </c>
      <c r="F42">
        <v>3</v>
      </c>
      <c r="G42" t="s">
        <v>19</v>
      </c>
      <c r="H42" t="s">
        <v>20</v>
      </c>
      <c r="I42">
        <v>166</v>
      </c>
      <c r="J42">
        <v>237</v>
      </c>
      <c r="K42">
        <v>0</v>
      </c>
      <c r="L42">
        <v>226</v>
      </c>
      <c r="M42">
        <v>265</v>
      </c>
      <c r="N42">
        <v>0</v>
      </c>
      <c r="O42">
        <v>679</v>
      </c>
    </row>
    <row r="43" spans="1:15" x14ac:dyDescent="0.2">
      <c r="A43" t="s">
        <v>31</v>
      </c>
      <c r="B43" t="s">
        <v>16</v>
      </c>
      <c r="C43" t="s">
        <v>17</v>
      </c>
      <c r="D43" t="s">
        <v>49</v>
      </c>
      <c r="E43" t="s">
        <v>34</v>
      </c>
      <c r="F43">
        <v>3</v>
      </c>
      <c r="G43" t="s">
        <v>19</v>
      </c>
      <c r="H43" t="s">
        <v>21</v>
      </c>
      <c r="I43">
        <v>18</v>
      </c>
      <c r="J43">
        <v>8</v>
      </c>
      <c r="K43">
        <v>0</v>
      </c>
      <c r="L43">
        <v>226</v>
      </c>
      <c r="M43">
        <v>265</v>
      </c>
      <c r="N43">
        <v>0</v>
      </c>
      <c r="O43">
        <v>679</v>
      </c>
    </row>
    <row r="44" spans="1:15" x14ac:dyDescent="0.2">
      <c r="A44" t="s">
        <v>31</v>
      </c>
      <c r="B44" t="s">
        <v>16</v>
      </c>
      <c r="C44" t="s">
        <v>17</v>
      </c>
      <c r="D44" t="s">
        <v>49</v>
      </c>
      <c r="E44" t="s">
        <v>34</v>
      </c>
      <c r="F44">
        <v>3</v>
      </c>
      <c r="G44" t="s">
        <v>19</v>
      </c>
      <c r="H44" t="s">
        <v>22</v>
      </c>
      <c r="I44">
        <v>4</v>
      </c>
      <c r="J44">
        <v>0</v>
      </c>
      <c r="K44">
        <v>0</v>
      </c>
      <c r="L44">
        <v>226</v>
      </c>
      <c r="M44">
        <v>265</v>
      </c>
      <c r="N44">
        <v>0</v>
      </c>
      <c r="O44">
        <v>679</v>
      </c>
    </row>
    <row r="45" spans="1:15" x14ac:dyDescent="0.2">
      <c r="A45" t="s">
        <v>31</v>
      </c>
      <c r="B45" t="s">
        <v>16</v>
      </c>
      <c r="C45" t="s">
        <v>17</v>
      </c>
      <c r="D45" t="s">
        <v>49</v>
      </c>
      <c r="E45" t="s">
        <v>34</v>
      </c>
      <c r="F45">
        <v>3</v>
      </c>
      <c r="G45" t="s">
        <v>19</v>
      </c>
      <c r="H45" t="s">
        <v>23</v>
      </c>
      <c r="I45">
        <v>38</v>
      </c>
      <c r="J45">
        <v>20</v>
      </c>
      <c r="K45">
        <v>0</v>
      </c>
      <c r="L45">
        <v>226</v>
      </c>
      <c r="M45">
        <v>265</v>
      </c>
      <c r="N45">
        <v>0</v>
      </c>
      <c r="O45">
        <v>679</v>
      </c>
    </row>
    <row r="46" spans="1:15" x14ac:dyDescent="0.2">
      <c r="A46" t="s">
        <v>31</v>
      </c>
      <c r="B46" t="s">
        <v>16</v>
      </c>
      <c r="C46" t="s">
        <v>17</v>
      </c>
      <c r="D46" t="s">
        <v>49</v>
      </c>
      <c r="E46" t="s">
        <v>34</v>
      </c>
      <c r="F46">
        <v>3</v>
      </c>
      <c r="G46" t="s">
        <v>19</v>
      </c>
      <c r="H46" t="s">
        <v>24</v>
      </c>
      <c r="I46">
        <v>0</v>
      </c>
      <c r="J46">
        <v>0</v>
      </c>
      <c r="K46">
        <v>0</v>
      </c>
      <c r="L46">
        <v>226</v>
      </c>
      <c r="M46">
        <v>265</v>
      </c>
      <c r="N46">
        <v>0</v>
      </c>
      <c r="O46">
        <v>679</v>
      </c>
    </row>
    <row r="47" spans="1:15" x14ac:dyDescent="0.2">
      <c r="A47" t="s">
        <v>35</v>
      </c>
      <c r="B47" t="s">
        <v>16</v>
      </c>
      <c r="C47" t="s">
        <v>17</v>
      </c>
      <c r="D47" t="s">
        <v>52</v>
      </c>
      <c r="E47" t="s">
        <v>68</v>
      </c>
      <c r="F47">
        <v>3</v>
      </c>
      <c r="G47" t="s">
        <v>19</v>
      </c>
      <c r="H47" t="s">
        <v>20</v>
      </c>
      <c r="I47">
        <v>80</v>
      </c>
      <c r="J47">
        <v>48</v>
      </c>
      <c r="K47">
        <v>0</v>
      </c>
      <c r="L47">
        <v>81</v>
      </c>
      <c r="M47">
        <v>49</v>
      </c>
      <c r="N47">
        <v>0</v>
      </c>
      <c r="O47">
        <v>196</v>
      </c>
    </row>
    <row r="48" spans="1:15" x14ac:dyDescent="0.2">
      <c r="A48" t="s">
        <v>35</v>
      </c>
      <c r="B48" t="s">
        <v>16</v>
      </c>
      <c r="C48" t="s">
        <v>17</v>
      </c>
      <c r="D48" t="s">
        <v>52</v>
      </c>
      <c r="E48" t="s">
        <v>68</v>
      </c>
      <c r="F48">
        <v>3</v>
      </c>
      <c r="G48" t="s">
        <v>19</v>
      </c>
      <c r="H48" t="s">
        <v>21</v>
      </c>
      <c r="I48">
        <v>1</v>
      </c>
      <c r="J48">
        <v>0</v>
      </c>
      <c r="K48">
        <v>0</v>
      </c>
      <c r="L48">
        <v>81</v>
      </c>
      <c r="M48">
        <v>49</v>
      </c>
      <c r="N48">
        <v>0</v>
      </c>
      <c r="O48">
        <v>196</v>
      </c>
    </row>
    <row r="49" spans="1:15" x14ac:dyDescent="0.2">
      <c r="A49" t="s">
        <v>35</v>
      </c>
      <c r="B49" t="s">
        <v>16</v>
      </c>
      <c r="C49" t="s">
        <v>17</v>
      </c>
      <c r="D49" t="s">
        <v>52</v>
      </c>
      <c r="E49" t="s">
        <v>68</v>
      </c>
      <c r="F49">
        <v>3</v>
      </c>
      <c r="G49" t="s">
        <v>19</v>
      </c>
      <c r="H49" t="s">
        <v>22</v>
      </c>
      <c r="I49">
        <v>0</v>
      </c>
      <c r="J49">
        <v>0</v>
      </c>
      <c r="K49">
        <v>0</v>
      </c>
      <c r="L49">
        <v>81</v>
      </c>
      <c r="M49">
        <v>49</v>
      </c>
      <c r="N49">
        <v>0</v>
      </c>
      <c r="O49">
        <v>196</v>
      </c>
    </row>
    <row r="50" spans="1:15" x14ac:dyDescent="0.2">
      <c r="A50" t="s">
        <v>35</v>
      </c>
      <c r="B50" t="s">
        <v>16</v>
      </c>
      <c r="C50" t="s">
        <v>17</v>
      </c>
      <c r="D50" t="s">
        <v>52</v>
      </c>
      <c r="E50" t="s">
        <v>68</v>
      </c>
      <c r="F50">
        <v>3</v>
      </c>
      <c r="G50" t="s">
        <v>19</v>
      </c>
      <c r="H50" t="s">
        <v>23</v>
      </c>
      <c r="I50">
        <v>0</v>
      </c>
      <c r="J50">
        <v>1</v>
      </c>
      <c r="K50">
        <v>0</v>
      </c>
      <c r="L50">
        <v>81</v>
      </c>
      <c r="M50">
        <v>49</v>
      </c>
      <c r="N50">
        <v>0</v>
      </c>
      <c r="O50">
        <v>196</v>
      </c>
    </row>
    <row r="51" spans="1:15" x14ac:dyDescent="0.2">
      <c r="A51" t="s">
        <v>35</v>
      </c>
      <c r="B51" t="s">
        <v>16</v>
      </c>
      <c r="C51" t="s">
        <v>17</v>
      </c>
      <c r="D51" t="s">
        <v>52</v>
      </c>
      <c r="E51" t="s">
        <v>68</v>
      </c>
      <c r="F51">
        <v>3</v>
      </c>
      <c r="G51" t="s">
        <v>19</v>
      </c>
      <c r="H51" t="s">
        <v>24</v>
      </c>
      <c r="I51">
        <v>0</v>
      </c>
      <c r="J51">
        <v>0</v>
      </c>
      <c r="K51">
        <v>0</v>
      </c>
      <c r="L51">
        <v>81</v>
      </c>
      <c r="M51">
        <v>49</v>
      </c>
      <c r="N51">
        <v>0</v>
      </c>
      <c r="O51">
        <v>196</v>
      </c>
    </row>
    <row r="52" spans="1:15" x14ac:dyDescent="0.2">
      <c r="A52" t="s">
        <v>35</v>
      </c>
      <c r="B52" t="s">
        <v>16</v>
      </c>
      <c r="C52" t="s">
        <v>17</v>
      </c>
      <c r="D52" t="s">
        <v>51</v>
      </c>
      <c r="E52" t="s">
        <v>69</v>
      </c>
      <c r="F52">
        <v>3</v>
      </c>
      <c r="G52" t="s">
        <v>19</v>
      </c>
      <c r="H52" t="s">
        <v>20</v>
      </c>
      <c r="I52">
        <v>79</v>
      </c>
      <c r="J52">
        <v>30</v>
      </c>
      <c r="K52">
        <v>0</v>
      </c>
      <c r="L52">
        <v>83</v>
      </c>
      <c r="M52">
        <v>37</v>
      </c>
      <c r="N52">
        <v>0</v>
      </c>
      <c r="O52">
        <v>197</v>
      </c>
    </row>
    <row r="53" spans="1:15" x14ac:dyDescent="0.2">
      <c r="A53" t="s">
        <v>35</v>
      </c>
      <c r="B53" t="s">
        <v>16</v>
      </c>
      <c r="C53" t="s">
        <v>17</v>
      </c>
      <c r="D53" t="s">
        <v>51</v>
      </c>
      <c r="E53" t="s">
        <v>69</v>
      </c>
      <c r="F53">
        <v>3</v>
      </c>
      <c r="G53" t="s">
        <v>19</v>
      </c>
      <c r="H53" t="s">
        <v>21</v>
      </c>
      <c r="I53">
        <v>3</v>
      </c>
      <c r="J53">
        <v>0</v>
      </c>
      <c r="K53">
        <v>0</v>
      </c>
      <c r="L53">
        <v>83</v>
      </c>
      <c r="M53">
        <v>37</v>
      </c>
      <c r="N53">
        <v>0</v>
      </c>
      <c r="O53">
        <v>197</v>
      </c>
    </row>
    <row r="54" spans="1:15" x14ac:dyDescent="0.2">
      <c r="A54" t="s">
        <v>35</v>
      </c>
      <c r="B54" t="s">
        <v>16</v>
      </c>
      <c r="C54" t="s">
        <v>17</v>
      </c>
      <c r="D54" t="s">
        <v>51</v>
      </c>
      <c r="E54" t="s">
        <v>69</v>
      </c>
      <c r="F54">
        <v>3</v>
      </c>
      <c r="G54" t="s">
        <v>19</v>
      </c>
      <c r="H54" t="s">
        <v>22</v>
      </c>
      <c r="I54">
        <v>1</v>
      </c>
      <c r="J54">
        <v>1</v>
      </c>
      <c r="K54">
        <v>0</v>
      </c>
      <c r="L54">
        <v>83</v>
      </c>
      <c r="M54">
        <v>37</v>
      </c>
      <c r="N54">
        <v>0</v>
      </c>
      <c r="O54">
        <v>197</v>
      </c>
    </row>
    <row r="55" spans="1:15" x14ac:dyDescent="0.2">
      <c r="A55" t="s">
        <v>35</v>
      </c>
      <c r="B55" t="s">
        <v>16</v>
      </c>
      <c r="C55" t="s">
        <v>17</v>
      </c>
      <c r="D55" t="s">
        <v>51</v>
      </c>
      <c r="E55" t="s">
        <v>69</v>
      </c>
      <c r="F55">
        <v>3</v>
      </c>
      <c r="G55" t="s">
        <v>19</v>
      </c>
      <c r="H55" t="s">
        <v>23</v>
      </c>
      <c r="I55">
        <v>0</v>
      </c>
      <c r="J55">
        <v>6</v>
      </c>
      <c r="K55">
        <v>0</v>
      </c>
      <c r="L55">
        <v>83</v>
      </c>
      <c r="M55">
        <v>37</v>
      </c>
      <c r="N55">
        <v>0</v>
      </c>
      <c r="O55">
        <v>197</v>
      </c>
    </row>
    <row r="56" spans="1:15" x14ac:dyDescent="0.2">
      <c r="A56" t="s">
        <v>35</v>
      </c>
      <c r="B56" t="s">
        <v>16</v>
      </c>
      <c r="C56" t="s">
        <v>17</v>
      </c>
      <c r="D56" t="s">
        <v>51</v>
      </c>
      <c r="E56" t="s">
        <v>69</v>
      </c>
      <c r="F56">
        <v>3</v>
      </c>
      <c r="G56" t="s">
        <v>19</v>
      </c>
      <c r="H56" t="s">
        <v>24</v>
      </c>
      <c r="I56">
        <v>0</v>
      </c>
      <c r="J56">
        <v>0</v>
      </c>
      <c r="K56">
        <v>0</v>
      </c>
      <c r="L56">
        <v>83</v>
      </c>
      <c r="M56">
        <v>37</v>
      </c>
      <c r="N56">
        <v>0</v>
      </c>
      <c r="O56">
        <v>197</v>
      </c>
    </row>
    <row r="57" spans="1:15" x14ac:dyDescent="0.2">
      <c r="A57" t="s">
        <v>35</v>
      </c>
      <c r="B57" t="s">
        <v>16</v>
      </c>
      <c r="C57" t="s">
        <v>17</v>
      </c>
      <c r="D57" t="s">
        <v>49</v>
      </c>
      <c r="E57" t="s">
        <v>70</v>
      </c>
      <c r="F57">
        <v>3</v>
      </c>
      <c r="G57" t="s">
        <v>19</v>
      </c>
      <c r="H57" t="s">
        <v>20</v>
      </c>
      <c r="I57">
        <v>54</v>
      </c>
      <c r="J57">
        <v>32</v>
      </c>
      <c r="K57">
        <v>0</v>
      </c>
      <c r="L57">
        <v>61</v>
      </c>
      <c r="M57">
        <v>70</v>
      </c>
      <c r="N57">
        <v>0</v>
      </c>
      <c r="O57">
        <v>196</v>
      </c>
    </row>
    <row r="58" spans="1:15" x14ac:dyDescent="0.2">
      <c r="A58" t="s">
        <v>35</v>
      </c>
      <c r="B58" t="s">
        <v>16</v>
      </c>
      <c r="C58" t="s">
        <v>17</v>
      </c>
      <c r="D58" t="s">
        <v>49</v>
      </c>
      <c r="E58" t="s">
        <v>70</v>
      </c>
      <c r="F58">
        <v>3</v>
      </c>
      <c r="G58" t="s">
        <v>19</v>
      </c>
      <c r="H58" t="s">
        <v>21</v>
      </c>
      <c r="I58">
        <v>7</v>
      </c>
      <c r="J58">
        <v>2</v>
      </c>
      <c r="K58">
        <v>0</v>
      </c>
      <c r="L58">
        <v>61</v>
      </c>
      <c r="M58">
        <v>70</v>
      </c>
      <c r="N58">
        <v>0</v>
      </c>
      <c r="O58">
        <v>196</v>
      </c>
    </row>
    <row r="59" spans="1:15" x14ac:dyDescent="0.2">
      <c r="A59" t="s">
        <v>35</v>
      </c>
      <c r="B59" t="s">
        <v>16</v>
      </c>
      <c r="C59" t="s">
        <v>17</v>
      </c>
      <c r="D59" t="s">
        <v>49</v>
      </c>
      <c r="E59" t="s">
        <v>70</v>
      </c>
      <c r="F59">
        <v>3</v>
      </c>
      <c r="G59" t="s">
        <v>19</v>
      </c>
      <c r="H59" t="s">
        <v>22</v>
      </c>
      <c r="I59">
        <v>0</v>
      </c>
      <c r="J59">
        <v>0</v>
      </c>
      <c r="K59">
        <v>0</v>
      </c>
      <c r="L59">
        <v>61</v>
      </c>
      <c r="M59">
        <v>70</v>
      </c>
      <c r="N59">
        <v>0</v>
      </c>
      <c r="O59">
        <v>196</v>
      </c>
    </row>
    <row r="60" spans="1:15" x14ac:dyDescent="0.2">
      <c r="A60" t="s">
        <v>35</v>
      </c>
      <c r="B60" t="s">
        <v>16</v>
      </c>
      <c r="C60" t="s">
        <v>17</v>
      </c>
      <c r="D60" t="s">
        <v>49</v>
      </c>
      <c r="E60" t="s">
        <v>70</v>
      </c>
      <c r="F60">
        <v>3</v>
      </c>
      <c r="G60" t="s">
        <v>19</v>
      </c>
      <c r="H60" t="s">
        <v>23</v>
      </c>
      <c r="I60">
        <v>0</v>
      </c>
      <c r="J60">
        <v>36</v>
      </c>
      <c r="K60">
        <v>0</v>
      </c>
      <c r="L60">
        <v>61</v>
      </c>
      <c r="M60">
        <v>70</v>
      </c>
      <c r="N60">
        <v>0</v>
      </c>
      <c r="O60">
        <v>196</v>
      </c>
    </row>
    <row r="61" spans="1:15" x14ac:dyDescent="0.2">
      <c r="A61" t="s">
        <v>35</v>
      </c>
      <c r="B61" t="s">
        <v>16</v>
      </c>
      <c r="C61" t="s">
        <v>17</v>
      </c>
      <c r="D61" t="s">
        <v>49</v>
      </c>
      <c r="E61" t="s">
        <v>70</v>
      </c>
      <c r="F61">
        <v>3</v>
      </c>
      <c r="G61" t="s">
        <v>19</v>
      </c>
      <c r="H61" t="s">
        <v>24</v>
      </c>
      <c r="I61">
        <v>0</v>
      </c>
      <c r="J61">
        <v>0</v>
      </c>
      <c r="K61">
        <v>0</v>
      </c>
      <c r="L61">
        <v>61</v>
      </c>
      <c r="M61">
        <v>70</v>
      </c>
      <c r="N61">
        <v>0</v>
      </c>
      <c r="O61">
        <v>196</v>
      </c>
    </row>
    <row r="62" spans="1:15" x14ac:dyDescent="0.2">
      <c r="A62" t="s">
        <v>36</v>
      </c>
      <c r="B62" t="s">
        <v>37</v>
      </c>
      <c r="C62" t="s">
        <v>17</v>
      </c>
      <c r="D62" t="s">
        <v>52</v>
      </c>
      <c r="E62" t="s">
        <v>18</v>
      </c>
      <c r="F62">
        <v>3</v>
      </c>
      <c r="G62" t="s">
        <v>19</v>
      </c>
      <c r="H62" t="s">
        <v>20</v>
      </c>
      <c r="I62">
        <v>668</v>
      </c>
      <c r="J62">
        <v>43</v>
      </c>
      <c r="K62">
        <v>0</v>
      </c>
      <c r="L62">
        <v>879</v>
      </c>
      <c r="M62">
        <v>79</v>
      </c>
      <c r="N62">
        <v>0</v>
      </c>
      <c r="O62">
        <v>995</v>
      </c>
    </row>
    <row r="63" spans="1:15" x14ac:dyDescent="0.2">
      <c r="A63" t="s">
        <v>36</v>
      </c>
      <c r="B63" t="s">
        <v>37</v>
      </c>
      <c r="C63" t="s">
        <v>17</v>
      </c>
      <c r="D63" t="s">
        <v>52</v>
      </c>
      <c r="E63" t="s">
        <v>18</v>
      </c>
      <c r="F63">
        <v>3</v>
      </c>
      <c r="G63" t="s">
        <v>19</v>
      </c>
      <c r="H63" t="s">
        <v>21</v>
      </c>
      <c r="I63">
        <v>104</v>
      </c>
      <c r="J63">
        <v>12</v>
      </c>
      <c r="K63">
        <v>0</v>
      </c>
      <c r="L63">
        <v>879</v>
      </c>
      <c r="M63">
        <v>79</v>
      </c>
      <c r="N63">
        <v>0</v>
      </c>
      <c r="O63">
        <v>995</v>
      </c>
    </row>
    <row r="64" spans="1:15" x14ac:dyDescent="0.2">
      <c r="A64" t="s">
        <v>36</v>
      </c>
      <c r="B64" t="s">
        <v>37</v>
      </c>
      <c r="C64" t="s">
        <v>17</v>
      </c>
      <c r="D64" t="s">
        <v>52</v>
      </c>
      <c r="E64" t="s">
        <v>18</v>
      </c>
      <c r="F64">
        <v>3</v>
      </c>
      <c r="G64" t="s">
        <v>19</v>
      </c>
      <c r="H64" t="s">
        <v>22</v>
      </c>
      <c r="I64">
        <v>33</v>
      </c>
      <c r="J64">
        <v>7</v>
      </c>
      <c r="K64">
        <v>0</v>
      </c>
      <c r="L64">
        <v>879</v>
      </c>
      <c r="M64">
        <v>79</v>
      </c>
      <c r="N64">
        <v>0</v>
      </c>
      <c r="O64">
        <v>995</v>
      </c>
    </row>
    <row r="65" spans="1:15" x14ac:dyDescent="0.2">
      <c r="A65" t="s">
        <v>36</v>
      </c>
      <c r="B65" t="s">
        <v>37</v>
      </c>
      <c r="C65" t="s">
        <v>17</v>
      </c>
      <c r="D65" t="s">
        <v>52</v>
      </c>
      <c r="E65" t="s">
        <v>18</v>
      </c>
      <c r="F65">
        <v>3</v>
      </c>
      <c r="G65" t="s">
        <v>19</v>
      </c>
      <c r="H65" t="s">
        <v>23</v>
      </c>
      <c r="I65">
        <v>74</v>
      </c>
      <c r="J65">
        <v>17</v>
      </c>
      <c r="K65">
        <v>0</v>
      </c>
      <c r="L65">
        <v>879</v>
      </c>
      <c r="M65">
        <v>79</v>
      </c>
      <c r="N65">
        <v>0</v>
      </c>
      <c r="O65">
        <v>995</v>
      </c>
    </row>
    <row r="66" spans="1:15" x14ac:dyDescent="0.2">
      <c r="A66" t="s">
        <v>36</v>
      </c>
      <c r="B66" t="s">
        <v>37</v>
      </c>
      <c r="C66" t="s">
        <v>17</v>
      </c>
      <c r="D66" t="s">
        <v>52</v>
      </c>
      <c r="E66" t="s">
        <v>18</v>
      </c>
      <c r="F66">
        <v>3</v>
      </c>
      <c r="G66" t="s">
        <v>19</v>
      </c>
      <c r="H66" t="s">
        <v>24</v>
      </c>
      <c r="I66">
        <v>0</v>
      </c>
      <c r="J66">
        <v>0</v>
      </c>
      <c r="K66">
        <v>0</v>
      </c>
      <c r="L66">
        <v>879</v>
      </c>
      <c r="M66">
        <v>79</v>
      </c>
      <c r="N66">
        <v>0</v>
      </c>
      <c r="O66">
        <v>995</v>
      </c>
    </row>
    <row r="67" spans="1:15" x14ac:dyDescent="0.2">
      <c r="A67" t="s">
        <v>36</v>
      </c>
      <c r="B67" t="s">
        <v>37</v>
      </c>
      <c r="C67" t="s">
        <v>17</v>
      </c>
      <c r="D67" t="s">
        <v>51</v>
      </c>
      <c r="E67" t="s">
        <v>25</v>
      </c>
      <c r="F67">
        <v>3</v>
      </c>
      <c r="G67" t="s">
        <v>19</v>
      </c>
      <c r="H67" t="s">
        <v>20</v>
      </c>
      <c r="I67">
        <v>666</v>
      </c>
      <c r="J67">
        <v>44</v>
      </c>
      <c r="K67">
        <v>0</v>
      </c>
      <c r="L67">
        <v>901</v>
      </c>
      <c r="M67">
        <v>77</v>
      </c>
      <c r="N67">
        <v>0</v>
      </c>
      <c r="O67">
        <v>998</v>
      </c>
    </row>
    <row r="68" spans="1:15" x14ac:dyDescent="0.2">
      <c r="A68" t="s">
        <v>36</v>
      </c>
      <c r="B68" t="s">
        <v>37</v>
      </c>
      <c r="C68" t="s">
        <v>17</v>
      </c>
      <c r="D68" t="s">
        <v>51</v>
      </c>
      <c r="E68" t="s">
        <v>25</v>
      </c>
      <c r="F68">
        <v>3</v>
      </c>
      <c r="G68" t="s">
        <v>19</v>
      </c>
      <c r="H68" t="s">
        <v>21</v>
      </c>
      <c r="I68">
        <v>127</v>
      </c>
      <c r="J68">
        <v>11</v>
      </c>
      <c r="K68">
        <v>0</v>
      </c>
      <c r="L68">
        <v>901</v>
      </c>
      <c r="M68">
        <v>77</v>
      </c>
      <c r="N68">
        <v>0</v>
      </c>
      <c r="O68">
        <v>998</v>
      </c>
    </row>
    <row r="69" spans="1:15" x14ac:dyDescent="0.2">
      <c r="A69" t="s">
        <v>36</v>
      </c>
      <c r="B69" t="s">
        <v>37</v>
      </c>
      <c r="C69" t="s">
        <v>17</v>
      </c>
      <c r="D69" t="s">
        <v>51</v>
      </c>
      <c r="E69" t="s">
        <v>25</v>
      </c>
      <c r="F69">
        <v>3</v>
      </c>
      <c r="G69" t="s">
        <v>19</v>
      </c>
      <c r="H69" t="s">
        <v>22</v>
      </c>
      <c r="I69">
        <v>22</v>
      </c>
      <c r="J69">
        <v>7</v>
      </c>
      <c r="K69">
        <v>0</v>
      </c>
      <c r="L69">
        <v>901</v>
      </c>
      <c r="M69">
        <v>77</v>
      </c>
      <c r="N69">
        <v>0</v>
      </c>
      <c r="O69">
        <v>998</v>
      </c>
    </row>
    <row r="70" spans="1:15" x14ac:dyDescent="0.2">
      <c r="A70" t="s">
        <v>36</v>
      </c>
      <c r="B70" t="s">
        <v>37</v>
      </c>
      <c r="C70" t="s">
        <v>17</v>
      </c>
      <c r="D70" t="s">
        <v>51</v>
      </c>
      <c r="E70" t="s">
        <v>25</v>
      </c>
      <c r="F70">
        <v>3</v>
      </c>
      <c r="G70" t="s">
        <v>19</v>
      </c>
      <c r="H70" t="s">
        <v>23</v>
      </c>
      <c r="I70">
        <v>86</v>
      </c>
      <c r="J70">
        <v>15</v>
      </c>
      <c r="K70">
        <v>0</v>
      </c>
      <c r="L70">
        <v>901</v>
      </c>
      <c r="M70">
        <v>77</v>
      </c>
      <c r="N70">
        <v>0</v>
      </c>
      <c r="O70">
        <v>998</v>
      </c>
    </row>
    <row r="71" spans="1:15" x14ac:dyDescent="0.2">
      <c r="A71" t="s">
        <v>36</v>
      </c>
      <c r="B71" t="s">
        <v>37</v>
      </c>
      <c r="C71" t="s">
        <v>17</v>
      </c>
      <c r="D71" t="s">
        <v>51</v>
      </c>
      <c r="E71" t="s">
        <v>25</v>
      </c>
      <c r="F71">
        <v>3</v>
      </c>
      <c r="G71" t="s">
        <v>19</v>
      </c>
      <c r="H71" t="s">
        <v>24</v>
      </c>
      <c r="I71">
        <v>0</v>
      </c>
      <c r="J71">
        <v>0</v>
      </c>
      <c r="K71">
        <v>0</v>
      </c>
      <c r="L71">
        <v>901</v>
      </c>
      <c r="M71">
        <v>77</v>
      </c>
      <c r="N71">
        <v>0</v>
      </c>
      <c r="O71">
        <v>998</v>
      </c>
    </row>
    <row r="72" spans="1:15" x14ac:dyDescent="0.2">
      <c r="A72" t="s">
        <v>36</v>
      </c>
      <c r="B72" t="s">
        <v>37</v>
      </c>
      <c r="C72" t="s">
        <v>17</v>
      </c>
      <c r="D72" t="s">
        <v>49</v>
      </c>
      <c r="E72" t="s">
        <v>26</v>
      </c>
      <c r="F72">
        <v>3</v>
      </c>
      <c r="G72" t="s">
        <v>19</v>
      </c>
      <c r="H72" t="s">
        <v>20</v>
      </c>
      <c r="I72">
        <v>563</v>
      </c>
      <c r="J72">
        <v>43</v>
      </c>
      <c r="K72">
        <v>0</v>
      </c>
      <c r="L72">
        <v>806</v>
      </c>
      <c r="M72">
        <v>84</v>
      </c>
      <c r="N72">
        <v>0</v>
      </c>
      <c r="O72">
        <v>998</v>
      </c>
    </row>
    <row r="73" spans="1:15" x14ac:dyDescent="0.2">
      <c r="A73" t="s">
        <v>36</v>
      </c>
      <c r="B73" t="s">
        <v>37</v>
      </c>
      <c r="C73" t="s">
        <v>17</v>
      </c>
      <c r="D73" t="s">
        <v>49</v>
      </c>
      <c r="E73" t="s">
        <v>26</v>
      </c>
      <c r="F73">
        <v>3</v>
      </c>
      <c r="G73" t="s">
        <v>19</v>
      </c>
      <c r="H73" t="s">
        <v>21</v>
      </c>
      <c r="I73">
        <v>115</v>
      </c>
      <c r="J73">
        <v>11</v>
      </c>
      <c r="K73">
        <v>0</v>
      </c>
      <c r="L73">
        <v>806</v>
      </c>
      <c r="M73">
        <v>84</v>
      </c>
      <c r="N73">
        <v>0</v>
      </c>
      <c r="O73">
        <v>998</v>
      </c>
    </row>
    <row r="74" spans="1:15" x14ac:dyDescent="0.2">
      <c r="A74" t="s">
        <v>36</v>
      </c>
      <c r="B74" t="s">
        <v>37</v>
      </c>
      <c r="C74" t="s">
        <v>17</v>
      </c>
      <c r="D74" t="s">
        <v>49</v>
      </c>
      <c r="E74" t="s">
        <v>26</v>
      </c>
      <c r="F74">
        <v>3</v>
      </c>
      <c r="G74" t="s">
        <v>19</v>
      </c>
      <c r="H74" t="s">
        <v>22</v>
      </c>
      <c r="I74">
        <v>38</v>
      </c>
      <c r="J74">
        <v>5</v>
      </c>
      <c r="K74">
        <v>0</v>
      </c>
      <c r="L74">
        <v>806</v>
      </c>
      <c r="M74">
        <v>84</v>
      </c>
      <c r="N74">
        <v>0</v>
      </c>
      <c r="O74">
        <v>998</v>
      </c>
    </row>
    <row r="75" spans="1:15" x14ac:dyDescent="0.2">
      <c r="A75" t="s">
        <v>36</v>
      </c>
      <c r="B75" t="s">
        <v>37</v>
      </c>
      <c r="C75" t="s">
        <v>17</v>
      </c>
      <c r="D75" t="s">
        <v>49</v>
      </c>
      <c r="E75" t="s">
        <v>26</v>
      </c>
      <c r="F75">
        <v>3</v>
      </c>
      <c r="G75" t="s">
        <v>19</v>
      </c>
      <c r="H75" t="s">
        <v>23</v>
      </c>
      <c r="I75">
        <v>90</v>
      </c>
      <c r="J75">
        <v>25</v>
      </c>
      <c r="K75">
        <v>0</v>
      </c>
      <c r="L75">
        <v>806</v>
      </c>
      <c r="M75">
        <v>84</v>
      </c>
      <c r="N75">
        <v>0</v>
      </c>
      <c r="O75">
        <v>998</v>
      </c>
    </row>
    <row r="76" spans="1:15" x14ac:dyDescent="0.2">
      <c r="A76" t="s">
        <v>36</v>
      </c>
      <c r="B76" t="s">
        <v>37</v>
      </c>
      <c r="C76" t="s">
        <v>17</v>
      </c>
      <c r="D76" t="s">
        <v>49</v>
      </c>
      <c r="E76" t="s">
        <v>26</v>
      </c>
      <c r="F76">
        <v>3</v>
      </c>
      <c r="G76" t="s">
        <v>19</v>
      </c>
      <c r="H76" t="s">
        <v>24</v>
      </c>
      <c r="I76">
        <v>0</v>
      </c>
      <c r="J76">
        <v>0</v>
      </c>
      <c r="K76">
        <v>0</v>
      </c>
      <c r="L76">
        <v>806</v>
      </c>
      <c r="M76">
        <v>84</v>
      </c>
      <c r="N76">
        <v>0</v>
      </c>
      <c r="O76">
        <v>998</v>
      </c>
    </row>
    <row r="77" spans="1:15" x14ac:dyDescent="0.2">
      <c r="A77" t="s">
        <v>38</v>
      </c>
      <c r="B77" t="s">
        <v>37</v>
      </c>
      <c r="C77" t="s">
        <v>17</v>
      </c>
      <c r="D77" t="s">
        <v>52</v>
      </c>
      <c r="E77" t="s">
        <v>28</v>
      </c>
      <c r="F77">
        <v>3</v>
      </c>
      <c r="G77" t="s">
        <v>19</v>
      </c>
      <c r="H77" t="s">
        <v>20</v>
      </c>
      <c r="I77">
        <v>40</v>
      </c>
      <c r="J77">
        <v>16</v>
      </c>
      <c r="K77">
        <v>0</v>
      </c>
      <c r="L77">
        <v>60</v>
      </c>
      <c r="M77">
        <v>19</v>
      </c>
      <c r="N77">
        <v>0</v>
      </c>
      <c r="O77">
        <v>994</v>
      </c>
    </row>
    <row r="78" spans="1:15" x14ac:dyDescent="0.2">
      <c r="A78" t="s">
        <v>38</v>
      </c>
      <c r="B78" t="s">
        <v>37</v>
      </c>
      <c r="C78" t="s">
        <v>17</v>
      </c>
      <c r="D78" t="s">
        <v>52</v>
      </c>
      <c r="E78" t="s">
        <v>28</v>
      </c>
      <c r="F78">
        <v>3</v>
      </c>
      <c r="G78" t="s">
        <v>19</v>
      </c>
      <c r="H78" t="s">
        <v>21</v>
      </c>
      <c r="I78">
        <v>8</v>
      </c>
      <c r="J78">
        <v>1</v>
      </c>
      <c r="K78">
        <v>0</v>
      </c>
      <c r="L78">
        <v>60</v>
      </c>
      <c r="M78">
        <v>19</v>
      </c>
      <c r="N78">
        <v>0</v>
      </c>
      <c r="O78">
        <v>994</v>
      </c>
    </row>
    <row r="79" spans="1:15" x14ac:dyDescent="0.2">
      <c r="A79" t="s">
        <v>38</v>
      </c>
      <c r="B79" t="s">
        <v>37</v>
      </c>
      <c r="C79" t="s">
        <v>17</v>
      </c>
      <c r="D79" t="s">
        <v>52</v>
      </c>
      <c r="E79" t="s">
        <v>28</v>
      </c>
      <c r="F79">
        <v>3</v>
      </c>
      <c r="G79" t="s">
        <v>19</v>
      </c>
      <c r="H79" t="s">
        <v>22</v>
      </c>
      <c r="I79">
        <v>5</v>
      </c>
      <c r="J79">
        <v>1</v>
      </c>
      <c r="K79">
        <v>0</v>
      </c>
      <c r="L79">
        <v>60</v>
      </c>
      <c r="M79">
        <v>19</v>
      </c>
      <c r="N79">
        <v>0</v>
      </c>
      <c r="O79">
        <v>994</v>
      </c>
    </row>
    <row r="80" spans="1:15" x14ac:dyDescent="0.2">
      <c r="A80" t="s">
        <v>38</v>
      </c>
      <c r="B80" t="s">
        <v>37</v>
      </c>
      <c r="C80" t="s">
        <v>17</v>
      </c>
      <c r="D80" t="s">
        <v>52</v>
      </c>
      <c r="E80" t="s">
        <v>28</v>
      </c>
      <c r="F80">
        <v>3</v>
      </c>
      <c r="G80" t="s">
        <v>19</v>
      </c>
      <c r="H80" t="s">
        <v>23</v>
      </c>
      <c r="I80">
        <v>7</v>
      </c>
      <c r="J80">
        <v>1</v>
      </c>
      <c r="K80">
        <v>0</v>
      </c>
      <c r="L80">
        <v>60</v>
      </c>
      <c r="M80">
        <v>19</v>
      </c>
      <c r="N80">
        <v>0</v>
      </c>
      <c r="O80">
        <v>994</v>
      </c>
    </row>
    <row r="81" spans="1:15" x14ac:dyDescent="0.2">
      <c r="A81" t="s">
        <v>38</v>
      </c>
      <c r="B81" t="s">
        <v>37</v>
      </c>
      <c r="C81" t="s">
        <v>17</v>
      </c>
      <c r="D81" t="s">
        <v>52</v>
      </c>
      <c r="E81" t="s">
        <v>28</v>
      </c>
      <c r="F81">
        <v>3</v>
      </c>
      <c r="G81" t="s">
        <v>19</v>
      </c>
      <c r="H81" t="s">
        <v>24</v>
      </c>
      <c r="I81">
        <v>0</v>
      </c>
      <c r="J81">
        <v>0</v>
      </c>
      <c r="K81">
        <v>0</v>
      </c>
      <c r="L81">
        <v>60</v>
      </c>
      <c r="M81">
        <v>19</v>
      </c>
      <c r="N81">
        <v>0</v>
      </c>
      <c r="O81">
        <v>994</v>
      </c>
    </row>
    <row r="82" spans="1:15" x14ac:dyDescent="0.2">
      <c r="A82" t="s">
        <v>38</v>
      </c>
      <c r="B82" t="s">
        <v>37</v>
      </c>
      <c r="C82" t="s">
        <v>17</v>
      </c>
      <c r="D82" t="s">
        <v>51</v>
      </c>
      <c r="E82" t="s">
        <v>29</v>
      </c>
      <c r="F82">
        <v>3</v>
      </c>
      <c r="G82" t="s">
        <v>19</v>
      </c>
      <c r="H82" t="s">
        <v>20</v>
      </c>
      <c r="I82">
        <v>38</v>
      </c>
      <c r="J82">
        <v>15</v>
      </c>
      <c r="K82">
        <v>0</v>
      </c>
      <c r="L82">
        <v>48</v>
      </c>
      <c r="M82">
        <v>23</v>
      </c>
      <c r="N82">
        <v>0</v>
      </c>
      <c r="O82">
        <v>997</v>
      </c>
    </row>
    <row r="83" spans="1:15" x14ac:dyDescent="0.2">
      <c r="A83" t="s">
        <v>38</v>
      </c>
      <c r="B83" t="s">
        <v>37</v>
      </c>
      <c r="C83" t="s">
        <v>17</v>
      </c>
      <c r="D83" t="s">
        <v>51</v>
      </c>
      <c r="E83" t="s">
        <v>29</v>
      </c>
      <c r="F83">
        <v>3</v>
      </c>
      <c r="G83" t="s">
        <v>19</v>
      </c>
      <c r="H83" t="s">
        <v>21</v>
      </c>
      <c r="I83">
        <v>7</v>
      </c>
      <c r="J83">
        <v>4</v>
      </c>
      <c r="K83">
        <v>0</v>
      </c>
      <c r="L83">
        <v>48</v>
      </c>
      <c r="M83">
        <v>23</v>
      </c>
      <c r="N83">
        <v>0</v>
      </c>
      <c r="O83">
        <v>997</v>
      </c>
    </row>
    <row r="84" spans="1:15" x14ac:dyDescent="0.2">
      <c r="A84" t="s">
        <v>38</v>
      </c>
      <c r="B84" t="s">
        <v>37</v>
      </c>
      <c r="C84" t="s">
        <v>17</v>
      </c>
      <c r="D84" t="s">
        <v>51</v>
      </c>
      <c r="E84" t="s">
        <v>29</v>
      </c>
      <c r="F84">
        <v>3</v>
      </c>
      <c r="G84" t="s">
        <v>19</v>
      </c>
      <c r="H84" t="s">
        <v>22</v>
      </c>
      <c r="I84">
        <v>1</v>
      </c>
      <c r="J84">
        <v>0</v>
      </c>
      <c r="K84">
        <v>0</v>
      </c>
      <c r="L84">
        <v>48</v>
      </c>
      <c r="M84">
        <v>23</v>
      </c>
      <c r="N84">
        <v>0</v>
      </c>
      <c r="O84">
        <v>997</v>
      </c>
    </row>
    <row r="85" spans="1:15" x14ac:dyDescent="0.2">
      <c r="A85" t="s">
        <v>38</v>
      </c>
      <c r="B85" t="s">
        <v>37</v>
      </c>
      <c r="C85" t="s">
        <v>17</v>
      </c>
      <c r="D85" t="s">
        <v>51</v>
      </c>
      <c r="E85" t="s">
        <v>29</v>
      </c>
      <c r="F85">
        <v>3</v>
      </c>
      <c r="G85" t="s">
        <v>19</v>
      </c>
      <c r="H85" t="s">
        <v>23</v>
      </c>
      <c r="I85">
        <v>2</v>
      </c>
      <c r="J85">
        <v>4</v>
      </c>
      <c r="K85">
        <v>0</v>
      </c>
      <c r="L85">
        <v>48</v>
      </c>
      <c r="M85">
        <v>23</v>
      </c>
      <c r="N85">
        <v>0</v>
      </c>
      <c r="O85">
        <v>997</v>
      </c>
    </row>
    <row r="86" spans="1:15" x14ac:dyDescent="0.2">
      <c r="A86" t="s">
        <v>38</v>
      </c>
      <c r="B86" t="s">
        <v>37</v>
      </c>
      <c r="C86" t="s">
        <v>17</v>
      </c>
      <c r="D86" t="s">
        <v>51</v>
      </c>
      <c r="E86" t="s">
        <v>29</v>
      </c>
      <c r="F86">
        <v>3</v>
      </c>
      <c r="G86" t="s">
        <v>19</v>
      </c>
      <c r="H86" t="s">
        <v>24</v>
      </c>
      <c r="I86">
        <v>0</v>
      </c>
      <c r="J86">
        <v>0</v>
      </c>
      <c r="K86">
        <v>0</v>
      </c>
      <c r="L86">
        <v>48</v>
      </c>
      <c r="M86">
        <v>23</v>
      </c>
      <c r="N86">
        <v>0</v>
      </c>
      <c r="O86">
        <v>997</v>
      </c>
    </row>
    <row r="87" spans="1:15" x14ac:dyDescent="0.2">
      <c r="A87" t="s">
        <v>38</v>
      </c>
      <c r="B87" t="s">
        <v>37</v>
      </c>
      <c r="C87" t="s">
        <v>17</v>
      </c>
      <c r="D87" t="s">
        <v>49</v>
      </c>
      <c r="E87" t="s">
        <v>30</v>
      </c>
      <c r="F87">
        <v>3</v>
      </c>
      <c r="G87" t="s">
        <v>19</v>
      </c>
      <c r="H87" t="s">
        <v>20</v>
      </c>
      <c r="I87">
        <v>32</v>
      </c>
      <c r="J87">
        <v>15</v>
      </c>
      <c r="K87">
        <v>0</v>
      </c>
      <c r="L87">
        <v>49</v>
      </c>
      <c r="M87">
        <v>18</v>
      </c>
      <c r="N87">
        <v>0</v>
      </c>
      <c r="O87">
        <v>996</v>
      </c>
    </row>
    <row r="88" spans="1:15" x14ac:dyDescent="0.2">
      <c r="A88" t="s">
        <v>38</v>
      </c>
      <c r="B88" t="s">
        <v>37</v>
      </c>
      <c r="C88" t="s">
        <v>17</v>
      </c>
      <c r="D88" t="s">
        <v>49</v>
      </c>
      <c r="E88" t="s">
        <v>30</v>
      </c>
      <c r="F88">
        <v>3</v>
      </c>
      <c r="G88" t="s">
        <v>19</v>
      </c>
      <c r="H88" t="s">
        <v>21</v>
      </c>
      <c r="I88">
        <v>9</v>
      </c>
      <c r="J88">
        <v>1</v>
      </c>
      <c r="K88">
        <v>0</v>
      </c>
      <c r="L88">
        <v>49</v>
      </c>
      <c r="M88">
        <v>18</v>
      </c>
      <c r="N88">
        <v>0</v>
      </c>
      <c r="O88">
        <v>996</v>
      </c>
    </row>
    <row r="89" spans="1:15" x14ac:dyDescent="0.2">
      <c r="A89" t="s">
        <v>38</v>
      </c>
      <c r="B89" t="s">
        <v>37</v>
      </c>
      <c r="C89" t="s">
        <v>17</v>
      </c>
      <c r="D89" t="s">
        <v>49</v>
      </c>
      <c r="E89" t="s">
        <v>30</v>
      </c>
      <c r="F89">
        <v>3</v>
      </c>
      <c r="G89" t="s">
        <v>19</v>
      </c>
      <c r="H89" t="s">
        <v>22</v>
      </c>
      <c r="I89">
        <v>3</v>
      </c>
      <c r="J89">
        <v>0</v>
      </c>
      <c r="K89">
        <v>0</v>
      </c>
      <c r="L89">
        <v>49</v>
      </c>
      <c r="M89">
        <v>18</v>
      </c>
      <c r="N89">
        <v>0</v>
      </c>
      <c r="O89">
        <v>996</v>
      </c>
    </row>
    <row r="90" spans="1:15" x14ac:dyDescent="0.2">
      <c r="A90" t="s">
        <v>38</v>
      </c>
      <c r="B90" t="s">
        <v>37</v>
      </c>
      <c r="C90" t="s">
        <v>17</v>
      </c>
      <c r="D90" t="s">
        <v>49</v>
      </c>
      <c r="E90" t="s">
        <v>30</v>
      </c>
      <c r="F90">
        <v>3</v>
      </c>
      <c r="G90" t="s">
        <v>19</v>
      </c>
      <c r="H90" t="s">
        <v>23</v>
      </c>
      <c r="I90">
        <v>5</v>
      </c>
      <c r="J90">
        <v>2</v>
      </c>
      <c r="K90">
        <v>0</v>
      </c>
      <c r="L90">
        <v>49</v>
      </c>
      <c r="M90">
        <v>18</v>
      </c>
      <c r="N90">
        <v>0</v>
      </c>
      <c r="O90">
        <v>996</v>
      </c>
    </row>
    <row r="91" spans="1:15" x14ac:dyDescent="0.2">
      <c r="A91" t="s">
        <v>38</v>
      </c>
      <c r="B91" t="s">
        <v>37</v>
      </c>
      <c r="C91" t="s">
        <v>17</v>
      </c>
      <c r="D91" t="s">
        <v>49</v>
      </c>
      <c r="E91" t="s">
        <v>30</v>
      </c>
      <c r="F91">
        <v>3</v>
      </c>
      <c r="G91" t="s">
        <v>19</v>
      </c>
      <c r="H91" t="s">
        <v>24</v>
      </c>
      <c r="I91">
        <v>0</v>
      </c>
      <c r="J91">
        <v>0</v>
      </c>
      <c r="K91">
        <v>0</v>
      </c>
      <c r="L91">
        <v>49</v>
      </c>
      <c r="M91">
        <v>18</v>
      </c>
      <c r="N91">
        <v>0</v>
      </c>
      <c r="O91">
        <v>996</v>
      </c>
    </row>
    <row r="92" spans="1:15" x14ac:dyDescent="0.2">
      <c r="A92" t="s">
        <v>39</v>
      </c>
      <c r="B92" t="s">
        <v>37</v>
      </c>
      <c r="C92" t="s">
        <v>17</v>
      </c>
      <c r="D92" t="s">
        <v>52</v>
      </c>
      <c r="E92" t="s">
        <v>32</v>
      </c>
      <c r="F92">
        <v>3</v>
      </c>
      <c r="G92" t="s">
        <v>19</v>
      </c>
      <c r="H92" t="s">
        <v>20</v>
      </c>
      <c r="I92">
        <v>74</v>
      </c>
      <c r="J92">
        <v>53</v>
      </c>
      <c r="K92">
        <v>0</v>
      </c>
      <c r="L92">
        <v>89</v>
      </c>
      <c r="M92">
        <v>177</v>
      </c>
      <c r="N92">
        <v>0</v>
      </c>
      <c r="O92">
        <v>681</v>
      </c>
    </row>
    <row r="93" spans="1:15" x14ac:dyDescent="0.2">
      <c r="A93" t="s">
        <v>39</v>
      </c>
      <c r="B93" t="s">
        <v>37</v>
      </c>
      <c r="C93" t="s">
        <v>17</v>
      </c>
      <c r="D93" t="s">
        <v>52</v>
      </c>
      <c r="E93" t="s">
        <v>32</v>
      </c>
      <c r="F93">
        <v>3</v>
      </c>
      <c r="G93" t="s">
        <v>19</v>
      </c>
      <c r="H93" t="s">
        <v>21</v>
      </c>
      <c r="I93">
        <v>6</v>
      </c>
      <c r="J93">
        <v>15</v>
      </c>
      <c r="K93">
        <v>0</v>
      </c>
      <c r="L93">
        <v>89</v>
      </c>
      <c r="M93">
        <v>177</v>
      </c>
      <c r="N93">
        <v>0</v>
      </c>
      <c r="O93">
        <v>681</v>
      </c>
    </row>
    <row r="94" spans="1:15" x14ac:dyDescent="0.2">
      <c r="A94" t="s">
        <v>39</v>
      </c>
      <c r="B94" t="s">
        <v>37</v>
      </c>
      <c r="C94" t="s">
        <v>17</v>
      </c>
      <c r="D94" t="s">
        <v>52</v>
      </c>
      <c r="E94" t="s">
        <v>32</v>
      </c>
      <c r="F94">
        <v>3</v>
      </c>
      <c r="G94" t="s">
        <v>19</v>
      </c>
      <c r="H94" t="s">
        <v>22</v>
      </c>
      <c r="I94">
        <v>0</v>
      </c>
      <c r="J94">
        <v>8</v>
      </c>
      <c r="K94">
        <v>0</v>
      </c>
      <c r="L94">
        <v>89</v>
      </c>
      <c r="M94">
        <v>177</v>
      </c>
      <c r="N94">
        <v>0</v>
      </c>
      <c r="O94">
        <v>681</v>
      </c>
    </row>
    <row r="95" spans="1:15" x14ac:dyDescent="0.2">
      <c r="A95" t="s">
        <v>39</v>
      </c>
      <c r="B95" t="s">
        <v>37</v>
      </c>
      <c r="C95" t="s">
        <v>17</v>
      </c>
      <c r="D95" t="s">
        <v>52</v>
      </c>
      <c r="E95" t="s">
        <v>32</v>
      </c>
      <c r="F95">
        <v>3</v>
      </c>
      <c r="G95" t="s">
        <v>19</v>
      </c>
      <c r="H95" t="s">
        <v>23</v>
      </c>
      <c r="I95">
        <v>9</v>
      </c>
      <c r="J95">
        <v>100</v>
      </c>
      <c r="K95">
        <v>0</v>
      </c>
      <c r="L95">
        <v>89</v>
      </c>
      <c r="M95">
        <v>177</v>
      </c>
      <c r="N95">
        <v>0</v>
      </c>
      <c r="O95">
        <v>681</v>
      </c>
    </row>
    <row r="96" spans="1:15" x14ac:dyDescent="0.2">
      <c r="A96" t="s">
        <v>39</v>
      </c>
      <c r="B96" t="s">
        <v>37</v>
      </c>
      <c r="C96" t="s">
        <v>17</v>
      </c>
      <c r="D96" t="s">
        <v>52</v>
      </c>
      <c r="E96" t="s">
        <v>32</v>
      </c>
      <c r="F96">
        <v>3</v>
      </c>
      <c r="G96" t="s">
        <v>19</v>
      </c>
      <c r="H96" t="s">
        <v>24</v>
      </c>
      <c r="I96">
        <v>0</v>
      </c>
      <c r="J96">
        <v>1</v>
      </c>
      <c r="K96">
        <v>0</v>
      </c>
      <c r="L96">
        <v>89</v>
      </c>
      <c r="M96">
        <v>177</v>
      </c>
      <c r="N96">
        <v>0</v>
      </c>
      <c r="O96">
        <v>681</v>
      </c>
    </row>
    <row r="97" spans="1:15" x14ac:dyDescent="0.2">
      <c r="A97" t="s">
        <v>39</v>
      </c>
      <c r="B97" t="s">
        <v>37</v>
      </c>
      <c r="C97" t="s">
        <v>17</v>
      </c>
      <c r="D97" t="s">
        <v>51</v>
      </c>
      <c r="E97" t="s">
        <v>33</v>
      </c>
      <c r="F97">
        <v>3</v>
      </c>
      <c r="G97" t="s">
        <v>19</v>
      </c>
      <c r="H97" t="s">
        <v>20</v>
      </c>
      <c r="I97">
        <v>55</v>
      </c>
      <c r="J97">
        <v>44</v>
      </c>
      <c r="K97">
        <v>0</v>
      </c>
      <c r="L97">
        <v>81</v>
      </c>
      <c r="M97">
        <v>217</v>
      </c>
      <c r="N97">
        <v>0</v>
      </c>
      <c r="O97">
        <v>680</v>
      </c>
    </row>
    <row r="98" spans="1:15" x14ac:dyDescent="0.2">
      <c r="A98" t="s">
        <v>39</v>
      </c>
      <c r="B98" t="s">
        <v>37</v>
      </c>
      <c r="C98" t="s">
        <v>17</v>
      </c>
      <c r="D98" t="s">
        <v>51</v>
      </c>
      <c r="E98" t="s">
        <v>33</v>
      </c>
      <c r="F98">
        <v>3</v>
      </c>
      <c r="G98" t="s">
        <v>19</v>
      </c>
      <c r="H98" t="s">
        <v>21</v>
      </c>
      <c r="I98">
        <v>16</v>
      </c>
      <c r="J98">
        <v>25</v>
      </c>
      <c r="K98">
        <v>0</v>
      </c>
      <c r="L98">
        <v>81</v>
      </c>
      <c r="M98">
        <v>217</v>
      </c>
      <c r="N98">
        <v>0</v>
      </c>
      <c r="O98">
        <v>680</v>
      </c>
    </row>
    <row r="99" spans="1:15" x14ac:dyDescent="0.2">
      <c r="A99" t="s">
        <v>39</v>
      </c>
      <c r="B99" t="s">
        <v>37</v>
      </c>
      <c r="C99" t="s">
        <v>17</v>
      </c>
      <c r="D99" t="s">
        <v>51</v>
      </c>
      <c r="E99" t="s">
        <v>33</v>
      </c>
      <c r="F99">
        <v>3</v>
      </c>
      <c r="G99" t="s">
        <v>19</v>
      </c>
      <c r="H99" t="s">
        <v>22</v>
      </c>
      <c r="I99">
        <v>3</v>
      </c>
      <c r="J99">
        <v>8</v>
      </c>
      <c r="K99">
        <v>0</v>
      </c>
      <c r="L99">
        <v>81</v>
      </c>
      <c r="M99">
        <v>217</v>
      </c>
      <c r="N99">
        <v>0</v>
      </c>
      <c r="O99">
        <v>680</v>
      </c>
    </row>
    <row r="100" spans="1:15" x14ac:dyDescent="0.2">
      <c r="A100" t="s">
        <v>39</v>
      </c>
      <c r="B100" t="s">
        <v>37</v>
      </c>
      <c r="C100" t="s">
        <v>17</v>
      </c>
      <c r="D100" t="s">
        <v>51</v>
      </c>
      <c r="E100" t="s">
        <v>33</v>
      </c>
      <c r="F100">
        <v>3</v>
      </c>
      <c r="G100" t="s">
        <v>19</v>
      </c>
      <c r="H100" t="s">
        <v>23</v>
      </c>
      <c r="I100">
        <v>7</v>
      </c>
      <c r="J100">
        <v>140</v>
      </c>
      <c r="K100">
        <v>0</v>
      </c>
      <c r="L100">
        <v>81</v>
      </c>
      <c r="M100">
        <v>217</v>
      </c>
      <c r="N100">
        <v>0</v>
      </c>
      <c r="O100">
        <v>680</v>
      </c>
    </row>
    <row r="101" spans="1:15" x14ac:dyDescent="0.2">
      <c r="A101" t="s">
        <v>39</v>
      </c>
      <c r="B101" t="s">
        <v>37</v>
      </c>
      <c r="C101" t="s">
        <v>17</v>
      </c>
      <c r="D101" t="s">
        <v>51</v>
      </c>
      <c r="E101" t="s">
        <v>33</v>
      </c>
      <c r="F101">
        <v>3</v>
      </c>
      <c r="G101" t="s">
        <v>19</v>
      </c>
      <c r="H101" t="s">
        <v>24</v>
      </c>
      <c r="I101">
        <v>0</v>
      </c>
      <c r="J101">
        <v>0</v>
      </c>
      <c r="K101">
        <v>0</v>
      </c>
      <c r="L101">
        <v>81</v>
      </c>
      <c r="M101">
        <v>217</v>
      </c>
      <c r="N101">
        <v>0</v>
      </c>
      <c r="O101">
        <v>680</v>
      </c>
    </row>
    <row r="102" spans="1:15" x14ac:dyDescent="0.2">
      <c r="A102" t="s">
        <v>39</v>
      </c>
      <c r="B102" t="s">
        <v>37</v>
      </c>
      <c r="C102" t="s">
        <v>17</v>
      </c>
      <c r="D102" t="s">
        <v>49</v>
      </c>
      <c r="E102" t="s">
        <v>34</v>
      </c>
      <c r="F102">
        <v>3</v>
      </c>
      <c r="G102" t="s">
        <v>19</v>
      </c>
      <c r="H102" t="s">
        <v>20</v>
      </c>
      <c r="I102">
        <v>68</v>
      </c>
      <c r="J102">
        <v>31</v>
      </c>
      <c r="K102">
        <v>0</v>
      </c>
      <c r="L102">
        <v>87</v>
      </c>
      <c r="M102">
        <v>84</v>
      </c>
      <c r="N102">
        <v>0</v>
      </c>
      <c r="O102">
        <v>680</v>
      </c>
    </row>
    <row r="103" spans="1:15" x14ac:dyDescent="0.2">
      <c r="A103" t="s">
        <v>39</v>
      </c>
      <c r="B103" t="s">
        <v>37</v>
      </c>
      <c r="C103" t="s">
        <v>17</v>
      </c>
      <c r="D103" t="s">
        <v>49</v>
      </c>
      <c r="E103" t="s">
        <v>34</v>
      </c>
      <c r="F103">
        <v>3</v>
      </c>
      <c r="G103" t="s">
        <v>19</v>
      </c>
      <c r="H103" t="s">
        <v>21</v>
      </c>
      <c r="I103">
        <v>8</v>
      </c>
      <c r="J103">
        <v>12</v>
      </c>
      <c r="K103">
        <v>0</v>
      </c>
      <c r="L103">
        <v>87</v>
      </c>
      <c r="M103">
        <v>84</v>
      </c>
      <c r="N103">
        <v>0</v>
      </c>
      <c r="O103">
        <v>680</v>
      </c>
    </row>
    <row r="104" spans="1:15" x14ac:dyDescent="0.2">
      <c r="A104" t="s">
        <v>39</v>
      </c>
      <c r="B104" t="s">
        <v>37</v>
      </c>
      <c r="C104" t="s">
        <v>17</v>
      </c>
      <c r="D104" t="s">
        <v>49</v>
      </c>
      <c r="E104" t="s">
        <v>34</v>
      </c>
      <c r="F104">
        <v>3</v>
      </c>
      <c r="G104" t="s">
        <v>19</v>
      </c>
      <c r="H104" t="s">
        <v>22</v>
      </c>
      <c r="I104">
        <v>3</v>
      </c>
      <c r="J104">
        <v>3</v>
      </c>
      <c r="K104">
        <v>0</v>
      </c>
      <c r="L104">
        <v>87</v>
      </c>
      <c r="M104">
        <v>84</v>
      </c>
      <c r="N104">
        <v>0</v>
      </c>
      <c r="O104">
        <v>680</v>
      </c>
    </row>
    <row r="105" spans="1:15" x14ac:dyDescent="0.2">
      <c r="A105" t="s">
        <v>39</v>
      </c>
      <c r="B105" t="s">
        <v>37</v>
      </c>
      <c r="C105" t="s">
        <v>17</v>
      </c>
      <c r="D105" t="s">
        <v>49</v>
      </c>
      <c r="E105" t="s">
        <v>34</v>
      </c>
      <c r="F105">
        <v>3</v>
      </c>
      <c r="G105" t="s">
        <v>19</v>
      </c>
      <c r="H105" t="s">
        <v>23</v>
      </c>
      <c r="I105">
        <v>8</v>
      </c>
      <c r="J105">
        <v>38</v>
      </c>
      <c r="K105">
        <v>0</v>
      </c>
      <c r="L105">
        <v>87</v>
      </c>
      <c r="M105">
        <v>84</v>
      </c>
      <c r="N105">
        <v>0</v>
      </c>
      <c r="O105">
        <v>680</v>
      </c>
    </row>
    <row r="106" spans="1:15" x14ac:dyDescent="0.2">
      <c r="A106" t="s">
        <v>39</v>
      </c>
      <c r="B106" t="s">
        <v>37</v>
      </c>
      <c r="C106" t="s">
        <v>17</v>
      </c>
      <c r="D106" t="s">
        <v>49</v>
      </c>
      <c r="E106" t="s">
        <v>34</v>
      </c>
      <c r="F106">
        <v>3</v>
      </c>
      <c r="G106" t="s">
        <v>19</v>
      </c>
      <c r="H106" t="s">
        <v>24</v>
      </c>
      <c r="I106">
        <v>0</v>
      </c>
      <c r="J106">
        <v>0</v>
      </c>
      <c r="K106">
        <v>0</v>
      </c>
      <c r="L106">
        <v>87</v>
      </c>
      <c r="M106">
        <v>84</v>
      </c>
      <c r="N106">
        <v>0</v>
      </c>
      <c r="O106">
        <v>680</v>
      </c>
    </row>
    <row r="107" spans="1:15" x14ac:dyDescent="0.2">
      <c r="A107" t="s">
        <v>40</v>
      </c>
      <c r="B107" t="s">
        <v>37</v>
      </c>
      <c r="C107" t="s">
        <v>17</v>
      </c>
      <c r="D107" t="s">
        <v>52</v>
      </c>
      <c r="E107" t="s">
        <v>41</v>
      </c>
      <c r="F107">
        <v>3</v>
      </c>
      <c r="G107" t="s">
        <v>19</v>
      </c>
      <c r="H107" t="s">
        <v>20</v>
      </c>
      <c r="I107">
        <v>85</v>
      </c>
      <c r="J107">
        <v>9</v>
      </c>
      <c r="K107">
        <v>0</v>
      </c>
      <c r="L107">
        <v>109</v>
      </c>
      <c r="M107">
        <v>34</v>
      </c>
      <c r="N107">
        <v>0</v>
      </c>
      <c r="O107">
        <v>196</v>
      </c>
    </row>
    <row r="108" spans="1:15" x14ac:dyDescent="0.2">
      <c r="A108" t="s">
        <v>40</v>
      </c>
      <c r="B108" t="s">
        <v>37</v>
      </c>
      <c r="C108" t="s">
        <v>17</v>
      </c>
      <c r="D108" t="s">
        <v>52</v>
      </c>
      <c r="E108" t="s">
        <v>41</v>
      </c>
      <c r="F108">
        <v>3</v>
      </c>
      <c r="G108" t="s">
        <v>19</v>
      </c>
      <c r="H108" t="s">
        <v>21</v>
      </c>
      <c r="I108">
        <v>17</v>
      </c>
      <c r="J108">
        <v>8</v>
      </c>
      <c r="K108">
        <v>0</v>
      </c>
      <c r="L108">
        <v>109</v>
      </c>
      <c r="M108">
        <v>34</v>
      </c>
      <c r="N108">
        <v>0</v>
      </c>
      <c r="O108">
        <v>196</v>
      </c>
    </row>
    <row r="109" spans="1:15" x14ac:dyDescent="0.2">
      <c r="A109" t="s">
        <v>40</v>
      </c>
      <c r="B109" t="s">
        <v>37</v>
      </c>
      <c r="C109" t="s">
        <v>17</v>
      </c>
      <c r="D109" t="s">
        <v>52</v>
      </c>
      <c r="E109" t="s">
        <v>41</v>
      </c>
      <c r="F109">
        <v>3</v>
      </c>
      <c r="G109" t="s">
        <v>19</v>
      </c>
      <c r="H109" t="s">
        <v>22</v>
      </c>
      <c r="I109">
        <v>4</v>
      </c>
      <c r="J109">
        <v>3</v>
      </c>
      <c r="K109">
        <v>0</v>
      </c>
      <c r="L109">
        <v>109</v>
      </c>
      <c r="M109">
        <v>34</v>
      </c>
      <c r="N109">
        <v>0</v>
      </c>
      <c r="O109">
        <v>196</v>
      </c>
    </row>
    <row r="110" spans="1:15" x14ac:dyDescent="0.2">
      <c r="A110" t="s">
        <v>40</v>
      </c>
      <c r="B110" t="s">
        <v>37</v>
      </c>
      <c r="C110" t="s">
        <v>17</v>
      </c>
      <c r="D110" t="s">
        <v>52</v>
      </c>
      <c r="E110" t="s">
        <v>41</v>
      </c>
      <c r="F110">
        <v>3</v>
      </c>
      <c r="G110" t="s">
        <v>19</v>
      </c>
      <c r="H110" t="s">
        <v>23</v>
      </c>
      <c r="I110">
        <v>3</v>
      </c>
      <c r="J110">
        <v>14</v>
      </c>
      <c r="K110">
        <v>0</v>
      </c>
      <c r="L110">
        <v>109</v>
      </c>
      <c r="M110">
        <v>34</v>
      </c>
      <c r="N110">
        <v>0</v>
      </c>
      <c r="O110">
        <v>196</v>
      </c>
    </row>
    <row r="111" spans="1:15" x14ac:dyDescent="0.2">
      <c r="A111" t="s">
        <v>40</v>
      </c>
      <c r="B111" t="s">
        <v>37</v>
      </c>
      <c r="C111" t="s">
        <v>17</v>
      </c>
      <c r="D111" t="s">
        <v>52</v>
      </c>
      <c r="E111" t="s">
        <v>41</v>
      </c>
      <c r="F111">
        <v>3</v>
      </c>
      <c r="G111" t="s">
        <v>19</v>
      </c>
      <c r="H111" t="s">
        <v>24</v>
      </c>
      <c r="I111">
        <v>0</v>
      </c>
      <c r="J111">
        <v>0</v>
      </c>
      <c r="K111">
        <v>0</v>
      </c>
      <c r="L111">
        <v>109</v>
      </c>
      <c r="M111">
        <v>34</v>
      </c>
      <c r="N111">
        <v>0</v>
      </c>
      <c r="O111">
        <v>196</v>
      </c>
    </row>
    <row r="112" spans="1:15" x14ac:dyDescent="0.2">
      <c r="A112" t="s">
        <v>40</v>
      </c>
      <c r="B112" t="s">
        <v>37</v>
      </c>
      <c r="C112" t="s">
        <v>17</v>
      </c>
      <c r="D112" t="s">
        <v>51</v>
      </c>
      <c r="E112" t="s">
        <v>42</v>
      </c>
      <c r="F112">
        <v>3</v>
      </c>
      <c r="G112" t="s">
        <v>19</v>
      </c>
      <c r="H112" t="s">
        <v>20</v>
      </c>
      <c r="I112">
        <v>78</v>
      </c>
      <c r="J112">
        <v>12</v>
      </c>
      <c r="K112">
        <v>0</v>
      </c>
      <c r="L112">
        <v>110</v>
      </c>
      <c r="M112">
        <v>29</v>
      </c>
      <c r="N112">
        <v>0</v>
      </c>
      <c r="O112">
        <v>196</v>
      </c>
    </row>
    <row r="113" spans="1:15" x14ac:dyDescent="0.2">
      <c r="A113" t="s">
        <v>40</v>
      </c>
      <c r="B113" t="s">
        <v>37</v>
      </c>
      <c r="C113" t="s">
        <v>17</v>
      </c>
      <c r="D113" t="s">
        <v>51</v>
      </c>
      <c r="E113" t="s">
        <v>42</v>
      </c>
      <c r="F113">
        <v>3</v>
      </c>
      <c r="G113" t="s">
        <v>19</v>
      </c>
      <c r="H113" t="s">
        <v>21</v>
      </c>
      <c r="I113">
        <v>15</v>
      </c>
      <c r="J113">
        <v>7</v>
      </c>
      <c r="K113">
        <v>0</v>
      </c>
      <c r="L113">
        <v>110</v>
      </c>
      <c r="M113">
        <v>29</v>
      </c>
      <c r="N113">
        <v>0</v>
      </c>
      <c r="O113">
        <v>196</v>
      </c>
    </row>
    <row r="114" spans="1:15" x14ac:dyDescent="0.2">
      <c r="A114" t="s">
        <v>40</v>
      </c>
      <c r="B114" t="s">
        <v>37</v>
      </c>
      <c r="C114" t="s">
        <v>17</v>
      </c>
      <c r="D114" t="s">
        <v>51</v>
      </c>
      <c r="E114" t="s">
        <v>42</v>
      </c>
      <c r="F114">
        <v>3</v>
      </c>
      <c r="G114" t="s">
        <v>19</v>
      </c>
      <c r="H114" t="s">
        <v>22</v>
      </c>
      <c r="I114">
        <v>7</v>
      </c>
      <c r="J114">
        <v>1</v>
      </c>
      <c r="K114">
        <v>0</v>
      </c>
      <c r="L114">
        <v>110</v>
      </c>
      <c r="M114">
        <v>29</v>
      </c>
      <c r="N114">
        <v>0</v>
      </c>
      <c r="O114">
        <v>196</v>
      </c>
    </row>
    <row r="115" spans="1:15" x14ac:dyDescent="0.2">
      <c r="A115" t="s">
        <v>40</v>
      </c>
      <c r="B115" t="s">
        <v>37</v>
      </c>
      <c r="C115" t="s">
        <v>17</v>
      </c>
      <c r="D115" t="s">
        <v>51</v>
      </c>
      <c r="E115" t="s">
        <v>42</v>
      </c>
      <c r="F115">
        <v>3</v>
      </c>
      <c r="G115" t="s">
        <v>19</v>
      </c>
      <c r="H115" t="s">
        <v>23</v>
      </c>
      <c r="I115">
        <v>10</v>
      </c>
      <c r="J115">
        <v>9</v>
      </c>
      <c r="K115">
        <v>0</v>
      </c>
      <c r="L115">
        <v>110</v>
      </c>
      <c r="M115">
        <v>29</v>
      </c>
      <c r="N115">
        <v>0</v>
      </c>
      <c r="O115">
        <v>196</v>
      </c>
    </row>
    <row r="116" spans="1:15" x14ac:dyDescent="0.2">
      <c r="A116" t="s">
        <v>40</v>
      </c>
      <c r="B116" t="s">
        <v>37</v>
      </c>
      <c r="C116" t="s">
        <v>17</v>
      </c>
      <c r="D116" t="s">
        <v>51</v>
      </c>
      <c r="E116" t="s">
        <v>42</v>
      </c>
      <c r="F116">
        <v>3</v>
      </c>
      <c r="G116" t="s">
        <v>19</v>
      </c>
      <c r="H116" t="s">
        <v>24</v>
      </c>
      <c r="I116">
        <v>0</v>
      </c>
      <c r="J116">
        <v>0</v>
      </c>
      <c r="K116">
        <v>0</v>
      </c>
      <c r="L116">
        <v>110</v>
      </c>
      <c r="M116">
        <v>29</v>
      </c>
      <c r="N116">
        <v>0</v>
      </c>
      <c r="O116">
        <v>196</v>
      </c>
    </row>
    <row r="117" spans="1:15" x14ac:dyDescent="0.2">
      <c r="A117" t="s">
        <v>40</v>
      </c>
      <c r="B117" t="s">
        <v>37</v>
      </c>
      <c r="C117" t="s">
        <v>17</v>
      </c>
      <c r="D117" t="s">
        <v>49</v>
      </c>
      <c r="E117" t="s">
        <v>43</v>
      </c>
      <c r="F117">
        <v>3</v>
      </c>
      <c r="G117" t="s">
        <v>19</v>
      </c>
      <c r="H117" t="s">
        <v>20</v>
      </c>
      <c r="I117">
        <v>77</v>
      </c>
      <c r="J117">
        <v>11</v>
      </c>
      <c r="K117">
        <v>0</v>
      </c>
      <c r="L117">
        <v>111</v>
      </c>
      <c r="M117">
        <v>30</v>
      </c>
      <c r="N117">
        <v>0</v>
      </c>
      <c r="O117">
        <v>197</v>
      </c>
    </row>
    <row r="118" spans="1:15" x14ac:dyDescent="0.2">
      <c r="A118" t="s">
        <v>40</v>
      </c>
      <c r="B118" t="s">
        <v>37</v>
      </c>
      <c r="C118" t="s">
        <v>17</v>
      </c>
      <c r="D118" t="s">
        <v>49</v>
      </c>
      <c r="E118" t="s">
        <v>43</v>
      </c>
      <c r="F118">
        <v>3</v>
      </c>
      <c r="G118" t="s">
        <v>19</v>
      </c>
      <c r="H118" t="s">
        <v>21</v>
      </c>
      <c r="I118">
        <v>17</v>
      </c>
      <c r="J118">
        <v>2</v>
      </c>
      <c r="K118">
        <v>0</v>
      </c>
      <c r="L118">
        <v>111</v>
      </c>
      <c r="M118">
        <v>30</v>
      </c>
      <c r="N118">
        <v>0</v>
      </c>
      <c r="O118">
        <v>197</v>
      </c>
    </row>
    <row r="119" spans="1:15" x14ac:dyDescent="0.2">
      <c r="A119" t="s">
        <v>40</v>
      </c>
      <c r="B119" t="s">
        <v>37</v>
      </c>
      <c r="C119" t="s">
        <v>17</v>
      </c>
      <c r="D119" t="s">
        <v>49</v>
      </c>
      <c r="E119" t="s">
        <v>43</v>
      </c>
      <c r="F119">
        <v>3</v>
      </c>
      <c r="G119" t="s">
        <v>19</v>
      </c>
      <c r="H119" t="s">
        <v>22</v>
      </c>
      <c r="I119">
        <v>12</v>
      </c>
      <c r="J119">
        <v>3</v>
      </c>
      <c r="K119">
        <v>0</v>
      </c>
      <c r="L119">
        <v>111</v>
      </c>
      <c r="M119">
        <v>30</v>
      </c>
      <c r="N119">
        <v>0</v>
      </c>
      <c r="O119">
        <v>197</v>
      </c>
    </row>
    <row r="120" spans="1:15" x14ac:dyDescent="0.2">
      <c r="A120" t="s">
        <v>40</v>
      </c>
      <c r="B120" t="s">
        <v>37</v>
      </c>
      <c r="C120" t="s">
        <v>17</v>
      </c>
      <c r="D120" t="s">
        <v>49</v>
      </c>
      <c r="E120" t="s">
        <v>43</v>
      </c>
      <c r="F120">
        <v>3</v>
      </c>
      <c r="G120" t="s">
        <v>19</v>
      </c>
      <c r="H120" t="s">
        <v>23</v>
      </c>
      <c r="I120">
        <v>5</v>
      </c>
      <c r="J120">
        <v>14</v>
      </c>
      <c r="K120">
        <v>0</v>
      </c>
      <c r="L120">
        <v>111</v>
      </c>
      <c r="M120">
        <v>30</v>
      </c>
      <c r="N120">
        <v>0</v>
      </c>
      <c r="O120">
        <v>197</v>
      </c>
    </row>
    <row r="121" spans="1:15" x14ac:dyDescent="0.2">
      <c r="A121" t="s">
        <v>40</v>
      </c>
      <c r="B121" t="s">
        <v>37</v>
      </c>
      <c r="C121" t="s">
        <v>17</v>
      </c>
      <c r="D121" t="s">
        <v>49</v>
      </c>
      <c r="E121" t="s">
        <v>43</v>
      </c>
      <c r="F121">
        <v>3</v>
      </c>
      <c r="G121" t="s">
        <v>19</v>
      </c>
      <c r="H121" t="s">
        <v>24</v>
      </c>
      <c r="I121">
        <v>0</v>
      </c>
      <c r="J121">
        <v>0</v>
      </c>
      <c r="K121">
        <v>0</v>
      </c>
      <c r="L121">
        <v>111</v>
      </c>
      <c r="M121">
        <v>30</v>
      </c>
      <c r="N121">
        <v>0</v>
      </c>
      <c r="O121">
        <v>197</v>
      </c>
    </row>
    <row r="122" spans="1:15" x14ac:dyDescent="0.2">
      <c r="A122" t="s">
        <v>44</v>
      </c>
      <c r="B122" t="s">
        <v>45</v>
      </c>
      <c r="C122" t="s">
        <v>17</v>
      </c>
      <c r="D122" t="s">
        <v>52</v>
      </c>
      <c r="E122" t="s">
        <v>18</v>
      </c>
      <c r="F122">
        <v>3</v>
      </c>
      <c r="G122" t="s">
        <v>19</v>
      </c>
      <c r="H122" t="s">
        <v>20</v>
      </c>
      <c r="I122">
        <v>54</v>
      </c>
      <c r="J122">
        <v>82</v>
      </c>
      <c r="K122">
        <v>0</v>
      </c>
      <c r="L122">
        <v>162</v>
      </c>
      <c r="M122">
        <v>209</v>
      </c>
      <c r="N122">
        <v>0</v>
      </c>
      <c r="O122">
        <v>869</v>
      </c>
    </row>
    <row r="123" spans="1:15" x14ac:dyDescent="0.2">
      <c r="A123" t="s">
        <v>44</v>
      </c>
      <c r="B123" t="s">
        <v>45</v>
      </c>
      <c r="C123" t="s">
        <v>17</v>
      </c>
      <c r="D123" t="s">
        <v>52</v>
      </c>
      <c r="E123" t="s">
        <v>18</v>
      </c>
      <c r="F123">
        <v>3</v>
      </c>
      <c r="G123" t="s">
        <v>19</v>
      </c>
      <c r="H123" t="s">
        <v>21</v>
      </c>
      <c r="I123">
        <v>54</v>
      </c>
      <c r="J123">
        <v>72</v>
      </c>
      <c r="K123">
        <v>0</v>
      </c>
      <c r="L123">
        <v>162</v>
      </c>
      <c r="M123">
        <v>209</v>
      </c>
      <c r="N123">
        <v>0</v>
      </c>
      <c r="O123">
        <v>869</v>
      </c>
    </row>
    <row r="124" spans="1:15" x14ac:dyDescent="0.2">
      <c r="A124" t="s">
        <v>44</v>
      </c>
      <c r="B124" t="s">
        <v>45</v>
      </c>
      <c r="C124" t="s">
        <v>17</v>
      </c>
      <c r="D124" t="s">
        <v>52</v>
      </c>
      <c r="E124" t="s">
        <v>18</v>
      </c>
      <c r="F124">
        <v>3</v>
      </c>
      <c r="G124" t="s">
        <v>19</v>
      </c>
      <c r="H124" t="s">
        <v>22</v>
      </c>
      <c r="I124">
        <v>24</v>
      </c>
      <c r="J124">
        <v>40</v>
      </c>
      <c r="K124">
        <v>0</v>
      </c>
      <c r="L124">
        <v>162</v>
      </c>
      <c r="M124">
        <v>209</v>
      </c>
      <c r="N124">
        <v>0</v>
      </c>
      <c r="O124">
        <v>869</v>
      </c>
    </row>
    <row r="125" spans="1:15" x14ac:dyDescent="0.2">
      <c r="A125" t="s">
        <v>44</v>
      </c>
      <c r="B125" t="s">
        <v>45</v>
      </c>
      <c r="C125" t="s">
        <v>17</v>
      </c>
      <c r="D125" t="s">
        <v>52</v>
      </c>
      <c r="E125" t="s">
        <v>18</v>
      </c>
      <c r="F125">
        <v>3</v>
      </c>
      <c r="G125" t="s">
        <v>19</v>
      </c>
      <c r="H125" t="s">
        <v>23</v>
      </c>
      <c r="I125">
        <v>30</v>
      </c>
      <c r="J125">
        <v>15</v>
      </c>
      <c r="K125">
        <v>0</v>
      </c>
      <c r="L125">
        <v>162</v>
      </c>
      <c r="M125">
        <v>209</v>
      </c>
      <c r="N125">
        <v>0</v>
      </c>
      <c r="O125">
        <v>869</v>
      </c>
    </row>
    <row r="126" spans="1:15" x14ac:dyDescent="0.2">
      <c r="A126" t="s">
        <v>44</v>
      </c>
      <c r="B126" t="s">
        <v>45</v>
      </c>
      <c r="C126" t="s">
        <v>17</v>
      </c>
      <c r="D126" t="s">
        <v>52</v>
      </c>
      <c r="E126" t="s">
        <v>18</v>
      </c>
      <c r="F126">
        <v>3</v>
      </c>
      <c r="G126" t="s">
        <v>19</v>
      </c>
      <c r="H126" t="s">
        <v>24</v>
      </c>
      <c r="I126">
        <v>0</v>
      </c>
      <c r="J126">
        <v>0</v>
      </c>
      <c r="K126">
        <v>0</v>
      </c>
      <c r="L126">
        <v>162</v>
      </c>
      <c r="M126">
        <v>209</v>
      </c>
      <c r="N126">
        <v>0</v>
      </c>
      <c r="O126">
        <v>869</v>
      </c>
    </row>
    <row r="127" spans="1:15" x14ac:dyDescent="0.2">
      <c r="A127" t="s">
        <v>44</v>
      </c>
      <c r="B127" t="s">
        <v>45</v>
      </c>
      <c r="C127" t="s">
        <v>17</v>
      </c>
      <c r="D127" t="s">
        <v>51</v>
      </c>
      <c r="E127" t="s">
        <v>25</v>
      </c>
      <c r="F127">
        <v>3</v>
      </c>
      <c r="G127" t="s">
        <v>19</v>
      </c>
      <c r="H127" t="s">
        <v>20</v>
      </c>
      <c r="I127">
        <v>52</v>
      </c>
      <c r="J127">
        <v>84</v>
      </c>
      <c r="K127">
        <v>0</v>
      </c>
      <c r="L127">
        <v>186</v>
      </c>
      <c r="M127">
        <v>199</v>
      </c>
      <c r="N127">
        <v>0</v>
      </c>
      <c r="O127">
        <v>900</v>
      </c>
    </row>
    <row r="128" spans="1:15" x14ac:dyDescent="0.2">
      <c r="A128" t="s">
        <v>44</v>
      </c>
      <c r="B128" t="s">
        <v>45</v>
      </c>
      <c r="C128" t="s">
        <v>17</v>
      </c>
      <c r="D128" t="s">
        <v>51</v>
      </c>
      <c r="E128" t="s">
        <v>25</v>
      </c>
      <c r="F128">
        <v>3</v>
      </c>
      <c r="G128" t="s">
        <v>19</v>
      </c>
      <c r="H128" t="s">
        <v>21</v>
      </c>
      <c r="I128">
        <v>53</v>
      </c>
      <c r="J128">
        <v>78</v>
      </c>
      <c r="K128">
        <v>0</v>
      </c>
      <c r="L128">
        <v>186</v>
      </c>
      <c r="M128">
        <v>199</v>
      </c>
      <c r="N128">
        <v>0</v>
      </c>
      <c r="O128">
        <v>900</v>
      </c>
    </row>
    <row r="129" spans="1:15" x14ac:dyDescent="0.2">
      <c r="A129" t="s">
        <v>44</v>
      </c>
      <c r="B129" t="s">
        <v>45</v>
      </c>
      <c r="C129" t="s">
        <v>17</v>
      </c>
      <c r="D129" t="s">
        <v>51</v>
      </c>
      <c r="E129" t="s">
        <v>25</v>
      </c>
      <c r="F129">
        <v>3</v>
      </c>
      <c r="G129" t="s">
        <v>19</v>
      </c>
      <c r="H129" t="s">
        <v>22</v>
      </c>
      <c r="I129">
        <v>43</v>
      </c>
      <c r="J129">
        <v>27</v>
      </c>
      <c r="K129">
        <v>0</v>
      </c>
      <c r="L129">
        <v>186</v>
      </c>
      <c r="M129">
        <v>199</v>
      </c>
      <c r="N129">
        <v>0</v>
      </c>
      <c r="O129">
        <v>900</v>
      </c>
    </row>
    <row r="130" spans="1:15" x14ac:dyDescent="0.2">
      <c r="A130" t="s">
        <v>44</v>
      </c>
      <c r="B130" t="s">
        <v>45</v>
      </c>
      <c r="C130" t="s">
        <v>17</v>
      </c>
      <c r="D130" t="s">
        <v>51</v>
      </c>
      <c r="E130" t="s">
        <v>25</v>
      </c>
      <c r="F130">
        <v>3</v>
      </c>
      <c r="G130" t="s">
        <v>19</v>
      </c>
      <c r="H130" t="s">
        <v>23</v>
      </c>
      <c r="I130">
        <v>38</v>
      </c>
      <c r="J130">
        <v>10</v>
      </c>
      <c r="K130">
        <v>0</v>
      </c>
      <c r="L130">
        <v>186</v>
      </c>
      <c r="M130">
        <v>199</v>
      </c>
      <c r="N130">
        <v>0</v>
      </c>
      <c r="O130">
        <v>900</v>
      </c>
    </row>
    <row r="131" spans="1:15" x14ac:dyDescent="0.2">
      <c r="A131" t="s">
        <v>44</v>
      </c>
      <c r="B131" t="s">
        <v>45</v>
      </c>
      <c r="C131" t="s">
        <v>17</v>
      </c>
      <c r="D131" t="s">
        <v>51</v>
      </c>
      <c r="E131" t="s">
        <v>25</v>
      </c>
      <c r="F131">
        <v>3</v>
      </c>
      <c r="G131" t="s">
        <v>19</v>
      </c>
      <c r="H131" t="s">
        <v>24</v>
      </c>
      <c r="I131">
        <v>0</v>
      </c>
      <c r="J131">
        <v>0</v>
      </c>
      <c r="K131">
        <v>0</v>
      </c>
      <c r="L131">
        <v>186</v>
      </c>
      <c r="M131">
        <v>199</v>
      </c>
      <c r="N131">
        <v>0</v>
      </c>
      <c r="O131">
        <v>900</v>
      </c>
    </row>
    <row r="132" spans="1:15" x14ac:dyDescent="0.2">
      <c r="A132" t="s">
        <v>44</v>
      </c>
      <c r="B132" t="s">
        <v>45</v>
      </c>
      <c r="C132" t="s">
        <v>17</v>
      </c>
      <c r="D132" t="s">
        <v>49</v>
      </c>
      <c r="E132" t="s">
        <v>26</v>
      </c>
      <c r="F132">
        <v>3</v>
      </c>
      <c r="G132" t="s">
        <v>19</v>
      </c>
      <c r="H132" t="s">
        <v>20</v>
      </c>
      <c r="I132">
        <v>31</v>
      </c>
      <c r="J132">
        <v>57</v>
      </c>
      <c r="K132">
        <v>0</v>
      </c>
      <c r="L132">
        <v>110</v>
      </c>
      <c r="M132">
        <v>115</v>
      </c>
      <c r="N132">
        <v>0</v>
      </c>
      <c r="O132">
        <v>826</v>
      </c>
    </row>
    <row r="133" spans="1:15" x14ac:dyDescent="0.2">
      <c r="A133" t="s">
        <v>44</v>
      </c>
      <c r="B133" t="s">
        <v>45</v>
      </c>
      <c r="C133" t="s">
        <v>17</v>
      </c>
      <c r="D133" t="s">
        <v>49</v>
      </c>
      <c r="E133" t="s">
        <v>26</v>
      </c>
      <c r="F133">
        <v>3</v>
      </c>
      <c r="G133" t="s">
        <v>19</v>
      </c>
      <c r="H133" t="s">
        <v>21</v>
      </c>
      <c r="I133">
        <v>38</v>
      </c>
      <c r="J133">
        <v>31</v>
      </c>
      <c r="K133">
        <v>0</v>
      </c>
      <c r="L133">
        <v>110</v>
      </c>
      <c r="M133">
        <v>115</v>
      </c>
      <c r="N133">
        <v>0</v>
      </c>
      <c r="O133">
        <v>826</v>
      </c>
    </row>
    <row r="134" spans="1:15" x14ac:dyDescent="0.2">
      <c r="A134" t="s">
        <v>44</v>
      </c>
      <c r="B134" t="s">
        <v>45</v>
      </c>
      <c r="C134" t="s">
        <v>17</v>
      </c>
      <c r="D134" t="s">
        <v>49</v>
      </c>
      <c r="E134" t="s">
        <v>26</v>
      </c>
      <c r="F134">
        <v>3</v>
      </c>
      <c r="G134" t="s">
        <v>19</v>
      </c>
      <c r="H134" t="s">
        <v>22</v>
      </c>
      <c r="I134">
        <v>15</v>
      </c>
      <c r="J134">
        <v>20</v>
      </c>
      <c r="K134">
        <v>0</v>
      </c>
      <c r="L134">
        <v>110</v>
      </c>
      <c r="M134">
        <v>115</v>
      </c>
      <c r="N134">
        <v>0</v>
      </c>
      <c r="O134">
        <v>826</v>
      </c>
    </row>
    <row r="135" spans="1:15" x14ac:dyDescent="0.2">
      <c r="A135" t="s">
        <v>44</v>
      </c>
      <c r="B135" t="s">
        <v>45</v>
      </c>
      <c r="C135" t="s">
        <v>17</v>
      </c>
      <c r="D135" t="s">
        <v>49</v>
      </c>
      <c r="E135" t="s">
        <v>26</v>
      </c>
      <c r="F135">
        <v>3</v>
      </c>
      <c r="G135" t="s">
        <v>19</v>
      </c>
      <c r="H135" t="s">
        <v>23</v>
      </c>
      <c r="I135">
        <v>26</v>
      </c>
      <c r="J135">
        <v>7</v>
      </c>
      <c r="K135">
        <v>0</v>
      </c>
      <c r="L135">
        <v>110</v>
      </c>
      <c r="M135">
        <v>115</v>
      </c>
      <c r="N135">
        <v>0</v>
      </c>
      <c r="O135">
        <v>826</v>
      </c>
    </row>
    <row r="136" spans="1:15" x14ac:dyDescent="0.2">
      <c r="A136" t="s">
        <v>44</v>
      </c>
      <c r="B136" t="s">
        <v>45</v>
      </c>
      <c r="C136" t="s">
        <v>17</v>
      </c>
      <c r="D136" t="s">
        <v>49</v>
      </c>
      <c r="E136" t="s">
        <v>26</v>
      </c>
      <c r="F136">
        <v>3</v>
      </c>
      <c r="G136" t="s">
        <v>19</v>
      </c>
      <c r="H136" t="s">
        <v>24</v>
      </c>
      <c r="I136">
        <v>0</v>
      </c>
      <c r="J136">
        <v>0</v>
      </c>
      <c r="K136">
        <v>0</v>
      </c>
      <c r="L136">
        <v>110</v>
      </c>
      <c r="M136">
        <v>115</v>
      </c>
      <c r="N136">
        <v>0</v>
      </c>
      <c r="O136">
        <v>826</v>
      </c>
    </row>
    <row r="137" spans="1:15" x14ac:dyDescent="0.2">
      <c r="A137" t="s">
        <v>46</v>
      </c>
      <c r="B137" t="s">
        <v>45</v>
      </c>
      <c r="C137" t="s">
        <v>17</v>
      </c>
      <c r="D137" t="s">
        <v>52</v>
      </c>
      <c r="E137" t="s">
        <v>28</v>
      </c>
      <c r="F137">
        <v>3</v>
      </c>
      <c r="G137" t="s">
        <v>19</v>
      </c>
      <c r="H137" t="s">
        <v>20</v>
      </c>
      <c r="I137">
        <v>6</v>
      </c>
      <c r="J137">
        <v>4</v>
      </c>
      <c r="K137">
        <v>0</v>
      </c>
      <c r="L137">
        <v>16</v>
      </c>
      <c r="M137">
        <v>27</v>
      </c>
      <c r="N137">
        <v>0</v>
      </c>
      <c r="O137">
        <v>730</v>
      </c>
    </row>
    <row r="138" spans="1:15" x14ac:dyDescent="0.2">
      <c r="A138" t="s">
        <v>46</v>
      </c>
      <c r="B138" t="s">
        <v>45</v>
      </c>
      <c r="C138" t="s">
        <v>17</v>
      </c>
      <c r="D138" t="s">
        <v>52</v>
      </c>
      <c r="E138" t="s">
        <v>28</v>
      </c>
      <c r="F138">
        <v>3</v>
      </c>
      <c r="G138" t="s">
        <v>19</v>
      </c>
      <c r="H138" t="s">
        <v>21</v>
      </c>
      <c r="I138">
        <v>0</v>
      </c>
      <c r="J138">
        <v>16</v>
      </c>
      <c r="K138">
        <v>0</v>
      </c>
      <c r="L138">
        <v>16</v>
      </c>
      <c r="M138">
        <v>27</v>
      </c>
      <c r="N138">
        <v>0</v>
      </c>
      <c r="O138">
        <v>730</v>
      </c>
    </row>
    <row r="139" spans="1:15" x14ac:dyDescent="0.2">
      <c r="A139" t="s">
        <v>46</v>
      </c>
      <c r="B139" t="s">
        <v>45</v>
      </c>
      <c r="C139" t="s">
        <v>17</v>
      </c>
      <c r="D139" t="s">
        <v>52</v>
      </c>
      <c r="E139" t="s">
        <v>28</v>
      </c>
      <c r="F139">
        <v>3</v>
      </c>
      <c r="G139" t="s">
        <v>19</v>
      </c>
      <c r="H139" t="s">
        <v>22</v>
      </c>
      <c r="I139">
        <v>7</v>
      </c>
      <c r="J139">
        <v>6</v>
      </c>
      <c r="K139">
        <v>0</v>
      </c>
      <c r="L139">
        <v>16</v>
      </c>
      <c r="M139">
        <v>27</v>
      </c>
      <c r="N139">
        <v>0</v>
      </c>
      <c r="O139">
        <v>730</v>
      </c>
    </row>
    <row r="140" spans="1:15" x14ac:dyDescent="0.2">
      <c r="A140" t="s">
        <v>46</v>
      </c>
      <c r="B140" t="s">
        <v>45</v>
      </c>
      <c r="C140" t="s">
        <v>17</v>
      </c>
      <c r="D140" t="s">
        <v>52</v>
      </c>
      <c r="E140" t="s">
        <v>28</v>
      </c>
      <c r="F140">
        <v>3</v>
      </c>
      <c r="G140" t="s">
        <v>19</v>
      </c>
      <c r="H140" t="s">
        <v>23</v>
      </c>
      <c r="I140">
        <v>3</v>
      </c>
      <c r="J140">
        <v>1</v>
      </c>
      <c r="K140">
        <v>0</v>
      </c>
      <c r="L140">
        <v>16</v>
      </c>
      <c r="M140">
        <v>27</v>
      </c>
      <c r="N140">
        <v>0</v>
      </c>
      <c r="O140">
        <v>730</v>
      </c>
    </row>
    <row r="141" spans="1:15" x14ac:dyDescent="0.2">
      <c r="A141" t="s">
        <v>46</v>
      </c>
      <c r="B141" t="s">
        <v>45</v>
      </c>
      <c r="C141" t="s">
        <v>17</v>
      </c>
      <c r="D141" t="s">
        <v>52</v>
      </c>
      <c r="E141" t="s">
        <v>28</v>
      </c>
      <c r="F141">
        <v>3</v>
      </c>
      <c r="G141" t="s">
        <v>19</v>
      </c>
      <c r="H141" t="s">
        <v>24</v>
      </c>
      <c r="I141">
        <v>0</v>
      </c>
      <c r="J141">
        <v>0</v>
      </c>
      <c r="K141">
        <v>0</v>
      </c>
      <c r="L141">
        <v>16</v>
      </c>
      <c r="M141">
        <v>27</v>
      </c>
      <c r="N141">
        <v>0</v>
      </c>
      <c r="O141">
        <v>730</v>
      </c>
    </row>
    <row r="142" spans="1:15" x14ac:dyDescent="0.2">
      <c r="A142" t="s">
        <v>46</v>
      </c>
      <c r="B142" t="s">
        <v>45</v>
      </c>
      <c r="C142" t="s">
        <v>17</v>
      </c>
      <c r="D142" t="s">
        <v>51</v>
      </c>
      <c r="E142" t="s">
        <v>29</v>
      </c>
      <c r="F142">
        <v>3</v>
      </c>
      <c r="G142" t="s">
        <v>19</v>
      </c>
      <c r="H142" t="s">
        <v>20</v>
      </c>
      <c r="I142">
        <v>5</v>
      </c>
      <c r="J142">
        <v>5</v>
      </c>
      <c r="K142">
        <v>0</v>
      </c>
      <c r="L142">
        <v>19</v>
      </c>
      <c r="M142">
        <v>27</v>
      </c>
      <c r="N142">
        <v>0</v>
      </c>
      <c r="O142">
        <v>698</v>
      </c>
    </row>
    <row r="143" spans="1:15" x14ac:dyDescent="0.2">
      <c r="A143" t="s">
        <v>46</v>
      </c>
      <c r="B143" t="s">
        <v>45</v>
      </c>
      <c r="C143" t="s">
        <v>17</v>
      </c>
      <c r="D143" t="s">
        <v>51</v>
      </c>
      <c r="E143" t="s">
        <v>29</v>
      </c>
      <c r="F143">
        <v>3</v>
      </c>
      <c r="G143" t="s">
        <v>19</v>
      </c>
      <c r="H143" t="s">
        <v>21</v>
      </c>
      <c r="I143">
        <v>8</v>
      </c>
      <c r="J143">
        <v>13</v>
      </c>
      <c r="K143">
        <v>0</v>
      </c>
      <c r="L143">
        <v>19</v>
      </c>
      <c r="M143">
        <v>27</v>
      </c>
      <c r="N143">
        <v>0</v>
      </c>
      <c r="O143">
        <v>698</v>
      </c>
    </row>
    <row r="144" spans="1:15" x14ac:dyDescent="0.2">
      <c r="A144" t="s">
        <v>46</v>
      </c>
      <c r="B144" t="s">
        <v>45</v>
      </c>
      <c r="C144" t="s">
        <v>17</v>
      </c>
      <c r="D144" t="s">
        <v>51</v>
      </c>
      <c r="E144" t="s">
        <v>29</v>
      </c>
      <c r="F144">
        <v>3</v>
      </c>
      <c r="G144" t="s">
        <v>19</v>
      </c>
      <c r="H144" t="s">
        <v>22</v>
      </c>
      <c r="I144">
        <v>5</v>
      </c>
      <c r="J144">
        <v>3</v>
      </c>
      <c r="K144">
        <v>0</v>
      </c>
      <c r="L144">
        <v>19</v>
      </c>
      <c r="M144">
        <v>27</v>
      </c>
      <c r="N144">
        <v>0</v>
      </c>
      <c r="O144">
        <v>698</v>
      </c>
    </row>
    <row r="145" spans="1:15" x14ac:dyDescent="0.2">
      <c r="A145" t="s">
        <v>46</v>
      </c>
      <c r="B145" t="s">
        <v>45</v>
      </c>
      <c r="C145" t="s">
        <v>17</v>
      </c>
      <c r="D145" t="s">
        <v>51</v>
      </c>
      <c r="E145" t="s">
        <v>29</v>
      </c>
      <c r="F145">
        <v>3</v>
      </c>
      <c r="G145" t="s">
        <v>19</v>
      </c>
      <c r="H145" t="s">
        <v>23</v>
      </c>
      <c r="I145">
        <v>1</v>
      </c>
      <c r="J145">
        <v>6</v>
      </c>
      <c r="K145">
        <v>0</v>
      </c>
      <c r="L145">
        <v>19</v>
      </c>
      <c r="M145">
        <v>27</v>
      </c>
      <c r="N145">
        <v>0</v>
      </c>
      <c r="O145">
        <v>698</v>
      </c>
    </row>
    <row r="146" spans="1:15" x14ac:dyDescent="0.2">
      <c r="A146" t="s">
        <v>46</v>
      </c>
      <c r="B146" t="s">
        <v>45</v>
      </c>
      <c r="C146" t="s">
        <v>17</v>
      </c>
      <c r="D146" t="s">
        <v>51</v>
      </c>
      <c r="E146" t="s">
        <v>29</v>
      </c>
      <c r="F146">
        <v>3</v>
      </c>
      <c r="G146" t="s">
        <v>19</v>
      </c>
      <c r="H146" t="s">
        <v>24</v>
      </c>
      <c r="I146">
        <v>0</v>
      </c>
      <c r="J146">
        <v>0</v>
      </c>
      <c r="K146">
        <v>0</v>
      </c>
      <c r="L146">
        <v>19</v>
      </c>
      <c r="M146">
        <v>27</v>
      </c>
      <c r="N146">
        <v>0</v>
      </c>
      <c r="O146">
        <v>698</v>
      </c>
    </row>
    <row r="147" spans="1:15" x14ac:dyDescent="0.2">
      <c r="A147" t="s">
        <v>46</v>
      </c>
      <c r="B147" t="s">
        <v>45</v>
      </c>
      <c r="C147" t="s">
        <v>17</v>
      </c>
      <c r="D147" t="s">
        <v>49</v>
      </c>
      <c r="E147" t="s">
        <v>30</v>
      </c>
      <c r="F147">
        <v>3</v>
      </c>
      <c r="G147" t="s">
        <v>19</v>
      </c>
      <c r="H147" t="s">
        <v>20</v>
      </c>
      <c r="I147">
        <v>10</v>
      </c>
      <c r="J147">
        <v>1</v>
      </c>
      <c r="K147">
        <v>0</v>
      </c>
      <c r="L147">
        <v>15</v>
      </c>
      <c r="M147">
        <v>12</v>
      </c>
      <c r="N147">
        <v>0</v>
      </c>
      <c r="O147">
        <v>722</v>
      </c>
    </row>
    <row r="148" spans="1:15" x14ac:dyDescent="0.2">
      <c r="A148" t="s">
        <v>46</v>
      </c>
      <c r="B148" t="s">
        <v>45</v>
      </c>
      <c r="C148" t="s">
        <v>17</v>
      </c>
      <c r="D148" t="s">
        <v>49</v>
      </c>
      <c r="E148" t="s">
        <v>30</v>
      </c>
      <c r="F148">
        <v>3</v>
      </c>
      <c r="G148" t="s">
        <v>19</v>
      </c>
      <c r="H148" t="s">
        <v>21</v>
      </c>
      <c r="I148">
        <v>3</v>
      </c>
      <c r="J148">
        <v>4</v>
      </c>
      <c r="K148">
        <v>0</v>
      </c>
      <c r="L148">
        <v>15</v>
      </c>
      <c r="M148">
        <v>12</v>
      </c>
      <c r="N148">
        <v>0</v>
      </c>
      <c r="O148">
        <v>722</v>
      </c>
    </row>
    <row r="149" spans="1:15" x14ac:dyDescent="0.2">
      <c r="A149" t="s">
        <v>46</v>
      </c>
      <c r="B149" t="s">
        <v>45</v>
      </c>
      <c r="C149" t="s">
        <v>17</v>
      </c>
      <c r="D149" t="s">
        <v>49</v>
      </c>
      <c r="E149" t="s">
        <v>30</v>
      </c>
      <c r="F149">
        <v>3</v>
      </c>
      <c r="G149" t="s">
        <v>19</v>
      </c>
      <c r="H149" t="s">
        <v>22</v>
      </c>
      <c r="I149">
        <v>1</v>
      </c>
      <c r="J149">
        <v>2</v>
      </c>
      <c r="K149">
        <v>0</v>
      </c>
      <c r="L149">
        <v>15</v>
      </c>
      <c r="M149">
        <v>12</v>
      </c>
      <c r="N149">
        <v>0</v>
      </c>
      <c r="O149">
        <v>722</v>
      </c>
    </row>
    <row r="150" spans="1:15" x14ac:dyDescent="0.2">
      <c r="A150" t="s">
        <v>46</v>
      </c>
      <c r="B150" t="s">
        <v>45</v>
      </c>
      <c r="C150" t="s">
        <v>17</v>
      </c>
      <c r="D150" t="s">
        <v>49</v>
      </c>
      <c r="E150" t="s">
        <v>30</v>
      </c>
      <c r="F150">
        <v>3</v>
      </c>
      <c r="G150" t="s">
        <v>19</v>
      </c>
      <c r="H150" t="s">
        <v>23</v>
      </c>
      <c r="I150">
        <v>1</v>
      </c>
      <c r="J150">
        <v>5</v>
      </c>
      <c r="K150">
        <v>0</v>
      </c>
      <c r="L150">
        <v>15</v>
      </c>
      <c r="M150">
        <v>12</v>
      </c>
      <c r="N150">
        <v>0</v>
      </c>
      <c r="O150">
        <v>722</v>
      </c>
    </row>
    <row r="151" spans="1:15" x14ac:dyDescent="0.2">
      <c r="A151" t="s">
        <v>46</v>
      </c>
      <c r="B151" t="s">
        <v>45</v>
      </c>
      <c r="C151" t="s">
        <v>17</v>
      </c>
      <c r="D151" t="s">
        <v>49</v>
      </c>
      <c r="E151" t="s">
        <v>30</v>
      </c>
      <c r="F151">
        <v>3</v>
      </c>
      <c r="G151" t="s">
        <v>19</v>
      </c>
      <c r="H151" t="s">
        <v>24</v>
      </c>
      <c r="I151">
        <v>0</v>
      </c>
      <c r="J151">
        <v>0</v>
      </c>
      <c r="K151">
        <v>0</v>
      </c>
      <c r="L151">
        <v>15</v>
      </c>
      <c r="M151">
        <v>12</v>
      </c>
      <c r="N151">
        <v>0</v>
      </c>
      <c r="O151">
        <v>722</v>
      </c>
    </row>
    <row r="152" spans="1:15" x14ac:dyDescent="0.2">
      <c r="A152" t="s">
        <v>47</v>
      </c>
      <c r="B152" t="s">
        <v>45</v>
      </c>
      <c r="C152" t="s">
        <v>17</v>
      </c>
      <c r="D152" t="s">
        <v>52</v>
      </c>
      <c r="E152" t="s">
        <v>32</v>
      </c>
      <c r="F152">
        <v>3</v>
      </c>
      <c r="G152" t="s">
        <v>19</v>
      </c>
      <c r="H152" t="s">
        <v>20</v>
      </c>
      <c r="I152">
        <v>34</v>
      </c>
      <c r="J152">
        <v>45</v>
      </c>
      <c r="K152">
        <v>0</v>
      </c>
      <c r="L152">
        <v>85</v>
      </c>
      <c r="M152">
        <v>125</v>
      </c>
      <c r="N152">
        <v>0</v>
      </c>
      <c r="O152">
        <v>498</v>
      </c>
    </row>
    <row r="153" spans="1:15" x14ac:dyDescent="0.2">
      <c r="A153" t="s">
        <v>47</v>
      </c>
      <c r="B153" t="s">
        <v>45</v>
      </c>
      <c r="C153" t="s">
        <v>17</v>
      </c>
      <c r="D153" t="s">
        <v>52</v>
      </c>
      <c r="E153" t="s">
        <v>32</v>
      </c>
      <c r="F153">
        <v>3</v>
      </c>
      <c r="G153" t="s">
        <v>19</v>
      </c>
      <c r="H153" t="s">
        <v>21</v>
      </c>
      <c r="I153">
        <v>22</v>
      </c>
      <c r="J153">
        <v>30</v>
      </c>
      <c r="K153">
        <v>0</v>
      </c>
      <c r="L153">
        <v>85</v>
      </c>
      <c r="M153">
        <v>125</v>
      </c>
      <c r="N153">
        <v>0</v>
      </c>
      <c r="O153">
        <v>498</v>
      </c>
    </row>
    <row r="154" spans="1:15" x14ac:dyDescent="0.2">
      <c r="A154" t="s">
        <v>47</v>
      </c>
      <c r="B154" t="s">
        <v>45</v>
      </c>
      <c r="C154" t="s">
        <v>17</v>
      </c>
      <c r="D154" t="s">
        <v>52</v>
      </c>
      <c r="E154" t="s">
        <v>32</v>
      </c>
      <c r="F154">
        <v>3</v>
      </c>
      <c r="G154" t="s">
        <v>19</v>
      </c>
      <c r="H154" t="s">
        <v>22</v>
      </c>
      <c r="I154">
        <v>12</v>
      </c>
      <c r="J154">
        <v>20</v>
      </c>
      <c r="K154">
        <v>0</v>
      </c>
      <c r="L154">
        <v>85</v>
      </c>
      <c r="M154">
        <v>125</v>
      </c>
      <c r="N154">
        <v>0</v>
      </c>
      <c r="O154">
        <v>498</v>
      </c>
    </row>
    <row r="155" spans="1:15" x14ac:dyDescent="0.2">
      <c r="A155" t="s">
        <v>47</v>
      </c>
      <c r="B155" t="s">
        <v>45</v>
      </c>
      <c r="C155" t="s">
        <v>17</v>
      </c>
      <c r="D155" t="s">
        <v>52</v>
      </c>
      <c r="E155" t="s">
        <v>32</v>
      </c>
      <c r="F155">
        <v>3</v>
      </c>
      <c r="G155" t="s">
        <v>19</v>
      </c>
      <c r="H155" t="s">
        <v>23</v>
      </c>
      <c r="I155">
        <v>17</v>
      </c>
      <c r="J155">
        <v>30</v>
      </c>
      <c r="K155">
        <v>0</v>
      </c>
      <c r="L155">
        <v>85</v>
      </c>
      <c r="M155">
        <v>125</v>
      </c>
      <c r="N155">
        <v>0</v>
      </c>
      <c r="O155">
        <v>498</v>
      </c>
    </row>
    <row r="156" spans="1:15" x14ac:dyDescent="0.2">
      <c r="A156" t="s">
        <v>47</v>
      </c>
      <c r="B156" t="s">
        <v>45</v>
      </c>
      <c r="C156" t="s">
        <v>17</v>
      </c>
      <c r="D156" t="s">
        <v>52</v>
      </c>
      <c r="E156" t="s">
        <v>32</v>
      </c>
      <c r="F156">
        <v>3</v>
      </c>
      <c r="G156" t="s">
        <v>19</v>
      </c>
      <c r="H156" t="s">
        <v>24</v>
      </c>
      <c r="I156">
        <v>0</v>
      </c>
      <c r="J156">
        <v>0</v>
      </c>
      <c r="K156">
        <v>0</v>
      </c>
      <c r="L156">
        <v>85</v>
      </c>
      <c r="M156">
        <v>125</v>
      </c>
      <c r="N156">
        <v>0</v>
      </c>
      <c r="O156">
        <v>498</v>
      </c>
    </row>
    <row r="157" spans="1:15" x14ac:dyDescent="0.2">
      <c r="A157" t="s">
        <v>47</v>
      </c>
      <c r="B157" t="s">
        <v>45</v>
      </c>
      <c r="C157" t="s">
        <v>17</v>
      </c>
      <c r="D157" t="s">
        <v>51</v>
      </c>
      <c r="E157" t="s">
        <v>33</v>
      </c>
      <c r="F157">
        <v>3</v>
      </c>
      <c r="G157" t="s">
        <v>19</v>
      </c>
      <c r="H157" t="s">
        <v>20</v>
      </c>
      <c r="I157">
        <v>33</v>
      </c>
      <c r="J157">
        <v>35</v>
      </c>
      <c r="K157">
        <v>0</v>
      </c>
      <c r="L157">
        <v>98</v>
      </c>
      <c r="M157">
        <v>84</v>
      </c>
      <c r="N157">
        <v>0</v>
      </c>
      <c r="O157">
        <v>467</v>
      </c>
    </row>
    <row r="158" spans="1:15" x14ac:dyDescent="0.2">
      <c r="A158" t="s">
        <v>47</v>
      </c>
      <c r="B158" t="s">
        <v>45</v>
      </c>
      <c r="C158" t="s">
        <v>17</v>
      </c>
      <c r="D158" t="s">
        <v>51</v>
      </c>
      <c r="E158" t="s">
        <v>33</v>
      </c>
      <c r="F158">
        <v>3</v>
      </c>
      <c r="G158" t="s">
        <v>19</v>
      </c>
      <c r="H158" t="s">
        <v>21</v>
      </c>
      <c r="I158">
        <v>28</v>
      </c>
      <c r="J158">
        <v>16</v>
      </c>
      <c r="K158">
        <v>0</v>
      </c>
      <c r="L158">
        <v>98</v>
      </c>
      <c r="M158">
        <v>84</v>
      </c>
      <c r="N158">
        <v>0</v>
      </c>
      <c r="O158">
        <v>467</v>
      </c>
    </row>
    <row r="159" spans="1:15" x14ac:dyDescent="0.2">
      <c r="A159" t="s">
        <v>47</v>
      </c>
      <c r="B159" t="s">
        <v>45</v>
      </c>
      <c r="C159" t="s">
        <v>17</v>
      </c>
      <c r="D159" t="s">
        <v>51</v>
      </c>
      <c r="E159" t="s">
        <v>33</v>
      </c>
      <c r="F159">
        <v>3</v>
      </c>
      <c r="G159" t="s">
        <v>19</v>
      </c>
      <c r="H159" t="s">
        <v>22</v>
      </c>
      <c r="I159">
        <v>14</v>
      </c>
      <c r="J159">
        <v>8</v>
      </c>
      <c r="K159">
        <v>0</v>
      </c>
      <c r="L159">
        <v>98</v>
      </c>
      <c r="M159">
        <v>84</v>
      </c>
      <c r="N159">
        <v>0</v>
      </c>
      <c r="O159">
        <v>467</v>
      </c>
    </row>
    <row r="160" spans="1:15" x14ac:dyDescent="0.2">
      <c r="A160" t="s">
        <v>47</v>
      </c>
      <c r="B160" t="s">
        <v>45</v>
      </c>
      <c r="C160" t="s">
        <v>17</v>
      </c>
      <c r="D160" t="s">
        <v>51</v>
      </c>
      <c r="E160" t="s">
        <v>33</v>
      </c>
      <c r="F160">
        <v>3</v>
      </c>
      <c r="G160" t="s">
        <v>19</v>
      </c>
      <c r="H160" t="s">
        <v>23</v>
      </c>
      <c r="I160">
        <v>23</v>
      </c>
      <c r="J160">
        <v>25</v>
      </c>
      <c r="K160">
        <v>0</v>
      </c>
      <c r="L160">
        <v>98</v>
      </c>
      <c r="M160">
        <v>84</v>
      </c>
      <c r="N160">
        <v>0</v>
      </c>
      <c r="O160">
        <v>467</v>
      </c>
    </row>
    <row r="161" spans="1:15" x14ac:dyDescent="0.2">
      <c r="A161" t="s">
        <v>47</v>
      </c>
      <c r="B161" t="s">
        <v>45</v>
      </c>
      <c r="C161" t="s">
        <v>17</v>
      </c>
      <c r="D161" t="s">
        <v>51</v>
      </c>
      <c r="E161" t="s">
        <v>33</v>
      </c>
      <c r="F161">
        <v>3</v>
      </c>
      <c r="G161" t="s">
        <v>19</v>
      </c>
      <c r="H161" t="s">
        <v>24</v>
      </c>
      <c r="I161">
        <v>0</v>
      </c>
      <c r="J161">
        <v>0</v>
      </c>
      <c r="K161">
        <v>0</v>
      </c>
      <c r="L161">
        <v>98</v>
      </c>
      <c r="M161">
        <v>84</v>
      </c>
      <c r="N161">
        <v>0</v>
      </c>
      <c r="O161">
        <v>467</v>
      </c>
    </row>
    <row r="162" spans="1:15" x14ac:dyDescent="0.2">
      <c r="A162" t="s">
        <v>47</v>
      </c>
      <c r="B162" t="s">
        <v>45</v>
      </c>
      <c r="C162" t="s">
        <v>17</v>
      </c>
      <c r="D162" t="s">
        <v>49</v>
      </c>
      <c r="E162" t="s">
        <v>34</v>
      </c>
      <c r="F162">
        <v>3</v>
      </c>
      <c r="G162" t="s">
        <v>19</v>
      </c>
      <c r="H162" t="s">
        <v>20</v>
      </c>
      <c r="I162">
        <v>34</v>
      </c>
      <c r="J162">
        <v>25</v>
      </c>
      <c r="K162">
        <v>0</v>
      </c>
      <c r="L162">
        <v>87</v>
      </c>
      <c r="M162">
        <v>76</v>
      </c>
      <c r="N162">
        <v>0</v>
      </c>
      <c r="O162">
        <v>510</v>
      </c>
    </row>
    <row r="163" spans="1:15" x14ac:dyDescent="0.2">
      <c r="A163" t="s">
        <v>47</v>
      </c>
      <c r="B163" t="s">
        <v>45</v>
      </c>
      <c r="C163" t="s">
        <v>17</v>
      </c>
      <c r="D163" t="s">
        <v>49</v>
      </c>
      <c r="E163" t="s">
        <v>34</v>
      </c>
      <c r="F163">
        <v>3</v>
      </c>
      <c r="G163" t="s">
        <v>19</v>
      </c>
      <c r="H163" t="s">
        <v>21</v>
      </c>
      <c r="I163">
        <v>19</v>
      </c>
      <c r="J163">
        <v>12</v>
      </c>
      <c r="K163">
        <v>0</v>
      </c>
      <c r="L163">
        <v>87</v>
      </c>
      <c r="M163">
        <v>76</v>
      </c>
      <c r="N163">
        <v>0</v>
      </c>
      <c r="O163">
        <v>510</v>
      </c>
    </row>
    <row r="164" spans="1:15" x14ac:dyDescent="0.2">
      <c r="A164" t="s">
        <v>47</v>
      </c>
      <c r="B164" t="s">
        <v>45</v>
      </c>
      <c r="C164" t="s">
        <v>17</v>
      </c>
      <c r="D164" t="s">
        <v>49</v>
      </c>
      <c r="E164" t="s">
        <v>34</v>
      </c>
      <c r="F164">
        <v>3</v>
      </c>
      <c r="G164" t="s">
        <v>19</v>
      </c>
      <c r="H164" t="s">
        <v>22</v>
      </c>
      <c r="I164">
        <v>14</v>
      </c>
      <c r="J164">
        <v>13</v>
      </c>
      <c r="K164">
        <v>0</v>
      </c>
      <c r="L164">
        <v>87</v>
      </c>
      <c r="M164">
        <v>76</v>
      </c>
      <c r="N164">
        <v>0</v>
      </c>
      <c r="O164">
        <v>510</v>
      </c>
    </row>
    <row r="165" spans="1:15" x14ac:dyDescent="0.2">
      <c r="A165" t="s">
        <v>47</v>
      </c>
      <c r="B165" t="s">
        <v>45</v>
      </c>
      <c r="C165" t="s">
        <v>17</v>
      </c>
      <c r="D165" t="s">
        <v>49</v>
      </c>
      <c r="E165" t="s">
        <v>34</v>
      </c>
      <c r="F165">
        <v>3</v>
      </c>
      <c r="G165" t="s">
        <v>19</v>
      </c>
      <c r="H165" t="s">
        <v>23</v>
      </c>
      <c r="I165">
        <v>20</v>
      </c>
      <c r="J165">
        <v>26</v>
      </c>
      <c r="K165">
        <v>0</v>
      </c>
      <c r="L165">
        <v>87</v>
      </c>
      <c r="M165">
        <v>76</v>
      </c>
      <c r="N165">
        <v>0</v>
      </c>
      <c r="O165">
        <v>510</v>
      </c>
    </row>
    <row r="166" spans="1:15" x14ac:dyDescent="0.2">
      <c r="A166" t="s">
        <v>47</v>
      </c>
      <c r="B166" t="s">
        <v>45</v>
      </c>
      <c r="C166" t="s">
        <v>17</v>
      </c>
      <c r="D166" t="s">
        <v>49</v>
      </c>
      <c r="E166" t="s">
        <v>34</v>
      </c>
      <c r="F166">
        <v>3</v>
      </c>
      <c r="G166" t="s">
        <v>19</v>
      </c>
      <c r="H166" t="s">
        <v>24</v>
      </c>
      <c r="I166">
        <v>0</v>
      </c>
      <c r="J166">
        <v>0</v>
      </c>
      <c r="K166">
        <v>0</v>
      </c>
      <c r="L166">
        <v>87</v>
      </c>
      <c r="M166">
        <v>76</v>
      </c>
      <c r="N166">
        <v>0</v>
      </c>
      <c r="O166">
        <v>510</v>
      </c>
    </row>
    <row r="167" spans="1:15" x14ac:dyDescent="0.2">
      <c r="A167" t="s">
        <v>48</v>
      </c>
      <c r="B167" t="s">
        <v>45</v>
      </c>
      <c r="C167" t="s">
        <v>17</v>
      </c>
      <c r="D167" t="s">
        <v>52</v>
      </c>
      <c r="E167" t="s">
        <v>41</v>
      </c>
      <c r="F167">
        <v>3</v>
      </c>
      <c r="G167" t="s">
        <v>19</v>
      </c>
      <c r="H167" t="s">
        <v>20</v>
      </c>
      <c r="I167">
        <v>18</v>
      </c>
      <c r="J167">
        <v>19</v>
      </c>
      <c r="K167">
        <v>0</v>
      </c>
      <c r="L167">
        <v>38</v>
      </c>
      <c r="M167">
        <v>40</v>
      </c>
      <c r="N167">
        <v>0</v>
      </c>
      <c r="O167">
        <v>145</v>
      </c>
    </row>
    <row r="168" spans="1:15" x14ac:dyDescent="0.2">
      <c r="A168" t="s">
        <v>48</v>
      </c>
      <c r="B168" t="s">
        <v>45</v>
      </c>
      <c r="C168" t="s">
        <v>17</v>
      </c>
      <c r="D168" t="s">
        <v>52</v>
      </c>
      <c r="E168" t="s">
        <v>41</v>
      </c>
      <c r="F168">
        <v>3</v>
      </c>
      <c r="G168" t="s">
        <v>19</v>
      </c>
      <c r="H168" t="s">
        <v>21</v>
      </c>
      <c r="I168">
        <v>10</v>
      </c>
      <c r="J168">
        <v>8</v>
      </c>
      <c r="K168">
        <v>0</v>
      </c>
      <c r="L168">
        <v>38</v>
      </c>
      <c r="M168">
        <v>40</v>
      </c>
      <c r="N168">
        <v>0</v>
      </c>
      <c r="O168">
        <v>145</v>
      </c>
    </row>
    <row r="169" spans="1:15" x14ac:dyDescent="0.2">
      <c r="A169" t="s">
        <v>48</v>
      </c>
      <c r="B169" t="s">
        <v>45</v>
      </c>
      <c r="C169" t="s">
        <v>17</v>
      </c>
      <c r="D169" t="s">
        <v>52</v>
      </c>
      <c r="E169" t="s">
        <v>41</v>
      </c>
      <c r="F169">
        <v>3</v>
      </c>
      <c r="G169" t="s">
        <v>19</v>
      </c>
      <c r="H169" t="s">
        <v>22</v>
      </c>
      <c r="I169">
        <v>3</v>
      </c>
      <c r="J169">
        <v>3</v>
      </c>
      <c r="K169">
        <v>0</v>
      </c>
      <c r="L169">
        <v>38</v>
      </c>
      <c r="M169">
        <v>40</v>
      </c>
      <c r="N169">
        <v>0</v>
      </c>
      <c r="O169">
        <v>145</v>
      </c>
    </row>
    <row r="170" spans="1:15" x14ac:dyDescent="0.2">
      <c r="A170" t="s">
        <v>48</v>
      </c>
      <c r="B170" t="s">
        <v>45</v>
      </c>
      <c r="C170" t="s">
        <v>17</v>
      </c>
      <c r="D170" t="s">
        <v>52</v>
      </c>
      <c r="E170" t="s">
        <v>41</v>
      </c>
      <c r="F170">
        <v>3</v>
      </c>
      <c r="G170" t="s">
        <v>19</v>
      </c>
      <c r="H170" t="s">
        <v>23</v>
      </c>
      <c r="I170">
        <v>7</v>
      </c>
      <c r="J170">
        <v>10</v>
      </c>
      <c r="K170">
        <v>0</v>
      </c>
      <c r="L170">
        <v>38</v>
      </c>
      <c r="M170">
        <v>40</v>
      </c>
      <c r="N170">
        <v>0</v>
      </c>
      <c r="O170">
        <v>145</v>
      </c>
    </row>
    <row r="171" spans="1:15" x14ac:dyDescent="0.2">
      <c r="A171" t="s">
        <v>48</v>
      </c>
      <c r="B171" t="s">
        <v>45</v>
      </c>
      <c r="C171" t="s">
        <v>17</v>
      </c>
      <c r="D171" t="s">
        <v>52</v>
      </c>
      <c r="E171" t="s">
        <v>41</v>
      </c>
      <c r="F171">
        <v>3</v>
      </c>
      <c r="G171" t="s">
        <v>19</v>
      </c>
      <c r="H171" t="s">
        <v>24</v>
      </c>
      <c r="I171">
        <v>0</v>
      </c>
      <c r="J171">
        <v>0</v>
      </c>
      <c r="K171">
        <v>0</v>
      </c>
      <c r="L171">
        <v>38</v>
      </c>
      <c r="M171">
        <v>40</v>
      </c>
      <c r="N171">
        <v>0</v>
      </c>
      <c r="O171">
        <v>145</v>
      </c>
    </row>
    <row r="172" spans="1:15" x14ac:dyDescent="0.2">
      <c r="A172" t="s">
        <v>48</v>
      </c>
      <c r="B172" t="s">
        <v>45</v>
      </c>
      <c r="C172" t="s">
        <v>17</v>
      </c>
      <c r="D172" t="s">
        <v>51</v>
      </c>
      <c r="E172" t="s">
        <v>42</v>
      </c>
      <c r="F172">
        <v>3</v>
      </c>
      <c r="G172" t="s">
        <v>19</v>
      </c>
      <c r="H172" t="s">
        <v>20</v>
      </c>
      <c r="I172">
        <v>11</v>
      </c>
      <c r="J172">
        <v>24</v>
      </c>
      <c r="K172">
        <v>0</v>
      </c>
      <c r="L172">
        <v>25</v>
      </c>
      <c r="M172">
        <v>71</v>
      </c>
      <c r="N172">
        <v>0</v>
      </c>
      <c r="O172">
        <v>120</v>
      </c>
    </row>
    <row r="173" spans="1:15" x14ac:dyDescent="0.2">
      <c r="A173" t="s">
        <v>48</v>
      </c>
      <c r="B173" t="s">
        <v>45</v>
      </c>
      <c r="C173" t="s">
        <v>17</v>
      </c>
      <c r="D173" t="s">
        <v>51</v>
      </c>
      <c r="E173" t="s">
        <v>42</v>
      </c>
      <c r="F173">
        <v>3</v>
      </c>
      <c r="G173" t="s">
        <v>19</v>
      </c>
      <c r="H173" t="s">
        <v>21</v>
      </c>
      <c r="I173">
        <v>5</v>
      </c>
      <c r="J173">
        <v>21</v>
      </c>
      <c r="K173">
        <v>0</v>
      </c>
      <c r="L173">
        <v>25</v>
      </c>
      <c r="M173">
        <v>71</v>
      </c>
      <c r="N173">
        <v>0</v>
      </c>
      <c r="O173">
        <v>120</v>
      </c>
    </row>
    <row r="174" spans="1:15" x14ac:dyDescent="0.2">
      <c r="A174" t="s">
        <v>48</v>
      </c>
      <c r="B174" t="s">
        <v>45</v>
      </c>
      <c r="C174" t="s">
        <v>17</v>
      </c>
      <c r="D174" t="s">
        <v>51</v>
      </c>
      <c r="E174" t="s">
        <v>42</v>
      </c>
      <c r="F174">
        <v>3</v>
      </c>
      <c r="G174" t="s">
        <v>19</v>
      </c>
      <c r="H174" t="s">
        <v>22</v>
      </c>
      <c r="I174">
        <v>6</v>
      </c>
      <c r="J174">
        <v>16</v>
      </c>
      <c r="K174">
        <v>0</v>
      </c>
      <c r="L174">
        <v>25</v>
      </c>
      <c r="M174">
        <v>71</v>
      </c>
      <c r="N174">
        <v>0</v>
      </c>
      <c r="O174">
        <v>120</v>
      </c>
    </row>
    <row r="175" spans="1:15" x14ac:dyDescent="0.2">
      <c r="A175" t="s">
        <v>48</v>
      </c>
      <c r="B175" t="s">
        <v>45</v>
      </c>
      <c r="C175" t="s">
        <v>17</v>
      </c>
      <c r="D175" t="s">
        <v>51</v>
      </c>
      <c r="E175" t="s">
        <v>42</v>
      </c>
      <c r="F175">
        <v>3</v>
      </c>
      <c r="G175" t="s">
        <v>19</v>
      </c>
      <c r="H175" t="s">
        <v>23</v>
      </c>
      <c r="I175">
        <v>3</v>
      </c>
      <c r="J175">
        <v>10</v>
      </c>
      <c r="K175">
        <v>0</v>
      </c>
      <c r="L175">
        <v>25</v>
      </c>
      <c r="M175">
        <v>71</v>
      </c>
      <c r="N175">
        <v>0</v>
      </c>
      <c r="O175">
        <v>120</v>
      </c>
    </row>
    <row r="176" spans="1:15" x14ac:dyDescent="0.2">
      <c r="A176" t="s">
        <v>48</v>
      </c>
      <c r="B176" t="s">
        <v>45</v>
      </c>
      <c r="C176" t="s">
        <v>17</v>
      </c>
      <c r="D176" t="s">
        <v>51</v>
      </c>
      <c r="E176" t="s">
        <v>42</v>
      </c>
      <c r="F176">
        <v>3</v>
      </c>
      <c r="G176" t="s">
        <v>19</v>
      </c>
      <c r="H176" t="s">
        <v>24</v>
      </c>
      <c r="I176">
        <v>0</v>
      </c>
      <c r="J176">
        <v>0</v>
      </c>
      <c r="K176">
        <v>0</v>
      </c>
      <c r="L176">
        <v>25</v>
      </c>
      <c r="M176">
        <v>71</v>
      </c>
      <c r="N176">
        <v>0</v>
      </c>
      <c r="O176">
        <v>120</v>
      </c>
    </row>
    <row r="177" spans="1:25" x14ac:dyDescent="0.2">
      <c r="A177" t="s">
        <v>48</v>
      </c>
      <c r="B177" t="s">
        <v>45</v>
      </c>
      <c r="C177" t="s">
        <v>17</v>
      </c>
      <c r="D177" t="s">
        <v>49</v>
      </c>
      <c r="E177" t="s">
        <v>43</v>
      </c>
      <c r="F177">
        <v>3</v>
      </c>
      <c r="G177" t="s">
        <v>19</v>
      </c>
      <c r="H177" t="s">
        <v>20</v>
      </c>
      <c r="I177">
        <v>25</v>
      </c>
      <c r="J177">
        <v>27</v>
      </c>
      <c r="K177">
        <v>0</v>
      </c>
      <c r="L177">
        <v>63</v>
      </c>
      <c r="M177">
        <v>64</v>
      </c>
      <c r="N177">
        <v>0</v>
      </c>
      <c r="O177">
        <v>155</v>
      </c>
    </row>
    <row r="178" spans="1:25" x14ac:dyDescent="0.2">
      <c r="A178" t="s">
        <v>48</v>
      </c>
      <c r="B178" t="s">
        <v>45</v>
      </c>
      <c r="C178" t="s">
        <v>17</v>
      </c>
      <c r="D178" t="s">
        <v>49</v>
      </c>
      <c r="E178" t="s">
        <v>43</v>
      </c>
      <c r="F178">
        <v>3</v>
      </c>
      <c r="G178" t="s">
        <v>19</v>
      </c>
      <c r="H178" t="s">
        <v>21</v>
      </c>
      <c r="I178">
        <v>18</v>
      </c>
      <c r="J178">
        <v>19</v>
      </c>
      <c r="K178">
        <v>0</v>
      </c>
      <c r="L178">
        <v>63</v>
      </c>
      <c r="M178">
        <v>64</v>
      </c>
      <c r="N178">
        <v>0</v>
      </c>
      <c r="O178">
        <v>155</v>
      </c>
    </row>
    <row r="179" spans="1:25" x14ac:dyDescent="0.2">
      <c r="A179" t="s">
        <v>48</v>
      </c>
      <c r="B179" t="s">
        <v>45</v>
      </c>
      <c r="C179" t="s">
        <v>17</v>
      </c>
      <c r="D179" t="s">
        <v>49</v>
      </c>
      <c r="E179" t="s">
        <v>43</v>
      </c>
      <c r="F179">
        <v>3</v>
      </c>
      <c r="G179" t="s">
        <v>19</v>
      </c>
      <c r="H179" t="s">
        <v>22</v>
      </c>
      <c r="I179">
        <v>9</v>
      </c>
      <c r="J179">
        <v>8</v>
      </c>
      <c r="K179">
        <v>0</v>
      </c>
      <c r="L179">
        <v>63</v>
      </c>
      <c r="M179">
        <v>64</v>
      </c>
      <c r="N179">
        <v>0</v>
      </c>
      <c r="O179">
        <v>155</v>
      </c>
    </row>
    <row r="180" spans="1:25" x14ac:dyDescent="0.2">
      <c r="A180" t="s">
        <v>48</v>
      </c>
      <c r="B180" t="s">
        <v>45</v>
      </c>
      <c r="C180" t="s">
        <v>17</v>
      </c>
      <c r="D180" t="s">
        <v>49</v>
      </c>
      <c r="E180" t="s">
        <v>43</v>
      </c>
      <c r="F180">
        <v>3</v>
      </c>
      <c r="G180" t="s">
        <v>19</v>
      </c>
      <c r="H180" t="s">
        <v>23</v>
      </c>
      <c r="I180">
        <v>11</v>
      </c>
      <c r="J180">
        <v>10</v>
      </c>
      <c r="K180">
        <v>0</v>
      </c>
      <c r="L180">
        <v>63</v>
      </c>
      <c r="M180">
        <v>64</v>
      </c>
      <c r="N180">
        <v>0</v>
      </c>
      <c r="O180">
        <v>155</v>
      </c>
    </row>
    <row r="181" spans="1:25" x14ac:dyDescent="0.2">
      <c r="A181" t="s">
        <v>48</v>
      </c>
      <c r="B181" t="s">
        <v>45</v>
      </c>
      <c r="C181" t="s">
        <v>17</v>
      </c>
      <c r="D181" t="s">
        <v>49</v>
      </c>
      <c r="E181" t="s">
        <v>43</v>
      </c>
      <c r="F181">
        <v>3</v>
      </c>
      <c r="G181" t="s">
        <v>19</v>
      </c>
      <c r="H181" t="s">
        <v>24</v>
      </c>
      <c r="I181">
        <v>0</v>
      </c>
      <c r="J181">
        <v>0</v>
      </c>
      <c r="K181">
        <v>0</v>
      </c>
      <c r="L181">
        <v>63</v>
      </c>
      <c r="M181">
        <v>64</v>
      </c>
      <c r="N181">
        <v>0</v>
      </c>
      <c r="O181">
        <v>155</v>
      </c>
    </row>
    <row r="188" spans="1:25" x14ac:dyDescent="0.2">
      <c r="A188" s="31" t="s">
        <v>63</v>
      </c>
      <c r="B188" s="32" t="s">
        <v>53</v>
      </c>
      <c r="C188" s="32"/>
      <c r="D188" s="32"/>
      <c r="E188" s="32"/>
      <c r="F188" s="32"/>
      <c r="G188" s="4" t="s">
        <v>64</v>
      </c>
      <c r="H188" s="32" t="s">
        <v>54</v>
      </c>
      <c r="I188" s="32"/>
      <c r="J188" s="32"/>
      <c r="K188" s="32"/>
      <c r="L188" s="32"/>
      <c r="M188" s="4" t="s">
        <v>64</v>
      </c>
      <c r="N188" s="32" t="s">
        <v>55</v>
      </c>
      <c r="O188" s="32"/>
      <c r="P188" s="32"/>
      <c r="Q188" s="32"/>
      <c r="R188" s="32"/>
      <c r="S188" s="4" t="s">
        <v>64</v>
      </c>
      <c r="T188" s="32" t="s">
        <v>56</v>
      </c>
      <c r="U188" s="32"/>
      <c r="V188" s="32"/>
      <c r="W188" s="32"/>
      <c r="X188" s="32"/>
      <c r="Y188" s="4" t="s">
        <v>64</v>
      </c>
    </row>
    <row r="189" spans="1:25" x14ac:dyDescent="0.2">
      <c r="A189" s="32"/>
      <c r="B189" s="4" t="s">
        <v>20</v>
      </c>
      <c r="C189" s="4" t="s">
        <v>21</v>
      </c>
      <c r="D189" s="4" t="s">
        <v>60</v>
      </c>
      <c r="E189" s="4" t="s">
        <v>61</v>
      </c>
      <c r="F189" s="4" t="s">
        <v>62</v>
      </c>
      <c r="G189" s="4"/>
      <c r="H189" s="4" t="s">
        <v>20</v>
      </c>
      <c r="I189" s="4" t="s">
        <v>21</v>
      </c>
      <c r="J189" s="4" t="s">
        <v>60</v>
      </c>
      <c r="K189" s="4" t="s">
        <v>61</v>
      </c>
      <c r="L189" s="4" t="s">
        <v>62</v>
      </c>
      <c r="M189" s="4"/>
      <c r="N189" s="4" t="s">
        <v>20</v>
      </c>
      <c r="O189" s="4" t="s">
        <v>21</v>
      </c>
      <c r="P189" s="4" t="s">
        <v>60</v>
      </c>
      <c r="Q189" s="4" t="s">
        <v>61</v>
      </c>
      <c r="R189" s="4" t="s">
        <v>62</v>
      </c>
      <c r="S189" s="4"/>
      <c r="T189" s="4" t="s">
        <v>20</v>
      </c>
      <c r="U189" s="4" t="s">
        <v>21</v>
      </c>
      <c r="V189" s="4" t="s">
        <v>60</v>
      </c>
      <c r="W189" s="4" t="s">
        <v>61</v>
      </c>
      <c r="X189" s="4" t="s">
        <v>62</v>
      </c>
      <c r="Y189" s="4"/>
    </row>
    <row r="190" spans="1:25" x14ac:dyDescent="0.2">
      <c r="A190" s="5" t="s">
        <v>57</v>
      </c>
      <c r="B190" s="6">
        <f>$I$2/$L$2*100</f>
        <v>81.226053639846739</v>
      </c>
      <c r="C190" s="8">
        <f>$I$3/$L$2*100</f>
        <v>6.5134099616858236</v>
      </c>
      <c r="D190" s="6">
        <f>$I$4/$L$2*100</f>
        <v>0.76628352490421447</v>
      </c>
      <c r="E190" s="6">
        <f>$I$5/$L$2*100</f>
        <v>11.494252873563218</v>
      </c>
      <c r="F190" s="8">
        <f>$I$6/$L$2*100</f>
        <v>0</v>
      </c>
      <c r="G190" s="8">
        <f>SUM(B190:F190)</f>
        <v>99.999999999999986</v>
      </c>
      <c r="H190" s="6">
        <f>$I$17/$L$17*100</f>
        <v>82.608695652173907</v>
      </c>
      <c r="I190" s="8">
        <f>$I$18/$L$17*100</f>
        <v>8.695652173913043</v>
      </c>
      <c r="J190" s="6">
        <f>$I$19/$L$17*100</f>
        <v>4.3478260869565215</v>
      </c>
      <c r="K190" s="6">
        <f>$I$20/$L$17*100</f>
        <v>4.3478260869565215</v>
      </c>
      <c r="L190" s="8">
        <f>$I$21/$L$17*100</f>
        <v>0</v>
      </c>
      <c r="M190" s="8">
        <f>SUM(H190:L190)</f>
        <v>99.999999999999986</v>
      </c>
      <c r="N190" s="6">
        <f>$I$32/$L$32*100</f>
        <v>78.656126482213438</v>
      </c>
      <c r="O190" s="6">
        <f>$I$33/$L$33*100</f>
        <v>4.7430830039525684</v>
      </c>
      <c r="P190" s="6">
        <f>$I$34/$L$34*100</f>
        <v>0.79051383399209485</v>
      </c>
      <c r="Q190" s="6">
        <f>$I$35/$L$35*100</f>
        <v>15.810276679841898</v>
      </c>
      <c r="R190" s="6">
        <f>$I$36/$L$36*100</f>
        <v>0</v>
      </c>
      <c r="S190" s="8">
        <f>SUM(N190:R190)</f>
        <v>100</v>
      </c>
      <c r="T190" s="6">
        <f>$I$47/$L$47*100</f>
        <v>98.76543209876543</v>
      </c>
      <c r="U190" s="6">
        <f>$I$48/$L$48*100</f>
        <v>1.2345679012345678</v>
      </c>
      <c r="V190" s="6">
        <f>$I$49/$L$49*100</f>
        <v>0</v>
      </c>
      <c r="W190" s="6">
        <f>$I$50/$L$50*100</f>
        <v>0</v>
      </c>
      <c r="X190" s="6">
        <f>$I$51/$L$51*100</f>
        <v>0</v>
      </c>
      <c r="Y190" s="8">
        <f>SUM(T190:X190)</f>
        <v>100</v>
      </c>
    </row>
    <row r="191" spans="1:25" x14ac:dyDescent="0.2">
      <c r="A191" s="5" t="s">
        <v>58</v>
      </c>
      <c r="B191" s="6">
        <f>$I$62/$L$62*100</f>
        <v>75.995449374288953</v>
      </c>
      <c r="C191" s="6">
        <f>$I$63/$L$62*100</f>
        <v>11.831626848691695</v>
      </c>
      <c r="D191" s="8">
        <f>$I$64/$L$62*100</f>
        <v>3.7542662116040959</v>
      </c>
      <c r="E191" s="8">
        <f>$I$65/$L$62*100</f>
        <v>8.4186575654152449</v>
      </c>
      <c r="F191" s="8">
        <f>$I$66/$L$62*100</f>
        <v>0</v>
      </c>
      <c r="G191" s="8">
        <f>SUM(B191:F191)</f>
        <v>99.999999999999986</v>
      </c>
      <c r="H191" s="6">
        <f>$I$77/$L$77*100</f>
        <v>66.666666666666657</v>
      </c>
      <c r="I191" s="6">
        <f>$I$78/$L$77*100</f>
        <v>13.333333333333334</v>
      </c>
      <c r="J191" s="8">
        <f>$I$79/$L$77*100</f>
        <v>8.3333333333333321</v>
      </c>
      <c r="K191" s="8">
        <f>$I$80/$L$77*100</f>
        <v>11.666666666666666</v>
      </c>
      <c r="L191" s="8">
        <f>$I$81/$L$77*100</f>
        <v>0</v>
      </c>
      <c r="M191" s="8">
        <f>SUM(H191:L191)</f>
        <v>99.999999999999986</v>
      </c>
      <c r="N191" s="6">
        <f>$I$92/$L$92*100</f>
        <v>83.146067415730343</v>
      </c>
      <c r="O191" s="6">
        <f>$I$93/$L$93*100</f>
        <v>6.7415730337078648</v>
      </c>
      <c r="P191" s="6">
        <f>$I$94/$L$94*100</f>
        <v>0</v>
      </c>
      <c r="Q191" s="6">
        <f>$I$95/$L$95*100</f>
        <v>10.112359550561797</v>
      </c>
      <c r="R191" s="6">
        <f>$I$96/$L$96*100</f>
        <v>0</v>
      </c>
      <c r="S191" s="8">
        <f>SUM(N191:R191)</f>
        <v>100</v>
      </c>
      <c r="T191" s="6">
        <f>$I$107/$L$107*100</f>
        <v>77.981651376146786</v>
      </c>
      <c r="U191" s="6">
        <f>$I$108/$L$108*100</f>
        <v>15.596330275229359</v>
      </c>
      <c r="V191" s="6">
        <f>$I$109/$L$109*100</f>
        <v>3.669724770642202</v>
      </c>
      <c r="W191" s="6">
        <f>$I$110/$L$110*100</f>
        <v>2.7522935779816518</v>
      </c>
      <c r="X191" s="6">
        <f>$I$111/$L$111*100</f>
        <v>0</v>
      </c>
      <c r="Y191" s="8">
        <f>SUM(T191:X191)</f>
        <v>100</v>
      </c>
    </row>
    <row r="192" spans="1:25" ht="16" thickBot="1" x14ac:dyDescent="0.25">
      <c r="A192" s="9" t="s">
        <v>59</v>
      </c>
      <c r="B192" s="6">
        <f>$I$122/$L$122*100</f>
        <v>33.333333333333329</v>
      </c>
      <c r="C192" s="6">
        <f>$I$123/$L$122*100</f>
        <v>33.333333333333329</v>
      </c>
      <c r="D192" s="6">
        <f>$I$124/$L$122*100</f>
        <v>14.814814814814813</v>
      </c>
      <c r="E192" s="6">
        <f>$I$125/$L$122*100</f>
        <v>18.518518518518519</v>
      </c>
      <c r="F192" s="6">
        <f>$I$126/$L$122*100</f>
        <v>0</v>
      </c>
      <c r="G192" s="8">
        <f>SUM(B192:F192)</f>
        <v>99.999999999999986</v>
      </c>
      <c r="H192" s="6">
        <f>$I$137/$L$137*100</f>
        <v>37.5</v>
      </c>
      <c r="I192" s="6">
        <f>$I$138/$L$137*100</f>
        <v>0</v>
      </c>
      <c r="J192" s="6">
        <f>$I$139/$L$137*100</f>
        <v>43.75</v>
      </c>
      <c r="K192" s="6">
        <f>$I$140/$L$137*100</f>
        <v>18.75</v>
      </c>
      <c r="L192" s="6">
        <f>$I$141/$L$137*100</f>
        <v>0</v>
      </c>
      <c r="M192" s="8">
        <f>SUM(H192:L192)</f>
        <v>100</v>
      </c>
      <c r="N192" s="6">
        <f>$I$152/$L$152*100</f>
        <v>40</v>
      </c>
      <c r="O192" s="6">
        <f>$I$153/$L$153*100</f>
        <v>25.882352941176475</v>
      </c>
      <c r="P192" s="6">
        <f>$I$154/$L$154*100</f>
        <v>14.117647058823529</v>
      </c>
      <c r="Q192" s="6">
        <f>$I$155/$L$155*100</f>
        <v>20</v>
      </c>
      <c r="R192" s="6">
        <f>$I$156/$L$156*100</f>
        <v>0</v>
      </c>
      <c r="S192" s="8">
        <f>SUM(N192:R192)</f>
        <v>100</v>
      </c>
      <c r="T192" s="6">
        <f>$I$167/$L$167*100</f>
        <v>47.368421052631575</v>
      </c>
      <c r="U192" s="6">
        <f>$I$168/$L$168*100</f>
        <v>26.315789473684209</v>
      </c>
      <c r="V192" s="6">
        <f>$I$169/$L$169*100</f>
        <v>7.8947368421052628</v>
      </c>
      <c r="W192" s="6">
        <f>$I$170/$L$170*100</f>
        <v>18.421052631578945</v>
      </c>
      <c r="X192" s="6">
        <f>$I$171/$L$171*100</f>
        <v>0</v>
      </c>
      <c r="Y192" s="8">
        <f>SUM(T192:X192)</f>
        <v>99.999999999999986</v>
      </c>
    </row>
    <row r="193" spans="1:30" x14ac:dyDescent="0.2">
      <c r="A193" s="10" t="s">
        <v>50</v>
      </c>
      <c r="B193" s="11">
        <f>AVERAGE(B190:B192)</f>
        <v>63.518278782489666</v>
      </c>
      <c r="C193" s="12">
        <f t="shared" ref="C193:F193" si="0">AVERAGE(C190:C192)</f>
        <v>17.226123381236949</v>
      </c>
      <c r="D193" s="11">
        <f t="shared" si="0"/>
        <v>6.4451215171077081</v>
      </c>
      <c r="E193" s="11">
        <f t="shared" si="0"/>
        <v>12.810476319165661</v>
      </c>
      <c r="F193" s="11">
        <f t="shared" si="0"/>
        <v>0</v>
      </c>
      <c r="G193" s="12"/>
      <c r="H193" s="11">
        <f>AVERAGE(H190:H192)</f>
        <v>62.25845410628019</v>
      </c>
      <c r="I193" s="13">
        <f>AVERAGE(I190:I192)</f>
        <v>7.3429951690821254</v>
      </c>
      <c r="J193" s="14">
        <f>AVERAGE(J190:J192)</f>
        <v>18.810386473429951</v>
      </c>
      <c r="K193" s="14">
        <f>AVERAGE(K190:K192)</f>
        <v>11.588164251207729</v>
      </c>
      <c r="L193" s="14">
        <f>AVERAGE(L190:L192)</f>
        <v>0</v>
      </c>
      <c r="M193" s="12"/>
      <c r="N193" s="14">
        <f t="shared" ref="N193:R193" si="1">AVERAGE(N190:N192)</f>
        <v>67.26739796598126</v>
      </c>
      <c r="O193" s="12">
        <f t="shared" si="1"/>
        <v>12.455669659612303</v>
      </c>
      <c r="P193" s="11">
        <f t="shared" si="1"/>
        <v>4.9693869642718749</v>
      </c>
      <c r="Q193" s="11">
        <f t="shared" si="1"/>
        <v>15.307545410134566</v>
      </c>
      <c r="R193" s="11">
        <f t="shared" si="1"/>
        <v>0</v>
      </c>
      <c r="S193" s="15"/>
      <c r="T193" s="14">
        <f t="shared" ref="T193:V193" si="2">AVERAGE(T190:T192)</f>
        <v>74.70516817584793</v>
      </c>
      <c r="U193" s="12">
        <f t="shared" si="2"/>
        <v>14.382229216716047</v>
      </c>
      <c r="V193" s="11">
        <f t="shared" si="2"/>
        <v>3.8548205375824884</v>
      </c>
      <c r="W193" s="11">
        <f>AVERAGE(W190:W192)</f>
        <v>7.0577820698535332</v>
      </c>
      <c r="X193" s="11">
        <f>AVERAGE(X190:X192)</f>
        <v>0</v>
      </c>
      <c r="Y193" s="15"/>
      <c r="Z193" s="8">
        <f>AVERAGE(B193,H193,N193,T193)</f>
        <v>66.937324757649762</v>
      </c>
      <c r="AA193" s="8">
        <f t="shared" ref="AA193:AC193" si="3">AVERAGE(C193,I193,O193,U193)</f>
        <v>12.851754356661857</v>
      </c>
      <c r="AB193" s="8">
        <f t="shared" si="3"/>
        <v>8.5199288730980065</v>
      </c>
      <c r="AC193" s="8">
        <f t="shared" si="3"/>
        <v>11.690992012590371</v>
      </c>
      <c r="AD193" s="8">
        <f>AVERAGE(F193,L193,R193,X193)</f>
        <v>0</v>
      </c>
    </row>
    <row r="194" spans="1:30" x14ac:dyDescent="0.2">
      <c r="B194" s="8"/>
      <c r="H194" s="8"/>
      <c r="T194" s="8"/>
    </row>
    <row r="195" spans="1:30" x14ac:dyDescent="0.2">
      <c r="B195" s="8"/>
      <c r="H195" s="8"/>
      <c r="T195" s="8"/>
    </row>
    <row r="196" spans="1:30" x14ac:dyDescent="0.2">
      <c r="A196" s="31" t="s">
        <v>66</v>
      </c>
      <c r="B196" s="32" t="s">
        <v>53</v>
      </c>
      <c r="C196" s="32"/>
      <c r="D196" s="32"/>
      <c r="E196" s="32"/>
      <c r="F196" s="32"/>
      <c r="G196" s="4" t="s">
        <v>64</v>
      </c>
      <c r="H196" s="32" t="s">
        <v>54</v>
      </c>
      <c r="I196" s="32"/>
      <c r="J196" s="32"/>
      <c r="K196" s="32"/>
      <c r="L196" s="32"/>
      <c r="M196" s="4" t="s">
        <v>64</v>
      </c>
      <c r="N196" s="32" t="s">
        <v>55</v>
      </c>
      <c r="O196" s="32"/>
      <c r="P196" s="32"/>
      <c r="Q196" s="32"/>
      <c r="R196" s="32"/>
      <c r="S196" s="4" t="s">
        <v>64</v>
      </c>
      <c r="T196" s="32" t="s">
        <v>56</v>
      </c>
      <c r="U196" s="32"/>
      <c r="V196" s="32"/>
      <c r="W196" s="32"/>
      <c r="X196" s="32"/>
      <c r="Y196" s="4" t="s">
        <v>64</v>
      </c>
    </row>
    <row r="197" spans="1:30" x14ac:dyDescent="0.2">
      <c r="A197" s="32"/>
      <c r="B197" s="4" t="s">
        <v>20</v>
      </c>
      <c r="C197" s="4" t="s">
        <v>21</v>
      </c>
      <c r="D197" s="4" t="s">
        <v>60</v>
      </c>
      <c r="E197" s="4" t="s">
        <v>61</v>
      </c>
      <c r="F197" s="4" t="s">
        <v>62</v>
      </c>
      <c r="G197" s="4"/>
      <c r="H197" s="4" t="s">
        <v>20</v>
      </c>
      <c r="I197" s="4" t="s">
        <v>21</v>
      </c>
      <c r="J197" s="4" t="s">
        <v>60</v>
      </c>
      <c r="K197" s="4" t="s">
        <v>61</v>
      </c>
      <c r="L197" s="4" t="s">
        <v>62</v>
      </c>
      <c r="M197" s="4"/>
      <c r="N197" s="4" t="s">
        <v>20</v>
      </c>
      <c r="O197" s="4" t="s">
        <v>21</v>
      </c>
      <c r="P197" s="4" t="s">
        <v>60</v>
      </c>
      <c r="Q197" s="4" t="s">
        <v>61</v>
      </c>
      <c r="R197" s="4" t="s">
        <v>62</v>
      </c>
      <c r="S197" s="4"/>
      <c r="T197" s="4" t="s">
        <v>20</v>
      </c>
      <c r="U197" s="4" t="s">
        <v>21</v>
      </c>
      <c r="V197" s="4" t="s">
        <v>60</v>
      </c>
      <c r="W197" s="4" t="s">
        <v>61</v>
      </c>
      <c r="X197" s="4" t="s">
        <v>62</v>
      </c>
      <c r="Y197" s="4"/>
    </row>
    <row r="198" spans="1:30" x14ac:dyDescent="0.2">
      <c r="A198" s="5" t="s">
        <v>57</v>
      </c>
      <c r="B198" s="6">
        <f>$I$7/$L$7*100</f>
        <v>68.148148148148152</v>
      </c>
      <c r="C198" s="8">
        <f>$I$8/$L$7*100</f>
        <v>10</v>
      </c>
      <c r="D198" s="6">
        <f>$I$9/$L$7*100</f>
        <v>1.8518518518518516</v>
      </c>
      <c r="E198" s="6">
        <f>$I$10/$L$7*100</f>
        <v>20</v>
      </c>
      <c r="F198" s="8">
        <f>$I$11/$L$2*100</f>
        <v>0</v>
      </c>
      <c r="G198" s="8">
        <f>SUM(B198:F198)</f>
        <v>100</v>
      </c>
      <c r="H198" s="6">
        <f>$I$22/$L$22*100</f>
        <v>62</v>
      </c>
      <c r="I198" s="6">
        <f>$I$23/$L$23*100</f>
        <v>18</v>
      </c>
      <c r="J198" s="6">
        <f>$I$24/$L$24*100</f>
        <v>2</v>
      </c>
      <c r="K198" s="6">
        <f>$I$25/$L$25*100</f>
        <v>18</v>
      </c>
      <c r="L198" s="6">
        <f>$I$26/$L$26*100</f>
        <v>0</v>
      </c>
      <c r="M198" s="8">
        <f>SUM(H198:L198)</f>
        <v>100</v>
      </c>
      <c r="N198" s="6">
        <f>$I$37/$L$37*100</f>
        <v>76.886792452830193</v>
      </c>
      <c r="O198" s="6">
        <f>$I$38/$L$38*100</f>
        <v>9.9056603773584904</v>
      </c>
      <c r="P198" s="6">
        <f>$I$39/$L$39*100</f>
        <v>0.47169811320754718</v>
      </c>
      <c r="Q198" s="6">
        <f>$I$40/$L$40*100</f>
        <v>12.735849056603774</v>
      </c>
      <c r="R198" s="6">
        <f>$I$41/$L$41*100</f>
        <v>0</v>
      </c>
      <c r="S198" s="8">
        <f>SUM(N198:R198)</f>
        <v>100</v>
      </c>
      <c r="T198" s="6">
        <f>$I$52/$L$52*100</f>
        <v>95.180722891566262</v>
      </c>
      <c r="U198" s="6">
        <f>$I$53/$L$53*100</f>
        <v>3.6144578313253009</v>
      </c>
      <c r="V198" s="6">
        <f>$I$54/$L$54*100</f>
        <v>1.2048192771084338</v>
      </c>
      <c r="W198" s="6">
        <f>$I$55/$L$55*100</f>
        <v>0</v>
      </c>
      <c r="X198" s="6">
        <f>$I$56/$L$56*100</f>
        <v>0</v>
      </c>
      <c r="Y198" s="8">
        <f>SUM(T198:X198)</f>
        <v>99.999999999999986</v>
      </c>
    </row>
    <row r="199" spans="1:30" x14ac:dyDescent="0.2">
      <c r="A199" s="5" t="s">
        <v>58</v>
      </c>
      <c r="B199" s="6">
        <f>$I$67/$L$67*100</f>
        <v>73.917869034406209</v>
      </c>
      <c r="C199" s="6">
        <f>$I$68/$L$67*100</f>
        <v>14.095449500554938</v>
      </c>
      <c r="D199" s="8">
        <f>$I$69/$L$67*100</f>
        <v>2.4417314095449503</v>
      </c>
      <c r="E199" s="8">
        <f>$I$70/$L$67*100</f>
        <v>9.5449500554938957</v>
      </c>
      <c r="F199" s="8">
        <f>$I$71/$L$62*100</f>
        <v>0</v>
      </c>
      <c r="G199" s="8">
        <f>SUM(B199:F199)</f>
        <v>100</v>
      </c>
      <c r="H199" s="6">
        <f>$I$82/$L$82*100</f>
        <v>79.166666666666657</v>
      </c>
      <c r="I199" s="6">
        <f>$I$83/$L$83*100</f>
        <v>14.583333333333334</v>
      </c>
      <c r="J199" s="6">
        <f>$I$84/$L$84*100</f>
        <v>2.083333333333333</v>
      </c>
      <c r="K199" s="6">
        <f>$I$85/$L$85*100</f>
        <v>4.1666666666666661</v>
      </c>
      <c r="L199" s="6">
        <f>$I$86/$L$86*100</f>
        <v>0</v>
      </c>
      <c r="M199" s="8">
        <f>SUM(H199:L199)</f>
        <v>99.999999999999986</v>
      </c>
      <c r="N199" s="6">
        <f>$I$97/$L$97*100</f>
        <v>67.901234567901241</v>
      </c>
      <c r="O199" s="6">
        <f>$I$98/$L$98*100</f>
        <v>19.753086419753085</v>
      </c>
      <c r="P199" s="6">
        <f>$I$99/$L$99*100</f>
        <v>3.7037037037037033</v>
      </c>
      <c r="Q199" s="6">
        <f>$I$100/$L$100*100</f>
        <v>8.6419753086419746</v>
      </c>
      <c r="R199" s="6">
        <f>$I$101/$L$101*100</f>
        <v>0</v>
      </c>
      <c r="S199" s="8">
        <f>SUM(N199:R199)</f>
        <v>100.00000000000001</v>
      </c>
      <c r="T199" s="6">
        <f>$I$112/$L$112*100</f>
        <v>70.909090909090907</v>
      </c>
      <c r="U199" s="6">
        <f>$I$113/$L$113*100</f>
        <v>13.636363636363635</v>
      </c>
      <c r="V199" s="6">
        <f>$I$114/$L$114*100</f>
        <v>6.3636363636363633</v>
      </c>
      <c r="W199" s="6">
        <f>$I$115/$L$115*100</f>
        <v>9.0909090909090917</v>
      </c>
      <c r="X199" s="6">
        <f>$I$116/$L$116*100</f>
        <v>0</v>
      </c>
      <c r="Y199" s="8">
        <f>SUM(T199:X199)</f>
        <v>100</v>
      </c>
    </row>
    <row r="200" spans="1:30" ht="16" thickBot="1" x14ac:dyDescent="0.25">
      <c r="A200" s="9" t="s">
        <v>59</v>
      </c>
      <c r="B200" s="6">
        <f>$I$127/$L$127*100</f>
        <v>27.956989247311824</v>
      </c>
      <c r="C200" s="6">
        <f>$I$128/$L$127*100</f>
        <v>28.49462365591398</v>
      </c>
      <c r="D200" s="6">
        <f>$I$129/$L$127*100</f>
        <v>23.118279569892472</v>
      </c>
      <c r="E200" s="6">
        <f>$I$130/$L$127*100</f>
        <v>20.43010752688172</v>
      </c>
      <c r="F200" s="6">
        <f>$I$131/$L$127*100</f>
        <v>0</v>
      </c>
      <c r="G200" s="8">
        <f>SUM(B200:F200)</f>
        <v>100</v>
      </c>
      <c r="H200" s="6">
        <f>$I$142/$L$142*100</f>
        <v>26.315789473684209</v>
      </c>
      <c r="I200" s="6">
        <f>$I$143/$L$143*100</f>
        <v>42.105263157894733</v>
      </c>
      <c r="J200" s="6">
        <f>$I$144/$L$144*100</f>
        <v>26.315789473684209</v>
      </c>
      <c r="K200" s="6">
        <f>$I$145/$L$145*100</f>
        <v>5.2631578947368416</v>
      </c>
      <c r="L200" s="6">
        <f>$I$146/$L$146*100</f>
        <v>0</v>
      </c>
      <c r="M200" s="8">
        <f>SUM(H200:L200)</f>
        <v>99.999999999999986</v>
      </c>
      <c r="N200" s="6">
        <f>$I$157/$L$157*100</f>
        <v>33.673469387755098</v>
      </c>
      <c r="O200" s="6">
        <f>$I$158/$L$158*100</f>
        <v>28.571428571428569</v>
      </c>
      <c r="P200" s="6">
        <f>$I$159/$L$159*100</f>
        <v>14.285714285714285</v>
      </c>
      <c r="Q200" s="6">
        <f>$I$160/$L$160*100</f>
        <v>23.469387755102041</v>
      </c>
      <c r="R200" s="6">
        <f>$I$161/$L$161*100</f>
        <v>0</v>
      </c>
      <c r="S200" s="8">
        <f>SUM(N200:R200)</f>
        <v>100</v>
      </c>
      <c r="T200" s="6">
        <f>$I$172/$L$172*100</f>
        <v>44</v>
      </c>
      <c r="U200" s="6">
        <f>$I$173/$L$173*100</f>
        <v>20</v>
      </c>
      <c r="V200" s="6">
        <f>$I$174/$L$174*100</f>
        <v>24</v>
      </c>
      <c r="W200" s="6">
        <f>$I$175/$L$175*100</f>
        <v>12</v>
      </c>
      <c r="X200" s="6">
        <f>$I$176/$L$176*100</f>
        <v>0</v>
      </c>
      <c r="Y200" s="8">
        <f>SUM(T200:X200)</f>
        <v>100</v>
      </c>
    </row>
    <row r="201" spans="1:30" x14ac:dyDescent="0.2">
      <c r="A201" s="10" t="s">
        <v>50</v>
      </c>
      <c r="B201" s="11">
        <f>AVERAGE(B198:B200)</f>
        <v>56.674335476622069</v>
      </c>
      <c r="C201" s="12">
        <f t="shared" ref="C201:F201" si="4">AVERAGE(C198:C200)</f>
        <v>17.530024385489639</v>
      </c>
      <c r="D201" s="11">
        <f t="shared" si="4"/>
        <v>9.1372876104297571</v>
      </c>
      <c r="E201" s="11">
        <f t="shared" si="4"/>
        <v>16.658352527458536</v>
      </c>
      <c r="F201" s="11">
        <f t="shared" si="4"/>
        <v>0</v>
      </c>
      <c r="G201" s="12"/>
      <c r="H201" s="11">
        <f>AVERAGE(H198:H200)</f>
        <v>55.827485380116961</v>
      </c>
      <c r="I201" s="13">
        <f>AVERAGE(I198:I200)</f>
        <v>24.896198830409357</v>
      </c>
      <c r="J201" s="14">
        <f>AVERAGE(J198:J200)</f>
        <v>10.133040935672513</v>
      </c>
      <c r="K201" s="14">
        <f>AVERAGE(K198:K200)</f>
        <v>9.1432748538011683</v>
      </c>
      <c r="L201" s="14">
        <f>AVERAGE(L198:L200)</f>
        <v>0</v>
      </c>
      <c r="M201" s="12"/>
      <c r="N201" s="14">
        <f t="shared" ref="N201:R201" si="5">AVERAGE(N198:N200)</f>
        <v>59.487165469495501</v>
      </c>
      <c r="O201" s="12">
        <f t="shared" si="5"/>
        <v>19.41005845618005</v>
      </c>
      <c r="P201" s="11">
        <f t="shared" si="5"/>
        <v>6.1537053675418454</v>
      </c>
      <c r="Q201" s="11">
        <f t="shared" si="5"/>
        <v>14.949070706782598</v>
      </c>
      <c r="R201" s="11">
        <f t="shared" si="5"/>
        <v>0</v>
      </c>
      <c r="S201" s="15"/>
      <c r="T201" s="14">
        <f t="shared" ref="T201:V201" si="6">AVERAGE(T198:T200)</f>
        <v>70.029937933552389</v>
      </c>
      <c r="U201" s="12">
        <f t="shared" si="6"/>
        <v>12.416940489229646</v>
      </c>
      <c r="V201" s="11">
        <f t="shared" si="6"/>
        <v>10.522818546914932</v>
      </c>
      <c r="W201" s="11">
        <f>AVERAGE(W198:W200)</f>
        <v>7.0303030303030312</v>
      </c>
      <c r="X201" s="11">
        <f>AVERAGE(X198:X200)</f>
        <v>0</v>
      </c>
      <c r="Y201" s="15"/>
      <c r="Z201" s="8">
        <f>AVERAGE(B201,H201,N201,T201)</f>
        <v>60.504731064946732</v>
      </c>
      <c r="AA201" s="8">
        <f t="shared" ref="AA201" si="7">AVERAGE(C201,I201,O201,U201)</f>
        <v>18.563305540327175</v>
      </c>
      <c r="AB201" s="8">
        <f t="shared" ref="AB201" si="8">AVERAGE(D201,J201,P201,V201)</f>
        <v>8.9867131151397626</v>
      </c>
      <c r="AC201" s="8">
        <f t="shared" ref="AC201" si="9">AVERAGE(E201,K201,Q201,W201)</f>
        <v>11.945250279586334</v>
      </c>
      <c r="AD201" s="8">
        <f>AVERAGE(F201,L201,R201,X201)</f>
        <v>0</v>
      </c>
    </row>
    <row r="204" spans="1:30" x14ac:dyDescent="0.2">
      <c r="A204" s="31" t="s">
        <v>65</v>
      </c>
      <c r="B204" s="32" t="s">
        <v>53</v>
      </c>
      <c r="C204" s="32"/>
      <c r="D204" s="32"/>
      <c r="E204" s="32"/>
      <c r="F204" s="32"/>
      <c r="G204" s="4" t="s">
        <v>64</v>
      </c>
      <c r="H204" s="32" t="s">
        <v>54</v>
      </c>
      <c r="I204" s="32"/>
      <c r="J204" s="32"/>
      <c r="K204" s="32"/>
      <c r="L204" s="32"/>
      <c r="M204" s="4" t="s">
        <v>64</v>
      </c>
      <c r="N204" s="32" t="s">
        <v>55</v>
      </c>
      <c r="O204" s="32"/>
      <c r="P204" s="32"/>
      <c r="Q204" s="32"/>
      <c r="R204" s="32"/>
      <c r="S204" s="4" t="s">
        <v>64</v>
      </c>
      <c r="T204" s="32" t="s">
        <v>56</v>
      </c>
      <c r="U204" s="32"/>
      <c r="V204" s="32"/>
      <c r="W204" s="32"/>
      <c r="X204" s="32"/>
      <c r="Y204" s="4" t="s">
        <v>64</v>
      </c>
    </row>
    <row r="205" spans="1:30" x14ac:dyDescent="0.2">
      <c r="A205" s="32"/>
      <c r="B205" s="4" t="s">
        <v>20</v>
      </c>
      <c r="C205" s="4" t="s">
        <v>21</v>
      </c>
      <c r="D205" s="4" t="s">
        <v>60</v>
      </c>
      <c r="E205" s="4" t="s">
        <v>61</v>
      </c>
      <c r="F205" s="4" t="s">
        <v>62</v>
      </c>
      <c r="G205" s="4"/>
      <c r="H205" s="4" t="s">
        <v>20</v>
      </c>
      <c r="I205" s="4" t="s">
        <v>21</v>
      </c>
      <c r="J205" s="4" t="s">
        <v>60</v>
      </c>
      <c r="K205" s="4" t="s">
        <v>61</v>
      </c>
      <c r="L205" s="4" t="s">
        <v>62</v>
      </c>
      <c r="M205" s="4"/>
      <c r="N205" s="4" t="s">
        <v>20</v>
      </c>
      <c r="O205" s="4" t="s">
        <v>21</v>
      </c>
      <c r="P205" s="4" t="s">
        <v>60</v>
      </c>
      <c r="Q205" s="4" t="s">
        <v>61</v>
      </c>
      <c r="R205" s="4" t="s">
        <v>62</v>
      </c>
      <c r="S205" s="4"/>
      <c r="T205" s="4" t="s">
        <v>20</v>
      </c>
      <c r="U205" s="4" t="s">
        <v>21</v>
      </c>
      <c r="V205" s="4" t="s">
        <v>60</v>
      </c>
      <c r="W205" s="4" t="s">
        <v>61</v>
      </c>
      <c r="X205" s="4" t="s">
        <v>62</v>
      </c>
      <c r="Y205" s="4"/>
    </row>
    <row r="206" spans="1:30" x14ac:dyDescent="0.2">
      <c r="A206" s="5" t="s">
        <v>57</v>
      </c>
      <c r="B206" s="6">
        <f>$I$12/$L$12*100</f>
        <v>70.72072072072072</v>
      </c>
      <c r="C206" s="6">
        <f>$I$13/$L$13*100</f>
        <v>6.756756756756757</v>
      </c>
      <c r="D206" s="6">
        <f>$I$14/$L$14*100</f>
        <v>3.1531531531531529</v>
      </c>
      <c r="E206" s="6">
        <f>$I$15/$L$15*100</f>
        <v>19.36936936936937</v>
      </c>
      <c r="F206" s="6">
        <f>$I$16/$L$16*100</f>
        <v>0</v>
      </c>
      <c r="G206" s="8">
        <f>SUM(B206:F206)</f>
        <v>100</v>
      </c>
      <c r="H206" s="6">
        <f>$I$27/$L$27*100</f>
        <v>69.090909090909093</v>
      </c>
      <c r="I206" s="6">
        <f>$I$28/$L$28*100</f>
        <v>7.2727272727272725</v>
      </c>
      <c r="J206" s="6">
        <f>$I$29/$L$29*100</f>
        <v>10.909090909090908</v>
      </c>
      <c r="K206" s="6">
        <f>$I$30/$L$30*100</f>
        <v>12.727272727272727</v>
      </c>
      <c r="L206" s="6">
        <f>$I$31/$L$31*100</f>
        <v>0</v>
      </c>
      <c r="M206" s="8">
        <f>SUM(H206:L206)</f>
        <v>100</v>
      </c>
      <c r="N206" s="6">
        <f>$I$42/$L$42*100</f>
        <v>73.451327433628322</v>
      </c>
      <c r="O206" s="6">
        <f>$I$43/$L$43*100</f>
        <v>7.9646017699115044</v>
      </c>
      <c r="P206" s="6">
        <f>$I$44/$L$44*100</f>
        <v>1.7699115044247788</v>
      </c>
      <c r="Q206" s="6">
        <f>$I$45/$L$45*100</f>
        <v>16.814159292035399</v>
      </c>
      <c r="R206" s="6">
        <f>$I$46/$L$46*100</f>
        <v>0</v>
      </c>
      <c r="S206" s="8">
        <f>SUM(N206:R206)</f>
        <v>100.00000000000001</v>
      </c>
      <c r="T206" s="6">
        <f>$I$57/$L$57*100</f>
        <v>88.52459016393442</v>
      </c>
      <c r="U206" s="6">
        <f>$I$58/$L$58*100</f>
        <v>11.475409836065573</v>
      </c>
      <c r="V206" s="6">
        <f>$I$59/$L$59*100</f>
        <v>0</v>
      </c>
      <c r="W206" s="6">
        <f>$I$60/$L$60*100</f>
        <v>0</v>
      </c>
      <c r="X206" s="6">
        <f>$I$61/$L$61*100</f>
        <v>0</v>
      </c>
      <c r="Y206" s="8">
        <f>SUM(T206:X206)</f>
        <v>100</v>
      </c>
    </row>
    <row r="207" spans="1:30" x14ac:dyDescent="0.2">
      <c r="A207" s="5" t="s">
        <v>58</v>
      </c>
      <c r="B207" s="6">
        <f>$I$72/$L$72*100</f>
        <v>69.851116625310169</v>
      </c>
      <c r="C207" s="6">
        <f>$I$73/$L$73*100</f>
        <v>14.267990074441686</v>
      </c>
      <c r="D207" s="6">
        <f>$I$74/$L$74*100</f>
        <v>4.7146401985111659</v>
      </c>
      <c r="E207" s="6">
        <f>$I$75/$L$75*100</f>
        <v>11.166253101736972</v>
      </c>
      <c r="F207" s="6">
        <f>$I$76/$L$76*100</f>
        <v>0</v>
      </c>
      <c r="G207" s="8">
        <f>SUM(B207:F207)</f>
        <v>99.999999999999986</v>
      </c>
      <c r="H207" s="6">
        <f>$I$87/$L$87*100</f>
        <v>65.306122448979593</v>
      </c>
      <c r="I207" s="6">
        <f>$I$88/$L$88*100</f>
        <v>18.367346938775512</v>
      </c>
      <c r="J207" s="6">
        <f>$I$89/$L$89*100</f>
        <v>6.1224489795918364</v>
      </c>
      <c r="K207" s="6">
        <f>$I$90/$L$90*100</f>
        <v>10.204081632653061</v>
      </c>
      <c r="L207" s="6">
        <f>$I$91/$L$91*100</f>
        <v>0</v>
      </c>
      <c r="M207" s="8">
        <f>SUM(H207:L207)</f>
        <v>100</v>
      </c>
      <c r="N207" s="6">
        <f>$I$102/$L$102*100</f>
        <v>78.160919540229884</v>
      </c>
      <c r="O207" s="6">
        <f>$I$103/$L$103*100</f>
        <v>9.1954022988505741</v>
      </c>
      <c r="P207" s="6">
        <f>$I$104/$L$104*100</f>
        <v>3.4482758620689653</v>
      </c>
      <c r="Q207" s="6">
        <f>$I$105/$L$105*100</f>
        <v>9.1954022988505741</v>
      </c>
      <c r="R207" s="6">
        <f>$I$106/$L$106*100</f>
        <v>0</v>
      </c>
      <c r="S207" s="8">
        <f>SUM(N207:R207)</f>
        <v>100</v>
      </c>
      <c r="T207" s="6">
        <f>$I$117/$L$117*100</f>
        <v>69.369369369369366</v>
      </c>
      <c r="U207" s="6">
        <f>$I$118/$L$118*100</f>
        <v>15.315315315315313</v>
      </c>
      <c r="V207" s="6">
        <f>$I$119/$L$119*100</f>
        <v>10.810810810810811</v>
      </c>
      <c r="W207" s="6">
        <f>$I$120/$L$120*100</f>
        <v>4.5045045045045047</v>
      </c>
      <c r="X207" s="6">
        <f>$I$121/$L$121*100</f>
        <v>0</v>
      </c>
      <c r="Y207" s="8">
        <f>SUM(T207:X207)</f>
        <v>100</v>
      </c>
    </row>
    <row r="208" spans="1:30" ht="16" thickBot="1" x14ac:dyDescent="0.25">
      <c r="A208" s="9" t="s">
        <v>59</v>
      </c>
      <c r="B208" s="6">
        <f>$I$132/$L$132*100</f>
        <v>28.18181818181818</v>
      </c>
      <c r="C208" s="6">
        <f>$I$133/$L$133*100</f>
        <v>34.545454545454547</v>
      </c>
      <c r="D208" s="6">
        <f>$I$134/$L$134*100</f>
        <v>13.636363636363635</v>
      </c>
      <c r="E208" s="6">
        <f>$I$135/$L$135*100</f>
        <v>23.636363636363637</v>
      </c>
      <c r="F208" s="6">
        <f>$I$136/$L$136*100</f>
        <v>0</v>
      </c>
      <c r="G208" s="8">
        <f>SUM(B208:F208)</f>
        <v>100</v>
      </c>
      <c r="H208" s="6">
        <f>$I$147/$L$147*100</f>
        <v>66.666666666666657</v>
      </c>
      <c r="I208" s="6">
        <f>$I$148/$L$148*100</f>
        <v>20</v>
      </c>
      <c r="J208" s="6">
        <f>$I$149/$L$149*100</f>
        <v>6.666666666666667</v>
      </c>
      <c r="K208" s="6">
        <f>$I$150/$L$150*100</f>
        <v>6.666666666666667</v>
      </c>
      <c r="L208" s="6">
        <f>$I$151/$L$151*100</f>
        <v>0</v>
      </c>
      <c r="M208" s="8">
        <f>SUM(H208:L208)</f>
        <v>100</v>
      </c>
      <c r="N208" s="6">
        <f>$I$162/$L$162*100</f>
        <v>39.080459770114942</v>
      </c>
      <c r="O208" s="6">
        <f>$I$163/$L$163*100</f>
        <v>21.839080459770116</v>
      </c>
      <c r="P208" s="6">
        <f>$I$164/$L$164*100</f>
        <v>16.091954022988507</v>
      </c>
      <c r="Q208" s="6">
        <f>$I$165/$L$165*100</f>
        <v>22.988505747126435</v>
      </c>
      <c r="R208" s="6">
        <f>$I$166/$L$166*100</f>
        <v>0</v>
      </c>
      <c r="S208" s="8">
        <f>SUM(N208:R208)</f>
        <v>100</v>
      </c>
      <c r="T208" s="6">
        <f>$I$177/$L$177*100</f>
        <v>39.682539682539684</v>
      </c>
      <c r="U208" s="6">
        <f>$I$178/$L$178*100</f>
        <v>28.571428571428569</v>
      </c>
      <c r="V208" s="6">
        <f>$I$179/$L$179*100</f>
        <v>14.285714285714285</v>
      </c>
      <c r="W208" s="6">
        <f>$I$180/$L$180*100</f>
        <v>17.460317460317459</v>
      </c>
      <c r="X208" s="6">
        <f>$I$181/$L$181*100</f>
        <v>0</v>
      </c>
      <c r="Y208" s="8">
        <f>SUM(T208:X208)</f>
        <v>99.999999999999986</v>
      </c>
    </row>
    <row r="209" spans="1:30" x14ac:dyDescent="0.2">
      <c r="A209" s="10" t="s">
        <v>50</v>
      </c>
      <c r="B209" s="11">
        <f>AVERAGE(B206:B208)</f>
        <v>56.251218509283028</v>
      </c>
      <c r="C209" s="12">
        <f t="shared" ref="C209:F209" si="10">AVERAGE(C206:C208)</f>
        <v>18.523400458884328</v>
      </c>
      <c r="D209" s="11">
        <f t="shared" si="10"/>
        <v>7.1680523293426512</v>
      </c>
      <c r="E209" s="11">
        <f t="shared" si="10"/>
        <v>18.057328702489993</v>
      </c>
      <c r="F209" s="11">
        <f t="shared" si="10"/>
        <v>0</v>
      </c>
      <c r="G209" s="12"/>
      <c r="H209" s="11">
        <f>AVERAGE(H206:H208)</f>
        <v>67.021232735518453</v>
      </c>
      <c r="I209" s="13">
        <f>AVERAGE(I206:I208)</f>
        <v>15.213358070500929</v>
      </c>
      <c r="J209" s="14">
        <f>AVERAGE(J206:J208)</f>
        <v>7.8994021851164709</v>
      </c>
      <c r="K209" s="14">
        <f>AVERAGE(K206:K208)</f>
        <v>9.8660070088641518</v>
      </c>
      <c r="L209" s="14">
        <f>AVERAGE(L206:L208)</f>
        <v>0</v>
      </c>
      <c r="M209" s="12"/>
      <c r="N209" s="14">
        <f t="shared" ref="N209:R209" si="11">AVERAGE(N206:N208)</f>
        <v>63.564235581324375</v>
      </c>
      <c r="O209" s="12">
        <f t="shared" si="11"/>
        <v>12.999694842844065</v>
      </c>
      <c r="P209" s="11">
        <f t="shared" si="11"/>
        <v>7.1033804631607502</v>
      </c>
      <c r="Q209" s="11">
        <f t="shared" si="11"/>
        <v>16.332689112670803</v>
      </c>
      <c r="R209" s="11">
        <f t="shared" si="11"/>
        <v>0</v>
      </c>
      <c r="S209" s="15"/>
      <c r="T209" s="14">
        <f t="shared" ref="T209:V209" si="12">AVERAGE(T206:T208)</f>
        <v>65.858833071947814</v>
      </c>
      <c r="U209" s="12">
        <f t="shared" si="12"/>
        <v>18.454051240936483</v>
      </c>
      <c r="V209" s="11">
        <f t="shared" si="12"/>
        <v>8.3655083655083651</v>
      </c>
      <c r="W209" s="11">
        <f>AVERAGE(W206:W208)</f>
        <v>7.3216073216073214</v>
      </c>
      <c r="X209" s="11">
        <f>AVERAGE(X206:X208)</f>
        <v>0</v>
      </c>
      <c r="Y209" s="15"/>
      <c r="Z209" s="8">
        <f>AVERAGE(B209,H209,N209,T209)</f>
        <v>63.173879974518414</v>
      </c>
      <c r="AA209" s="8">
        <f t="shared" ref="AA209" si="13">AVERAGE(C209,I209,O209,U209)</f>
        <v>16.29762615329145</v>
      </c>
      <c r="AB209" s="8">
        <f t="shared" ref="AB209" si="14">AVERAGE(D209,J209,P209,V209)</f>
        <v>7.6340858357820593</v>
      </c>
      <c r="AC209" s="8">
        <f t="shared" ref="AC209" si="15">AVERAGE(E209,K209,Q209,W209)</f>
        <v>12.894408036408068</v>
      </c>
      <c r="AD209" s="8">
        <f>AVERAGE(F209,L209,R209,X209)</f>
        <v>0</v>
      </c>
    </row>
    <row r="213" spans="1:30" x14ac:dyDescent="0.2">
      <c r="A213" s="31" t="s">
        <v>67</v>
      </c>
      <c r="B213" s="32" t="s">
        <v>53</v>
      </c>
      <c r="C213" s="32"/>
      <c r="D213" s="32"/>
      <c r="E213" s="32"/>
      <c r="F213" s="32"/>
      <c r="G213" s="4"/>
      <c r="H213" s="32" t="s">
        <v>54</v>
      </c>
      <c r="I213" s="32"/>
      <c r="J213" s="32"/>
      <c r="K213" s="32"/>
      <c r="L213" s="32"/>
      <c r="M213" s="4"/>
      <c r="N213" s="32" t="s">
        <v>55</v>
      </c>
      <c r="O213" s="32"/>
      <c r="P213" s="32"/>
      <c r="Q213" s="32"/>
      <c r="R213" s="32"/>
      <c r="S213" s="4"/>
      <c r="T213" s="32" t="s">
        <v>56</v>
      </c>
      <c r="U213" s="32"/>
      <c r="V213" s="32"/>
      <c r="W213" s="32"/>
      <c r="X213" s="32"/>
      <c r="Y213" s="4" t="s">
        <v>64</v>
      </c>
    </row>
    <row r="214" spans="1:30" x14ac:dyDescent="0.2">
      <c r="A214" s="32"/>
      <c r="B214" s="4" t="s">
        <v>20</v>
      </c>
      <c r="C214" s="4" t="s">
        <v>21</v>
      </c>
      <c r="D214" s="4" t="s">
        <v>60</v>
      </c>
      <c r="E214" s="4" t="s">
        <v>61</v>
      </c>
      <c r="F214" s="4" t="s">
        <v>62</v>
      </c>
      <c r="G214" s="4"/>
      <c r="H214" s="4" t="s">
        <v>20</v>
      </c>
      <c r="I214" s="4" t="s">
        <v>21</v>
      </c>
      <c r="J214" s="4" t="s">
        <v>60</v>
      </c>
      <c r="K214" s="4" t="s">
        <v>61</v>
      </c>
      <c r="L214" s="4" t="s">
        <v>62</v>
      </c>
      <c r="M214" s="4"/>
      <c r="N214" s="4" t="s">
        <v>20</v>
      </c>
      <c r="O214" s="4" t="s">
        <v>21</v>
      </c>
      <c r="P214" s="4" t="s">
        <v>60</v>
      </c>
      <c r="Q214" s="4" t="s">
        <v>61</v>
      </c>
      <c r="R214" s="4" t="s">
        <v>62</v>
      </c>
      <c r="S214" s="4"/>
      <c r="T214" s="4" t="s">
        <v>20</v>
      </c>
      <c r="U214" s="4" t="s">
        <v>21</v>
      </c>
      <c r="V214" s="4" t="s">
        <v>60</v>
      </c>
      <c r="W214" s="4" t="s">
        <v>61</v>
      </c>
      <c r="X214" s="4" t="s">
        <v>62</v>
      </c>
      <c r="Y214" s="4"/>
    </row>
    <row r="215" spans="1:30" x14ac:dyDescent="0.2">
      <c r="A215" s="5" t="s">
        <v>57</v>
      </c>
      <c r="B215" s="6">
        <f>$J$2/$M$2*100</f>
        <v>86.734693877551024</v>
      </c>
      <c r="C215" s="8">
        <f>$J$3/$M$2*100</f>
        <v>9.183673469387756</v>
      </c>
      <c r="D215" s="6">
        <f>$J$4/$M$2*100</f>
        <v>0</v>
      </c>
      <c r="E215" s="6">
        <f>$J$5/$M$2*100</f>
        <v>4.0816326530612246</v>
      </c>
      <c r="F215" s="8">
        <f>$J$6/$M$2*100</f>
        <v>0</v>
      </c>
      <c r="G215" s="8"/>
      <c r="H215" s="6">
        <f>$J$17/$M$17*100</f>
        <v>83.333333333333343</v>
      </c>
      <c r="I215" s="8">
        <f>$J$18/$M$17*100</f>
        <v>0</v>
      </c>
      <c r="J215" s="6">
        <f>$J$19/$M$17*100</f>
        <v>0</v>
      </c>
      <c r="K215" s="6">
        <f>$J$20/$M$17*100</f>
        <v>16.666666666666664</v>
      </c>
      <c r="L215" s="8">
        <f>$J$21/$M$17*100</f>
        <v>0</v>
      </c>
      <c r="M215" s="8"/>
      <c r="N215" s="6">
        <f>$J$32/$M$32*100</f>
        <v>94.505494505494497</v>
      </c>
      <c r="O215" s="6">
        <f>$J$33/$M$33*100</f>
        <v>2.197802197802198</v>
      </c>
      <c r="P215" s="6">
        <f>$J$34/$M$34*100</f>
        <v>1.098901098901099</v>
      </c>
      <c r="Q215" s="6">
        <f>$J$35/$M$35*100</f>
        <v>2.197802197802198</v>
      </c>
      <c r="R215" s="6">
        <f>$J$36/$M$36*100</f>
        <v>0</v>
      </c>
      <c r="S215" s="8"/>
      <c r="T215" s="6">
        <f>$J$47/$M$47*100</f>
        <v>97.959183673469383</v>
      </c>
      <c r="U215" s="6">
        <f>$J$48/$M$48*100</f>
        <v>0</v>
      </c>
      <c r="V215" s="6">
        <f>$J$49/$M$49*100</f>
        <v>0</v>
      </c>
      <c r="W215" s="6">
        <f>$J$50/$M$50*100</f>
        <v>2.0408163265306123</v>
      </c>
      <c r="X215" s="6">
        <f>$J$51/$M$51*100</f>
        <v>0</v>
      </c>
      <c r="Y215" s="8">
        <f>SUM(T215:X215)</f>
        <v>100</v>
      </c>
    </row>
    <row r="216" spans="1:30" x14ac:dyDescent="0.2">
      <c r="A216" s="5" t="s">
        <v>58</v>
      </c>
      <c r="B216" s="6">
        <f>$J$62/$M$62*100</f>
        <v>54.430379746835442</v>
      </c>
      <c r="C216" s="6">
        <f>$J$63/$M$62*100</f>
        <v>15.18987341772152</v>
      </c>
      <c r="D216" s="8">
        <f>$J$64/$M$62*100</f>
        <v>8.8607594936708853</v>
      </c>
      <c r="E216" s="8">
        <f>$J$65/$M$62*100</f>
        <v>21.518987341772153</v>
      </c>
      <c r="F216" s="8">
        <f>$J$66/$M$62*100</f>
        <v>0</v>
      </c>
      <c r="G216" s="8"/>
      <c r="H216" s="6">
        <f>$J$77/$M$77*100</f>
        <v>84.210526315789465</v>
      </c>
      <c r="I216" s="6">
        <f>$J$78/$M$77*100</f>
        <v>5.2631578947368416</v>
      </c>
      <c r="J216" s="8">
        <f>$J$79/$M$77*100</f>
        <v>5.2631578947368416</v>
      </c>
      <c r="K216" s="8">
        <f>$J$80/$M$77*100</f>
        <v>5.2631578947368416</v>
      </c>
      <c r="L216" s="8">
        <f>$J$81/$M$77*100</f>
        <v>0</v>
      </c>
      <c r="M216" s="8"/>
      <c r="N216" s="6">
        <f>$J$92/$M$92*100</f>
        <v>29.943502824858758</v>
      </c>
      <c r="O216" s="6">
        <f>$J$93/$M$93*100</f>
        <v>8.4745762711864394</v>
      </c>
      <c r="P216" s="6">
        <f>$J$94/$M$94*100</f>
        <v>4.5197740112994351</v>
      </c>
      <c r="Q216" s="6">
        <f>$J$95/$M$95*100</f>
        <v>56.497175141242941</v>
      </c>
      <c r="R216" s="6">
        <f>$J$96/$M$96*100</f>
        <v>0.56497175141242939</v>
      </c>
      <c r="S216" s="8"/>
      <c r="T216" s="6">
        <f>$J$107/$M$107*100</f>
        <v>26.47058823529412</v>
      </c>
      <c r="U216" s="6">
        <f>$J$108/$M$108*100</f>
        <v>23.52941176470588</v>
      </c>
      <c r="V216" s="6">
        <f>$J$109/$M$109*100</f>
        <v>8.8235294117647065</v>
      </c>
      <c r="W216" s="6">
        <f>$J$110/$M$110*100</f>
        <v>41.17647058823529</v>
      </c>
      <c r="X216" s="6">
        <f>$J$111/$M$111*100</f>
        <v>0</v>
      </c>
      <c r="Y216" s="8">
        <f>SUM(T216:X216)</f>
        <v>100</v>
      </c>
    </row>
    <row r="217" spans="1:30" ht="16" thickBot="1" x14ac:dyDescent="0.25">
      <c r="A217" s="9" t="s">
        <v>59</v>
      </c>
      <c r="B217" s="6">
        <f>$J$122/$M$122*100</f>
        <v>39.23444976076555</v>
      </c>
      <c r="C217" s="6">
        <f>$J$123/$M$122*100</f>
        <v>34.449760765550238</v>
      </c>
      <c r="D217" s="6">
        <f>$J$124/$M$122*100</f>
        <v>19.138755980861244</v>
      </c>
      <c r="E217" s="6">
        <f>$J$125/$M$122*100</f>
        <v>7.1770334928229662</v>
      </c>
      <c r="F217" s="6">
        <f>$J$126/$M$122*100</f>
        <v>0</v>
      </c>
      <c r="G217" s="8"/>
      <c r="H217" s="6">
        <f>$J$137/$M$137*100</f>
        <v>14.814814814814813</v>
      </c>
      <c r="I217" s="6">
        <f>$J$138/$M$137*100</f>
        <v>59.259259259259252</v>
      </c>
      <c r="J217" s="6">
        <f>$J$139/$M$137*100</f>
        <v>22.222222222222221</v>
      </c>
      <c r="K217" s="6">
        <f>$J$140/$M$137*100</f>
        <v>3.7037037037037033</v>
      </c>
      <c r="L217" s="6">
        <f>$J$141/$M$137*100</f>
        <v>0</v>
      </c>
      <c r="M217" s="8"/>
      <c r="N217" s="6">
        <f>$J$152/$M$152*100</f>
        <v>36</v>
      </c>
      <c r="O217" s="6">
        <f>$J$153/$M$153*100</f>
        <v>24</v>
      </c>
      <c r="P217" s="6">
        <f>$J$154/$M$154*100</f>
        <v>16</v>
      </c>
      <c r="Q217" s="6">
        <f>$J$155/$M$155*100</f>
        <v>24</v>
      </c>
      <c r="R217" s="6">
        <f>$J$156/$M$156*100</f>
        <v>0</v>
      </c>
      <c r="S217" s="8"/>
      <c r="T217" s="6">
        <f>$J$167/$M$167*100</f>
        <v>47.5</v>
      </c>
      <c r="U217" s="6">
        <f>$J$168/$M$168*100</f>
        <v>20</v>
      </c>
      <c r="V217" s="6">
        <f>$J$169/$M$169*100</f>
        <v>7.5</v>
      </c>
      <c r="W217" s="6">
        <f>$J$170/$M$170*100</f>
        <v>25</v>
      </c>
      <c r="X217" s="6">
        <f>$J$171/$M$171*100</f>
        <v>0</v>
      </c>
      <c r="Y217" s="8">
        <f>SUM(T217:X217)</f>
        <v>100</v>
      </c>
    </row>
    <row r="218" spans="1:30" x14ac:dyDescent="0.2">
      <c r="A218" s="10" t="s">
        <v>50</v>
      </c>
      <c r="B218" s="11">
        <f>AVERAGE(B215:B217)</f>
        <v>60.133174461717346</v>
      </c>
      <c r="C218" s="12">
        <f t="shared" ref="C218:F218" si="16">AVERAGE(C215:C217)</f>
        <v>19.607769217553173</v>
      </c>
      <c r="D218" s="11">
        <f t="shared" si="16"/>
        <v>9.3331718248440438</v>
      </c>
      <c r="E218" s="11">
        <f t="shared" si="16"/>
        <v>10.925884495885448</v>
      </c>
      <c r="F218" s="11">
        <f t="shared" si="16"/>
        <v>0</v>
      </c>
      <c r="G218" s="12"/>
      <c r="H218" s="11">
        <f>AVERAGE(H215:H217)</f>
        <v>60.786224821312537</v>
      </c>
      <c r="I218" s="13">
        <f>AVERAGE(I215:I217)</f>
        <v>21.507472384665363</v>
      </c>
      <c r="J218" s="14">
        <f>AVERAGE(J215:J217)</f>
        <v>9.1617933723196874</v>
      </c>
      <c r="K218" s="14">
        <f>AVERAGE(K215:K217)</f>
        <v>8.5445094217024025</v>
      </c>
      <c r="L218" s="14">
        <f>AVERAGE(L215:L217)</f>
        <v>0</v>
      </c>
      <c r="M218" s="12"/>
      <c r="N218" s="14">
        <f t="shared" ref="N218:R218" si="17">AVERAGE(N215:N217)</f>
        <v>53.482999110117753</v>
      </c>
      <c r="O218" s="12">
        <f t="shared" si="17"/>
        <v>11.557459489662881</v>
      </c>
      <c r="P218" s="11">
        <f t="shared" si="17"/>
        <v>7.2062250367335112</v>
      </c>
      <c r="Q218" s="11">
        <f t="shared" si="17"/>
        <v>27.564992446348381</v>
      </c>
      <c r="R218" s="11">
        <f t="shared" si="17"/>
        <v>0.18832391713747645</v>
      </c>
      <c r="S218" s="15"/>
      <c r="T218" s="14">
        <f t="shared" ref="T218:V218" si="18">AVERAGE(T215:T217)</f>
        <v>57.309923969587828</v>
      </c>
      <c r="U218" s="12">
        <f t="shared" si="18"/>
        <v>14.509803921568627</v>
      </c>
      <c r="V218" s="11">
        <f t="shared" si="18"/>
        <v>5.4411764705882355</v>
      </c>
      <c r="W218" s="11">
        <f>AVERAGE(W215:W217)</f>
        <v>22.739095638255304</v>
      </c>
      <c r="X218" s="11">
        <f>AVERAGE(X215:X217)</f>
        <v>0</v>
      </c>
      <c r="Y218" s="15"/>
      <c r="Z218" s="8">
        <f>AVERAGE(B218,H218,N218,T218)</f>
        <v>57.928080590683869</v>
      </c>
      <c r="AA218" s="8">
        <f>AVERAGE(C218,I218,O218,U218)</f>
        <v>16.79562625336251</v>
      </c>
      <c r="AB218" s="8">
        <f>AVERAGE(D218,J218,P218,V218)</f>
        <v>7.7855916761213688</v>
      </c>
      <c r="AC218" s="8">
        <f>AVERAGE(E218,K218,Q218,W218)</f>
        <v>17.443620500547883</v>
      </c>
      <c r="AD218" s="8">
        <f>AVERAGE(F218,L218,R218,X218)</f>
        <v>4.7080979284369114E-2</v>
      </c>
    </row>
    <row r="219" spans="1:30" x14ac:dyDescent="0.2">
      <c r="B219" s="8"/>
      <c r="H219" s="8"/>
      <c r="T219" s="8"/>
    </row>
    <row r="220" spans="1:30" x14ac:dyDescent="0.2">
      <c r="B220" s="8"/>
      <c r="H220" s="8"/>
      <c r="T220" s="8"/>
    </row>
    <row r="221" spans="1:30" ht="15" customHeight="1" x14ac:dyDescent="0.2">
      <c r="A221" s="31" t="s">
        <v>72</v>
      </c>
      <c r="B221" s="32" t="s">
        <v>53</v>
      </c>
      <c r="C221" s="32"/>
      <c r="D221" s="32"/>
      <c r="E221" s="32"/>
      <c r="F221" s="32"/>
      <c r="G221" s="4"/>
      <c r="H221" s="32" t="s">
        <v>54</v>
      </c>
      <c r="I221" s="32"/>
      <c r="J221" s="32"/>
      <c r="K221" s="32"/>
      <c r="L221" s="32"/>
      <c r="M221" s="4"/>
      <c r="N221" s="32" t="s">
        <v>55</v>
      </c>
      <c r="O221" s="32"/>
      <c r="P221" s="32"/>
      <c r="Q221" s="32"/>
      <c r="R221" s="32"/>
      <c r="S221" s="4" t="s">
        <v>64</v>
      </c>
      <c r="T221" s="32" t="s">
        <v>56</v>
      </c>
      <c r="U221" s="32"/>
      <c r="V221" s="32"/>
      <c r="W221" s="32"/>
      <c r="X221" s="32"/>
      <c r="Y221" s="4" t="s">
        <v>64</v>
      </c>
    </row>
    <row r="222" spans="1:30" x14ac:dyDescent="0.2">
      <c r="A222" s="32"/>
      <c r="B222" s="4" t="s">
        <v>20</v>
      </c>
      <c r="C222" s="4" t="s">
        <v>21</v>
      </c>
      <c r="D222" s="4" t="s">
        <v>60</v>
      </c>
      <c r="E222" s="4" t="s">
        <v>61</v>
      </c>
      <c r="F222" s="4" t="s">
        <v>62</v>
      </c>
      <c r="G222" s="4"/>
      <c r="H222" s="4" t="s">
        <v>20</v>
      </c>
      <c r="I222" s="4" t="s">
        <v>21</v>
      </c>
      <c r="J222" s="4" t="s">
        <v>60</v>
      </c>
      <c r="K222" s="4" t="s">
        <v>61</v>
      </c>
      <c r="L222" s="4" t="s">
        <v>62</v>
      </c>
      <c r="M222" s="4"/>
      <c r="N222" s="4" t="s">
        <v>20</v>
      </c>
      <c r="O222" s="4" t="s">
        <v>21</v>
      </c>
      <c r="P222" s="4" t="s">
        <v>60</v>
      </c>
      <c r="Q222" s="4" t="s">
        <v>61</v>
      </c>
      <c r="R222" s="4" t="s">
        <v>62</v>
      </c>
      <c r="S222" s="4"/>
      <c r="T222" s="4" t="s">
        <v>20</v>
      </c>
      <c r="U222" s="4" t="s">
        <v>21</v>
      </c>
      <c r="V222" s="4" t="s">
        <v>60</v>
      </c>
      <c r="W222" s="4" t="s">
        <v>61</v>
      </c>
      <c r="X222" s="4" t="s">
        <v>62</v>
      </c>
      <c r="Y222" s="4"/>
    </row>
    <row r="223" spans="1:30" x14ac:dyDescent="0.2">
      <c r="A223" s="5" t="s">
        <v>57</v>
      </c>
      <c r="B223" s="6">
        <f>$J$7/$M$7*100</f>
        <v>79.775280898876403</v>
      </c>
      <c r="C223" s="8">
        <f>$J$8/$M$7*100</f>
        <v>13.48314606741573</v>
      </c>
      <c r="D223" s="6">
        <f>$J$9/$M$7*100</f>
        <v>4.4943820224719104</v>
      </c>
      <c r="E223" s="6">
        <f>$J$10/$M$7*100</f>
        <v>2.2471910112359552</v>
      </c>
      <c r="F223" s="8">
        <f>$J$11/$M$2*100</f>
        <v>0</v>
      </c>
      <c r="G223" s="8"/>
      <c r="H223" s="6">
        <f>$J$22/$M$22*100</f>
        <v>70.833333333333343</v>
      </c>
      <c r="I223" s="6">
        <f>$J$23/$M$23*100</f>
        <v>4.1666666666666661</v>
      </c>
      <c r="J223" s="6">
        <f>$J$24/$M$24*100</f>
        <v>0</v>
      </c>
      <c r="K223" s="6">
        <f>$J$25/$M$25*100</f>
        <v>25</v>
      </c>
      <c r="L223" s="6">
        <f>$J$26/$M$26*100</f>
        <v>0</v>
      </c>
      <c r="M223" s="8"/>
      <c r="N223" s="6">
        <f>$J$37/$M$37*100</f>
        <v>82.51748251748252</v>
      </c>
      <c r="O223" s="6">
        <f>$J$38/$M$38*100</f>
        <v>6.6433566433566433</v>
      </c>
      <c r="P223" s="6">
        <f>$J$39/$M$39*100</f>
        <v>0</v>
      </c>
      <c r="Q223" s="6">
        <f>$J$40/$M$40*100</f>
        <v>10.839160839160838</v>
      </c>
      <c r="R223" s="6">
        <f>$J$41/$M$41*100</f>
        <v>0</v>
      </c>
      <c r="S223" s="8">
        <f>SUM(N223:R223)</f>
        <v>100</v>
      </c>
      <c r="T223" s="6">
        <f>$J$52/$M$52*100</f>
        <v>81.081081081081081</v>
      </c>
      <c r="U223" s="6">
        <f>$J$53/$M$53*100</f>
        <v>0</v>
      </c>
      <c r="V223" s="6">
        <f>$J$54/$M$54*100</f>
        <v>2.7027027027027026</v>
      </c>
      <c r="W223" s="6">
        <f>$J$55/$M$55*100</f>
        <v>16.216216216216218</v>
      </c>
      <c r="X223" s="6">
        <f>$J$56/$M$56*100</f>
        <v>0</v>
      </c>
      <c r="Y223" s="8">
        <f>SUM(T223:X223)</f>
        <v>100</v>
      </c>
    </row>
    <row r="224" spans="1:30" x14ac:dyDescent="0.2">
      <c r="A224" s="5" t="s">
        <v>58</v>
      </c>
      <c r="B224" s="6">
        <f>$J$67/$M$67*100</f>
        <v>57.142857142857139</v>
      </c>
      <c r="C224" s="6">
        <f>$J$68/$M$67*100</f>
        <v>14.285714285714285</v>
      </c>
      <c r="D224" s="8">
        <f>$J$69/$M$67*100</f>
        <v>9.0909090909090917</v>
      </c>
      <c r="E224" s="8">
        <f>$J$70/$M$67*100</f>
        <v>19.480519480519483</v>
      </c>
      <c r="F224" s="8">
        <f>$J$71/$M$62*100</f>
        <v>0</v>
      </c>
      <c r="G224" s="8"/>
      <c r="H224" s="6">
        <f>$J$82/$M$82*100</f>
        <v>65.217391304347828</v>
      </c>
      <c r="I224" s="6">
        <f>$J$83/$M$83*100</f>
        <v>17.391304347826086</v>
      </c>
      <c r="J224" s="6">
        <f>$J$84/$M$84*100</f>
        <v>0</v>
      </c>
      <c r="K224" s="6">
        <f>$J$85/$M$85*100</f>
        <v>17.391304347826086</v>
      </c>
      <c r="L224" s="6">
        <f>$J$86/$M$86*100</f>
        <v>0</v>
      </c>
      <c r="M224" s="8"/>
      <c r="N224" s="6">
        <f>$J$97/$M$97*100</f>
        <v>20.276497695852534</v>
      </c>
      <c r="O224" s="6">
        <f>$J$98/$M$98*100</f>
        <v>11.52073732718894</v>
      </c>
      <c r="P224" s="6">
        <f>$J$99/$M$99*100</f>
        <v>3.6866359447004609</v>
      </c>
      <c r="Q224" s="6">
        <f>$J$100/$M$100*100</f>
        <v>64.516129032258064</v>
      </c>
      <c r="R224" s="6">
        <f>$J$101/$M$101*100</f>
        <v>0</v>
      </c>
      <c r="S224" s="8">
        <f>SUM(N224:R224)</f>
        <v>100</v>
      </c>
      <c r="T224" s="6">
        <f>$J$112/$M$112*100</f>
        <v>41.379310344827587</v>
      </c>
      <c r="U224" s="6">
        <f>$J$113/$M$113*100</f>
        <v>24.137931034482758</v>
      </c>
      <c r="V224" s="6">
        <f>$J$114/$M$114*100</f>
        <v>3.4482758620689653</v>
      </c>
      <c r="W224" s="6">
        <f>$J$115/$M$115*100</f>
        <v>31.03448275862069</v>
      </c>
      <c r="X224" s="6">
        <f>$J$116/$M$116*100</f>
        <v>0</v>
      </c>
      <c r="Y224" s="8">
        <f>SUM(T224:X224)</f>
        <v>100</v>
      </c>
    </row>
    <row r="225" spans="1:30" ht="16" thickBot="1" x14ac:dyDescent="0.25">
      <c r="A225" s="9" t="s">
        <v>59</v>
      </c>
      <c r="B225" s="6">
        <f>$J$127/$M$127*100</f>
        <v>42.211055276381906</v>
      </c>
      <c r="C225" s="6">
        <f>$J$128/$M$127*100</f>
        <v>39.195979899497488</v>
      </c>
      <c r="D225" s="6">
        <f>$J$129/$M$127*100</f>
        <v>13.5678391959799</v>
      </c>
      <c r="E225" s="6">
        <f>$J$130/$M$127*100</f>
        <v>5.025125628140704</v>
      </c>
      <c r="F225" s="6">
        <f>$J$131/$M$127*100</f>
        <v>0</v>
      </c>
      <c r="G225" s="8"/>
      <c r="H225" s="6">
        <f>$J$142/$M$142*100</f>
        <v>18.518518518518519</v>
      </c>
      <c r="I225" s="6">
        <f>$J$143/$M$143*100</f>
        <v>48.148148148148145</v>
      </c>
      <c r="J225" s="6">
        <f>$J$144/$M$144*100</f>
        <v>11.111111111111111</v>
      </c>
      <c r="K225" s="6">
        <f>$J$145/$M$145*100</f>
        <v>22.222222222222221</v>
      </c>
      <c r="L225" s="6">
        <f>$J$146/$M$146*100</f>
        <v>0</v>
      </c>
      <c r="M225" s="8"/>
      <c r="N225" s="6">
        <f>$J$157/$M$157*100</f>
        <v>41.666666666666671</v>
      </c>
      <c r="O225" s="6">
        <f>$J$158/$M$158*100</f>
        <v>19.047619047619047</v>
      </c>
      <c r="P225" s="6">
        <f>$J$159/$M$159*100</f>
        <v>9.5238095238095237</v>
      </c>
      <c r="Q225" s="6">
        <f>$J$160/$M$160*100</f>
        <v>29.761904761904763</v>
      </c>
      <c r="R225" s="6">
        <f>$J$161/$M$161*100</f>
        <v>0</v>
      </c>
      <c r="S225" s="8">
        <f>SUM(N225:R225)</f>
        <v>100</v>
      </c>
      <c r="T225" s="6">
        <f>$J$172/$M$172*100</f>
        <v>33.802816901408448</v>
      </c>
      <c r="U225" s="6">
        <f>$J$173/$M$173*100</f>
        <v>29.577464788732392</v>
      </c>
      <c r="V225" s="6">
        <f>$J$174/$M$174*100</f>
        <v>22.535211267605636</v>
      </c>
      <c r="W225" s="6">
        <f>$J$175/$M$175*100</f>
        <v>14.084507042253522</v>
      </c>
      <c r="X225" s="6">
        <f>$J$176/$M$176*100</f>
        <v>0</v>
      </c>
      <c r="Y225" s="8">
        <f>SUM(T225:X225)</f>
        <v>100</v>
      </c>
    </row>
    <row r="226" spans="1:30" x14ac:dyDescent="0.2">
      <c r="A226" s="10" t="s">
        <v>50</v>
      </c>
      <c r="B226" s="11">
        <f>AVERAGE(B223:B225)</f>
        <v>59.709731106038475</v>
      </c>
      <c r="C226" s="12">
        <f t="shared" ref="C226:F226" si="19">AVERAGE(C223:C225)</f>
        <v>22.321613417542505</v>
      </c>
      <c r="D226" s="11">
        <f t="shared" si="19"/>
        <v>9.0510434364536341</v>
      </c>
      <c r="E226" s="11">
        <f t="shared" si="19"/>
        <v>8.9176120399653804</v>
      </c>
      <c r="F226" s="11">
        <f t="shared" si="19"/>
        <v>0</v>
      </c>
      <c r="G226" s="12"/>
      <c r="H226" s="11">
        <f>AVERAGE(H223:H225)</f>
        <v>51.523081052066573</v>
      </c>
      <c r="I226" s="13">
        <f>AVERAGE(I223:I225)</f>
        <v>23.235373054213635</v>
      </c>
      <c r="J226" s="14">
        <f>AVERAGE(J223:J225)</f>
        <v>3.7037037037037037</v>
      </c>
      <c r="K226" s="14">
        <f>AVERAGE(K223:K225)</f>
        <v>21.537842190016104</v>
      </c>
      <c r="L226" s="14">
        <f>AVERAGE(L223:L225)</f>
        <v>0</v>
      </c>
      <c r="M226" s="12"/>
      <c r="N226" s="14">
        <f t="shared" ref="N226:R226" si="20">AVERAGE(N223:N225)</f>
        <v>48.15354896000057</v>
      </c>
      <c r="O226" s="12">
        <f t="shared" si="20"/>
        <v>12.403904339388211</v>
      </c>
      <c r="P226" s="11">
        <f t="shared" si="20"/>
        <v>4.4034818228366612</v>
      </c>
      <c r="Q226" s="11">
        <f t="shared" si="20"/>
        <v>35.039064877774557</v>
      </c>
      <c r="R226" s="11">
        <f t="shared" si="20"/>
        <v>0</v>
      </c>
      <c r="S226" s="15"/>
      <c r="T226" s="14">
        <f t="shared" ref="T226:V226" si="21">AVERAGE(T223:T225)</f>
        <v>52.087736109105698</v>
      </c>
      <c r="U226" s="12">
        <f t="shared" si="21"/>
        <v>17.905131941071716</v>
      </c>
      <c r="V226" s="11">
        <f t="shared" si="21"/>
        <v>9.5620632774591012</v>
      </c>
      <c r="W226" s="11">
        <f>AVERAGE(W223:W225)</f>
        <v>20.445068672363476</v>
      </c>
      <c r="X226" s="11">
        <f>AVERAGE(X223:X225)</f>
        <v>0</v>
      </c>
      <c r="Y226" s="15"/>
      <c r="Z226" s="8">
        <f>AVERAGE(B226,H226,N226,T226)</f>
        <v>52.868524306802826</v>
      </c>
      <c r="AA226" s="8">
        <f t="shared" ref="AA226" si="22">AVERAGE(C226,I226,O226,U226)</f>
        <v>18.966505688054017</v>
      </c>
      <c r="AB226" s="8">
        <f t="shared" ref="AB226" si="23">AVERAGE(D226,J226,P226,V226)</f>
        <v>6.6800730601132745</v>
      </c>
      <c r="AC226" s="8">
        <f t="shared" ref="AC226" si="24">AVERAGE(E226,K226,Q226,W226)</f>
        <v>21.484896945029881</v>
      </c>
      <c r="AD226" s="8">
        <f>AVERAGE(F226,L226,R226,X226)</f>
        <v>0</v>
      </c>
    </row>
    <row r="229" spans="1:30" ht="15" customHeight="1" x14ac:dyDescent="0.2">
      <c r="A229" s="31" t="s">
        <v>71</v>
      </c>
      <c r="B229" s="32" t="s">
        <v>53</v>
      </c>
      <c r="C229" s="32"/>
      <c r="D229" s="32"/>
      <c r="E229" s="32"/>
      <c r="F229" s="32"/>
      <c r="G229" s="4"/>
      <c r="H229" s="32" t="s">
        <v>54</v>
      </c>
      <c r="I229" s="32"/>
      <c r="J229" s="32"/>
      <c r="K229" s="32"/>
      <c r="L229" s="32"/>
      <c r="M229" s="4"/>
      <c r="N229" s="32" t="s">
        <v>55</v>
      </c>
      <c r="O229" s="32"/>
      <c r="P229" s="32"/>
      <c r="Q229" s="32"/>
      <c r="R229" s="32"/>
      <c r="S229" s="4" t="s">
        <v>64</v>
      </c>
      <c r="T229" s="32" t="s">
        <v>56</v>
      </c>
      <c r="U229" s="32"/>
      <c r="V229" s="32"/>
      <c r="W229" s="32"/>
      <c r="X229" s="32"/>
      <c r="Y229" s="4" t="s">
        <v>64</v>
      </c>
    </row>
    <row r="230" spans="1:30" x14ac:dyDescent="0.2">
      <c r="A230" s="32"/>
      <c r="B230" s="4" t="s">
        <v>20</v>
      </c>
      <c r="C230" s="4" t="s">
        <v>21</v>
      </c>
      <c r="D230" s="4" t="s">
        <v>60</v>
      </c>
      <c r="E230" s="4" t="s">
        <v>61</v>
      </c>
      <c r="F230" s="4" t="s">
        <v>62</v>
      </c>
      <c r="G230" s="4"/>
      <c r="H230" s="4" t="s">
        <v>20</v>
      </c>
      <c r="I230" s="4" t="s">
        <v>21</v>
      </c>
      <c r="J230" s="4" t="s">
        <v>60</v>
      </c>
      <c r="K230" s="4" t="s">
        <v>61</v>
      </c>
      <c r="L230" s="4" t="s">
        <v>62</v>
      </c>
      <c r="M230" s="4"/>
      <c r="N230" s="4" t="s">
        <v>20</v>
      </c>
      <c r="O230" s="4" t="s">
        <v>21</v>
      </c>
      <c r="P230" s="4" t="s">
        <v>60</v>
      </c>
      <c r="Q230" s="4" t="s">
        <v>61</v>
      </c>
      <c r="R230" s="4" t="s">
        <v>62</v>
      </c>
      <c r="S230" s="4"/>
      <c r="T230" s="4" t="s">
        <v>20</v>
      </c>
      <c r="U230" s="4" t="s">
        <v>21</v>
      </c>
      <c r="V230" s="4" t="s">
        <v>60</v>
      </c>
      <c r="W230" s="4" t="s">
        <v>61</v>
      </c>
      <c r="X230" s="4" t="s">
        <v>62</v>
      </c>
      <c r="Y230" s="4"/>
    </row>
    <row r="231" spans="1:30" x14ac:dyDescent="0.2">
      <c r="A231" s="5" t="s">
        <v>57</v>
      </c>
      <c r="B231" s="6">
        <f>$J$12/$M$12*100</f>
        <v>77.777777777777786</v>
      </c>
      <c r="C231" s="6">
        <f>$J$13/$M$13*100</f>
        <v>9.5238095238095237</v>
      </c>
      <c r="D231" s="6">
        <f>$J$14/$M$14*100</f>
        <v>0</v>
      </c>
      <c r="E231" s="6">
        <f>$J$15/$M$15*100</f>
        <v>12.698412698412698</v>
      </c>
      <c r="F231" s="6">
        <f>$J$16/$M$16*100</f>
        <v>0</v>
      </c>
      <c r="G231" s="8"/>
      <c r="H231" s="6">
        <f>$J$27/$M$27*100</f>
        <v>72</v>
      </c>
      <c r="I231" s="6">
        <f>$J$28/$M$28*100</f>
        <v>8</v>
      </c>
      <c r="J231" s="6">
        <f>$J$29/$M$29*100</f>
        <v>8</v>
      </c>
      <c r="K231" s="6">
        <f>$J$30/$M$30*100</f>
        <v>12</v>
      </c>
      <c r="L231" s="6">
        <f>$J$31/$M$31*100</f>
        <v>0</v>
      </c>
      <c r="M231" s="8"/>
      <c r="N231" s="6">
        <f>$J$42/$M$42*100</f>
        <v>89.433962264150949</v>
      </c>
      <c r="O231" s="6">
        <f>$J$43/$M$43*100</f>
        <v>3.0188679245283021</v>
      </c>
      <c r="P231" s="6">
        <f>$J$44/$M$44*100</f>
        <v>0</v>
      </c>
      <c r="Q231" s="6">
        <f>$J$45/$M$45*100</f>
        <v>7.5471698113207548</v>
      </c>
      <c r="R231" s="6">
        <f>$J$46/$M$46*100</f>
        <v>0</v>
      </c>
      <c r="S231" s="8">
        <f>SUM(N231:R231)</f>
        <v>100.00000000000001</v>
      </c>
      <c r="T231" s="6">
        <f>$J$57/$M$57*100</f>
        <v>45.714285714285715</v>
      </c>
      <c r="U231" s="6">
        <f>$J$58/$M$58*100</f>
        <v>2.8571428571428572</v>
      </c>
      <c r="V231" s="6">
        <f>$J$59/$M$59*100</f>
        <v>0</v>
      </c>
      <c r="W231" s="6">
        <f>$J$60/$M$60*100</f>
        <v>51.428571428571423</v>
      </c>
      <c r="X231" s="6">
        <f>$J$61/$M$61*100</f>
        <v>0</v>
      </c>
      <c r="Y231" s="8">
        <f>SUM(T231:X231)</f>
        <v>100</v>
      </c>
    </row>
    <row r="232" spans="1:30" x14ac:dyDescent="0.2">
      <c r="A232" s="5" t="s">
        <v>58</v>
      </c>
      <c r="B232" s="6">
        <f>$J$72/$M$72*100</f>
        <v>51.19047619047619</v>
      </c>
      <c r="C232" s="6">
        <f>$J$73/$M$73*100</f>
        <v>13.095238095238097</v>
      </c>
      <c r="D232" s="6">
        <f>$J$74/$M$74*100</f>
        <v>5.9523809523809517</v>
      </c>
      <c r="E232" s="6">
        <f>$J$75/$M$75*100</f>
        <v>29.761904761904763</v>
      </c>
      <c r="F232" s="6">
        <f>$J$76/$M$76*100</f>
        <v>0</v>
      </c>
      <c r="G232" s="8"/>
      <c r="H232" s="6">
        <f>$J$87/$M$87*100</f>
        <v>83.333333333333343</v>
      </c>
      <c r="I232" s="6">
        <f>$J$88/$M$88*100</f>
        <v>5.5555555555555554</v>
      </c>
      <c r="J232" s="6">
        <f>$J$89/$M$89*100</f>
        <v>0</v>
      </c>
      <c r="K232" s="6">
        <f>$J$90/$M$90*100</f>
        <v>11.111111111111111</v>
      </c>
      <c r="L232" s="6">
        <f>$J$91/$M$91*100</f>
        <v>0</v>
      </c>
      <c r="M232" s="8"/>
      <c r="N232" s="6">
        <f>$J$102/$M$102*100</f>
        <v>36.904761904761905</v>
      </c>
      <c r="O232" s="6">
        <f>$J$103/$M$103*100</f>
        <v>14.285714285714285</v>
      </c>
      <c r="P232" s="6">
        <f>$J$104/$M$104*100</f>
        <v>3.5714285714285712</v>
      </c>
      <c r="Q232" s="6">
        <f>$J$105/$M$105*100</f>
        <v>45.238095238095241</v>
      </c>
      <c r="R232" s="6">
        <f>$J$106/$M$106*100</f>
        <v>0</v>
      </c>
      <c r="S232" s="8">
        <f>SUM(N232:R232)</f>
        <v>100</v>
      </c>
      <c r="T232" s="6">
        <f>$J$117/$M$117*100</f>
        <v>36.666666666666664</v>
      </c>
      <c r="U232" s="6">
        <f>$J$118/$M$118*100</f>
        <v>6.666666666666667</v>
      </c>
      <c r="V232" s="6">
        <f>$J$119/$M$119*100</f>
        <v>10</v>
      </c>
      <c r="W232" s="6">
        <f>$J$120/$M$120*100</f>
        <v>46.666666666666664</v>
      </c>
      <c r="X232" s="6">
        <f>$J$121/$M$121*100</f>
        <v>0</v>
      </c>
      <c r="Y232" s="8">
        <f>SUM(T232:X232)</f>
        <v>100</v>
      </c>
    </row>
    <row r="233" spans="1:30" ht="16" thickBot="1" x14ac:dyDescent="0.25">
      <c r="A233" s="9" t="s">
        <v>59</v>
      </c>
      <c r="B233" s="6">
        <f>$J$132/$M$132*100</f>
        <v>49.565217391304351</v>
      </c>
      <c r="C233" s="6">
        <f>$J$133/$M$133*100</f>
        <v>26.956521739130434</v>
      </c>
      <c r="D233" s="6">
        <f>$J$134/$M$134*100</f>
        <v>17.391304347826086</v>
      </c>
      <c r="E233" s="6">
        <f>$J$135/$M$135*100</f>
        <v>6.0869565217391308</v>
      </c>
      <c r="F233" s="6">
        <f>$J$136/$M$136*100</f>
        <v>0</v>
      </c>
      <c r="G233" s="8"/>
      <c r="H233" s="6">
        <f>$J$147/$M$147*100</f>
        <v>8.3333333333333321</v>
      </c>
      <c r="I233" s="6">
        <f>$J$148/$M$148*100</f>
        <v>33.333333333333329</v>
      </c>
      <c r="J233" s="6">
        <f>$J$149/$M$149*100</f>
        <v>16.666666666666664</v>
      </c>
      <c r="K233" s="6">
        <f>$J$150/$M$150*100</f>
        <v>41.666666666666671</v>
      </c>
      <c r="L233" s="6">
        <f>$J$151/$M$151*100</f>
        <v>0</v>
      </c>
      <c r="M233" s="8"/>
      <c r="N233" s="6">
        <f>$J$162/$M$162*100</f>
        <v>32.894736842105267</v>
      </c>
      <c r="O233" s="6">
        <f>$J$163/$M$163*100</f>
        <v>15.789473684210526</v>
      </c>
      <c r="P233" s="6">
        <f>$J$164/$M$164*100</f>
        <v>17.105263157894736</v>
      </c>
      <c r="Q233" s="6">
        <f>$J$165/$M$165*100</f>
        <v>34.210526315789473</v>
      </c>
      <c r="R233" s="6">
        <f>$J$166/$M$166*100</f>
        <v>0</v>
      </c>
      <c r="S233" s="8">
        <f>SUM(N233:R233)</f>
        <v>100</v>
      </c>
      <c r="T233" s="6">
        <f>$J$177/$M$177*100</f>
        <v>42.1875</v>
      </c>
      <c r="U233" s="6">
        <f>$J$178/$M$178*100</f>
        <v>29.6875</v>
      </c>
      <c r="V233" s="6">
        <f>$J$179/$M$179*100</f>
        <v>12.5</v>
      </c>
      <c r="W233" s="6">
        <f>$J$180/$M$180*100</f>
        <v>15.625</v>
      </c>
      <c r="X233" s="6">
        <f>$J$181/$M$181*100</f>
        <v>0</v>
      </c>
      <c r="Y233" s="8">
        <f>SUM(T233:X233)</f>
        <v>100</v>
      </c>
    </row>
    <row r="234" spans="1:30" x14ac:dyDescent="0.2">
      <c r="A234" s="10" t="s">
        <v>50</v>
      </c>
      <c r="B234" s="11">
        <f>AVERAGE(B231:B233)</f>
        <v>59.511157119852776</v>
      </c>
      <c r="C234" s="12">
        <f t="shared" ref="C234:F234" si="25">AVERAGE(C231:C233)</f>
        <v>16.525189786059354</v>
      </c>
      <c r="D234" s="11">
        <f t="shared" si="25"/>
        <v>7.7812284334023465</v>
      </c>
      <c r="E234" s="11">
        <f t="shared" si="25"/>
        <v>16.18242466068553</v>
      </c>
      <c r="F234" s="11">
        <f t="shared" si="25"/>
        <v>0</v>
      </c>
      <c r="G234" s="12"/>
      <c r="H234" s="11">
        <f>AVERAGE(H231:H233)</f>
        <v>54.555555555555564</v>
      </c>
      <c r="I234" s="13">
        <f>AVERAGE(I231:I233)</f>
        <v>15.629629629629628</v>
      </c>
      <c r="J234" s="14">
        <f>AVERAGE(J231:J233)</f>
        <v>8.2222222222222214</v>
      </c>
      <c r="K234" s="14">
        <f>AVERAGE(K231:K233)</f>
        <v>21.592592592592595</v>
      </c>
      <c r="L234" s="14">
        <f>AVERAGE(L231:L233)</f>
        <v>0</v>
      </c>
      <c r="M234" s="12"/>
      <c r="N234" s="14">
        <f t="shared" ref="N234:R234" si="26">AVERAGE(N231:N233)</f>
        <v>53.077820337006038</v>
      </c>
      <c r="O234" s="12">
        <f t="shared" si="26"/>
        <v>11.031351964817704</v>
      </c>
      <c r="P234" s="11">
        <f t="shared" si="26"/>
        <v>6.8922305764411034</v>
      </c>
      <c r="Q234" s="11">
        <f t="shared" si="26"/>
        <v>28.998597121735155</v>
      </c>
      <c r="R234" s="11">
        <f t="shared" si="26"/>
        <v>0</v>
      </c>
      <c r="S234" s="15"/>
      <c r="T234" s="14">
        <f t="shared" ref="T234:V234" si="27">AVERAGE(T231:T233)</f>
        <v>41.522817460317462</v>
      </c>
      <c r="U234" s="12">
        <f t="shared" si="27"/>
        <v>13.070436507936508</v>
      </c>
      <c r="V234" s="11">
        <f t="shared" si="27"/>
        <v>7.5</v>
      </c>
      <c r="W234" s="11">
        <f>AVERAGE(W231:W233)</f>
        <v>37.906746031746032</v>
      </c>
      <c r="X234" s="11">
        <f>AVERAGE(X231:X233)</f>
        <v>0</v>
      </c>
      <c r="Y234" s="15"/>
      <c r="Z234" s="8">
        <f>AVERAGE(B234,H234,N234,T234)</f>
        <v>52.16683761818296</v>
      </c>
      <c r="AA234" s="8">
        <f t="shared" ref="AA234" si="28">AVERAGE(C234,I234,O234,U234)</f>
        <v>14.064151972110798</v>
      </c>
      <c r="AB234" s="8">
        <f t="shared" ref="AB234" si="29">AVERAGE(D234,J234,P234,V234)</f>
        <v>7.5989203080164183</v>
      </c>
      <c r="AC234" s="8">
        <f t="shared" ref="AC234" si="30">AVERAGE(E234,K234,Q234,W234)</f>
        <v>26.17009010168983</v>
      </c>
      <c r="AD234" s="8">
        <f>AVERAGE(F234,L234,R234,X234)</f>
        <v>0</v>
      </c>
    </row>
    <row r="237" spans="1:30" x14ac:dyDescent="0.2">
      <c r="V237" t="s">
        <v>150</v>
      </c>
      <c r="W237" s="3" t="s">
        <v>20</v>
      </c>
      <c r="X237" s="3" t="s">
        <v>21</v>
      </c>
      <c r="Y237" s="3" t="s">
        <v>60</v>
      </c>
      <c r="Z237" s="3" t="s">
        <v>61</v>
      </c>
      <c r="AA237" s="3" t="s">
        <v>62</v>
      </c>
    </row>
    <row r="238" spans="1:30" x14ac:dyDescent="0.2">
      <c r="V238" s="18" t="s">
        <v>52</v>
      </c>
      <c r="W238" s="8" cm="1">
        <f t="array" ref="W238:AA238">Z193:AD193</f>
        <v>66.937324757649762</v>
      </c>
      <c r="X238" s="8">
        <v>12.851754356661857</v>
      </c>
      <c r="Y238" s="7">
        <v>8.5199288730980065</v>
      </c>
      <c r="Z238" s="7">
        <v>11.690992012590371</v>
      </c>
      <c r="AA238" s="8">
        <v>0</v>
      </c>
    </row>
    <row r="239" spans="1:30" x14ac:dyDescent="0.2">
      <c r="V239" s="18" t="s">
        <v>51</v>
      </c>
      <c r="W239" s="8" cm="1">
        <f t="array" ref="W239:AA239">Z201:AD201</f>
        <v>60.504731064946732</v>
      </c>
      <c r="X239" s="8">
        <v>18.563305540327175</v>
      </c>
      <c r="Y239" s="7">
        <v>8.9867131151397626</v>
      </c>
      <c r="Z239" s="8">
        <v>11.945250279586334</v>
      </c>
      <c r="AA239" s="8">
        <v>0</v>
      </c>
    </row>
    <row r="240" spans="1:30" x14ac:dyDescent="0.2">
      <c r="V240" s="18" t="s">
        <v>49</v>
      </c>
      <c r="W240" s="8" cm="1">
        <f t="array" ref="W240:AA240">Z209:AD209</f>
        <v>63.173879974518414</v>
      </c>
      <c r="X240" s="8">
        <v>16.29762615329145</v>
      </c>
      <c r="Y240" s="8">
        <v>7.6340858357820593</v>
      </c>
      <c r="Z240" s="8">
        <v>12.894408036408068</v>
      </c>
      <c r="AA240" s="8">
        <v>0</v>
      </c>
    </row>
    <row r="242" spans="22:27" x14ac:dyDescent="0.2">
      <c r="V242" t="s">
        <v>151</v>
      </c>
      <c r="W242" s="3" t="s">
        <v>20</v>
      </c>
      <c r="X242" s="3" t="s">
        <v>21</v>
      </c>
      <c r="Y242" s="3" t="s">
        <v>60</v>
      </c>
      <c r="Z242" s="3" t="s">
        <v>61</v>
      </c>
      <c r="AA242" s="3" t="s">
        <v>62</v>
      </c>
    </row>
    <row r="243" spans="22:27" x14ac:dyDescent="0.2">
      <c r="V243" s="18" t="s">
        <v>52</v>
      </c>
      <c r="W243" s="8" cm="1">
        <f t="array" ref="W243:AA243">Z218:AD218</f>
        <v>57.928080590683869</v>
      </c>
      <c r="X243" s="8">
        <v>16.79562625336251</v>
      </c>
      <c r="Y243" s="7">
        <v>7.7855916761213688</v>
      </c>
      <c r="Z243" s="7">
        <v>17.443620500547883</v>
      </c>
      <c r="AA243" s="8">
        <v>4.7080979284369114E-2</v>
      </c>
    </row>
    <row r="244" spans="22:27" x14ac:dyDescent="0.2">
      <c r="V244" s="18" t="s">
        <v>51</v>
      </c>
      <c r="W244" s="8" cm="1">
        <f t="array" ref="W244:AA244">Z226:AD226</f>
        <v>52.868524306802826</v>
      </c>
      <c r="X244" s="8">
        <v>18.966505688054017</v>
      </c>
      <c r="Y244" s="8">
        <v>6.6800730601132745</v>
      </c>
      <c r="Z244" s="8">
        <v>21.484896945029881</v>
      </c>
      <c r="AA244" s="16">
        <v>0</v>
      </c>
    </row>
    <row r="245" spans="22:27" x14ac:dyDescent="0.2">
      <c r="V245" s="18" t="s">
        <v>49</v>
      </c>
      <c r="W245" s="8" cm="1">
        <f t="array" ref="W245:AA245">Z234:AD234</f>
        <v>52.16683761818296</v>
      </c>
      <c r="X245" s="8">
        <v>14.064151972110798</v>
      </c>
      <c r="Y245" s="8">
        <v>7.5989203080164183</v>
      </c>
      <c r="Z245" s="8">
        <v>26.17009010168983</v>
      </c>
      <c r="AA245" s="8">
        <v>0</v>
      </c>
    </row>
  </sheetData>
  <mergeCells count="30">
    <mergeCell ref="N196:R196"/>
    <mergeCell ref="T188:X188"/>
    <mergeCell ref="N188:R188"/>
    <mergeCell ref="T196:X196"/>
    <mergeCell ref="A188:A189"/>
    <mergeCell ref="H188:L188"/>
    <mergeCell ref="B188:F188"/>
    <mergeCell ref="A196:A197"/>
    <mergeCell ref="B196:F196"/>
    <mergeCell ref="H196:L196"/>
    <mergeCell ref="A213:A214"/>
    <mergeCell ref="B213:F213"/>
    <mergeCell ref="H213:L213"/>
    <mergeCell ref="N213:R213"/>
    <mergeCell ref="T213:X213"/>
    <mergeCell ref="A204:A205"/>
    <mergeCell ref="B204:F204"/>
    <mergeCell ref="H204:L204"/>
    <mergeCell ref="N204:R204"/>
    <mergeCell ref="T204:X204"/>
    <mergeCell ref="A229:A230"/>
    <mergeCell ref="B229:F229"/>
    <mergeCell ref="H229:L229"/>
    <mergeCell ref="N229:R229"/>
    <mergeCell ref="T229:X229"/>
    <mergeCell ref="A221:A222"/>
    <mergeCell ref="B221:F221"/>
    <mergeCell ref="H221:L221"/>
    <mergeCell ref="N221:R221"/>
    <mergeCell ref="T221:X2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CR-IA</vt:lpstr>
      <vt:lpstr>early_stopping</vt:lpstr>
      <vt:lpstr>IR-CA</vt:lpstr>
      <vt:lpstr>malicious</vt:lpstr>
      <vt:lpstr>share-mode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Naomi Knudsen</cp:lastModifiedBy>
  <dcterms:created xsi:type="dcterms:W3CDTF">2026-05-14T17:38:02Z</dcterms:created>
  <dcterms:modified xsi:type="dcterms:W3CDTF">2026-05-31T22:25:42Z</dcterms:modified>
</cp:coreProperties>
</file>