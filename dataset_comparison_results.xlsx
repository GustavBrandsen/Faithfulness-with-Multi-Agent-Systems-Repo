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-IA" sheetId="1" r:id="rId5"/>
    <sheet state="visible" name="dataset" sheetId="2" r:id="rId6"/>
    <sheet state="visible" name="early_stopping" sheetId="3" r:id="rId7"/>
    <sheet state="visible" name="IR-CA" sheetId="4" r:id="rId8"/>
    <sheet state="visible" name="malicious" sheetId="5" r:id="rId9"/>
    <sheet state="visible" name="share-mode" sheetId="6" r:id="rId10"/>
  </sheets>
  <definedNames/>
  <calcPr/>
</workbook>
</file>

<file path=xl/sharedStrings.xml><?xml version="1.0" encoding="utf-8"?>
<sst xmlns="http://schemas.openxmlformats.org/spreadsheetml/2006/main" count="5951" uniqueCount="339">
  <si>
    <t>Comparison</t>
  </si>
  <si>
    <t>Model</t>
  </si>
  <si>
    <t>System</t>
  </si>
  <si>
    <t>Share Mode</t>
  </si>
  <si>
    <t>Dataset</t>
  </si>
  <si>
    <t>Num Agents</t>
  </si>
  <si>
    <t>Malicious Agents</t>
  </si>
  <si>
    <t>Wrong→Correct</t>
  </si>
  <si>
    <t>Wrong→Different Wrong</t>
  </si>
  <si>
    <t>Wrong→Same Wrong</t>
  </si>
  <si>
    <t>Wrong→Malicious Wrong</t>
  </si>
  <si>
    <t>Correct→Wrong</t>
  </si>
  <si>
    <t>Correct→Malicious Wrong</t>
  </si>
  <si>
    <t>Correct→Correct</t>
  </si>
  <si>
    <t>Malicious Wrong Convergence</t>
  </si>
  <si>
    <t>Num Tasks</t>
  </si>
  <si>
    <t>Missed Patterns</t>
  </si>
  <si>
    <t>Baseline and Malicious Equal</t>
  </si>
  <si>
    <t>Task Doesn't Exist in Baseline</t>
  </si>
  <si>
    <t>Malicious Agent Answers Ground Truth</t>
  </si>
  <si>
    <t>Qwen, both, MAS</t>
  </si>
  <si>
    <t>Qwen2.5-3B-Instruct</t>
  </si>
  <si>
    <t>MAS</t>
  </si>
  <si>
    <t>both</t>
  </si>
  <si>
    <t>openai/gsm8k</t>
  </si>
  <si>
    <t>[]</t>
  </si>
  <si>
    <t>cais/mmlu</t>
  </si>
  <si>
    <t>ChilleD/StrategyQA</t>
  </si>
  <si>
    <t>CR-IA Agents</t>
  </si>
  <si>
    <t>tasksource/bigbench</t>
  </si>
  <si>
    <t>Wrong→CR-IA Wrong</t>
  </si>
  <si>
    <t>Olmo, both, MAS</t>
  </si>
  <si>
    <t>Olmo-3-7B-Instruct</t>
  </si>
  <si>
    <t>Correct→CR-IA Wrong</t>
  </si>
  <si>
    <t>CR-IA Wrong Convergence</t>
  </si>
  <si>
    <t>Baseline and CR-IA Equal</t>
  </si>
  <si>
    <t>CR-IA Agent Answers Ground Truth</t>
  </si>
  <si>
    <t>How many start out correct?</t>
  </si>
  <si>
    <t>How many start out correct compared to baseline (%)</t>
  </si>
  <si>
    <t xml:space="preserve">How many are skipped (%)? </t>
  </si>
  <si>
    <t>Qwen, GSM8K, MAS, both</t>
  </si>
  <si>
    <t>openai/gsm8k: No Mal Agent</t>
  </si>
  <si>
    <t>Llama, both, MAS</t>
  </si>
  <si>
    <t>Llama-3.2-3B-Instruct</t>
  </si>
  <si>
    <t>openai/gsm8k: Mal Agent 1</t>
  </si>
  <si>
    <t>[0]</t>
  </si>
  <si>
    <t>openai/gsm8k: Mal Agent 2</t>
  </si>
  <si>
    <t>[1]</t>
  </si>
  <si>
    <t>Qwen, both, SAS</t>
  </si>
  <si>
    <t>SAS</t>
  </si>
  <si>
    <t>openai/gsm8k: Mal Agent 3</t>
  </si>
  <si>
    <t>[2]</t>
  </si>
  <si>
    <t>Qwen, MMLU, MAS, both</t>
  </si>
  <si>
    <t>cais/mmlu: No Mal Agent</t>
  </si>
  <si>
    <t>Olmo, both, SAS</t>
  </si>
  <si>
    <t>cais/mmlu: Mal Agent 1</t>
  </si>
  <si>
    <t>cais/mmlu: Mal Agent 2</t>
  </si>
  <si>
    <t>cais/mmlu: Mal Agent 3</t>
  </si>
  <si>
    <t>Llama, both, SAS</t>
  </si>
  <si>
    <t>Qwen, StrategyQA, MAS, both</t>
  </si>
  <si>
    <t>ChilleD/StrategyQA: No Mal Agent</t>
  </si>
  <si>
    <t>ChilleD/StrategyQA: Mal Agent 1</t>
  </si>
  <si>
    <t>ChilleD/StrategyQA: Mal Agent 2</t>
  </si>
  <si>
    <t>GSM8K</t>
  </si>
  <si>
    <t>MMLU</t>
  </si>
  <si>
    <t xml:space="preserve">StrategyQA </t>
  </si>
  <si>
    <t>Sports</t>
  </si>
  <si>
    <t>ChilleD/StrategyQA: Mal Agent 3</t>
  </si>
  <si>
    <t>Qwen2.5</t>
  </si>
  <si>
    <t>Qwen, BigBench, MAS, both</t>
  </si>
  <si>
    <t>tasksource/bigbench: No Mal Agent</t>
  </si>
  <si>
    <t>tasksource/bigbench: Mal Agent 1</t>
  </si>
  <si>
    <t>tasksource/bigbench: Mal Agent 2</t>
  </si>
  <si>
    <t>Olmo 3</t>
  </si>
  <si>
    <t>tasksource/bigbench: Mal Agent 3</t>
  </si>
  <si>
    <t>Olmo, GSM8K, MAS, both</t>
  </si>
  <si>
    <t>Llama 3.2</t>
  </si>
  <si>
    <t>Olmo, MMLU, MAS, both</t>
  </si>
  <si>
    <t>Olmo, StrategyQA, MAS, both</t>
  </si>
  <si>
    <t>Wrong→Wrong</t>
  </si>
  <si>
    <t>Olmo, BigBench, MAS, both</t>
  </si>
  <si>
    <t>ES Agents</t>
  </si>
  <si>
    <t>Wrong→ES Wrong</t>
  </si>
  <si>
    <t>Correct→ES Wrong</t>
  </si>
  <si>
    <t>ES Wrong Convergence</t>
  </si>
  <si>
    <t>Baseline and ES Equal</t>
  </si>
  <si>
    <t>ES Agent Answers Ground Truth</t>
  </si>
  <si>
    <t>Llama, GSM8K, MAS, both</t>
  </si>
  <si>
    <t>Llama, MMLU, MAS, both</t>
  </si>
  <si>
    <t>Llama, StrategyQA, MAS, both</t>
  </si>
  <si>
    <t>Share-Mode
Accuracy</t>
  </si>
  <si>
    <t>Llama, BigBench, MAS, both</t>
  </si>
  <si>
    <t>AVERAGE</t>
  </si>
  <si>
    <t>openai/gsm8k: Mal Agent 1 &amp; 2</t>
  </si>
  <si>
    <t>[0, 1]</t>
  </si>
  <si>
    <t>openai/gsm8k: Mal Agent 1 &amp; 3</t>
  </si>
  <si>
    <t>[0, 2]</t>
  </si>
  <si>
    <t>openai/gsm8k: Mal Agent 2 &amp; 3</t>
  </si>
  <si>
    <t>[1, 2]</t>
  </si>
  <si>
    <t>CR-IA Agents Have Different Answer
Both Share-Mode</t>
  </si>
  <si>
    <t>CR-IA Agent 1 and 2</t>
  </si>
  <si>
    <t>CR-IA Agent 1 and 3</t>
  </si>
  <si>
    <t>CR-IA Agent 2 and 3</t>
  </si>
  <si>
    <t>CR-IA Agents Have Same Answer
Both Share-Mode</t>
  </si>
  <si>
    <t>cais/mmlu: Mal Agent 1 &amp; 2</t>
  </si>
  <si>
    <t>Total</t>
  </si>
  <si>
    <t>cais/mmlu: Mal Agent 1 &amp; 3</t>
  </si>
  <si>
    <t>cais/mmlu: Mal Agent 2 &amp; 3</t>
  </si>
  <si>
    <t>ChilleD/StrategyQA: Mal Agent 1 &amp; 2</t>
  </si>
  <si>
    <t>Number recovery rate</t>
  </si>
  <si>
    <t>ChilleD/StrategyQA: Mal Agent 1 &amp; 3</t>
  </si>
  <si>
    <t>ChilleD/StrategyQA: Mal Agent 2 &amp; 3</t>
  </si>
  <si>
    <t>Olmo Think, GSM8K, MAS, both</t>
  </si>
  <si>
    <t>Olmo-3-7B-Think</t>
  </si>
  <si>
    <t>Olmo Think, MMLU, MAS, both</t>
  </si>
  <si>
    <t>tasksource/bigbench: Mal Agent 1 &amp; 2</t>
  </si>
  <si>
    <t>Olmo Think, StrategyQA, MAS, both</t>
  </si>
  <si>
    <t>Number propagation rate</t>
  </si>
  <si>
    <t>tasksource/bigbench: Mal Agent 1 &amp; 3</t>
  </si>
  <si>
    <t>Olmo Think, BigBench, MAS, both</t>
  </si>
  <si>
    <t>tasksource/bigbench: Mal Agent 2 &amp; 3</t>
  </si>
  <si>
    <t>Number malicious propagation rate</t>
  </si>
  <si>
    <t>Number correct-to-correct</t>
  </si>
  <si>
    <t>Percentage of Total Tasks</t>
  </si>
  <si>
    <t xml:space="preserve">Wrong-to-Correct </t>
  </si>
  <si>
    <t xml:space="preserve">Correct-to-Wrong </t>
  </si>
  <si>
    <t xml:space="preserve">Correct-to-Correct </t>
  </si>
  <si>
    <t>tasksource/bigbench: No Mal Agent - both</t>
  </si>
  <si>
    <t>tasksource/bigbench: Mal Agent 1 - both</t>
  </si>
  <si>
    <t>tasksource/bigbench: Mal Agent 2 - both</t>
  </si>
  <si>
    <t>Percenateg Recovery</t>
  </si>
  <si>
    <t>tasksource/bigbench: Mal Agent 3 - both</t>
  </si>
  <si>
    <t>Qwen, BigBench, MAS, answer</t>
  </si>
  <si>
    <t>answer</t>
  </si>
  <si>
    <t>tasksource/bigbench: No Mal Agent - answer</t>
  </si>
  <si>
    <t>tasksource/bigbench: Mal Agent 1 - answer</t>
  </si>
  <si>
    <t>tasksource/bigbench: Mal Agent 2 - answer</t>
  </si>
  <si>
    <t>tasksource/bigbench: Mal Agent 3 - answer</t>
  </si>
  <si>
    <t>Olmo, BigBench, MAS, answer</t>
  </si>
  <si>
    <t>Percentage Propagation</t>
  </si>
  <si>
    <t>Llama, BigBench, MAS, answer</t>
  </si>
  <si>
    <t>openai/gsm8k: No Mal Agent - both</t>
  </si>
  <si>
    <t>openai/gsm8k: Mal Agent 1 - both</t>
  </si>
  <si>
    <t>openai/gsm8k: Mal Agent 2 - both</t>
  </si>
  <si>
    <t>openai/gsm8k: Mal Agent 3 - both</t>
  </si>
  <si>
    <t>Qwen, GSM8K, MAS, answer</t>
  </si>
  <si>
    <t>openai/gsm8k: No Mal Agent - answer</t>
  </si>
  <si>
    <t>openai/gsm8k: Mal Agent 1 - answer</t>
  </si>
  <si>
    <t>openai/gsm8k: Mal Agent 2 - answer</t>
  </si>
  <si>
    <t>openai/gsm8k: Mal Agent 3 - answer</t>
  </si>
  <si>
    <t>Percenateg Malicious Propagation</t>
  </si>
  <si>
    <t>Olmo, GSM8K, MAS, answer</t>
  </si>
  <si>
    <t>N/A</t>
  </si>
  <si>
    <t>One IR-CA Agent
Both Share-Mode</t>
  </si>
  <si>
    <t>IR-CA Agent 1</t>
  </si>
  <si>
    <t>IR-CA Agent 2</t>
  </si>
  <si>
    <t>IR-CA Agent 3</t>
  </si>
  <si>
    <t>Llama, GSM8K, MAS, answer</t>
  </si>
  <si>
    <t>Percentage Correct-to-Correct</t>
  </si>
  <si>
    <t>cais/mmlu: No Mal Agent - both</t>
  </si>
  <si>
    <t>cais/mmlu: Mal Agent 1 - both</t>
  </si>
  <si>
    <t>cais/mmlu: Mal Agent 2 - both</t>
  </si>
  <si>
    <t>cais/mmlu: Mal Agent 3 - both</t>
  </si>
  <si>
    <t>Qwen, MMLU, MAS, answer</t>
  </si>
  <si>
    <t>cais/mmlu: No Mal Agent - answer</t>
  </si>
  <si>
    <t>cais/mmlu: Mal Agent 1 - answer</t>
  </si>
  <si>
    <t>cais/mmlu: Mal Agent 2 - answer</t>
  </si>
  <si>
    <t>cais/mmlu: Mal Agent 3 - answer</t>
  </si>
  <si>
    <t>Two ES Agents
Both Share-Mode</t>
  </si>
  <si>
    <t>ES Agent 1</t>
  </si>
  <si>
    <t>ES Agent 2</t>
  </si>
  <si>
    <t>ES Agent 3</t>
  </si>
  <si>
    <t>Start out correct</t>
  </si>
  <si>
    <t>Olmo, MMLU, MAS, answer</t>
  </si>
  <si>
    <t>One ES Agent
Both Share-Mode</t>
  </si>
  <si>
    <t>CR-IA Agents Answers
Both Share-Mode</t>
  </si>
  <si>
    <t>Baseline checks</t>
  </si>
  <si>
    <t>Only ground-truth check</t>
  </si>
  <si>
    <t>Different</t>
  </si>
  <si>
    <t>Same</t>
  </si>
  <si>
    <t>Average</t>
  </si>
  <si>
    <t>Llama, MMLU, MAS, answer</t>
  </si>
  <si>
    <t>MAX</t>
  </si>
  <si>
    <t>ChilleD/StrategyQA: No Mal Agent - both</t>
  </si>
  <si>
    <t>MIN</t>
  </si>
  <si>
    <t>ChilleD/StrategyQA: Mal Agent 1 - both</t>
  </si>
  <si>
    <t>Percentage Recovery</t>
  </si>
  <si>
    <t>ChilleD/StrategyQA: Mal Agent 2 - both</t>
  </si>
  <si>
    <t>ChilleD/StrategyQA: Mal Agent 3 - both</t>
  </si>
  <si>
    <t>Qwen, StrategyQA, MAS, answer</t>
  </si>
  <si>
    <t>ChilleD/StrategyQA: No Mal Agent - answer</t>
  </si>
  <si>
    <t>Percentage Malicious Propagation</t>
  </si>
  <si>
    <t>ChilleD/StrategyQA: Mal Agent 1 - answer</t>
  </si>
  <si>
    <t>ChilleD/StrategyQA: Mal Agent 2 - answer</t>
  </si>
  <si>
    <t>ChilleD/StrategyQA: Mal Agent 3 - answer</t>
  </si>
  <si>
    <t>Qwen Average</t>
  </si>
  <si>
    <t>Have Different Answer</t>
  </si>
  <si>
    <t>Have Same Answer</t>
  </si>
  <si>
    <t>Olmo, StrategyQA, MAS, answer</t>
  </si>
  <si>
    <t>Olmo Average</t>
  </si>
  <si>
    <t>Llama, StrategyQA, MAS, answer</t>
  </si>
  <si>
    <t>Llama Average</t>
  </si>
  <si>
    <t>One IR-CA Agent
Both Share-Mode
Instruct vs. Think</t>
  </si>
  <si>
    <t>Wrong-to-Correct ↓</t>
  </si>
  <si>
    <t>tasksource/bigbench: Mal Agent 1 &amp; 2 - both</t>
  </si>
  <si>
    <t>Olmo 3 Think</t>
  </si>
  <si>
    <t>tasksource/bigbench: Mal Agent 1 &amp; 3 - both</t>
  </si>
  <si>
    <t>tasksource/bigbench: Mal Agent 2 &amp; 3 - both</t>
  </si>
  <si>
    <t>IR-CA Agent 1 &amp; 2</t>
  </si>
  <si>
    <t>Baseline (Both)</t>
  </si>
  <si>
    <t>Correct-to-Correct  ↓</t>
  </si>
  <si>
    <t>One ES Agent
Both Share-Mode
Instruct vs. Think</t>
  </si>
  <si>
    <t>One ES Agents
Both Share-Mode</t>
  </si>
  <si>
    <t>Wrong-to-Wrong ↑</t>
  </si>
  <si>
    <t>openai/gsm8k: Mal Agent 1 &amp; 2 - both</t>
  </si>
  <si>
    <t>One CR-IA Agent
Both Share-Mode</t>
  </si>
  <si>
    <t>CR-IA Agent 1</t>
  </si>
  <si>
    <t>CR-IA Agent 2</t>
  </si>
  <si>
    <t>openai/gsm8k: Mal Agent 1 &amp; 3 - both</t>
  </si>
  <si>
    <t>CR-IA Agent 3</t>
  </si>
  <si>
    <t>openai/gsm8k: Mal Agent 2 &amp; 3 - both</t>
  </si>
  <si>
    <t>Correct-to-Wrong ↑</t>
  </si>
  <si>
    <t>Only olmo think avg</t>
  </si>
  <si>
    <t>Two IR-CA Agent
Both Share-Mode</t>
  </si>
  <si>
    <t>IR-CA Agent 1 &amp; 3</t>
  </si>
  <si>
    <t>IR-CA Agent 2 &amp; 3</t>
  </si>
  <si>
    <t>recovery potential</t>
  </si>
  <si>
    <t>Propagation rate</t>
  </si>
  <si>
    <t>cais/mmlu: Mal Agent 1 &amp; 2 - both</t>
  </si>
  <si>
    <t>cais/mmlu: Mal Agent 1 &amp; 3 - both</t>
  </si>
  <si>
    <t>cais/mmlu: Mal Agent 2 &amp; 3 - both</t>
  </si>
  <si>
    <t>CR-IA wrong convergence</t>
  </si>
  <si>
    <t>ES Agent 1 &amp; 2</t>
  </si>
  <si>
    <t>ES Agent 1 &amp; 3</t>
  </si>
  <si>
    <t>ES Agent 2 &amp; 3</t>
  </si>
  <si>
    <t>ChilleD/StrategyQA: Mal Agent 1 &amp; 2 - both</t>
  </si>
  <si>
    <t>ChilleD/StrategyQA: Mal Agent 1 &amp; 3 - both</t>
  </si>
  <si>
    <t>ChilleD/StrategyQA: Mal Agent 2 &amp; 3 - both</t>
  </si>
  <si>
    <t>Two ES Agent
Both Share-Mode</t>
  </si>
  <si>
    <t>Olmo</t>
  </si>
  <si>
    <t>One CR-IA Agent
Accuracy</t>
  </si>
  <si>
    <t>CR-IA wrong convergence ↑</t>
  </si>
  <si>
    <t>Olmo Think</t>
  </si>
  <si>
    <t>One Malicious Agent
Both Share-Mode</t>
  </si>
  <si>
    <t>Malicious Agent 1</t>
  </si>
  <si>
    <t>Malicious Agent 2</t>
  </si>
  <si>
    <t>Malicious Agent 3</t>
  </si>
  <si>
    <t>Recovery</t>
  </si>
  <si>
    <t>AVERAGE - No Think</t>
  </si>
  <si>
    <t>MAX  - No Think</t>
  </si>
  <si>
    <t>One CR-IA Agent
Both Share-Mode
Instruct vs. Think</t>
  </si>
  <si>
    <t>Propagation</t>
  </si>
  <si>
    <t>MIN  - No Think</t>
  </si>
  <si>
    <t>AVERAGE - Think</t>
  </si>
  <si>
    <t>MAX  - Think</t>
  </si>
  <si>
    <t>MIN  - Think</t>
  </si>
  <si>
    <t>Two IR-CA Agent
Both Share-Mode
Instruct vs. Think</t>
  </si>
  <si>
    <t>Two ES Agent
Both Share-Mode
Instruct vs. Think</t>
  </si>
  <si>
    <t xml:space="preserve">Wrong-to-Wrong </t>
  </si>
  <si>
    <t>Two CR-IA Agent
Both Share-Mode</t>
  </si>
  <si>
    <t>CR-IA Agent 1 &amp; 2</t>
  </si>
  <si>
    <t>CR-IA Agent 1 &amp; 3</t>
  </si>
  <si>
    <t>CR-IA Agent 2 &amp; 3</t>
  </si>
  <si>
    <t>ES Agent 1 and 2</t>
  </si>
  <si>
    <t>ES Agent 1 and 3</t>
  </si>
  <si>
    <t>ES Agent 2 and 3</t>
  </si>
  <si>
    <t>Both baseline</t>
  </si>
  <si>
    <t>One Malicious Agent
Accuracy</t>
  </si>
  <si>
    <t>Malicious wrong convergence</t>
  </si>
  <si>
    <t>Both Share-Mode
Instruct vs. Think, Baseline</t>
  </si>
  <si>
    <t>Both</t>
  </si>
  <si>
    <t>Baseline
Accuracy</t>
  </si>
  <si>
    <t>Both share-mode</t>
  </si>
  <si>
    <t>only think average</t>
  </si>
  <si>
    <t>ES Agent(s)
Both Share-Mode</t>
  </si>
  <si>
    <t>Baseline</t>
  </si>
  <si>
    <t>One Malicious Agent
Both Share-Mode
Instruct vs. Think</t>
  </si>
  <si>
    <t>Two CR-IA Agent
Both Share-Mode
Instruct vs. Think</t>
  </si>
  <si>
    <t>One Malicious Agents
Both Share-Mode</t>
  </si>
  <si>
    <t>Correct→Wrong (with malicious wrong)</t>
  </si>
  <si>
    <t>Only olmo avg</t>
  </si>
  <si>
    <t>Two Malicious Agents
Both Share-Mode</t>
  </si>
  <si>
    <t>Malicious Agent 1 and 2</t>
  </si>
  <si>
    <t>Malicious Agent 1 and 3</t>
  </si>
  <si>
    <t>Malicious Agent 2 and 3</t>
  </si>
  <si>
    <t>One CR-IA vs. One Malicious Agent
Both Share-Mode</t>
  </si>
  <si>
    <t>Qwen, GSM8K, MAS</t>
  </si>
  <si>
    <t>openai/gsm8k: Both Share-mode</t>
  </si>
  <si>
    <t>Reasoning</t>
  </si>
  <si>
    <t>openai/gsm8k: Reasoning Share-mode</t>
  </si>
  <si>
    <t>Answer</t>
  </si>
  <si>
    <t>openai/gsm8k: Answer Share-mode</t>
  </si>
  <si>
    <t>Qwen, MMLU, MAS</t>
  </si>
  <si>
    <t>cais/mmlu: Both Share-mode</t>
  </si>
  <si>
    <t>cais/mmlu: Reasoning Share-mode</t>
  </si>
  <si>
    <t>cais/mmlu: Answer Share-mode</t>
  </si>
  <si>
    <t>Qwen, StrategyQA, MAS</t>
  </si>
  <si>
    <t>ChilleD/StrategyQA: Both Share-mode</t>
  </si>
  <si>
    <t>ChilleD/StrategyQA: Reasoning Share-mode</t>
  </si>
  <si>
    <t>ChilleD/StrategyQA: Answer Share-mode</t>
  </si>
  <si>
    <t>=</t>
  </si>
  <si>
    <t>Qwen, BigBench, MAS</t>
  </si>
  <si>
    <t>tasksource/bigbench both</t>
  </si>
  <si>
    <t>tasksource/bigbench reasoning</t>
  </si>
  <si>
    <t>tasksource/bigbench answer</t>
  </si>
  <si>
    <t>Olmo, GSM8K, MAS</t>
  </si>
  <si>
    <t>Olmo, MMLU, MAS</t>
  </si>
  <si>
    <t>Olmo, StrategyQA, MAS</t>
  </si>
  <si>
    <t>Malicious wrong convergence ↑</t>
  </si>
  <si>
    <t>Olmo, BigBench, MAS</t>
  </si>
  <si>
    <t>tasksource/bigbench: Both Share-mode</t>
  </si>
  <si>
    <t>Two CR-IA vs. Two Malicious Agents
Both Share-Mode</t>
  </si>
  <si>
    <t>tasksource/bigbench: Reasoning Share-mode</t>
  </si>
  <si>
    <t>tasksource/bigbench: Answer Share-mode</t>
  </si>
  <si>
    <t>Llama, GSM8K, MAS</t>
  </si>
  <si>
    <t>Llama, MMLU, MAS</t>
  </si>
  <si>
    <t>Llama, StrategyQA, MAS</t>
  </si>
  <si>
    <t>Llama, BigBench, MAS</t>
  </si>
  <si>
    <t>Share-Mode</t>
  </si>
  <si>
    <t xml:space="preserve">Sport på alle qwen, og strateqa på </t>
  </si>
  <si>
    <t>Converges to malicious wrong</t>
  </si>
  <si>
    <t>Sports på alle olmo</t>
  </si>
  <si>
    <t>stretqa lavere llama i 2 positioner</t>
  </si>
  <si>
    <t>Two Malicious Agent
Both Share-Mode
Instruct vs. Think</t>
  </si>
  <si>
    <t>AVG.</t>
  </si>
  <si>
    <t>One Malicious Agent
Answer Share-Mode</t>
  </si>
  <si>
    <t>Share-mode</t>
  </si>
  <si>
    <r>
      <rPr>
        <rFont val="Calibri"/>
        <b/>
        <color theme="1"/>
        <sz val="11.0"/>
      </rPr>
      <t>Malicious Agents Have Different</t>
    </r>
    <r>
      <rPr>
        <rFont val="Calibri"/>
        <b val="0"/>
        <color theme="1"/>
        <sz val="11.0"/>
      </rPr>
      <t xml:space="preserve"> Answer</t>
    </r>
    <r>
      <rPr>
        <rFont val="Calibri"/>
        <b/>
        <color theme="1"/>
        <sz val="11.0"/>
      </rPr>
      <t xml:space="preserve">
Both Share-Mode</t>
    </r>
  </si>
  <si>
    <r>
      <rPr>
        <rFont val="Calibri"/>
        <b/>
        <color theme="1"/>
        <sz val="11.0"/>
      </rPr>
      <t>Malicious Agents Have Same</t>
    </r>
    <r>
      <rPr>
        <rFont val="Calibri"/>
        <b val="0"/>
        <color theme="1"/>
        <sz val="11.0"/>
      </rPr>
      <t xml:space="preserve"> Answer</t>
    </r>
    <r>
      <rPr>
        <rFont val="Calibri"/>
        <b/>
        <color theme="1"/>
        <sz val="11.0"/>
      </rPr>
      <t xml:space="preserve">
Both Share-Mode</t>
    </r>
  </si>
  <si>
    <t>Malicious Agents Average
Both Share-Mode</t>
  </si>
  <si>
    <t>One Malicious Agent</t>
  </si>
  <si>
    <t>Malicious Agent 1 (Both Share-Mode)</t>
  </si>
  <si>
    <t>Malicious Agent 1 (Answer Share-Mode)</t>
  </si>
  <si>
    <t>Baseline (Both Share-Mode)</t>
  </si>
  <si>
    <t>Malicious Agent 2 (Both)</t>
  </si>
  <si>
    <t>Malicious Agent 2 (Answer)</t>
  </si>
  <si>
    <t>Malicious Agent 3 (Both)</t>
  </si>
  <si>
    <t>Malicious Agent 3 (Answer)</t>
  </si>
  <si>
    <t>Malicious Agent(s)
Both Share-Mode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</si>
</sst>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0.000"/>
  </numFmts>
  <fonts count="56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b/>
      <color theme="1"/>
      <name val="Calibri"/>
      <scheme val="minor"/>
    </font>
    <font>
      <u/>
      <sz val="11.0"/>
      <color theme="1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DD5B"/>
        <bgColor rgb="FFFFDD5B"/>
      </patternFill>
    </fill>
  </fills>
  <borders count="11">
    <border/>
    <border>
      <left/>
      <right/>
      <top/>
      <bottom/>
    </border>
    <border>
      <top style="thin">
        <color rgb="FF000000"/>
      </top>
    </border>
    <border>
      <bottom style="medium">
        <color rgb="FF000000"/>
      </bottom>
    </border>
    <border>
      <bottom style="thin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  <bottom/>
    </border>
    <border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Border="1" applyFill="1" applyFont="1"/>
    <xf borderId="0" fillId="0" fontId="3" numFmtId="164" xfId="0" applyFont="1" applyNumberFormat="1"/>
    <xf borderId="0" fillId="0" fontId="3" numFmtId="10" xfId="0" applyFont="1" applyNumberFormat="1"/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3" numFmtId="0" xfId="0" applyBorder="1" applyFont="1"/>
    <xf borderId="0" fillId="0" fontId="4" numFmtId="0" xfId="0" applyAlignment="1" applyFont="1">
      <alignment horizontal="left"/>
    </xf>
    <xf borderId="0" fillId="0" fontId="3" numFmtId="2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6" numFmtId="2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1" fillId="3" fontId="3" numFmtId="10" xfId="0" applyBorder="1" applyFont="1" applyNumberFormat="1"/>
    <xf borderId="0" fillId="0" fontId="8" numFmtId="2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3" fillId="0" fontId="4" numFmtId="0" xfId="0" applyAlignment="1" applyBorder="1" applyFont="1">
      <alignment horizontal="left"/>
    </xf>
    <xf borderId="2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/>
    </xf>
    <xf borderId="1" fillId="4" fontId="3" numFmtId="164" xfId="0" applyBorder="1" applyFill="1" applyFont="1" applyNumberFormat="1"/>
    <xf borderId="0" fillId="0" fontId="9" numFmtId="16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3" numFmtId="2" xfId="0" applyFont="1" applyNumberFormat="1"/>
    <xf borderId="0" fillId="0" fontId="4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11" numFmtId="0" xfId="0" applyBorder="1" applyFont="1"/>
    <xf borderId="0" fillId="0" fontId="3" numFmtId="165" xfId="0" applyFont="1" applyNumberFormat="1"/>
    <xf borderId="0" fillId="0" fontId="4" numFmtId="2" xfId="0" applyFont="1" applyNumberFormat="1"/>
    <xf borderId="0" fillId="0" fontId="4" numFmtId="165" xfId="0" applyFont="1" applyNumberFormat="1"/>
    <xf borderId="5" fillId="0" fontId="3" numFmtId="0" xfId="0" applyBorder="1" applyFont="1"/>
    <xf borderId="1" fillId="3" fontId="4" numFmtId="0" xfId="0" applyBorder="1" applyFont="1"/>
    <xf borderId="1" fillId="3" fontId="3" numFmtId="165" xfId="0" applyBorder="1" applyFont="1" applyNumberFormat="1"/>
    <xf borderId="1" fillId="3" fontId="3" numFmtId="2" xfId="0" applyBorder="1" applyFont="1" applyNumberFormat="1"/>
    <xf borderId="1" fillId="3" fontId="4" numFmtId="2" xfId="0" applyBorder="1" applyFont="1" applyNumberFormat="1"/>
    <xf borderId="1" fillId="3" fontId="4" numFmtId="165" xfId="0" applyBorder="1" applyFont="1" applyNumberFormat="1"/>
    <xf borderId="0" fillId="0" fontId="12" numFmtId="0" xfId="0" applyAlignment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Font="1"/>
    <xf borderId="2" fillId="0" fontId="13" numFmtId="1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/>
    </xf>
    <xf borderId="0" fillId="0" fontId="13" numFmtId="1" xfId="0" applyAlignment="1" applyFont="1" applyNumberFormat="1">
      <alignment horizontal="center" vertical="center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 vertical="center"/>
    </xf>
    <xf borderId="6" fillId="3" fontId="3" numFmtId="0" xfId="0" applyBorder="1" applyFont="1"/>
    <xf borderId="0" fillId="0" fontId="13" numFmtId="165" xfId="0" applyAlignment="1" applyFont="1" applyNumberFormat="1">
      <alignment horizontal="center" vertical="center"/>
    </xf>
    <xf borderId="0" fillId="0" fontId="13" numFmtId="2" xfId="0" applyAlignment="1" applyFont="1" applyNumberFormat="1">
      <alignment horizontal="center" vertical="center"/>
    </xf>
    <xf borderId="1" fillId="3" fontId="3" numFmtId="1" xfId="0" applyBorder="1" applyFont="1" applyNumberFormat="1"/>
    <xf borderId="2" fillId="0" fontId="3" numFmtId="165" xfId="0" applyBorder="1" applyFont="1" applyNumberFormat="1"/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4" fillId="0" fontId="3" numFmtId="0" xfId="0" applyBorder="1" applyFont="1"/>
    <xf borderId="2" fillId="0" fontId="3" numFmtId="165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4" numFmtId="0" xfId="0" applyFont="1"/>
    <xf borderId="0" fillId="0" fontId="12" numFmtId="0" xfId="0" applyAlignment="1" applyFont="1">
      <alignment horizontal="center" vertical="center"/>
    </xf>
    <xf borderId="2" fillId="0" fontId="4" numFmtId="0" xfId="0" applyBorder="1" applyFont="1"/>
    <xf borderId="0" fillId="0" fontId="13" numFmtId="0" xfId="0" applyAlignment="1" applyFont="1">
      <alignment horizontal="left"/>
    </xf>
    <xf borderId="2" fillId="0" fontId="12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horizontal="center" vertical="center"/>
    </xf>
    <xf borderId="2" fillId="0" fontId="11" numFmtId="0" xfId="0" applyBorder="1" applyFont="1"/>
    <xf borderId="4" fillId="0" fontId="13" numFmtId="0" xfId="0" applyAlignment="1" applyBorder="1" applyFont="1">
      <alignment horizontal="left"/>
    </xf>
    <xf borderId="4" fillId="0" fontId="3" numFmtId="165" xfId="0" applyAlignment="1" applyBorder="1" applyFont="1" applyNumberFormat="1">
      <alignment horizontal="center" vertical="center"/>
    </xf>
    <xf borderId="4" fillId="0" fontId="4" numFmtId="165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left"/>
    </xf>
    <xf borderId="2" fillId="0" fontId="3" numFmtId="10" xfId="0" applyBorder="1" applyFont="1" applyNumberFormat="1"/>
    <xf borderId="2" fillId="0" fontId="12" numFmtId="0" xfId="0" applyAlignment="1" applyBorder="1" applyFont="1">
      <alignment horizontal="left"/>
    </xf>
    <xf borderId="7" fillId="0" fontId="3" numFmtId="10" xfId="0" applyBorder="1" applyFont="1" applyNumberFormat="1"/>
    <xf borderId="0" fillId="0" fontId="4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vertical="center"/>
    </xf>
    <xf borderId="0" fillId="0" fontId="13" numFmtId="2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14" numFmtId="2" xfId="0" applyAlignment="1" applyFont="1" applyNumberFormat="1">
      <alignment horizontal="center" vertical="center"/>
    </xf>
    <xf borderId="0" fillId="0" fontId="15" numFmtId="166" xfId="0" applyAlignment="1" applyFont="1" applyNumberFormat="1">
      <alignment horizontal="center" vertical="center"/>
    </xf>
    <xf borderId="0" fillId="0" fontId="16" numFmtId="2" xfId="0" applyAlignment="1" applyFont="1" applyNumberFormat="1">
      <alignment horizontal="center" vertical="center"/>
    </xf>
    <xf borderId="0" fillId="0" fontId="17" numFmtId="165" xfId="0" applyAlignment="1" applyFont="1" applyNumberFormat="1">
      <alignment horizontal="center" vertical="center"/>
    </xf>
    <xf borderId="0" fillId="0" fontId="18" numFmtId="166" xfId="0" applyAlignment="1" applyFont="1" applyNumberFormat="1">
      <alignment horizontal="center" vertical="center"/>
    </xf>
    <xf borderId="0" fillId="0" fontId="19" numFmtId="165" xfId="0" applyAlignment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13" numFmtId="165" xfId="0" applyFont="1" applyNumberFormat="1"/>
    <xf borderId="0" fillId="0" fontId="13" numFmtId="2" xfId="0" applyFont="1" applyNumberFormat="1"/>
    <xf borderId="0" fillId="0" fontId="12" numFmtId="165" xfId="0" applyFont="1" applyNumberFormat="1"/>
    <xf borderId="3" fillId="0" fontId="12" numFmtId="0" xfId="0" applyAlignment="1" applyBorder="1" applyFont="1">
      <alignment horizontal="left"/>
    </xf>
    <xf borderId="0" fillId="0" fontId="13" numFmtId="0" xfId="0" applyAlignment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1" fillId="5" fontId="12" numFmtId="165" xfId="0" applyBorder="1" applyFill="1" applyFont="1" applyNumberFormat="1"/>
    <xf borderId="1" fillId="5" fontId="13" numFmtId="2" xfId="0" applyBorder="1" applyFont="1" applyNumberFormat="1"/>
    <xf borderId="1" fillId="5" fontId="13" numFmtId="165" xfId="0" applyBorder="1" applyFont="1" applyNumberFormat="1"/>
    <xf borderId="0" fillId="0" fontId="3" numFmtId="166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4" fillId="0" fontId="20" numFmtId="165" xfId="0" applyAlignment="1" applyBorder="1" applyFont="1" applyNumberFormat="1">
      <alignment horizontal="center" vertical="center"/>
    </xf>
    <xf borderId="0" fillId="0" fontId="3" numFmtId="0" xfId="0" applyFont="1"/>
    <xf borderId="2" fillId="0" fontId="3" numFmtId="0" xfId="0" applyAlignment="1" applyBorder="1" applyFont="1">
      <alignment horizontal="left" readingOrder="0"/>
    </xf>
    <xf borderId="0" fillId="0" fontId="21" numFmtId="0" xfId="0" applyAlignment="1" applyFont="1">
      <alignment readingOrder="0"/>
    </xf>
    <xf borderId="0" fillId="0" fontId="2" numFmtId="165" xfId="0" applyFont="1" applyNumberFormat="1"/>
    <xf borderId="4" fillId="0" fontId="3" numFmtId="2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readingOrder="0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4" fillId="0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2" fillId="0" fontId="13" numFmtId="0" xfId="0" applyBorder="1" applyFont="1"/>
    <xf borderId="0" fillId="0" fontId="23" numFmtId="165" xfId="0" applyAlignment="1" applyFont="1" applyNumberFormat="1">
      <alignment horizontal="center" vertical="center"/>
    </xf>
    <xf borderId="0" fillId="0" fontId="24" numFmtId="2" xfId="0" applyAlignment="1" applyFont="1" applyNumberFormat="1">
      <alignment horizontal="center" vertical="center"/>
    </xf>
    <xf borderId="0" fillId="0" fontId="25" numFmtId="165" xfId="0" applyAlignment="1" applyFont="1" applyNumberFormat="1">
      <alignment horizontal="center" vertical="center"/>
    </xf>
    <xf borderId="0" fillId="0" fontId="13" numFmtId="166" xfId="0" applyAlignment="1" applyFont="1" applyNumberFormat="1">
      <alignment horizontal="center" vertical="center"/>
    </xf>
    <xf borderId="0" fillId="0" fontId="12" numFmtId="2" xfId="0" applyAlignment="1" applyFont="1" applyNumberFormat="1">
      <alignment horizontal="center" vertical="center"/>
    </xf>
    <xf borderId="0" fillId="0" fontId="12" numFmtId="165" xfId="0" applyAlignment="1" applyFont="1" applyNumberFormat="1">
      <alignment horizontal="center" vertical="center"/>
    </xf>
    <xf borderId="0" fillId="0" fontId="26" numFmtId="2" xfId="0" applyAlignment="1" applyFont="1" applyNumberFormat="1">
      <alignment horizontal="center" vertical="center"/>
    </xf>
    <xf borderId="0" fillId="0" fontId="12" numFmtId="166" xfId="0" applyAlignment="1" applyFont="1" applyNumberFormat="1">
      <alignment horizontal="center" vertical="center"/>
    </xf>
    <xf borderId="0" fillId="0" fontId="27" numFmtId="166" xfId="0" applyAlignment="1" applyFont="1" applyNumberFormat="1">
      <alignment horizontal="center" vertical="center"/>
    </xf>
    <xf borderId="3" fillId="0" fontId="13" numFmtId="165" xfId="0" applyAlignment="1" applyBorder="1" applyFont="1" applyNumberFormat="1">
      <alignment horizontal="center" vertical="center"/>
    </xf>
    <xf borderId="3" fillId="0" fontId="13" numFmtId="2" xfId="0" applyAlignment="1" applyBorder="1" applyFont="1" applyNumberFormat="1">
      <alignment horizontal="center" vertical="center"/>
    </xf>
    <xf borderId="3" fillId="0" fontId="28" numFmtId="165" xfId="0" applyAlignment="1" applyBorder="1" applyFont="1" applyNumberFormat="1">
      <alignment horizontal="center" vertical="center"/>
    </xf>
    <xf borderId="4" fillId="0" fontId="12" numFmtId="0" xfId="0" applyAlignment="1" applyBorder="1" applyFont="1">
      <alignment horizontal="left"/>
    </xf>
    <xf borderId="4" fillId="0" fontId="4" numFmtId="2" xfId="0" applyAlignment="1" applyBorder="1" applyFont="1" applyNumberFormat="1">
      <alignment horizontal="center" vertical="center"/>
    </xf>
    <xf borderId="4" fillId="0" fontId="13" numFmtId="165" xfId="0" applyAlignment="1" applyBorder="1" applyFont="1" applyNumberFormat="1">
      <alignment horizontal="center" vertical="center"/>
    </xf>
    <xf borderId="4" fillId="0" fontId="12" numFmtId="165" xfId="0" applyAlignment="1" applyBorder="1" applyFont="1" applyNumberFormat="1">
      <alignment horizontal="center" vertical="center"/>
    </xf>
    <xf borderId="4" fillId="0" fontId="29" numFmtId="165" xfId="0" applyAlignment="1" applyBorder="1" applyFont="1" applyNumberFormat="1">
      <alignment horizontal="center" vertical="center"/>
    </xf>
    <xf borderId="8" fillId="0" fontId="12" numFmtId="0" xfId="0" applyAlignment="1" applyBorder="1" applyFont="1">
      <alignment horizontal="center" vertical="center"/>
    </xf>
    <xf borderId="8" fillId="0" fontId="11" numFmtId="0" xfId="0" applyBorder="1" applyFont="1"/>
    <xf borderId="1" fillId="6" fontId="13" numFmtId="165" xfId="0" applyAlignment="1" applyBorder="1" applyFill="1" applyFont="1" applyNumberFormat="1">
      <alignment horizontal="center" vertical="center"/>
    </xf>
    <xf borderId="1" fillId="6" fontId="12" numFmtId="2" xfId="0" applyAlignment="1" applyBorder="1" applyFont="1" applyNumberFormat="1">
      <alignment horizontal="center" vertical="center"/>
    </xf>
    <xf borderId="1" fillId="6" fontId="30" numFmtId="2" xfId="0" applyAlignment="1" applyBorder="1" applyFont="1" applyNumberFormat="1">
      <alignment horizontal="center" vertical="center"/>
    </xf>
    <xf borderId="1" fillId="6" fontId="12" numFmtId="165" xfId="0" applyAlignment="1" applyBorder="1" applyFont="1" applyNumberFormat="1">
      <alignment horizontal="center" vertical="center"/>
    </xf>
    <xf borderId="1" fillId="6" fontId="13" numFmtId="2" xfId="0" applyAlignment="1" applyBorder="1" applyFont="1" applyNumberFormat="1">
      <alignment horizontal="center" vertical="center"/>
    </xf>
    <xf borderId="1" fillId="6" fontId="31" numFmtId="2" xfId="0" applyAlignment="1" applyBorder="1" applyFont="1" applyNumberFormat="1">
      <alignment horizontal="center" vertical="center"/>
    </xf>
    <xf borderId="1" fillId="6" fontId="32" numFmtId="166" xfId="0" applyAlignment="1" applyBorder="1" applyFont="1" applyNumberFormat="1">
      <alignment horizontal="center" vertical="center"/>
    </xf>
    <xf borderId="1" fillId="6" fontId="33" numFmtId="166" xfId="0" applyAlignment="1" applyBorder="1" applyFont="1" applyNumberFormat="1">
      <alignment horizontal="center" vertical="center"/>
    </xf>
    <xf borderId="4" fillId="0" fontId="34" numFmtId="2" xfId="0" applyAlignment="1" applyBorder="1" applyFont="1" applyNumberFormat="1">
      <alignment horizontal="center" vertical="center"/>
    </xf>
    <xf borderId="0" fillId="0" fontId="35" numFmtId="166" xfId="0" applyAlignment="1" applyFont="1" applyNumberFormat="1">
      <alignment horizontal="center" vertical="center"/>
    </xf>
    <xf borderId="1" fillId="6" fontId="36" numFmtId="165" xfId="0" applyAlignment="1" applyBorder="1" applyFont="1" applyNumberFormat="1">
      <alignment horizontal="center" vertical="center"/>
    </xf>
    <xf borderId="1" fillId="6" fontId="37" numFmtId="165" xfId="0" applyAlignment="1" applyBorder="1" applyFont="1" applyNumberFormat="1">
      <alignment horizontal="center" vertical="center"/>
    </xf>
    <xf borderId="1" fillId="6" fontId="13" numFmtId="166" xfId="0" applyAlignment="1" applyBorder="1" applyFont="1" applyNumberFormat="1">
      <alignment horizontal="center" vertical="center"/>
    </xf>
    <xf borderId="1" fillId="6" fontId="12" numFmtId="166" xfId="0" applyAlignment="1" applyBorder="1" applyFont="1" applyNumberFormat="1">
      <alignment horizontal="center" vertical="center"/>
    </xf>
    <xf borderId="2" fillId="0" fontId="13" numFmtId="165" xfId="0" applyAlignment="1" applyBorder="1" applyFont="1" applyNumberFormat="1">
      <alignment horizontal="center" vertical="center"/>
    </xf>
    <xf borderId="1" fillId="6" fontId="38" numFmtId="165" xfId="0" applyAlignment="1" applyBorder="1" applyFont="1" applyNumberFormat="1">
      <alignment horizontal="center" vertical="center"/>
    </xf>
    <xf borderId="1" fillId="6" fontId="3" numFmtId="165" xfId="0" applyAlignment="1" applyBorder="1" applyFont="1" applyNumberFormat="1">
      <alignment horizontal="center" vertical="center"/>
    </xf>
    <xf borderId="1" fillId="6" fontId="39" numFmtId="2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/>
    </xf>
    <xf borderId="1" fillId="6" fontId="40" numFmtId="2" xfId="0" applyAlignment="1" applyBorder="1" applyFont="1" applyNumberFormat="1">
      <alignment horizontal="center" vertical="center"/>
    </xf>
    <xf borderId="1" fillId="6" fontId="4" numFmtId="165" xfId="0" applyAlignment="1" applyBorder="1" applyFont="1" applyNumberFormat="1">
      <alignment horizontal="center" vertical="center"/>
    </xf>
    <xf borderId="1" fillId="6" fontId="3" numFmtId="2" xfId="0" applyAlignment="1" applyBorder="1" applyFont="1" applyNumberFormat="1">
      <alignment horizontal="center" vertical="center"/>
    </xf>
    <xf borderId="4" fillId="0" fontId="41" numFmtId="165" xfId="0" applyAlignment="1" applyBorder="1" applyFont="1" applyNumberFormat="1">
      <alignment horizontal="center" vertical="center"/>
    </xf>
    <xf borderId="4" fillId="0" fontId="42" numFmtId="165" xfId="0" applyAlignment="1" applyBorder="1" applyFont="1" applyNumberFormat="1">
      <alignment horizontal="center" vertical="center"/>
    </xf>
    <xf borderId="1" fillId="6" fontId="4" numFmtId="2" xfId="0" applyAlignment="1" applyBorder="1" applyFont="1" applyNumberFormat="1">
      <alignment horizontal="center" vertical="center"/>
    </xf>
    <xf borderId="1" fillId="6" fontId="43" numFmtId="165" xfId="0" applyAlignment="1" applyBorder="1" applyFont="1" applyNumberFormat="1">
      <alignment horizontal="center" vertical="center"/>
    </xf>
    <xf borderId="2" fillId="0" fontId="3" numFmtId="2" xfId="0" applyAlignment="1" applyBorder="1" applyFont="1" applyNumberFormat="1">
      <alignment horizontal="center" vertical="center"/>
    </xf>
    <xf borderId="4" fillId="0" fontId="44" numFmtId="2" xfId="0" applyAlignment="1" applyBorder="1" applyFont="1" applyNumberFormat="1">
      <alignment horizontal="center" vertical="center"/>
    </xf>
    <xf borderId="4" fillId="0" fontId="45" numFmtId="2" xfId="0" applyAlignment="1" applyBorder="1" applyFont="1" applyNumberFormat="1">
      <alignment horizontal="center" vertical="center"/>
    </xf>
    <xf borderId="4" fillId="0" fontId="46" numFmtId="166" xfId="0" applyAlignment="1" applyBorder="1" applyFont="1" applyNumberFormat="1">
      <alignment horizontal="center" vertical="center"/>
    </xf>
    <xf borderId="1" fillId="6" fontId="4" numFmtId="166" xfId="0" applyAlignment="1" applyBorder="1" applyFont="1" applyNumberFormat="1">
      <alignment horizontal="center" vertical="center"/>
    </xf>
    <xf borderId="4" fillId="0" fontId="13" numFmtId="2" xfId="0" applyAlignment="1" applyBorder="1" applyFont="1" applyNumberFormat="1">
      <alignment horizontal="center" vertical="center"/>
    </xf>
    <xf borderId="2" fillId="0" fontId="13" numFmtId="2" xfId="0" applyAlignment="1" applyBorder="1" applyFont="1" applyNumberFormat="1">
      <alignment horizontal="center" vertical="center"/>
    </xf>
    <xf borderId="1" fillId="6" fontId="47" numFmtId="166" xfId="0" applyAlignment="1" applyBorder="1" applyFont="1" applyNumberFormat="1">
      <alignment horizontal="center" vertical="center"/>
    </xf>
    <xf borderId="9" fillId="6" fontId="48" numFmtId="2" xfId="0" applyAlignment="1" applyBorder="1" applyFont="1" applyNumberFormat="1">
      <alignment horizontal="center" vertical="center"/>
    </xf>
    <xf borderId="9" fillId="6" fontId="12" numFmtId="165" xfId="0" applyAlignment="1" applyBorder="1" applyFont="1" applyNumberFormat="1">
      <alignment horizontal="center" vertical="center"/>
    </xf>
    <xf borderId="9" fillId="6" fontId="12" numFmtId="2" xfId="0" applyAlignment="1" applyBorder="1" applyFont="1" applyNumberFormat="1">
      <alignment horizontal="center" vertical="center"/>
    </xf>
    <xf borderId="9" fillId="6" fontId="49" numFmtId="165" xfId="0" applyAlignment="1" applyBorder="1" applyFont="1" applyNumberFormat="1">
      <alignment horizontal="center" vertical="center"/>
    </xf>
    <xf borderId="9" fillId="6" fontId="50" numFmtId="165" xfId="0" applyAlignment="1" applyBorder="1" applyFont="1" applyNumberFormat="1">
      <alignment horizontal="center" vertical="center"/>
    </xf>
    <xf borderId="3" fillId="0" fontId="4" numFmtId="165" xfId="0" applyAlignment="1" applyBorder="1" applyFont="1" applyNumberFormat="1">
      <alignment horizontal="center" vertical="center"/>
    </xf>
    <xf borderId="3" fillId="0" fontId="4" numFmtId="2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horizontal="center" vertical="center"/>
    </xf>
    <xf borderId="3" fillId="0" fontId="3" numFmtId="2" xfId="0" applyAlignment="1" applyBorder="1" applyFont="1" applyNumberFormat="1">
      <alignment horizontal="center" vertical="center"/>
    </xf>
    <xf borderId="3" fillId="0" fontId="51" numFmtId="165" xfId="0" applyAlignment="1" applyBorder="1" applyFont="1" applyNumberFormat="1">
      <alignment horizontal="center" vertical="center"/>
    </xf>
    <xf borderId="3" fillId="0" fontId="52" numFmtId="165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left"/>
    </xf>
    <xf borderId="2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0" fillId="0" fontId="3" numFmtId="9" xfId="0" applyFont="1" applyNumberFormat="1"/>
    <xf borderId="1" fillId="3" fontId="4" numFmtId="0" xfId="0" applyAlignment="1" applyBorder="1" applyFont="1">
      <alignment horizontal="left"/>
    </xf>
    <xf borderId="4" fillId="0" fontId="13" numFmtId="0" xfId="0" applyBorder="1" applyFont="1"/>
    <xf borderId="4" fillId="0" fontId="53" numFmtId="165" xfId="0" applyAlignment="1" applyBorder="1" applyFont="1" applyNumberFormat="1">
      <alignment horizontal="center" vertical="center"/>
    </xf>
    <xf borderId="2" fillId="0" fontId="3" numFmtId="1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0" fillId="0" fontId="3" numFmtId="165" xfId="0" applyBorder="1" applyFont="1" applyNumberFormat="1"/>
    <xf borderId="10" fillId="0" fontId="3" numFmtId="2" xfId="0" applyBorder="1" applyFont="1" applyNumberFormat="1"/>
    <xf borderId="4" fillId="0" fontId="12" numFmtId="0" xfId="0" applyAlignment="1" applyBorder="1" applyFont="1">
      <alignment vertical="center"/>
    </xf>
    <xf borderId="0" fillId="0" fontId="4" numFmtId="165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4" fillId="0" fontId="12" numFmtId="2" xfId="0" applyAlignment="1" applyBorder="1" applyFont="1" applyNumberFormat="1">
      <alignment horizontal="center" vertical="center"/>
    </xf>
    <xf borderId="4" fillId="0" fontId="54" numFmtId="166" xfId="0" applyAlignment="1" applyBorder="1" applyFont="1" applyNumberFormat="1">
      <alignment horizontal="center" vertical="center"/>
    </xf>
    <xf borderId="4" fillId="0" fontId="55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One CR-IA Agent Experiments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'CR-IA'!$R$167:$AE$167</c:f>
            </c:strRef>
          </c:cat>
          <c:val>
            <c:numRef>
              <c:f>'CR-IA'!$R$168:$AE$168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'CR-IA'!$R$167:$AE$167</c:f>
            </c:strRef>
          </c:cat>
          <c:val>
            <c:numRef>
              <c:f>'CR-IA'!$R$169:$AE$169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'CR-IA'!$R$167:$AE$167</c:f>
            </c:strRef>
          </c:cat>
          <c:val>
            <c:numRef>
              <c:f>'CR-IA'!$R$170:$AE$170</c:f>
              <c:numCache/>
            </c:numRef>
          </c:val>
        </c:ser>
        <c:axId val="1568491888"/>
        <c:axId val="1884192490"/>
      </c:barChart>
      <c:catAx>
        <c:axId val="156849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884192490"/>
      </c:catAx>
      <c:valAx>
        <c:axId val="1884192490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568491888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Two CR-IA Agents Experiments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'CR-IA'!$R$193:$AE$193</c:f>
            </c:strRef>
          </c:cat>
          <c:val>
            <c:numRef>
              <c:f>'CR-IA'!$R$194:$AE$194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'CR-IA'!$R$193:$AE$193</c:f>
            </c:strRef>
          </c:cat>
          <c:val>
            <c:numRef>
              <c:f>'CR-IA'!$R$195:$AE$195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'CR-IA'!$R$193:$AE$193</c:f>
            </c:strRef>
          </c:cat>
          <c:val>
            <c:numRef>
              <c:f>'CR-IA'!$R$196:$AE$196</c:f>
              <c:numCache/>
            </c:numRef>
          </c:val>
        </c:ser>
        <c:axId val="35984307"/>
        <c:axId val="1191538816"/>
      </c:barChart>
      <c:catAx>
        <c:axId val="35984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191538816"/>
      </c:catAx>
      <c:valAx>
        <c:axId val="1191538816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35984307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CR-IA Agent(s) Experiments vs. Baseline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'CR-IA'!$R$207:$AE$207</c:f>
            </c:strRef>
          </c:cat>
          <c:val>
            <c:numRef>
              <c:f>'CR-IA'!$R$208:$AE$208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'CR-IA'!$R$207:$AE$207</c:f>
            </c:strRef>
          </c:cat>
          <c:val>
            <c:numRef>
              <c:f>'CR-IA'!$R$209:$AE$209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'CR-IA'!$R$207:$AE$207</c:f>
            </c:strRef>
          </c:cat>
          <c:val>
            <c:numRef>
              <c:f>'CR-IA'!$R$210:$AE$210</c:f>
              <c:numCache/>
            </c:numRef>
          </c:val>
        </c:ser>
        <c:axId val="2146312091"/>
        <c:axId val="803440917"/>
      </c:barChart>
      <c:catAx>
        <c:axId val="2146312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803440917"/>
      </c:catAx>
      <c:valAx>
        <c:axId val="803440917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146312091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SAS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dPt>
            <c:idx val="0"/>
            <c:spPr>
              <a:solidFill>
                <a:srgbClr val="708EBF"/>
              </a:solidFill>
              <a:ln cmpd="sng">
                <a:noFill/>
              </a:ln>
            </c:spPr>
          </c:dPt>
          <c:cat>
            <c:strRef>
              <c:f>dataset!$B$51:$E$51</c:f>
            </c:strRef>
          </c:cat>
          <c:val>
            <c:numRef>
              <c:f>dataset!$B$52:$E$52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dataset!$B$51:$E$51</c:f>
            </c:strRef>
          </c:cat>
          <c:val>
            <c:numRef>
              <c:f>dataset!$B$53:$E$53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dataset!$B$51:$E$51</c:f>
            </c:strRef>
          </c:cat>
          <c:val>
            <c:numRef>
              <c:f>dataset!$B$54:$E$54</c:f>
              <c:numCache/>
            </c:numRef>
          </c:val>
        </c:ser>
        <c:axId val="540153588"/>
        <c:axId val="1347962362"/>
      </c:barChart>
      <c:catAx>
        <c:axId val="540153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347962362"/>
      </c:catAx>
      <c:valAx>
        <c:axId val="1347962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540153588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One ES Agent Experiments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early_stopping!$R$153:$AE$153</c:f>
            </c:strRef>
          </c:cat>
          <c:val>
            <c:numRef>
              <c:f>early_stopping!$R$154:$AE$154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early_stopping!$R$153:$AE$153</c:f>
            </c:strRef>
          </c:cat>
          <c:val>
            <c:numRef>
              <c:f>early_stopping!$R$155:$AE$155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early_stopping!$R$153:$AE$153</c:f>
            </c:strRef>
          </c:cat>
          <c:val>
            <c:numRef>
              <c:f>early_stopping!$R$156:$AE$156</c:f>
              <c:numCache/>
            </c:numRef>
          </c:val>
        </c:ser>
        <c:axId val="2023966458"/>
        <c:axId val="2060039451"/>
      </c:barChart>
      <c:catAx>
        <c:axId val="2023966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060039451"/>
      </c:catAx>
      <c:valAx>
        <c:axId val="2060039451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023966458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Two ES Agents Experiments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early_stopping!$R$201:$AE$201</c:f>
            </c:strRef>
          </c:cat>
          <c:val>
            <c:numRef>
              <c:f>early_stopping!$R$202:$AE$202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early_stopping!$R$201:$AE$201</c:f>
            </c:strRef>
          </c:cat>
          <c:val>
            <c:numRef>
              <c:f>early_stopping!$R$203:$AE$203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early_stopping!$R$201:$AE$201</c:f>
            </c:strRef>
          </c:cat>
          <c:val>
            <c:numRef>
              <c:f>early_stopping!$R$204:$AE$204</c:f>
              <c:numCache/>
            </c:numRef>
          </c:val>
        </c:ser>
        <c:axId val="1139134417"/>
        <c:axId val="2073449107"/>
      </c:barChart>
      <c:catAx>
        <c:axId val="1139134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073449107"/>
      </c:catAx>
      <c:valAx>
        <c:axId val="2073449107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139134417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ES Agent(s) Experiments vs. Baseline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early_stopping!$R$209:$AE$209</c:f>
            </c:strRef>
          </c:cat>
          <c:val>
            <c:numRef>
              <c:f>early_stopping!$R$210:$AE$210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early_stopping!$R$209:$AE$209</c:f>
            </c:strRef>
          </c:cat>
          <c:val>
            <c:numRef>
              <c:f>early_stopping!$R$211:$AE$211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early_stopping!$R$209:$AE$209</c:f>
            </c:strRef>
          </c:cat>
          <c:val>
            <c:numRef>
              <c:f>early_stopping!$R$212:$AE$212</c:f>
              <c:numCache/>
            </c:numRef>
          </c:val>
        </c:ser>
        <c:axId val="1938386582"/>
        <c:axId val="1843037229"/>
      </c:barChart>
      <c:catAx>
        <c:axId val="1938386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843037229"/>
      </c:catAx>
      <c:valAx>
        <c:axId val="1843037229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938386582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Accuracy, One IR-CA Agent Experiments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'IR-CA'!$R$167:$AE$167</c:f>
            </c:strRef>
          </c:cat>
          <c:val>
            <c:numRef>
              <c:f>'IR-CA'!$R$168:$AE$168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'IR-CA'!$R$167:$AE$167</c:f>
            </c:strRef>
          </c:cat>
          <c:val>
            <c:numRef>
              <c:f>'IR-CA'!$R$169:$AE$169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'IR-CA'!$R$167:$AE$167</c:f>
            </c:strRef>
          </c:cat>
          <c:val>
            <c:numRef>
              <c:f>'IR-CA'!$R$170:$AE$170</c:f>
              <c:numCache/>
            </c:numRef>
          </c:val>
        </c:ser>
        <c:axId val="1702004658"/>
        <c:axId val="780171228"/>
      </c:barChart>
      <c:catAx>
        <c:axId val="1702004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780171228"/>
      </c:catAx>
      <c:valAx>
        <c:axId val="780171228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</a:p>
        </c:txPr>
        <c:crossAx val="1702004658"/>
      </c:valAx>
    </c:plotArea>
    <c:legend>
      <c:legendPos val="b"/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Two IR-CA Agents Experiments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'IR-CA'!$R$189:$AE$189</c:f>
            </c:strRef>
          </c:cat>
          <c:val>
            <c:numRef>
              <c:f>'IR-CA'!$R$190:$AE$190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'IR-CA'!$R$189:$AE$189</c:f>
            </c:strRef>
          </c:cat>
          <c:val>
            <c:numRef>
              <c:f>'IR-CA'!$R$191:$AE$191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'IR-CA'!$R$189:$AE$189</c:f>
            </c:strRef>
          </c:cat>
          <c:val>
            <c:numRef>
              <c:f>'IR-CA'!$R$192:$AE$192</c:f>
              <c:numCache/>
            </c:numRef>
          </c:val>
        </c:ser>
        <c:axId val="1936375631"/>
        <c:axId val="111233826"/>
      </c:barChart>
      <c:catAx>
        <c:axId val="193637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11233826"/>
      </c:catAx>
      <c:valAx>
        <c:axId val="111233826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936375631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700">
                <a:solidFill>
                  <a:srgbClr val="757575"/>
                </a:solidFill>
                <a:latin typeface="+mn-lt"/>
              </a:defRPr>
            </a:pPr>
            <a:r>
              <a:rPr b="0" i="0" sz="1700">
                <a:solidFill>
                  <a:srgbClr val="757575"/>
                </a:solidFill>
                <a:latin typeface="+mn-lt"/>
              </a:rPr>
              <a:t>Accuracy, IR-CA Agent(s) Experiments vs. Baseline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'IR-CA'!$R$178:$AE$178</c:f>
            </c:strRef>
          </c:cat>
          <c:val>
            <c:numRef>
              <c:f>'IR-CA'!$R$179:$AE$179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'IR-CA'!$R$178:$AE$178</c:f>
            </c:strRef>
          </c:cat>
          <c:val>
            <c:numRef>
              <c:f>'IR-CA'!$R$180:$AE$180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'IR-CA'!$R$178:$AE$178</c:f>
            </c:strRef>
          </c:cat>
          <c:val>
            <c:numRef>
              <c:f>'IR-CA'!$R$181:$AE$181</c:f>
              <c:numCache/>
            </c:numRef>
          </c:val>
        </c:ser>
        <c:axId val="424721007"/>
        <c:axId val="315046923"/>
      </c:barChart>
      <c:catAx>
        <c:axId val="424721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315046923"/>
      </c:catAx>
      <c:valAx>
        <c:axId val="315046923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424721007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700">
                <a:solidFill>
                  <a:srgbClr val="757575"/>
                </a:solidFill>
                <a:latin typeface="+mn-lt"/>
              </a:defRPr>
            </a:pPr>
            <a:r>
              <a:rPr b="0" i="0" sz="1700">
                <a:solidFill>
                  <a:srgbClr val="757575"/>
                </a:solidFill>
                <a:latin typeface="+mn-lt"/>
              </a:rPr>
              <a:t>Accuracy, One Malicious Agent Experiments, Both Share-Mode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malicious!$R$199:$AE$199</c:f>
            </c:strRef>
          </c:cat>
          <c:val>
            <c:numRef>
              <c:f>malicious!$R$200:$AE$200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malicious!$R$199:$AE$199</c:f>
            </c:strRef>
          </c:cat>
          <c:val>
            <c:numRef>
              <c:f>malicious!$R$201:$AE$201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malicious!$R$199:$AE$199</c:f>
            </c:strRef>
          </c:cat>
          <c:val>
            <c:numRef>
              <c:f>malicious!$R$202:$AE$202</c:f>
              <c:numCache/>
            </c:numRef>
          </c:val>
        </c:ser>
        <c:axId val="1681621984"/>
        <c:axId val="284431476"/>
      </c:barChart>
      <c:catAx>
        <c:axId val="1681621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84431476"/>
      </c:catAx>
      <c:valAx>
        <c:axId val="284431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681621984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Two Malicious Agents Experiments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malicious!$R$249:$AE$249</c:f>
            </c:strRef>
          </c:cat>
          <c:val>
            <c:numRef>
              <c:f>malicious!$R$250:$AE$250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malicious!$R$249:$AE$249</c:f>
            </c:strRef>
          </c:cat>
          <c:val>
            <c:numRef>
              <c:f>malicious!$R$251:$AE$251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malicious!$R$249:$AE$249</c:f>
            </c:strRef>
          </c:cat>
          <c:val>
            <c:numRef>
              <c:f>malicious!$R$252:$AE$252</c:f>
              <c:numCache/>
            </c:numRef>
          </c:val>
        </c:ser>
        <c:axId val="595741618"/>
        <c:axId val="1556970076"/>
      </c:barChart>
      <c:catAx>
        <c:axId val="595741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556970076"/>
      </c:catAx>
      <c:valAx>
        <c:axId val="1556970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595741618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One Malicious Agents Experiments, Answer Share-Mode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malicious!$R$298:$AE$298</c:f>
            </c:strRef>
          </c:cat>
          <c:val>
            <c:numRef>
              <c:f>malicious!$R$299:$AE$299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malicious!$R$298:$AE$298</c:f>
            </c:strRef>
          </c:cat>
          <c:val>
            <c:numRef>
              <c:f>malicious!$R$300:$AE$300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malicious!$R$298:$AE$298</c:f>
            </c:strRef>
          </c:cat>
          <c:val>
            <c:numRef>
              <c:f>malicious!$R$301:$AE$301</c:f>
              <c:numCache/>
            </c:numRef>
          </c:val>
        </c:ser>
        <c:axId val="1113923241"/>
        <c:axId val="1516945898"/>
      </c:barChart>
      <c:catAx>
        <c:axId val="1113923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516945898"/>
      </c:catAx>
      <c:valAx>
        <c:axId val="1516945898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113923241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Share-Mode Both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Olmo 3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malicious!$H$310:$K$310</c:f>
            </c:strRef>
          </c:cat>
          <c:val>
            <c:numRef>
              <c:f>malicious!$H$311:$K$311</c:f>
              <c:numCache/>
            </c:numRef>
          </c:val>
        </c:ser>
        <c:ser>
          <c:idx val="1"/>
          <c:order val="1"/>
          <c:tx>
            <c:v>Olmo 3 Think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malicious!$H$310:$K$310</c:f>
            </c:strRef>
          </c:cat>
          <c:val>
            <c:numRef>
              <c:f>malicious!$H$312:$K$312</c:f>
              <c:numCache/>
            </c:numRef>
          </c:val>
        </c:ser>
        <c:axId val="1227151717"/>
        <c:axId val="1872847001"/>
      </c:barChart>
      <c:catAx>
        <c:axId val="1227151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872847001"/>
      </c:catAx>
      <c:valAx>
        <c:axId val="1872847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227151717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accuracy across all datasets for Instruct models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'share-mode'!$B$85:$D$85</c:f>
            </c:strRef>
          </c:cat>
          <c:val>
            <c:numRef>
              <c:f>'share-mode'!$B$86:$D$86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'share-mode'!$B$85:$D$85</c:f>
            </c:strRef>
          </c:cat>
          <c:val>
            <c:numRef>
              <c:f>'share-mode'!$B$87:$D$87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'share-mode'!$B$85:$D$85</c:f>
            </c:strRef>
          </c:cat>
          <c:val>
            <c:numRef>
              <c:f>'share-mode'!$B$88:$D$88</c:f>
              <c:numCache/>
            </c:numRef>
          </c:val>
        </c:ser>
        <c:axId val="1398597316"/>
        <c:axId val="1715819044"/>
      </c:barChart>
      <c:catAx>
        <c:axId val="1398597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5819044"/>
      </c:catAx>
      <c:valAx>
        <c:axId val="1715819044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859731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'share-mode'!$B$85:$D$85</c:f>
            </c:strRef>
          </c:cat>
          <c:val>
            <c:numRef>
              <c:f>'share-mode'!$B$89:$D$89</c:f>
              <c:numCache/>
            </c:numRef>
          </c:val>
        </c:ser>
        <c:axId val="1746860809"/>
        <c:axId val="131010390"/>
      </c:barChart>
      <c:catAx>
        <c:axId val="1746860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010390"/>
      </c:catAx>
      <c:valAx>
        <c:axId val="131010390"/>
        <c:scaling>
          <c:orientation val="minMax"/>
          <c:max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6860809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Accuracy, Share-Modes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Qwen2.5</c:v>
          </c:tx>
          <c:spPr>
            <a:solidFill>
              <a:srgbClr val="708EBF"/>
            </a:solidFill>
            <a:ln cmpd="sng">
              <a:noFill/>
            </a:ln>
          </c:spPr>
          <c:cat>
            <c:strRef>
              <c:f>'share-mode'!$B$63:$O$63</c:f>
            </c:strRef>
          </c:cat>
          <c:val>
            <c:numRef>
              <c:f>'share-mode'!$B$64:$O$64</c:f>
              <c:numCache/>
            </c:numRef>
          </c:val>
        </c:ser>
        <c:ser>
          <c:idx val="1"/>
          <c:order val="1"/>
          <c:tx>
            <c:v>Olmo 3</c:v>
          </c:tx>
          <c:spPr>
            <a:solidFill>
              <a:srgbClr val="E49C76"/>
            </a:solidFill>
            <a:ln cmpd="sng">
              <a:noFill/>
            </a:ln>
          </c:spPr>
          <c:cat>
            <c:strRef>
              <c:f>'share-mode'!$B$63:$O$63</c:f>
            </c:strRef>
          </c:cat>
          <c:val>
            <c:numRef>
              <c:f>'share-mode'!$B$65:$O$65</c:f>
              <c:numCache/>
            </c:numRef>
          </c:val>
        </c:ser>
        <c:ser>
          <c:idx val="2"/>
          <c:order val="2"/>
          <c:tx>
            <c:v>Llama 3.2</c:v>
          </c:tx>
          <c:spPr>
            <a:solidFill>
              <a:srgbClr val="77BA86"/>
            </a:solidFill>
            <a:ln cmpd="sng">
              <a:noFill/>
            </a:ln>
          </c:spPr>
          <c:cat>
            <c:strRef>
              <c:f>'share-mode'!$B$63:$O$63</c:f>
            </c:strRef>
          </c:cat>
          <c:val>
            <c:numRef>
              <c:f>'share-mode'!$B$66:$O$66</c:f>
              <c:numCache/>
            </c:numRef>
          </c:val>
        </c:ser>
        <c:axId val="1265890486"/>
        <c:axId val="269938033"/>
      </c:barChart>
      <c:catAx>
        <c:axId val="1265890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69938033"/>
      </c:catAx>
      <c:valAx>
        <c:axId val="269938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265890486"/>
      </c:valAx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1590675</xdr:colOff>
      <xdr:row>0</xdr:row>
      <xdr:rowOff>695325</xdr:rowOff>
    </xdr:from>
    <xdr:ext cx="13782675" cy="45720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33</xdr:col>
      <xdr:colOff>0</xdr:colOff>
      <xdr:row>144</xdr:row>
      <xdr:rowOff>0</xdr:rowOff>
    </xdr:from>
    <xdr:ext cx="12668250" cy="53435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247650</xdr:colOff>
      <xdr:row>169</xdr:row>
      <xdr:rowOff>142875</xdr:rowOff>
    </xdr:from>
    <xdr:ext cx="11325225" cy="54006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1466850</xdr:colOff>
      <xdr:row>24</xdr:row>
      <xdr:rowOff>152400</xdr:rowOff>
    </xdr:from>
    <xdr:ext cx="9401175" cy="53435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57150</xdr:colOff>
      <xdr:row>123</xdr:row>
      <xdr:rowOff>28575</xdr:rowOff>
    </xdr:from>
    <xdr:ext cx="9553575" cy="5381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32</xdr:col>
      <xdr:colOff>209550</xdr:colOff>
      <xdr:row>176</xdr:row>
      <xdr:rowOff>171450</xdr:rowOff>
    </xdr:from>
    <xdr:ext cx="9515475" cy="53816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9525</xdr:colOff>
      <xdr:row>206</xdr:row>
      <xdr:rowOff>28575</xdr:rowOff>
    </xdr:from>
    <xdr:ext cx="9515475" cy="53721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466725</xdr:colOff>
      <xdr:row>91</xdr:row>
      <xdr:rowOff>19050</xdr:rowOff>
    </xdr:from>
    <xdr:ext cx="9515475" cy="53911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933450</xdr:colOff>
      <xdr:row>151</xdr:row>
      <xdr:rowOff>95250</xdr:rowOff>
    </xdr:from>
    <xdr:ext cx="9477375" cy="53911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76200</xdr:colOff>
      <xdr:row>121</xdr:row>
      <xdr:rowOff>152400</xdr:rowOff>
    </xdr:from>
    <xdr:ext cx="9515475" cy="53054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600075</xdr:colOff>
      <xdr:row>167</xdr:row>
      <xdr:rowOff>180975</xdr:rowOff>
    </xdr:from>
    <xdr:ext cx="9515475" cy="53911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1419225</xdr:colOff>
      <xdr:row>255</xdr:row>
      <xdr:rowOff>57150</xdr:rowOff>
    </xdr:from>
    <xdr:ext cx="9391650" cy="53911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152400</xdr:colOff>
      <xdr:row>293</xdr:row>
      <xdr:rowOff>76200</xdr:rowOff>
    </xdr:from>
    <xdr:ext cx="9515475" cy="53625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438150</xdr:colOff>
      <xdr:row>305</xdr:row>
      <xdr:rowOff>57150</xdr:rowOff>
    </xdr:from>
    <xdr:ext cx="10153650" cy="53721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99</xdr:row>
      <xdr:rowOff>76200</xdr:rowOff>
    </xdr:from>
    <xdr:ext cx="5095875" cy="34956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1495425</xdr:colOff>
      <xdr:row>84</xdr:row>
      <xdr:rowOff>76200</xdr:rowOff>
    </xdr:from>
    <xdr:ext cx="3876675" cy="295275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247650</xdr:colOff>
      <xdr:row>123</xdr:row>
      <xdr:rowOff>0</xdr:rowOff>
    </xdr:from>
    <xdr:ext cx="9582150" cy="537210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29"/>
    <col customWidth="1" min="2" max="2" width="20.0"/>
    <col customWidth="1" min="3" max="3" width="8.0"/>
    <col customWidth="1" min="4" max="4" width="12.0"/>
    <col customWidth="1" min="5" max="5" width="30.0"/>
    <col customWidth="1" min="6" max="6" width="12.0"/>
    <col customWidth="1" min="7" max="7" width="18.0"/>
    <col customWidth="1" min="8" max="8" width="15.0"/>
    <col customWidth="1" min="9" max="9" width="20.0"/>
    <col customWidth="1" min="10" max="10" width="18.0"/>
    <col customWidth="1" min="11" max="11" width="20.0"/>
    <col customWidth="1" min="12" max="12" width="15.0"/>
    <col customWidth="1" min="13" max="13" width="20.0"/>
    <col customWidth="1" min="14" max="14" width="17.0"/>
    <col customWidth="1" min="15" max="15" width="20.0"/>
    <col customWidth="1" min="16" max="16" width="11.0"/>
    <col customWidth="1" min="17" max="17" width="17.0"/>
    <col customWidth="1" min="18" max="20" width="20.0"/>
    <col customWidth="1" min="21" max="21" width="13.71"/>
    <col customWidth="1" min="22" max="22" width="24.29"/>
    <col customWidth="1" min="23" max="23" width="15.43"/>
    <col customWidth="1" min="24" max="24" width="8.86"/>
    <col customWidth="1" min="25" max="25" width="39.71"/>
    <col customWidth="1" min="26" max="32" width="10.71"/>
    <col customWidth="1" min="33" max="33" width="30.0"/>
    <col customWidth="1" min="34" max="35" width="19.0"/>
    <col customWidth="1" min="36" max="36" width="7.0"/>
    <col customWidth="1" min="37" max="37" width="19.0"/>
    <col customWidth="1" min="38" max="38" width="15.86"/>
    <col customWidth="1" min="39" max="39" width="10.71"/>
    <col customWidth="1" min="40" max="40" width="19.0"/>
    <col customWidth="1" min="41" max="41" width="15.86"/>
    <col customWidth="1" min="42" max="42" width="28.43"/>
    <col customWidth="1" min="43" max="57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28</v>
      </c>
      <c r="H1" s="1" t="s">
        <v>7</v>
      </c>
      <c r="I1" s="1" t="s">
        <v>8</v>
      </c>
      <c r="J1" s="1" t="s">
        <v>9</v>
      </c>
      <c r="K1" s="1" t="s">
        <v>30</v>
      </c>
      <c r="L1" s="1" t="s">
        <v>11</v>
      </c>
      <c r="M1" s="1" t="s">
        <v>33</v>
      </c>
      <c r="N1" s="1" t="s">
        <v>13</v>
      </c>
      <c r="O1" s="1" t="s">
        <v>34</v>
      </c>
      <c r="P1" s="1" t="s">
        <v>15</v>
      </c>
      <c r="Q1" s="1" t="s">
        <v>16</v>
      </c>
      <c r="R1" s="1" t="s">
        <v>35</v>
      </c>
      <c r="S1" s="1" t="s">
        <v>18</v>
      </c>
      <c r="T1" s="1" t="s">
        <v>36</v>
      </c>
      <c r="U1" s="1" t="s">
        <v>37</v>
      </c>
      <c r="V1" s="1" t="s">
        <v>38</v>
      </c>
      <c r="W1" s="1" t="s">
        <v>39</v>
      </c>
    </row>
    <row r="2">
      <c r="A2" s="2" t="s">
        <v>40</v>
      </c>
      <c r="B2" s="2" t="s">
        <v>21</v>
      </c>
      <c r="C2" s="2" t="s">
        <v>22</v>
      </c>
      <c r="D2" s="2" t="s">
        <v>23</v>
      </c>
      <c r="E2" s="2" t="s">
        <v>41</v>
      </c>
      <c r="F2" s="2">
        <v>3.0</v>
      </c>
      <c r="G2" s="2" t="s">
        <v>25</v>
      </c>
      <c r="H2" s="2">
        <v>261.0</v>
      </c>
      <c r="I2" s="2">
        <v>234.0</v>
      </c>
      <c r="J2" s="2">
        <v>486.0</v>
      </c>
      <c r="K2" s="2">
        <v>0.0</v>
      </c>
      <c r="L2" s="2">
        <v>98.0</v>
      </c>
      <c r="M2" s="2">
        <v>0.0</v>
      </c>
      <c r="N2" s="2">
        <v>1912.0</v>
      </c>
      <c r="O2" s="2">
        <v>0.0</v>
      </c>
      <c r="P2" s="2">
        <v>997.0</v>
      </c>
      <c r="Q2" s="2">
        <v>0.0</v>
      </c>
      <c r="R2" s="2">
        <v>0.0</v>
      </c>
      <c r="S2" s="2">
        <v>0.0</v>
      </c>
      <c r="T2" s="2">
        <v>0.0</v>
      </c>
      <c r="U2" s="3">
        <f>(N2+L2+M2)*2/3</f>
        <v>1340</v>
      </c>
      <c r="W2" s="4"/>
    </row>
    <row r="3">
      <c r="A3" s="2" t="s">
        <v>40</v>
      </c>
      <c r="B3" s="2" t="s">
        <v>21</v>
      </c>
      <c r="C3" s="2" t="s">
        <v>22</v>
      </c>
      <c r="D3" s="2" t="s">
        <v>23</v>
      </c>
      <c r="E3" s="2" t="s">
        <v>44</v>
      </c>
      <c r="F3" s="2">
        <v>3.0</v>
      </c>
      <c r="G3" s="2" t="s">
        <v>45</v>
      </c>
      <c r="H3" s="2">
        <v>239.0</v>
      </c>
      <c r="I3" s="2">
        <v>153.0</v>
      </c>
      <c r="J3" s="2">
        <v>76.0</v>
      </c>
      <c r="K3" s="2">
        <v>132.0</v>
      </c>
      <c r="L3" s="2">
        <v>51.0</v>
      </c>
      <c r="M3" s="2">
        <v>78.0</v>
      </c>
      <c r="N3" s="2">
        <v>1147.0</v>
      </c>
      <c r="O3" s="2">
        <v>210.0</v>
      </c>
      <c r="P3" s="2">
        <v>938.0</v>
      </c>
      <c r="Q3" s="2">
        <v>0.0</v>
      </c>
      <c r="R3" s="2">
        <v>18.0</v>
      </c>
      <c r="S3" s="2">
        <v>3.0</v>
      </c>
      <c r="T3" s="2">
        <v>39.0</v>
      </c>
      <c r="U3" s="2">
        <f t="shared" ref="U3:U5" si="1">(N3+L3+M3)</f>
        <v>1276</v>
      </c>
      <c r="V3" s="4">
        <f t="shared" ref="V3:V5" si="2">(U$2-U3)/U$2</f>
        <v>0.04776119403</v>
      </c>
      <c r="W3" s="5">
        <f t="shared" ref="W3:W5" si="3">SUM($R3:$T3)/($P3+(SUM($R3:$T3)))</f>
        <v>0.06012024048</v>
      </c>
    </row>
    <row r="4">
      <c r="A4" s="2" t="s">
        <v>40</v>
      </c>
      <c r="B4" s="2" t="s">
        <v>21</v>
      </c>
      <c r="C4" s="2" t="s">
        <v>22</v>
      </c>
      <c r="D4" s="2" t="s">
        <v>23</v>
      </c>
      <c r="E4" s="2" t="s">
        <v>46</v>
      </c>
      <c r="F4" s="2">
        <v>3.0</v>
      </c>
      <c r="G4" s="2" t="s">
        <v>47</v>
      </c>
      <c r="H4" s="2">
        <v>204.0</v>
      </c>
      <c r="I4" s="2">
        <v>190.0</v>
      </c>
      <c r="J4" s="2">
        <v>124.0</v>
      </c>
      <c r="K4" s="2">
        <v>42.0</v>
      </c>
      <c r="L4" s="2">
        <v>54.0</v>
      </c>
      <c r="M4" s="2">
        <v>31.0</v>
      </c>
      <c r="N4" s="2">
        <v>1173.0</v>
      </c>
      <c r="O4" s="2">
        <v>73.0</v>
      </c>
      <c r="P4" s="2">
        <v>909.0</v>
      </c>
      <c r="Q4" s="2">
        <v>0.0</v>
      </c>
      <c r="R4" s="2">
        <v>33.0</v>
      </c>
      <c r="S4" s="2">
        <v>2.0</v>
      </c>
      <c r="T4" s="2">
        <v>54.0</v>
      </c>
      <c r="U4" s="2">
        <f t="shared" si="1"/>
        <v>1258</v>
      </c>
      <c r="V4" s="4">
        <f t="shared" si="2"/>
        <v>0.06119402985</v>
      </c>
      <c r="W4" s="5">
        <f t="shared" si="3"/>
        <v>0.08917835671</v>
      </c>
    </row>
    <row r="5">
      <c r="A5" s="2" t="s">
        <v>40</v>
      </c>
      <c r="B5" s="2" t="s">
        <v>21</v>
      </c>
      <c r="C5" s="2" t="s">
        <v>22</v>
      </c>
      <c r="D5" s="2" t="s">
        <v>23</v>
      </c>
      <c r="E5" s="2" t="s">
        <v>50</v>
      </c>
      <c r="F5" s="2">
        <v>3.0</v>
      </c>
      <c r="G5" s="2" t="s">
        <v>51</v>
      </c>
      <c r="H5" s="2">
        <v>194.0</v>
      </c>
      <c r="I5" s="2">
        <v>205.0</v>
      </c>
      <c r="J5" s="2">
        <v>114.0</v>
      </c>
      <c r="K5" s="2">
        <v>41.0</v>
      </c>
      <c r="L5" s="2">
        <v>56.0</v>
      </c>
      <c r="M5" s="2">
        <v>16.0</v>
      </c>
      <c r="N5" s="2">
        <v>1168.0</v>
      </c>
      <c r="O5" s="2">
        <v>57.0</v>
      </c>
      <c r="P5" s="2">
        <v>897.0</v>
      </c>
      <c r="Q5" s="2">
        <v>0.0</v>
      </c>
      <c r="R5" s="2">
        <v>38.0</v>
      </c>
      <c r="S5" s="2">
        <v>3.0</v>
      </c>
      <c r="T5" s="2">
        <v>59.0</v>
      </c>
      <c r="U5" s="2">
        <f t="shared" si="1"/>
        <v>1240</v>
      </c>
      <c r="V5" s="4">
        <f t="shared" si="2"/>
        <v>0.07462686567</v>
      </c>
      <c r="W5" s="5">
        <f t="shared" si="3"/>
        <v>0.1003009027</v>
      </c>
    </row>
    <row r="6">
      <c r="A6" s="2" t="s">
        <v>52</v>
      </c>
      <c r="B6" s="2" t="s">
        <v>21</v>
      </c>
      <c r="C6" s="2" t="s">
        <v>22</v>
      </c>
      <c r="D6" s="2" t="s">
        <v>23</v>
      </c>
      <c r="E6" s="2" t="s">
        <v>53</v>
      </c>
      <c r="F6" s="2">
        <v>3.0</v>
      </c>
      <c r="G6" s="2" t="s">
        <v>25</v>
      </c>
      <c r="H6" s="2">
        <v>46.0</v>
      </c>
      <c r="I6" s="2">
        <v>1505.0</v>
      </c>
      <c r="J6" s="2">
        <v>1209.0</v>
      </c>
      <c r="K6" s="2">
        <v>0.0</v>
      </c>
      <c r="L6" s="2">
        <v>18.0</v>
      </c>
      <c r="M6" s="2">
        <v>0.0</v>
      </c>
      <c r="N6" s="2">
        <v>210.0</v>
      </c>
      <c r="O6" s="2">
        <v>0.0</v>
      </c>
      <c r="P6" s="2">
        <v>996.0</v>
      </c>
      <c r="Q6" s="2">
        <v>0.0</v>
      </c>
      <c r="R6" s="2">
        <v>0.0</v>
      </c>
      <c r="S6" s="2">
        <v>0.0</v>
      </c>
      <c r="T6" s="2">
        <v>0.0</v>
      </c>
      <c r="U6" s="3">
        <f>(N6+L6+M6)*2/3</f>
        <v>152</v>
      </c>
      <c r="W6" s="5"/>
    </row>
    <row r="7">
      <c r="A7" s="2" t="s">
        <v>52</v>
      </c>
      <c r="B7" s="2" t="s">
        <v>21</v>
      </c>
      <c r="C7" s="2" t="s">
        <v>22</v>
      </c>
      <c r="D7" s="2" t="s">
        <v>23</v>
      </c>
      <c r="E7" s="2" t="s">
        <v>55</v>
      </c>
      <c r="F7" s="2">
        <v>3.0</v>
      </c>
      <c r="G7" s="2" t="s">
        <v>45</v>
      </c>
      <c r="H7" s="2">
        <v>37.0</v>
      </c>
      <c r="I7" s="2">
        <v>903.0</v>
      </c>
      <c r="J7" s="2">
        <v>168.0</v>
      </c>
      <c r="K7" s="2">
        <v>686.0</v>
      </c>
      <c r="L7" s="2">
        <v>11.0</v>
      </c>
      <c r="M7" s="2">
        <v>36.0</v>
      </c>
      <c r="N7" s="2">
        <v>99.0</v>
      </c>
      <c r="O7" s="2">
        <v>722.0</v>
      </c>
      <c r="P7" s="2">
        <v>970.0</v>
      </c>
      <c r="Q7" s="2">
        <v>0.0</v>
      </c>
      <c r="R7" s="2">
        <v>16.0</v>
      </c>
      <c r="S7" s="2">
        <v>2.0</v>
      </c>
      <c r="T7" s="2">
        <v>2.0</v>
      </c>
      <c r="U7" s="2">
        <f t="shared" ref="U7:U9" si="4">(N7+L7+M7)</f>
        <v>146</v>
      </c>
      <c r="V7" s="4">
        <f t="shared" ref="V7:V9" si="5">(U$6-U7)/U$6</f>
        <v>0.03947368421</v>
      </c>
      <c r="W7" s="5">
        <f t="shared" ref="W7:W9" si="6">SUM($R7:$T7)/($P7+(SUM($R7:$T7)))</f>
        <v>0.0202020202</v>
      </c>
    </row>
    <row r="8">
      <c r="A8" s="2" t="s">
        <v>52</v>
      </c>
      <c r="B8" s="2" t="s">
        <v>21</v>
      </c>
      <c r="C8" s="2" t="s">
        <v>22</v>
      </c>
      <c r="D8" s="2" t="s">
        <v>23</v>
      </c>
      <c r="E8" s="2" t="s">
        <v>56</v>
      </c>
      <c r="F8" s="2">
        <v>3.0</v>
      </c>
      <c r="G8" s="2" t="s">
        <v>47</v>
      </c>
      <c r="H8" s="2">
        <v>38.0</v>
      </c>
      <c r="I8" s="2">
        <v>1123.0</v>
      </c>
      <c r="J8" s="2">
        <v>258.0</v>
      </c>
      <c r="K8" s="2">
        <v>329.0</v>
      </c>
      <c r="L8" s="2">
        <v>8.0</v>
      </c>
      <c r="M8" s="2">
        <v>17.0</v>
      </c>
      <c r="N8" s="2">
        <v>111.0</v>
      </c>
      <c r="O8" s="2">
        <v>346.0</v>
      </c>
      <c r="P8" s="2">
        <v>942.0</v>
      </c>
      <c r="Q8" s="2">
        <v>0.0</v>
      </c>
      <c r="R8" s="2">
        <v>40.0</v>
      </c>
      <c r="S8" s="2">
        <v>2.0</v>
      </c>
      <c r="T8" s="2">
        <v>7.0</v>
      </c>
      <c r="U8" s="2">
        <f t="shared" si="4"/>
        <v>136</v>
      </c>
      <c r="V8" s="4">
        <f t="shared" si="5"/>
        <v>0.1052631579</v>
      </c>
      <c r="W8" s="5">
        <f t="shared" si="6"/>
        <v>0.04944500505</v>
      </c>
    </row>
    <row r="9">
      <c r="A9" s="2" t="s">
        <v>52</v>
      </c>
      <c r="B9" s="2" t="s">
        <v>21</v>
      </c>
      <c r="C9" s="2" t="s">
        <v>22</v>
      </c>
      <c r="D9" s="2" t="s">
        <v>23</v>
      </c>
      <c r="E9" s="2" t="s">
        <v>57</v>
      </c>
      <c r="F9" s="2">
        <v>3.0</v>
      </c>
      <c r="G9" s="2" t="s">
        <v>51</v>
      </c>
      <c r="H9" s="2">
        <v>28.0</v>
      </c>
      <c r="I9" s="2">
        <v>1112.0</v>
      </c>
      <c r="J9" s="2">
        <v>230.0</v>
      </c>
      <c r="K9" s="2">
        <v>358.0</v>
      </c>
      <c r="L9" s="2">
        <v>8.0</v>
      </c>
      <c r="M9" s="2">
        <v>14.0</v>
      </c>
      <c r="N9" s="2">
        <v>118.0</v>
      </c>
      <c r="O9" s="2">
        <v>372.0</v>
      </c>
      <c r="P9" s="2">
        <v>934.0</v>
      </c>
      <c r="Q9" s="2">
        <v>0.0</v>
      </c>
      <c r="R9" s="2">
        <v>49.0</v>
      </c>
      <c r="S9" s="2">
        <v>2.0</v>
      </c>
      <c r="T9" s="2">
        <v>6.0</v>
      </c>
      <c r="U9" s="2">
        <f t="shared" si="4"/>
        <v>140</v>
      </c>
      <c r="V9" s="4">
        <f t="shared" si="5"/>
        <v>0.07894736842</v>
      </c>
      <c r="W9" s="5">
        <f t="shared" si="6"/>
        <v>0.05751765893</v>
      </c>
    </row>
    <row r="10">
      <c r="A10" s="2" t="s">
        <v>59</v>
      </c>
      <c r="B10" s="2" t="s">
        <v>21</v>
      </c>
      <c r="C10" s="2" t="s">
        <v>22</v>
      </c>
      <c r="D10" s="2" t="s">
        <v>23</v>
      </c>
      <c r="E10" s="2" t="s">
        <v>60</v>
      </c>
      <c r="F10" s="2">
        <v>3.0</v>
      </c>
      <c r="G10" s="2" t="s">
        <v>25</v>
      </c>
      <c r="H10" s="2">
        <v>253.0</v>
      </c>
      <c r="I10" s="2">
        <v>365.0</v>
      </c>
      <c r="J10" s="2">
        <v>582.0</v>
      </c>
      <c r="K10" s="2">
        <v>0.0</v>
      </c>
      <c r="L10" s="2">
        <v>273.0</v>
      </c>
      <c r="M10" s="2">
        <v>0.0</v>
      </c>
      <c r="N10" s="2">
        <v>582.0</v>
      </c>
      <c r="O10" s="2">
        <v>0.0</v>
      </c>
      <c r="P10" s="2">
        <v>685.0</v>
      </c>
      <c r="Q10" s="2">
        <v>0.0</v>
      </c>
      <c r="R10" s="2">
        <v>0.0</v>
      </c>
      <c r="S10" s="2">
        <v>0.0</v>
      </c>
      <c r="T10" s="2">
        <v>0.0</v>
      </c>
      <c r="U10" s="3">
        <f>(N10+L10+M10)*2/3</f>
        <v>570</v>
      </c>
      <c r="W10" s="5"/>
    </row>
    <row r="11">
      <c r="A11" s="2" t="s">
        <v>59</v>
      </c>
      <c r="B11" s="2" t="s">
        <v>21</v>
      </c>
      <c r="C11" s="2" t="s">
        <v>22</v>
      </c>
      <c r="D11" s="2" t="s">
        <v>23</v>
      </c>
      <c r="E11" s="2" t="s">
        <v>61</v>
      </c>
      <c r="F11" s="2">
        <v>3.0</v>
      </c>
      <c r="G11" s="2" t="s">
        <v>45</v>
      </c>
      <c r="H11" s="2">
        <v>138.0</v>
      </c>
      <c r="I11" s="2">
        <v>164.0</v>
      </c>
      <c r="J11" s="2">
        <v>74.0</v>
      </c>
      <c r="K11" s="2">
        <v>288.0</v>
      </c>
      <c r="L11" s="2">
        <v>44.0</v>
      </c>
      <c r="M11" s="2">
        <v>117.0</v>
      </c>
      <c r="N11" s="2">
        <v>279.0</v>
      </c>
      <c r="O11" s="2">
        <v>405.0</v>
      </c>
      <c r="P11" s="2">
        <v>552.0</v>
      </c>
      <c r="Q11" s="2">
        <v>0.0</v>
      </c>
      <c r="R11" s="2">
        <v>112.0</v>
      </c>
      <c r="S11" s="2">
        <v>2.0</v>
      </c>
      <c r="T11" s="2">
        <v>16.0</v>
      </c>
      <c r="U11" s="2">
        <f t="shared" ref="U11:U13" si="7">(N11+L11+M11)</f>
        <v>440</v>
      </c>
      <c r="V11" s="4">
        <f t="shared" ref="V11:V13" si="8">(U$10-U11)/U$10</f>
        <v>0.2280701754</v>
      </c>
      <c r="W11" s="5">
        <f t="shared" ref="W11:W13" si="9">SUM($R11:$T11)/($P11+(SUM($R11:$T11)))</f>
        <v>0.1906158358</v>
      </c>
    </row>
    <row r="12">
      <c r="A12" s="2" t="s">
        <v>59</v>
      </c>
      <c r="B12" s="2" t="s">
        <v>21</v>
      </c>
      <c r="C12" s="2" t="s">
        <v>22</v>
      </c>
      <c r="D12" s="2" t="s">
        <v>23</v>
      </c>
      <c r="E12" s="2" t="s">
        <v>62</v>
      </c>
      <c r="F12" s="2">
        <v>3.0</v>
      </c>
      <c r="G12" s="2" t="s">
        <v>47</v>
      </c>
      <c r="H12" s="2">
        <v>134.0</v>
      </c>
      <c r="I12" s="2">
        <v>235.0</v>
      </c>
      <c r="J12" s="2">
        <v>108.0</v>
      </c>
      <c r="K12" s="2">
        <v>163.0</v>
      </c>
      <c r="L12" s="2">
        <v>13.0</v>
      </c>
      <c r="M12" s="2">
        <v>68.0</v>
      </c>
      <c r="N12" s="2">
        <v>317.0</v>
      </c>
      <c r="O12" s="2">
        <v>231.0</v>
      </c>
      <c r="P12" s="2">
        <v>519.0</v>
      </c>
      <c r="Q12" s="2">
        <v>0.0</v>
      </c>
      <c r="R12" s="2">
        <v>144.0</v>
      </c>
      <c r="S12" s="2">
        <v>2.0</v>
      </c>
      <c r="T12" s="2">
        <v>14.0</v>
      </c>
      <c r="U12" s="2">
        <f t="shared" si="7"/>
        <v>398</v>
      </c>
      <c r="V12" s="4">
        <f t="shared" si="8"/>
        <v>0.301754386</v>
      </c>
      <c r="W12" s="5">
        <f t="shared" si="9"/>
        <v>0.235640648</v>
      </c>
    </row>
    <row r="13">
      <c r="A13" s="2" t="s">
        <v>59</v>
      </c>
      <c r="B13" s="2" t="s">
        <v>21</v>
      </c>
      <c r="C13" s="2" t="s">
        <v>22</v>
      </c>
      <c r="D13" s="2" t="s">
        <v>23</v>
      </c>
      <c r="E13" s="2" t="s">
        <v>67</v>
      </c>
      <c r="F13" s="2">
        <v>3.0</v>
      </c>
      <c r="G13" s="2" t="s">
        <v>51</v>
      </c>
      <c r="H13" s="2">
        <v>127.0</v>
      </c>
      <c r="I13" s="2">
        <v>239.0</v>
      </c>
      <c r="J13" s="2">
        <v>104.0</v>
      </c>
      <c r="K13" s="2">
        <v>150.0</v>
      </c>
      <c r="L13" s="2">
        <v>25.0</v>
      </c>
      <c r="M13" s="2">
        <v>50.0</v>
      </c>
      <c r="N13" s="2">
        <v>339.0</v>
      </c>
      <c r="O13" s="2">
        <v>200.0</v>
      </c>
      <c r="P13" s="2">
        <v>517.0</v>
      </c>
      <c r="Q13" s="2">
        <v>0.0</v>
      </c>
      <c r="R13" s="2">
        <v>151.0</v>
      </c>
      <c r="S13" s="2">
        <v>2.0</v>
      </c>
      <c r="T13" s="2">
        <v>7.0</v>
      </c>
      <c r="U13" s="2">
        <f t="shared" si="7"/>
        <v>414</v>
      </c>
      <c r="V13" s="4">
        <f t="shared" si="8"/>
        <v>0.2736842105</v>
      </c>
      <c r="W13" s="5">
        <f t="shared" si="9"/>
        <v>0.2363367799</v>
      </c>
    </row>
    <row r="14">
      <c r="A14" s="2" t="s">
        <v>69</v>
      </c>
      <c r="B14" s="2" t="s">
        <v>21</v>
      </c>
      <c r="C14" s="2" t="s">
        <v>22</v>
      </c>
      <c r="D14" s="2" t="s">
        <v>23</v>
      </c>
      <c r="E14" s="2" t="s">
        <v>70</v>
      </c>
      <c r="F14" s="2">
        <v>3.0</v>
      </c>
      <c r="G14" s="2" t="s">
        <v>25</v>
      </c>
      <c r="H14" s="2">
        <v>81.0</v>
      </c>
      <c r="I14" s="2">
        <v>6.0</v>
      </c>
      <c r="J14" s="2">
        <v>198.0</v>
      </c>
      <c r="K14" s="2">
        <v>0.0</v>
      </c>
      <c r="L14" s="2">
        <v>49.0</v>
      </c>
      <c r="M14" s="2">
        <v>0.0</v>
      </c>
      <c r="N14" s="2">
        <v>254.0</v>
      </c>
      <c r="O14" s="2">
        <v>0.0</v>
      </c>
      <c r="P14" s="2">
        <v>196.0</v>
      </c>
      <c r="Q14" s="2">
        <v>0.0</v>
      </c>
      <c r="R14" s="2">
        <v>0.0</v>
      </c>
      <c r="S14" s="2">
        <v>0.0</v>
      </c>
      <c r="T14" s="2">
        <v>0.0</v>
      </c>
      <c r="U14" s="3">
        <f>(N14+L14+M14)*2/3</f>
        <v>202</v>
      </c>
      <c r="W14" s="5"/>
    </row>
    <row r="15">
      <c r="A15" s="2" t="s">
        <v>69</v>
      </c>
      <c r="B15" s="2" t="s">
        <v>21</v>
      </c>
      <c r="C15" s="2" t="s">
        <v>22</v>
      </c>
      <c r="D15" s="2" t="s">
        <v>23</v>
      </c>
      <c r="E15" s="2" t="s">
        <v>71</v>
      </c>
      <c r="F15" s="2">
        <v>3.0</v>
      </c>
      <c r="G15" s="2" t="s">
        <v>45</v>
      </c>
      <c r="H15" s="2">
        <v>14.0</v>
      </c>
      <c r="I15" s="2">
        <v>2.0</v>
      </c>
      <c r="J15" s="2">
        <v>0.0</v>
      </c>
      <c r="K15" s="2">
        <v>50.0</v>
      </c>
      <c r="L15" s="2">
        <v>0.0</v>
      </c>
      <c r="M15" s="2">
        <v>19.0</v>
      </c>
      <c r="N15" s="2">
        <v>147.0</v>
      </c>
      <c r="O15" s="2">
        <v>69.0</v>
      </c>
      <c r="P15" s="2">
        <v>116.0</v>
      </c>
      <c r="Q15" s="2">
        <v>0.0</v>
      </c>
      <c r="R15" s="2">
        <v>67.0</v>
      </c>
      <c r="S15" s="2">
        <v>1.0</v>
      </c>
      <c r="T15" s="2">
        <v>12.0</v>
      </c>
      <c r="U15" s="2">
        <f t="shared" ref="U15:U17" si="10">(N15+L15+M15)</f>
        <v>166</v>
      </c>
      <c r="V15" s="4">
        <f t="shared" ref="V15:V17" si="11">(U$14-U15)/U$14</f>
        <v>0.1782178218</v>
      </c>
      <c r="W15" s="5">
        <f t="shared" ref="W15:W17" si="12">SUM($R15:$T15)/($P15+(SUM($R15:$T15)))</f>
        <v>0.4081632653</v>
      </c>
    </row>
    <row r="16">
      <c r="A16" s="2" t="s">
        <v>69</v>
      </c>
      <c r="B16" s="2" t="s">
        <v>21</v>
      </c>
      <c r="C16" s="2" t="s">
        <v>22</v>
      </c>
      <c r="D16" s="2" t="s">
        <v>23</v>
      </c>
      <c r="E16" s="2" t="s">
        <v>72</v>
      </c>
      <c r="F16" s="2">
        <v>3.0</v>
      </c>
      <c r="G16" s="2" t="s">
        <v>47</v>
      </c>
      <c r="H16" s="2">
        <v>10.0</v>
      </c>
      <c r="I16" s="2">
        <v>0.0</v>
      </c>
      <c r="J16" s="2">
        <v>2.0</v>
      </c>
      <c r="K16" s="2">
        <v>44.0</v>
      </c>
      <c r="L16" s="2">
        <v>0.0</v>
      </c>
      <c r="M16" s="2">
        <v>20.0</v>
      </c>
      <c r="N16" s="2">
        <v>150.0</v>
      </c>
      <c r="O16" s="2">
        <v>64.0</v>
      </c>
      <c r="P16" s="2">
        <v>113.0</v>
      </c>
      <c r="Q16" s="2">
        <v>0.0</v>
      </c>
      <c r="R16" s="2">
        <v>69.0</v>
      </c>
      <c r="S16" s="2">
        <v>1.0</v>
      </c>
      <c r="T16" s="2">
        <v>14.0</v>
      </c>
      <c r="U16" s="2">
        <f t="shared" si="10"/>
        <v>170</v>
      </c>
      <c r="V16" s="4">
        <f t="shared" si="11"/>
        <v>0.1584158416</v>
      </c>
      <c r="W16" s="5">
        <f t="shared" si="12"/>
        <v>0.4263959391</v>
      </c>
    </row>
    <row r="17">
      <c r="A17" s="2" t="s">
        <v>69</v>
      </c>
      <c r="B17" s="2" t="s">
        <v>21</v>
      </c>
      <c r="C17" s="2" t="s">
        <v>22</v>
      </c>
      <c r="D17" s="2" t="s">
        <v>23</v>
      </c>
      <c r="E17" s="2" t="s">
        <v>74</v>
      </c>
      <c r="F17" s="2">
        <v>3.0</v>
      </c>
      <c r="G17" s="2" t="s">
        <v>51</v>
      </c>
      <c r="H17" s="2">
        <v>17.0</v>
      </c>
      <c r="I17" s="2">
        <v>1.0</v>
      </c>
      <c r="J17" s="2">
        <v>0.0</v>
      </c>
      <c r="K17" s="2">
        <v>28.0</v>
      </c>
      <c r="L17" s="2">
        <v>0.0</v>
      </c>
      <c r="M17" s="2">
        <v>15.0</v>
      </c>
      <c r="N17" s="2">
        <v>153.0</v>
      </c>
      <c r="O17" s="2">
        <v>43.0</v>
      </c>
      <c r="P17" s="2">
        <v>107.0</v>
      </c>
      <c r="Q17" s="2">
        <v>0.0</v>
      </c>
      <c r="R17" s="2">
        <v>74.0</v>
      </c>
      <c r="S17" s="2">
        <v>1.0</v>
      </c>
      <c r="T17" s="2">
        <v>13.0</v>
      </c>
      <c r="U17" s="2">
        <f t="shared" si="10"/>
        <v>168</v>
      </c>
      <c r="V17" s="4">
        <f t="shared" si="11"/>
        <v>0.1683168317</v>
      </c>
      <c r="W17" s="5">
        <f t="shared" si="12"/>
        <v>0.4512820513</v>
      </c>
    </row>
    <row r="18">
      <c r="A18" s="2" t="s">
        <v>75</v>
      </c>
      <c r="B18" s="2" t="s">
        <v>32</v>
      </c>
      <c r="C18" s="2" t="s">
        <v>22</v>
      </c>
      <c r="D18" s="2" t="s">
        <v>23</v>
      </c>
      <c r="E18" s="2" t="s">
        <v>41</v>
      </c>
      <c r="F18" s="2">
        <v>3.0</v>
      </c>
      <c r="G18" s="2" t="s">
        <v>25</v>
      </c>
      <c r="H18" s="2">
        <v>879.0</v>
      </c>
      <c r="I18" s="2">
        <v>483.0</v>
      </c>
      <c r="J18" s="2">
        <v>180.0</v>
      </c>
      <c r="K18" s="2">
        <v>0.0</v>
      </c>
      <c r="L18" s="2">
        <v>79.0</v>
      </c>
      <c r="M18" s="2">
        <v>0.0</v>
      </c>
      <c r="N18" s="2">
        <v>1364.0</v>
      </c>
      <c r="O18" s="2">
        <v>0.0</v>
      </c>
      <c r="P18" s="2">
        <v>995.0</v>
      </c>
      <c r="Q18" s="2">
        <v>0.0</v>
      </c>
      <c r="R18" s="2">
        <v>0.0</v>
      </c>
      <c r="S18" s="2">
        <v>0.0</v>
      </c>
      <c r="T18" s="2">
        <v>0.0</v>
      </c>
      <c r="U18" s="3">
        <f>(N18+L18+M18)*2/3</f>
        <v>962</v>
      </c>
      <c r="W18" s="19"/>
    </row>
    <row r="19">
      <c r="A19" s="2" t="s">
        <v>75</v>
      </c>
      <c r="B19" s="2" t="s">
        <v>32</v>
      </c>
      <c r="C19" s="2" t="s">
        <v>22</v>
      </c>
      <c r="D19" s="2" t="s">
        <v>23</v>
      </c>
      <c r="E19" s="2" t="s">
        <v>44</v>
      </c>
      <c r="F19" s="2">
        <v>3.0</v>
      </c>
      <c r="G19" s="2" t="s">
        <v>45</v>
      </c>
      <c r="H19" s="2">
        <v>412.0</v>
      </c>
      <c r="I19" s="2">
        <v>199.0</v>
      </c>
      <c r="J19" s="2">
        <v>16.0</v>
      </c>
      <c r="K19" s="2">
        <v>135.0</v>
      </c>
      <c r="L19" s="2">
        <v>46.0</v>
      </c>
      <c r="M19" s="2">
        <v>33.0</v>
      </c>
      <c r="N19" s="2">
        <v>479.0</v>
      </c>
      <c r="O19" s="2">
        <v>168.0</v>
      </c>
      <c r="P19" s="2">
        <v>660.0</v>
      </c>
      <c r="Q19" s="2">
        <v>0.0</v>
      </c>
      <c r="R19" s="2">
        <v>42.0</v>
      </c>
      <c r="S19" s="2">
        <v>4.0</v>
      </c>
      <c r="T19" s="2">
        <v>284.0</v>
      </c>
      <c r="U19" s="2">
        <f t="shared" ref="U19:U21" si="13">(N19+L19+M19)</f>
        <v>558</v>
      </c>
      <c r="V19" s="4">
        <f t="shared" ref="V19:V21" si="14">(U$18-U19)/U$18</f>
        <v>0.41995842</v>
      </c>
      <c r="W19" s="19">
        <f t="shared" ref="W19:W21" si="15">SUM($R19:$T19)/($P19+(SUM($R19:$T19)))</f>
        <v>0.3333333333</v>
      </c>
    </row>
    <row r="20">
      <c r="A20" s="2" t="s">
        <v>75</v>
      </c>
      <c r="B20" s="2" t="s">
        <v>32</v>
      </c>
      <c r="C20" s="2" t="s">
        <v>22</v>
      </c>
      <c r="D20" s="2" t="s">
        <v>23</v>
      </c>
      <c r="E20" s="2" t="s">
        <v>46</v>
      </c>
      <c r="F20" s="2">
        <v>3.0</v>
      </c>
      <c r="G20" s="2" t="s">
        <v>47</v>
      </c>
      <c r="H20" s="2">
        <v>381.0</v>
      </c>
      <c r="I20" s="2">
        <v>207.0</v>
      </c>
      <c r="J20" s="2">
        <v>28.0</v>
      </c>
      <c r="K20" s="2">
        <v>102.0</v>
      </c>
      <c r="L20" s="2">
        <v>47.0</v>
      </c>
      <c r="M20" s="2">
        <v>21.0</v>
      </c>
      <c r="N20" s="2">
        <v>540.0</v>
      </c>
      <c r="O20" s="2">
        <v>123.0</v>
      </c>
      <c r="P20" s="2">
        <v>663.0</v>
      </c>
      <c r="Q20" s="2">
        <v>0.0</v>
      </c>
      <c r="R20" s="2">
        <v>54.0</v>
      </c>
      <c r="S20" s="2">
        <v>4.0</v>
      </c>
      <c r="T20" s="2">
        <v>273.0</v>
      </c>
      <c r="U20" s="2">
        <f t="shared" si="13"/>
        <v>608</v>
      </c>
      <c r="V20" s="4">
        <f t="shared" si="14"/>
        <v>0.367983368</v>
      </c>
      <c r="W20" s="19">
        <f t="shared" si="15"/>
        <v>0.3329979879</v>
      </c>
    </row>
    <row r="21" ht="15.75" customHeight="1">
      <c r="A21" s="2" t="s">
        <v>75</v>
      </c>
      <c r="B21" s="2" t="s">
        <v>32</v>
      </c>
      <c r="C21" s="2" t="s">
        <v>22</v>
      </c>
      <c r="D21" s="2" t="s">
        <v>23</v>
      </c>
      <c r="E21" s="2" t="s">
        <v>50</v>
      </c>
      <c r="F21" s="2">
        <v>3.0</v>
      </c>
      <c r="G21" s="2" t="s">
        <v>51</v>
      </c>
      <c r="H21" s="2">
        <v>372.0</v>
      </c>
      <c r="I21" s="2">
        <v>183.0</v>
      </c>
      <c r="J21" s="2">
        <v>22.0</v>
      </c>
      <c r="K21" s="2">
        <v>89.0</v>
      </c>
      <c r="L21" s="2">
        <v>34.0</v>
      </c>
      <c r="M21" s="2">
        <v>15.0</v>
      </c>
      <c r="N21" s="2">
        <v>571.0</v>
      </c>
      <c r="O21" s="2">
        <v>104.0</v>
      </c>
      <c r="P21" s="2">
        <v>643.0</v>
      </c>
      <c r="Q21" s="2">
        <v>0.0</v>
      </c>
      <c r="R21" s="2">
        <v>68.0</v>
      </c>
      <c r="S21" s="2">
        <v>4.0</v>
      </c>
      <c r="T21" s="2">
        <v>271.0</v>
      </c>
      <c r="U21" s="2">
        <f t="shared" si="13"/>
        <v>620</v>
      </c>
      <c r="V21" s="4">
        <f t="shared" si="14"/>
        <v>0.3555093555</v>
      </c>
      <c r="W21" s="19">
        <f t="shared" si="15"/>
        <v>0.3478701826</v>
      </c>
    </row>
    <row r="22" ht="15.75" customHeight="1">
      <c r="A22" s="2" t="s">
        <v>77</v>
      </c>
      <c r="B22" s="2" t="s">
        <v>32</v>
      </c>
      <c r="C22" s="2" t="s">
        <v>22</v>
      </c>
      <c r="D22" s="2" t="s">
        <v>23</v>
      </c>
      <c r="E22" s="2" t="s">
        <v>53</v>
      </c>
      <c r="F22" s="2">
        <v>3.0</v>
      </c>
      <c r="G22" s="2" t="s">
        <v>25</v>
      </c>
      <c r="H22" s="2">
        <v>60.0</v>
      </c>
      <c r="I22" s="2">
        <v>1479.0</v>
      </c>
      <c r="J22" s="2">
        <v>1209.0</v>
      </c>
      <c r="K22" s="2">
        <v>0.0</v>
      </c>
      <c r="L22" s="2">
        <v>19.0</v>
      </c>
      <c r="M22" s="2">
        <v>0.0</v>
      </c>
      <c r="N22" s="2">
        <v>215.0</v>
      </c>
      <c r="O22" s="2">
        <v>0.0</v>
      </c>
      <c r="P22" s="2">
        <v>994.0</v>
      </c>
      <c r="Q22" s="2">
        <v>0.0</v>
      </c>
      <c r="R22" s="2">
        <v>0.0</v>
      </c>
      <c r="S22" s="2">
        <v>0.0</v>
      </c>
      <c r="T22" s="2">
        <v>0.0</v>
      </c>
      <c r="U22" s="3">
        <f>(N22+L22+M22)*2/3</f>
        <v>156</v>
      </c>
      <c r="W22" s="5"/>
    </row>
    <row r="23" ht="15.75" customHeight="1">
      <c r="A23" s="2" t="s">
        <v>77</v>
      </c>
      <c r="B23" s="2" t="s">
        <v>32</v>
      </c>
      <c r="C23" s="2" t="s">
        <v>22</v>
      </c>
      <c r="D23" s="2" t="s">
        <v>23</v>
      </c>
      <c r="E23" s="2" t="s">
        <v>55</v>
      </c>
      <c r="F23" s="2">
        <v>3.0</v>
      </c>
      <c r="G23" s="2" t="s">
        <v>45</v>
      </c>
      <c r="H23" s="2">
        <v>45.0</v>
      </c>
      <c r="I23" s="2">
        <v>983.0</v>
      </c>
      <c r="J23" s="2">
        <v>152.0</v>
      </c>
      <c r="K23" s="2">
        <v>542.0</v>
      </c>
      <c r="L23" s="2">
        <v>12.0</v>
      </c>
      <c r="M23" s="2">
        <v>24.0</v>
      </c>
      <c r="N23" s="2">
        <v>80.0</v>
      </c>
      <c r="O23" s="2">
        <v>566.0</v>
      </c>
      <c r="P23" s="2">
        <v>919.0</v>
      </c>
      <c r="Q23" s="2">
        <v>0.0</v>
      </c>
      <c r="R23" s="2">
        <v>46.0</v>
      </c>
      <c r="S23" s="2">
        <v>5.0</v>
      </c>
      <c r="T23" s="2">
        <v>25.0</v>
      </c>
      <c r="U23" s="2">
        <f t="shared" ref="U23:U25" si="16">(N23+L23+M23)</f>
        <v>116</v>
      </c>
      <c r="V23" s="4">
        <f t="shared" ref="V23:V25" si="17">(U$22-U23)/U$22</f>
        <v>0.2564102564</v>
      </c>
      <c r="W23" s="5">
        <f t="shared" ref="W23:W25" si="18">SUM($R23:$T23)/($P23+(SUM($R23:$T23)))</f>
        <v>0.07638190955</v>
      </c>
    </row>
    <row r="24" ht="15.75" customHeight="1">
      <c r="A24" s="2" t="s">
        <v>77</v>
      </c>
      <c r="B24" s="2" t="s">
        <v>32</v>
      </c>
      <c r="C24" s="2" t="s">
        <v>22</v>
      </c>
      <c r="D24" s="2" t="s">
        <v>23</v>
      </c>
      <c r="E24" s="2" t="s">
        <v>56</v>
      </c>
      <c r="F24" s="2">
        <v>3.0</v>
      </c>
      <c r="G24" s="2" t="s">
        <v>47</v>
      </c>
      <c r="H24" s="2">
        <v>38.0</v>
      </c>
      <c r="I24" s="2">
        <v>1182.0</v>
      </c>
      <c r="J24" s="2">
        <v>232.0</v>
      </c>
      <c r="K24" s="2">
        <v>226.0</v>
      </c>
      <c r="L24" s="2">
        <v>12.0</v>
      </c>
      <c r="M24" s="2">
        <v>6.0</v>
      </c>
      <c r="N24" s="2">
        <v>112.0</v>
      </c>
      <c r="O24" s="2">
        <v>232.0</v>
      </c>
      <c r="P24" s="2">
        <v>904.0</v>
      </c>
      <c r="Q24" s="2">
        <v>0.0</v>
      </c>
      <c r="R24" s="2">
        <v>72.0</v>
      </c>
      <c r="S24" s="2">
        <v>5.0</v>
      </c>
      <c r="T24" s="2">
        <v>14.0</v>
      </c>
      <c r="U24" s="2">
        <f t="shared" si="16"/>
        <v>130</v>
      </c>
      <c r="V24" s="4">
        <f t="shared" si="17"/>
        <v>0.1666666667</v>
      </c>
      <c r="W24" s="5">
        <f t="shared" si="18"/>
        <v>0.09145728643</v>
      </c>
    </row>
    <row r="25" ht="15.75" customHeight="1">
      <c r="A25" s="2" t="s">
        <v>77</v>
      </c>
      <c r="B25" s="2" t="s">
        <v>32</v>
      </c>
      <c r="C25" s="2" t="s">
        <v>22</v>
      </c>
      <c r="D25" s="2" t="s">
        <v>23</v>
      </c>
      <c r="E25" s="2" t="s">
        <v>57</v>
      </c>
      <c r="F25" s="2">
        <v>3.0</v>
      </c>
      <c r="G25" s="2" t="s">
        <v>51</v>
      </c>
      <c r="H25" s="2">
        <v>33.0</v>
      </c>
      <c r="I25" s="2">
        <v>1202.0</v>
      </c>
      <c r="J25" s="2">
        <v>240.0</v>
      </c>
      <c r="K25" s="2">
        <v>223.0</v>
      </c>
      <c r="L25" s="2">
        <v>9.0</v>
      </c>
      <c r="M25" s="2">
        <v>8.0</v>
      </c>
      <c r="N25" s="2">
        <v>115.0</v>
      </c>
      <c r="O25" s="2">
        <v>231.0</v>
      </c>
      <c r="P25" s="2">
        <v>915.0</v>
      </c>
      <c r="Q25" s="2">
        <v>0.0</v>
      </c>
      <c r="R25" s="2">
        <v>67.0</v>
      </c>
      <c r="S25" s="2">
        <v>4.0</v>
      </c>
      <c r="T25" s="2">
        <v>9.0</v>
      </c>
      <c r="U25" s="2">
        <f t="shared" si="16"/>
        <v>132</v>
      </c>
      <c r="V25" s="4">
        <f t="shared" si="17"/>
        <v>0.1538461538</v>
      </c>
      <c r="W25" s="5">
        <f t="shared" si="18"/>
        <v>0.08040201005</v>
      </c>
    </row>
    <row r="26" ht="15.75" customHeight="1">
      <c r="A26" s="2" t="s">
        <v>78</v>
      </c>
      <c r="B26" s="2" t="s">
        <v>32</v>
      </c>
      <c r="C26" s="2" t="s">
        <v>22</v>
      </c>
      <c r="D26" s="2" t="s">
        <v>23</v>
      </c>
      <c r="E26" s="2" t="s">
        <v>60</v>
      </c>
      <c r="F26" s="2">
        <v>3.0</v>
      </c>
      <c r="G26" s="2" t="s">
        <v>25</v>
      </c>
      <c r="H26" s="2">
        <v>89.0</v>
      </c>
      <c r="I26" s="2">
        <v>325.0</v>
      </c>
      <c r="J26" s="2">
        <v>558.0</v>
      </c>
      <c r="K26" s="2">
        <v>0.0</v>
      </c>
      <c r="L26" s="2">
        <v>177.0</v>
      </c>
      <c r="M26" s="2">
        <v>0.0</v>
      </c>
      <c r="N26" s="2">
        <v>894.0</v>
      </c>
      <c r="O26" s="2">
        <v>0.0</v>
      </c>
      <c r="P26" s="2">
        <v>681.0</v>
      </c>
      <c r="Q26" s="2">
        <v>0.0</v>
      </c>
      <c r="R26" s="2">
        <v>0.0</v>
      </c>
      <c r="S26" s="2">
        <v>0.0</v>
      </c>
      <c r="T26" s="2">
        <v>0.0</v>
      </c>
      <c r="U26" s="3">
        <f>(N26+L26+M26)*2/3</f>
        <v>714</v>
      </c>
      <c r="W26" s="5"/>
    </row>
    <row r="27" ht="15.75" customHeight="1">
      <c r="A27" s="2" t="s">
        <v>78</v>
      </c>
      <c r="B27" s="2" t="s">
        <v>32</v>
      </c>
      <c r="C27" s="2" t="s">
        <v>22</v>
      </c>
      <c r="D27" s="2" t="s">
        <v>23</v>
      </c>
      <c r="E27" s="2" t="s">
        <v>61</v>
      </c>
      <c r="F27" s="2">
        <v>3.0</v>
      </c>
      <c r="G27" s="2" t="s">
        <v>45</v>
      </c>
      <c r="H27" s="2">
        <v>56.0</v>
      </c>
      <c r="I27" s="2">
        <v>145.0</v>
      </c>
      <c r="J27" s="2">
        <v>70.0</v>
      </c>
      <c r="K27" s="2">
        <v>99.0</v>
      </c>
      <c r="L27" s="2">
        <v>71.0</v>
      </c>
      <c r="M27" s="2">
        <v>76.0</v>
      </c>
      <c r="N27" s="2">
        <v>393.0</v>
      </c>
      <c r="O27" s="2">
        <v>175.0</v>
      </c>
      <c r="P27" s="2">
        <v>455.0</v>
      </c>
      <c r="Q27" s="2">
        <v>0.0</v>
      </c>
      <c r="R27" s="2">
        <v>130.0</v>
      </c>
      <c r="S27" s="2">
        <v>1.0</v>
      </c>
      <c r="T27" s="2">
        <v>91.0</v>
      </c>
      <c r="U27" s="2">
        <f t="shared" ref="U27:U29" si="19">(N27+L27+M27)</f>
        <v>540</v>
      </c>
      <c r="V27" s="4">
        <f t="shared" ref="V27:V29" si="20">(U$26-U27)/U$26</f>
        <v>0.243697479</v>
      </c>
      <c r="W27" s="5">
        <f t="shared" ref="W27:W29" si="21">SUM($R27:$T27)/($P27+(SUM($R27:$T27)))</f>
        <v>0.3279172821</v>
      </c>
    </row>
    <row r="28" ht="15.75" customHeight="1">
      <c r="A28" s="2" t="s">
        <v>78</v>
      </c>
      <c r="B28" s="2" t="s">
        <v>32</v>
      </c>
      <c r="C28" s="2" t="s">
        <v>22</v>
      </c>
      <c r="D28" s="2" t="s">
        <v>23</v>
      </c>
      <c r="E28" s="2" t="s">
        <v>62</v>
      </c>
      <c r="F28" s="2">
        <v>3.0</v>
      </c>
      <c r="G28" s="2" t="s">
        <v>47</v>
      </c>
      <c r="H28" s="2">
        <v>42.0</v>
      </c>
      <c r="I28" s="2">
        <v>146.0</v>
      </c>
      <c r="J28" s="2">
        <v>48.0</v>
      </c>
      <c r="K28" s="2">
        <v>76.0</v>
      </c>
      <c r="L28" s="2">
        <v>55.0</v>
      </c>
      <c r="M28" s="2">
        <v>40.0</v>
      </c>
      <c r="N28" s="2">
        <v>301.0</v>
      </c>
      <c r="O28" s="2">
        <v>116.0</v>
      </c>
      <c r="P28" s="2">
        <v>354.0</v>
      </c>
      <c r="Q28" s="2">
        <v>0.0</v>
      </c>
      <c r="R28" s="2">
        <v>156.0</v>
      </c>
      <c r="S28" s="2">
        <v>1.0</v>
      </c>
      <c r="T28" s="2">
        <v>169.0</v>
      </c>
      <c r="U28" s="2">
        <f t="shared" si="19"/>
        <v>396</v>
      </c>
      <c r="V28" s="4">
        <f t="shared" si="20"/>
        <v>0.4453781513</v>
      </c>
      <c r="W28" s="5">
        <f t="shared" si="21"/>
        <v>0.4794117647</v>
      </c>
    </row>
    <row r="29" ht="15.75" customHeight="1">
      <c r="A29" s="2" t="s">
        <v>78</v>
      </c>
      <c r="B29" s="2" t="s">
        <v>32</v>
      </c>
      <c r="C29" s="2" t="s">
        <v>22</v>
      </c>
      <c r="D29" s="2" t="s">
        <v>23</v>
      </c>
      <c r="E29" s="2" t="s">
        <v>67</v>
      </c>
      <c r="F29" s="2">
        <v>3.0</v>
      </c>
      <c r="G29" s="2" t="s">
        <v>51</v>
      </c>
      <c r="H29" s="2">
        <v>38.0</v>
      </c>
      <c r="I29" s="2">
        <v>157.0</v>
      </c>
      <c r="J29" s="2">
        <v>72.0</v>
      </c>
      <c r="K29" s="2">
        <v>57.0</v>
      </c>
      <c r="L29" s="2">
        <v>70.0</v>
      </c>
      <c r="M29" s="2">
        <v>38.0</v>
      </c>
      <c r="N29" s="2">
        <v>400.0</v>
      </c>
      <c r="O29" s="2">
        <v>95.0</v>
      </c>
      <c r="P29" s="2">
        <v>416.0</v>
      </c>
      <c r="Q29" s="2">
        <v>0.0</v>
      </c>
      <c r="R29" s="2">
        <v>142.0</v>
      </c>
      <c r="S29" s="2">
        <v>1.0</v>
      </c>
      <c r="T29" s="2">
        <v>120.0</v>
      </c>
      <c r="U29" s="2">
        <f t="shared" si="19"/>
        <v>508</v>
      </c>
      <c r="V29" s="4">
        <f t="shared" si="20"/>
        <v>0.2885154062</v>
      </c>
      <c r="W29" s="5">
        <f t="shared" si="21"/>
        <v>0.3873343152</v>
      </c>
    </row>
    <row r="30" ht="15.75" customHeight="1">
      <c r="A30" s="2" t="s">
        <v>80</v>
      </c>
      <c r="B30" s="2" t="s">
        <v>32</v>
      </c>
      <c r="C30" s="2" t="s">
        <v>22</v>
      </c>
      <c r="D30" s="2" t="s">
        <v>23</v>
      </c>
      <c r="E30" s="2" t="s">
        <v>70</v>
      </c>
      <c r="F30" s="2">
        <v>3.0</v>
      </c>
      <c r="G30" s="2" t="s">
        <v>25</v>
      </c>
      <c r="H30" s="2">
        <v>109.0</v>
      </c>
      <c r="I30" s="2">
        <v>155.0</v>
      </c>
      <c r="J30" s="2">
        <v>141.0</v>
      </c>
      <c r="K30" s="2">
        <v>0.0</v>
      </c>
      <c r="L30" s="2">
        <v>34.0</v>
      </c>
      <c r="M30" s="2">
        <v>0.0</v>
      </c>
      <c r="N30" s="2">
        <v>149.0</v>
      </c>
      <c r="O30" s="2">
        <v>0.0</v>
      </c>
      <c r="P30" s="2">
        <v>196.0</v>
      </c>
      <c r="Q30" s="2">
        <v>0.0</v>
      </c>
      <c r="R30" s="2">
        <v>0.0</v>
      </c>
      <c r="S30" s="2">
        <v>0.0</v>
      </c>
      <c r="T30" s="2">
        <v>0.0</v>
      </c>
      <c r="U30" s="3">
        <f>(N30+L30+M30)*2/3</f>
        <v>122</v>
      </c>
      <c r="W30" s="5"/>
    </row>
    <row r="31" ht="15.75" customHeight="1">
      <c r="A31" s="2" t="s">
        <v>80</v>
      </c>
      <c r="B31" s="2" t="s">
        <v>32</v>
      </c>
      <c r="C31" s="2" t="s">
        <v>22</v>
      </c>
      <c r="D31" s="2" t="s">
        <v>23</v>
      </c>
      <c r="E31" s="2" t="s">
        <v>71</v>
      </c>
      <c r="F31" s="2">
        <v>3.0</v>
      </c>
      <c r="G31" s="2" t="s">
        <v>45</v>
      </c>
      <c r="H31" s="2">
        <v>42.0</v>
      </c>
      <c r="I31" s="2">
        <v>29.0</v>
      </c>
      <c r="J31" s="2">
        <v>8.0</v>
      </c>
      <c r="K31" s="2">
        <v>49.0</v>
      </c>
      <c r="L31" s="2">
        <v>5.0</v>
      </c>
      <c r="M31" s="2">
        <v>19.0</v>
      </c>
      <c r="N31" s="2">
        <v>54.0</v>
      </c>
      <c r="O31" s="2">
        <v>68.0</v>
      </c>
      <c r="P31" s="2">
        <v>103.0</v>
      </c>
      <c r="Q31" s="2">
        <v>0.0</v>
      </c>
      <c r="R31" s="2">
        <v>38.0</v>
      </c>
      <c r="S31" s="2">
        <v>1.0</v>
      </c>
      <c r="T31" s="2">
        <v>53.0</v>
      </c>
      <c r="U31" s="2">
        <f t="shared" ref="U31:U33" si="22">(N31+L31+M31)</f>
        <v>78</v>
      </c>
      <c r="V31" s="4">
        <f t="shared" ref="V31:V33" si="23">(U$30-U31)/U$30</f>
        <v>0.3606557377</v>
      </c>
      <c r="W31" s="5">
        <f t="shared" ref="W31:W33" si="24">SUM($R31:$T31)/($P31+(SUM($R31:$T31)))</f>
        <v>0.4717948718</v>
      </c>
    </row>
    <row r="32" ht="15.75" customHeight="1">
      <c r="A32" s="2" t="s">
        <v>80</v>
      </c>
      <c r="B32" s="2" t="s">
        <v>32</v>
      </c>
      <c r="C32" s="2" t="s">
        <v>22</v>
      </c>
      <c r="D32" s="2" t="s">
        <v>23</v>
      </c>
      <c r="E32" s="2" t="s">
        <v>72</v>
      </c>
      <c r="F32" s="2">
        <v>3.0</v>
      </c>
      <c r="G32" s="2" t="s">
        <v>47</v>
      </c>
      <c r="H32" s="2">
        <v>27.0</v>
      </c>
      <c r="I32" s="2">
        <v>32.0</v>
      </c>
      <c r="J32" s="2">
        <v>6.0</v>
      </c>
      <c r="K32" s="2">
        <v>21.0</v>
      </c>
      <c r="L32" s="2">
        <v>1.0</v>
      </c>
      <c r="M32" s="2">
        <v>6.0</v>
      </c>
      <c r="N32" s="2">
        <v>25.0</v>
      </c>
      <c r="O32" s="2">
        <v>27.0</v>
      </c>
      <c r="P32" s="2">
        <v>59.0</v>
      </c>
      <c r="Q32" s="2">
        <v>0.0</v>
      </c>
      <c r="R32" s="2">
        <v>57.0</v>
      </c>
      <c r="S32" s="2">
        <v>1.0</v>
      </c>
      <c r="T32" s="2">
        <v>80.0</v>
      </c>
      <c r="U32" s="2">
        <f t="shared" si="22"/>
        <v>32</v>
      </c>
      <c r="V32" s="4">
        <f t="shared" si="23"/>
        <v>0.737704918</v>
      </c>
      <c r="W32" s="5">
        <f t="shared" si="24"/>
        <v>0.7005076142</v>
      </c>
    </row>
    <row r="33" ht="15.75" customHeight="1">
      <c r="A33" s="2" t="s">
        <v>80</v>
      </c>
      <c r="B33" s="2" t="s">
        <v>32</v>
      </c>
      <c r="C33" s="2" t="s">
        <v>22</v>
      </c>
      <c r="D33" s="2" t="s">
        <v>23</v>
      </c>
      <c r="E33" s="2" t="s">
        <v>74</v>
      </c>
      <c r="F33" s="2">
        <v>3.0</v>
      </c>
      <c r="G33" s="2" t="s">
        <v>51</v>
      </c>
      <c r="H33" s="2">
        <v>47.0</v>
      </c>
      <c r="I33" s="2">
        <v>30.0</v>
      </c>
      <c r="J33" s="2">
        <v>6.0</v>
      </c>
      <c r="K33" s="2">
        <v>15.0</v>
      </c>
      <c r="L33" s="2">
        <v>3.0</v>
      </c>
      <c r="M33" s="2">
        <v>6.0</v>
      </c>
      <c r="N33" s="2">
        <v>59.0</v>
      </c>
      <c r="O33" s="2">
        <v>21.0</v>
      </c>
      <c r="P33" s="2">
        <v>83.0</v>
      </c>
      <c r="Q33" s="2">
        <v>0.0</v>
      </c>
      <c r="R33" s="2">
        <v>54.0</v>
      </c>
      <c r="S33" s="2">
        <v>1.0</v>
      </c>
      <c r="T33" s="2">
        <v>57.0</v>
      </c>
      <c r="U33" s="2">
        <f t="shared" si="22"/>
        <v>68</v>
      </c>
      <c r="V33" s="4">
        <f t="shared" si="23"/>
        <v>0.4426229508</v>
      </c>
      <c r="W33" s="5">
        <f t="shared" si="24"/>
        <v>0.5743589744</v>
      </c>
    </row>
    <row r="34" ht="15.75" customHeight="1">
      <c r="A34" s="2" t="s">
        <v>87</v>
      </c>
      <c r="B34" s="2" t="s">
        <v>43</v>
      </c>
      <c r="C34" s="2" t="s">
        <v>22</v>
      </c>
      <c r="D34" s="2" t="s">
        <v>23</v>
      </c>
      <c r="E34" s="2" t="s">
        <v>41</v>
      </c>
      <c r="F34" s="2">
        <v>3.0</v>
      </c>
      <c r="G34" s="2" t="s">
        <v>25</v>
      </c>
      <c r="H34" s="2">
        <v>162.0</v>
      </c>
      <c r="I34" s="2">
        <v>312.0</v>
      </c>
      <c r="J34" s="2">
        <v>441.0</v>
      </c>
      <c r="K34" s="2">
        <v>0.0</v>
      </c>
      <c r="L34" s="2">
        <v>209.0</v>
      </c>
      <c r="M34" s="2">
        <v>0.0</v>
      </c>
      <c r="N34" s="2">
        <v>1483.0</v>
      </c>
      <c r="O34" s="2">
        <v>0.0</v>
      </c>
      <c r="P34" s="2">
        <v>869.0</v>
      </c>
      <c r="Q34" s="2">
        <v>0.0</v>
      </c>
      <c r="R34" s="2">
        <v>0.0</v>
      </c>
      <c r="S34" s="2">
        <v>0.0</v>
      </c>
      <c r="T34" s="2">
        <v>0.0</v>
      </c>
      <c r="U34" s="3">
        <f>(N34+L34+M34)*2/3</f>
        <v>1128</v>
      </c>
      <c r="W34" s="5"/>
    </row>
    <row r="35" ht="15.75" customHeight="1">
      <c r="A35" s="2" t="s">
        <v>87</v>
      </c>
      <c r="B35" s="2" t="s">
        <v>43</v>
      </c>
      <c r="C35" s="2" t="s">
        <v>22</v>
      </c>
      <c r="D35" s="2" t="s">
        <v>23</v>
      </c>
      <c r="E35" s="2" t="s">
        <v>44</v>
      </c>
      <c r="F35" s="2">
        <v>3.0</v>
      </c>
      <c r="G35" s="2" t="s">
        <v>45</v>
      </c>
      <c r="H35" s="2">
        <v>101.0</v>
      </c>
      <c r="I35" s="2">
        <v>267.0</v>
      </c>
      <c r="J35" s="2">
        <v>16.0</v>
      </c>
      <c r="K35" s="2">
        <v>82.0</v>
      </c>
      <c r="L35" s="2">
        <v>156.0</v>
      </c>
      <c r="M35" s="2">
        <v>31.0</v>
      </c>
      <c r="N35" s="2">
        <v>749.0</v>
      </c>
      <c r="O35" s="2">
        <v>113.0</v>
      </c>
      <c r="P35" s="2">
        <v>701.0</v>
      </c>
      <c r="Q35" s="2">
        <v>0.0</v>
      </c>
      <c r="R35" s="2">
        <v>25.0</v>
      </c>
      <c r="S35" s="2">
        <v>73.0</v>
      </c>
      <c r="T35" s="2">
        <v>11.0</v>
      </c>
      <c r="U35" s="2">
        <f t="shared" ref="U35:U37" si="25">(N35+L35+M35)</f>
        <v>936</v>
      </c>
      <c r="V35" s="26">
        <f t="shared" ref="V35:V37" si="26">(U$34-U35)/U$34</f>
        <v>0.170212766</v>
      </c>
      <c r="W35" s="5">
        <f t="shared" ref="W35:W37" si="27">SUM($R35:$T35)/($P35+(SUM($R35:$T35)))</f>
        <v>0.1345679012</v>
      </c>
    </row>
    <row r="36" ht="15.75" customHeight="1">
      <c r="A36" s="2" t="s">
        <v>87</v>
      </c>
      <c r="B36" s="2" t="s">
        <v>43</v>
      </c>
      <c r="C36" s="2" t="s">
        <v>22</v>
      </c>
      <c r="D36" s="2" t="s">
        <v>23</v>
      </c>
      <c r="E36" s="2" t="s">
        <v>46</v>
      </c>
      <c r="F36" s="2">
        <v>3.0</v>
      </c>
      <c r="G36" s="2" t="s">
        <v>47</v>
      </c>
      <c r="H36" s="2">
        <v>81.0</v>
      </c>
      <c r="I36" s="2">
        <v>356.0</v>
      </c>
      <c r="J36" s="2">
        <v>12.0</v>
      </c>
      <c r="K36" s="2">
        <v>39.0</v>
      </c>
      <c r="L36" s="2">
        <v>219.0</v>
      </c>
      <c r="M36" s="2">
        <v>34.0</v>
      </c>
      <c r="N36" s="2">
        <v>641.0</v>
      </c>
      <c r="O36" s="2">
        <v>73.0</v>
      </c>
      <c r="P36" s="2">
        <v>691.0</v>
      </c>
      <c r="Q36" s="2">
        <v>0.0</v>
      </c>
      <c r="R36" s="2">
        <v>8.0</v>
      </c>
      <c r="S36" s="2">
        <v>66.0</v>
      </c>
      <c r="T36" s="2">
        <v>6.0</v>
      </c>
      <c r="U36" s="2">
        <f t="shared" si="25"/>
        <v>894</v>
      </c>
      <c r="V36" s="26">
        <f t="shared" si="26"/>
        <v>0.2074468085</v>
      </c>
      <c r="W36" s="5">
        <f t="shared" si="27"/>
        <v>0.1037613489</v>
      </c>
    </row>
    <row r="37" ht="15.75" customHeight="1">
      <c r="A37" s="2" t="s">
        <v>87</v>
      </c>
      <c r="B37" s="2" t="s">
        <v>43</v>
      </c>
      <c r="C37" s="2" t="s">
        <v>22</v>
      </c>
      <c r="D37" s="2" t="s">
        <v>23</v>
      </c>
      <c r="E37" s="2" t="s">
        <v>50</v>
      </c>
      <c r="F37" s="2">
        <v>3.0</v>
      </c>
      <c r="G37" s="2" t="s">
        <v>51</v>
      </c>
      <c r="H37" s="2">
        <v>100.0</v>
      </c>
      <c r="I37" s="2">
        <v>348.0</v>
      </c>
      <c r="J37" s="2">
        <v>10.0</v>
      </c>
      <c r="K37" s="2">
        <v>24.0</v>
      </c>
      <c r="L37" s="2">
        <v>169.0</v>
      </c>
      <c r="M37" s="2">
        <v>23.0</v>
      </c>
      <c r="N37" s="2">
        <v>726.0</v>
      </c>
      <c r="O37" s="2">
        <v>47.0</v>
      </c>
      <c r="P37" s="2">
        <v>700.0</v>
      </c>
      <c r="Q37" s="2">
        <v>0.0</v>
      </c>
      <c r="R37" s="2">
        <v>2.0</v>
      </c>
      <c r="S37" s="2">
        <v>60.0</v>
      </c>
      <c r="T37" s="2">
        <v>7.0</v>
      </c>
      <c r="U37" s="2">
        <f t="shared" si="25"/>
        <v>918</v>
      </c>
      <c r="V37" s="26">
        <f t="shared" si="26"/>
        <v>0.1861702128</v>
      </c>
      <c r="W37" s="5">
        <f t="shared" si="27"/>
        <v>0.08972691808</v>
      </c>
    </row>
    <row r="38" ht="15.75" customHeight="1">
      <c r="A38" s="2" t="s">
        <v>88</v>
      </c>
      <c r="B38" s="2" t="s">
        <v>43</v>
      </c>
      <c r="C38" s="2" t="s">
        <v>22</v>
      </c>
      <c r="D38" s="2" t="s">
        <v>23</v>
      </c>
      <c r="E38" s="2" t="s">
        <v>53</v>
      </c>
      <c r="F38" s="2">
        <v>3.0</v>
      </c>
      <c r="G38" s="2" t="s">
        <v>25</v>
      </c>
      <c r="H38" s="2">
        <v>16.0</v>
      </c>
      <c r="I38" s="2">
        <v>734.0</v>
      </c>
      <c r="J38" s="2">
        <v>1275.0</v>
      </c>
      <c r="K38" s="2">
        <v>0.0</v>
      </c>
      <c r="L38" s="2">
        <v>27.0</v>
      </c>
      <c r="M38" s="2">
        <v>0.0</v>
      </c>
      <c r="N38" s="2">
        <v>138.0</v>
      </c>
      <c r="O38" s="2">
        <v>0.0</v>
      </c>
      <c r="P38" s="2">
        <v>730.0</v>
      </c>
      <c r="Q38" s="2">
        <v>0.0</v>
      </c>
      <c r="R38" s="2">
        <v>0.0</v>
      </c>
      <c r="S38" s="2">
        <v>0.0</v>
      </c>
      <c r="T38" s="2">
        <v>0.0</v>
      </c>
      <c r="U38" s="3">
        <f>(N38+L38+M38)*2/3</f>
        <v>110</v>
      </c>
      <c r="W38" s="5"/>
    </row>
    <row r="39" ht="15.75" customHeight="1">
      <c r="A39" s="2" t="s">
        <v>88</v>
      </c>
      <c r="B39" s="2" t="s">
        <v>43</v>
      </c>
      <c r="C39" s="2" t="s">
        <v>22</v>
      </c>
      <c r="D39" s="2" t="s">
        <v>23</v>
      </c>
      <c r="E39" s="2" t="s">
        <v>55</v>
      </c>
      <c r="F39" s="2">
        <v>3.0</v>
      </c>
      <c r="G39" s="2" t="s">
        <v>45</v>
      </c>
      <c r="H39" s="2">
        <v>18.0</v>
      </c>
      <c r="I39" s="2">
        <v>642.0</v>
      </c>
      <c r="J39" s="2">
        <v>40.0</v>
      </c>
      <c r="K39" s="2">
        <v>330.0</v>
      </c>
      <c r="L39" s="2">
        <v>13.0</v>
      </c>
      <c r="M39" s="2">
        <v>6.0</v>
      </c>
      <c r="N39" s="2">
        <v>51.0</v>
      </c>
      <c r="O39" s="2">
        <v>336.0</v>
      </c>
      <c r="P39" s="2">
        <v>550.0</v>
      </c>
      <c r="Q39" s="2">
        <v>0.0</v>
      </c>
      <c r="R39" s="2">
        <v>12.0</v>
      </c>
      <c r="S39" s="2">
        <v>145.0</v>
      </c>
      <c r="T39" s="2">
        <v>0.0</v>
      </c>
      <c r="U39" s="2">
        <f t="shared" ref="U39:U41" si="28">(N39+L39+M39)</f>
        <v>70</v>
      </c>
      <c r="V39" s="26">
        <f t="shared" ref="V39:V41" si="29">(U$38-U39)/U$38</f>
        <v>0.3636363636</v>
      </c>
      <c r="W39" s="5">
        <f t="shared" ref="W39:W41" si="30">SUM($R39:$T39)/($P39+(SUM($R39:$T39)))</f>
        <v>0.2220650636</v>
      </c>
    </row>
    <row r="40" ht="15.75" customHeight="1">
      <c r="A40" s="2" t="s">
        <v>88</v>
      </c>
      <c r="B40" s="2" t="s">
        <v>43</v>
      </c>
      <c r="C40" s="2" t="s">
        <v>22</v>
      </c>
      <c r="D40" s="2" t="s">
        <v>23</v>
      </c>
      <c r="E40" s="2" t="s">
        <v>56</v>
      </c>
      <c r="F40" s="2">
        <v>3.0</v>
      </c>
      <c r="G40" s="2" t="s">
        <v>47</v>
      </c>
      <c r="H40" s="2">
        <v>7.0</v>
      </c>
      <c r="I40" s="2">
        <v>876.0</v>
      </c>
      <c r="J40" s="2">
        <v>36.0</v>
      </c>
      <c r="K40" s="2">
        <v>75.0</v>
      </c>
      <c r="L40" s="2">
        <v>15.0</v>
      </c>
      <c r="M40" s="2">
        <v>4.0</v>
      </c>
      <c r="N40" s="2">
        <v>71.0</v>
      </c>
      <c r="O40" s="2">
        <v>79.0</v>
      </c>
      <c r="P40" s="2">
        <v>542.0</v>
      </c>
      <c r="Q40" s="2">
        <v>0.0</v>
      </c>
      <c r="R40" s="2">
        <v>3.0</v>
      </c>
      <c r="S40" s="2">
        <v>129.0</v>
      </c>
      <c r="T40" s="2">
        <v>2.0</v>
      </c>
      <c r="U40" s="2">
        <f t="shared" si="28"/>
        <v>90</v>
      </c>
      <c r="V40" s="26">
        <f t="shared" si="29"/>
        <v>0.1818181818</v>
      </c>
      <c r="W40" s="5">
        <f t="shared" si="30"/>
        <v>0.1982248521</v>
      </c>
    </row>
    <row r="41" ht="15.75" customHeight="1">
      <c r="A41" s="2" t="s">
        <v>88</v>
      </c>
      <c r="B41" s="2" t="s">
        <v>43</v>
      </c>
      <c r="C41" s="2" t="s">
        <v>22</v>
      </c>
      <c r="D41" s="2" t="s">
        <v>23</v>
      </c>
      <c r="E41" s="2" t="s">
        <v>57</v>
      </c>
      <c r="F41" s="2">
        <v>3.0</v>
      </c>
      <c r="G41" s="2" t="s">
        <v>51</v>
      </c>
      <c r="H41" s="2">
        <v>18.0</v>
      </c>
      <c r="I41" s="2">
        <v>861.0</v>
      </c>
      <c r="J41" s="2">
        <v>24.0</v>
      </c>
      <c r="K41" s="2">
        <v>87.0</v>
      </c>
      <c r="L41" s="2">
        <v>15.0</v>
      </c>
      <c r="M41" s="2">
        <v>4.0</v>
      </c>
      <c r="N41" s="2">
        <v>55.0</v>
      </c>
      <c r="O41" s="2">
        <v>91.0</v>
      </c>
      <c r="P41" s="2">
        <v>532.0</v>
      </c>
      <c r="Q41" s="2">
        <v>0.0</v>
      </c>
      <c r="R41" s="2">
        <v>7.0</v>
      </c>
      <c r="S41" s="2">
        <v>136.0</v>
      </c>
      <c r="T41" s="2">
        <v>1.0</v>
      </c>
      <c r="U41" s="2">
        <f t="shared" si="28"/>
        <v>74</v>
      </c>
      <c r="V41" s="26">
        <f t="shared" si="29"/>
        <v>0.3272727273</v>
      </c>
      <c r="W41" s="5">
        <f t="shared" si="30"/>
        <v>0.2130177515</v>
      </c>
    </row>
    <row r="42" ht="15.75" customHeight="1">
      <c r="A42" s="2" t="s">
        <v>89</v>
      </c>
      <c r="B42" s="2" t="s">
        <v>43</v>
      </c>
      <c r="C42" s="2" t="s">
        <v>22</v>
      </c>
      <c r="D42" s="2" t="s">
        <v>23</v>
      </c>
      <c r="E42" s="2" t="s">
        <v>60</v>
      </c>
      <c r="F42" s="2">
        <v>3.0</v>
      </c>
      <c r="G42" s="2" t="s">
        <v>25</v>
      </c>
      <c r="H42" s="2">
        <v>85.0</v>
      </c>
      <c r="I42" s="2">
        <v>188.0</v>
      </c>
      <c r="J42" s="2">
        <v>573.0</v>
      </c>
      <c r="K42" s="2">
        <v>0.0</v>
      </c>
      <c r="L42" s="2">
        <v>125.0</v>
      </c>
      <c r="M42" s="2">
        <v>0.0</v>
      </c>
      <c r="N42" s="2">
        <v>523.0</v>
      </c>
      <c r="O42" s="2">
        <v>0.0</v>
      </c>
      <c r="P42" s="2">
        <v>498.0</v>
      </c>
      <c r="Q42" s="2">
        <v>0.0</v>
      </c>
      <c r="R42" s="2">
        <v>0.0</v>
      </c>
      <c r="S42" s="2">
        <v>0.0</v>
      </c>
      <c r="T42" s="2">
        <v>0.0</v>
      </c>
      <c r="U42" s="3">
        <f>(N42+L42+M42)*2/3</f>
        <v>432</v>
      </c>
      <c r="W42" s="5"/>
    </row>
    <row r="43" ht="15.75" customHeight="1">
      <c r="A43" s="2" t="s">
        <v>89</v>
      </c>
      <c r="B43" s="2" t="s">
        <v>43</v>
      </c>
      <c r="C43" s="2" t="s">
        <v>22</v>
      </c>
      <c r="D43" s="2" t="s">
        <v>23</v>
      </c>
      <c r="E43" s="2" t="s">
        <v>61</v>
      </c>
      <c r="F43" s="2">
        <v>3.0</v>
      </c>
      <c r="G43" s="2" t="s">
        <v>45</v>
      </c>
      <c r="H43" s="2">
        <v>103.0</v>
      </c>
      <c r="I43" s="2">
        <v>134.0</v>
      </c>
      <c r="J43" s="2">
        <v>10.0</v>
      </c>
      <c r="K43" s="2">
        <v>117.0</v>
      </c>
      <c r="L43" s="2">
        <v>37.0</v>
      </c>
      <c r="M43" s="2">
        <v>83.0</v>
      </c>
      <c r="N43" s="2">
        <v>214.0</v>
      </c>
      <c r="O43" s="2">
        <v>200.0</v>
      </c>
      <c r="P43" s="2">
        <v>349.0</v>
      </c>
      <c r="Q43" s="2">
        <v>0.0</v>
      </c>
      <c r="R43" s="2">
        <v>52.0</v>
      </c>
      <c r="S43" s="2">
        <v>128.0</v>
      </c>
      <c r="T43" s="2">
        <v>6.0</v>
      </c>
      <c r="U43" s="2">
        <f t="shared" ref="U43:U45" si="31">(N43+L43+M43)</f>
        <v>334</v>
      </c>
      <c r="V43" s="26">
        <f t="shared" ref="V43:V45" si="32">(U$42-U43)/U$42</f>
        <v>0.2268518519</v>
      </c>
      <c r="W43" s="5">
        <f t="shared" ref="W43:W45" si="33">SUM($R43:$T43)/($P43+(SUM($R43:$T43)))</f>
        <v>0.3476635514</v>
      </c>
    </row>
    <row r="44" ht="15.75" customHeight="1">
      <c r="A44" s="2" t="s">
        <v>89</v>
      </c>
      <c r="B44" s="2" t="s">
        <v>43</v>
      </c>
      <c r="C44" s="2" t="s">
        <v>22</v>
      </c>
      <c r="D44" s="2" t="s">
        <v>23</v>
      </c>
      <c r="E44" s="2" t="s">
        <v>62</v>
      </c>
      <c r="F44" s="2">
        <v>3.0</v>
      </c>
      <c r="G44" s="2" t="s">
        <v>47</v>
      </c>
      <c r="H44" s="2">
        <v>43.0</v>
      </c>
      <c r="I44" s="2">
        <v>252.0</v>
      </c>
      <c r="J44" s="2">
        <v>10.0</v>
      </c>
      <c r="K44" s="2">
        <v>47.0</v>
      </c>
      <c r="L44" s="2">
        <v>27.0</v>
      </c>
      <c r="M44" s="2">
        <v>72.0</v>
      </c>
      <c r="N44" s="2">
        <v>219.0</v>
      </c>
      <c r="O44" s="2">
        <v>119.0</v>
      </c>
      <c r="P44" s="2">
        <v>335.0</v>
      </c>
      <c r="Q44" s="2">
        <v>0.0</v>
      </c>
      <c r="R44" s="2">
        <v>18.0</v>
      </c>
      <c r="S44" s="2">
        <v>129.0</v>
      </c>
      <c r="T44" s="2">
        <v>39.0</v>
      </c>
      <c r="U44" s="2">
        <f t="shared" si="31"/>
        <v>318</v>
      </c>
      <c r="V44" s="4">
        <f t="shared" si="32"/>
        <v>0.2638888889</v>
      </c>
      <c r="W44" s="5">
        <f t="shared" si="33"/>
        <v>0.3570057582</v>
      </c>
    </row>
    <row r="45" ht="15.75" customHeight="1">
      <c r="A45" s="2" t="s">
        <v>89</v>
      </c>
      <c r="B45" s="2" t="s">
        <v>43</v>
      </c>
      <c r="C45" s="2" t="s">
        <v>22</v>
      </c>
      <c r="D45" s="2" t="s">
        <v>23</v>
      </c>
      <c r="E45" s="2" t="s">
        <v>67</v>
      </c>
      <c r="F45" s="2">
        <v>3.0</v>
      </c>
      <c r="G45" s="2" t="s">
        <v>51</v>
      </c>
      <c r="H45" s="2">
        <v>39.0</v>
      </c>
      <c r="I45" s="2">
        <v>242.0</v>
      </c>
      <c r="J45" s="2">
        <v>6.0</v>
      </c>
      <c r="K45" s="2">
        <v>55.0</v>
      </c>
      <c r="L45" s="2">
        <v>31.0</v>
      </c>
      <c r="M45" s="2">
        <v>82.0</v>
      </c>
      <c r="N45" s="2">
        <v>227.0</v>
      </c>
      <c r="O45" s="2">
        <v>137.0</v>
      </c>
      <c r="P45" s="2">
        <v>341.0</v>
      </c>
      <c r="Q45" s="2">
        <v>0.0</v>
      </c>
      <c r="R45" s="2">
        <v>17.0</v>
      </c>
      <c r="S45" s="2">
        <v>116.0</v>
      </c>
      <c r="T45" s="2">
        <v>35.0</v>
      </c>
      <c r="U45" s="2">
        <f t="shared" si="31"/>
        <v>340</v>
      </c>
      <c r="V45" s="26">
        <f t="shared" si="32"/>
        <v>0.212962963</v>
      </c>
      <c r="W45" s="5">
        <f t="shared" si="33"/>
        <v>0.3300589391</v>
      </c>
    </row>
    <row r="46" ht="15.75" customHeight="1">
      <c r="A46" s="2" t="s">
        <v>91</v>
      </c>
      <c r="B46" s="2" t="s">
        <v>43</v>
      </c>
      <c r="C46" s="2" t="s">
        <v>22</v>
      </c>
      <c r="D46" s="2" t="s">
        <v>23</v>
      </c>
      <c r="E46" s="2" t="s">
        <v>70</v>
      </c>
      <c r="F46" s="2">
        <v>3.0</v>
      </c>
      <c r="G46" s="2" t="s">
        <v>25</v>
      </c>
      <c r="H46" s="2">
        <v>38.0</v>
      </c>
      <c r="I46" s="2">
        <v>7.0</v>
      </c>
      <c r="J46" s="2">
        <v>87.0</v>
      </c>
      <c r="K46" s="2">
        <v>0.0</v>
      </c>
      <c r="L46" s="2">
        <v>40.0</v>
      </c>
      <c r="M46" s="2">
        <v>0.0</v>
      </c>
      <c r="N46" s="2">
        <v>263.0</v>
      </c>
      <c r="O46" s="2">
        <v>0.0</v>
      </c>
      <c r="P46" s="2">
        <v>145.0</v>
      </c>
      <c r="Q46" s="2">
        <v>0.0</v>
      </c>
      <c r="R46" s="2">
        <v>0.0</v>
      </c>
      <c r="S46" s="2">
        <v>0.0</v>
      </c>
      <c r="T46" s="2">
        <v>0.0</v>
      </c>
      <c r="U46" s="3">
        <f>(N46+L46+M46)*2/3</f>
        <v>202</v>
      </c>
      <c r="W46" s="19"/>
    </row>
    <row r="47" ht="15.75" customHeight="1">
      <c r="A47" s="2" t="s">
        <v>91</v>
      </c>
      <c r="B47" s="2" t="s">
        <v>43</v>
      </c>
      <c r="C47" s="2" t="s">
        <v>22</v>
      </c>
      <c r="D47" s="2" t="s">
        <v>23</v>
      </c>
      <c r="E47" s="2" t="s">
        <v>71</v>
      </c>
      <c r="F47" s="2">
        <v>3.0</v>
      </c>
      <c r="G47" s="2" t="s">
        <v>45</v>
      </c>
      <c r="H47" s="2">
        <v>25.0</v>
      </c>
      <c r="I47" s="2">
        <v>2.0</v>
      </c>
      <c r="J47" s="2">
        <v>4.0</v>
      </c>
      <c r="K47" s="2">
        <v>15.0</v>
      </c>
      <c r="L47" s="2">
        <v>16.0</v>
      </c>
      <c r="M47" s="2">
        <v>67.0</v>
      </c>
      <c r="N47" s="2">
        <v>49.0</v>
      </c>
      <c r="O47" s="2">
        <v>82.0</v>
      </c>
      <c r="P47" s="2">
        <v>89.0</v>
      </c>
      <c r="Q47" s="2">
        <v>0.0</v>
      </c>
      <c r="R47" s="2">
        <v>19.0</v>
      </c>
      <c r="S47" s="2">
        <v>39.0</v>
      </c>
      <c r="T47" s="2">
        <v>15.0</v>
      </c>
      <c r="U47" s="2">
        <f t="shared" ref="U47:U49" si="34">(N47+L47+M47)</f>
        <v>132</v>
      </c>
      <c r="V47" s="26">
        <f t="shared" ref="V47:V49" si="35">(U$46-U47)/U$46</f>
        <v>0.3465346535</v>
      </c>
      <c r="W47" s="19">
        <f t="shared" ref="W47:W49" si="36">SUM($R47:$T47)/($P47+(SUM($R47:$T47)))</f>
        <v>0.450617284</v>
      </c>
    </row>
    <row r="48" ht="15.75" customHeight="1">
      <c r="A48" s="2" t="s">
        <v>91</v>
      </c>
      <c r="B48" s="2" t="s">
        <v>43</v>
      </c>
      <c r="C48" s="2" t="s">
        <v>22</v>
      </c>
      <c r="D48" s="2" t="s">
        <v>23</v>
      </c>
      <c r="E48" s="2" t="s">
        <v>72</v>
      </c>
      <c r="F48" s="2">
        <v>3.0</v>
      </c>
      <c r="G48" s="2" t="s">
        <v>47</v>
      </c>
      <c r="H48" s="2">
        <v>10.0</v>
      </c>
      <c r="I48" s="2">
        <v>8.0</v>
      </c>
      <c r="J48" s="2">
        <v>8.0</v>
      </c>
      <c r="K48" s="2">
        <v>8.0</v>
      </c>
      <c r="L48" s="2">
        <v>27.0</v>
      </c>
      <c r="M48" s="2">
        <v>51.0</v>
      </c>
      <c r="N48" s="2">
        <v>66.0</v>
      </c>
      <c r="O48" s="2">
        <v>59.0</v>
      </c>
      <c r="P48" s="2">
        <v>89.0</v>
      </c>
      <c r="Q48" s="2">
        <v>0.0</v>
      </c>
      <c r="R48" s="2">
        <v>7.0</v>
      </c>
      <c r="S48" s="2">
        <v>37.0</v>
      </c>
      <c r="T48" s="2">
        <v>13.0</v>
      </c>
      <c r="U48" s="2">
        <f t="shared" si="34"/>
        <v>144</v>
      </c>
      <c r="V48" s="4">
        <f t="shared" si="35"/>
        <v>0.2871287129</v>
      </c>
      <c r="W48" s="19">
        <f t="shared" si="36"/>
        <v>0.3904109589</v>
      </c>
    </row>
    <row r="49" ht="15.75" customHeight="1">
      <c r="A49" s="2" t="s">
        <v>91</v>
      </c>
      <c r="B49" s="2" t="s">
        <v>43</v>
      </c>
      <c r="C49" s="2" t="s">
        <v>22</v>
      </c>
      <c r="D49" s="2" t="s">
        <v>23</v>
      </c>
      <c r="E49" s="2" t="s">
        <v>74</v>
      </c>
      <c r="F49" s="2">
        <v>3.0</v>
      </c>
      <c r="G49" s="2" t="s">
        <v>51</v>
      </c>
      <c r="H49" s="2">
        <v>17.0</v>
      </c>
      <c r="I49" s="2">
        <v>13.0</v>
      </c>
      <c r="J49" s="2">
        <v>0.0</v>
      </c>
      <c r="K49" s="2">
        <v>10.0</v>
      </c>
      <c r="L49" s="2">
        <v>30.0</v>
      </c>
      <c r="M49" s="2">
        <v>52.0</v>
      </c>
      <c r="N49" s="2">
        <v>48.0</v>
      </c>
      <c r="O49" s="2">
        <v>62.0</v>
      </c>
      <c r="P49" s="2">
        <v>85.0</v>
      </c>
      <c r="Q49" s="2">
        <v>0.0</v>
      </c>
      <c r="R49" s="2">
        <v>8.0</v>
      </c>
      <c r="S49" s="2">
        <v>41.0</v>
      </c>
      <c r="T49" s="2">
        <v>15.0</v>
      </c>
      <c r="U49" s="2">
        <f t="shared" si="34"/>
        <v>130</v>
      </c>
      <c r="V49" s="4">
        <f t="shared" si="35"/>
        <v>0.3564356436</v>
      </c>
      <c r="W49" s="19">
        <f t="shared" si="36"/>
        <v>0.4295302013</v>
      </c>
    </row>
    <row r="50" ht="15.75" customHeight="1">
      <c r="A50" s="36" t="s">
        <v>40</v>
      </c>
      <c r="B50" s="36" t="s">
        <v>21</v>
      </c>
      <c r="C50" s="36" t="s">
        <v>22</v>
      </c>
      <c r="D50" s="36" t="s">
        <v>23</v>
      </c>
      <c r="E50" s="36" t="s">
        <v>41</v>
      </c>
      <c r="F50" s="36">
        <v>3.0</v>
      </c>
      <c r="G50" s="36" t="s">
        <v>25</v>
      </c>
      <c r="H50" s="36">
        <v>261.0</v>
      </c>
      <c r="I50" s="36">
        <v>234.0</v>
      </c>
      <c r="J50" s="36">
        <v>486.0</v>
      </c>
      <c r="K50" s="36">
        <v>0.0</v>
      </c>
      <c r="L50" s="36">
        <v>98.0</v>
      </c>
      <c r="M50" s="36">
        <v>0.0</v>
      </c>
      <c r="N50" s="36">
        <v>1912.0</v>
      </c>
      <c r="O50" s="36">
        <v>0.0</v>
      </c>
      <c r="P50" s="36">
        <v>997.0</v>
      </c>
      <c r="Q50" s="36">
        <v>0.0</v>
      </c>
      <c r="R50" s="36">
        <v>0.0</v>
      </c>
      <c r="S50" s="36">
        <v>0.0</v>
      </c>
      <c r="T50" s="36">
        <v>0.0</v>
      </c>
      <c r="U50" s="3">
        <f>(N50+L50+M50)*1/3</f>
        <v>670</v>
      </c>
      <c r="W50" s="5"/>
    </row>
    <row r="51" ht="15.75" customHeight="1">
      <c r="A51" s="2" t="s">
        <v>40</v>
      </c>
      <c r="B51" s="2" t="s">
        <v>21</v>
      </c>
      <c r="C51" s="2" t="s">
        <v>22</v>
      </c>
      <c r="D51" s="2" t="s">
        <v>23</v>
      </c>
      <c r="E51" s="2" t="s">
        <v>93</v>
      </c>
      <c r="F51" s="2">
        <v>3.0</v>
      </c>
      <c r="G51" s="2" t="s">
        <v>94</v>
      </c>
      <c r="H51" s="2">
        <v>137.0</v>
      </c>
      <c r="I51" s="2">
        <v>57.0</v>
      </c>
      <c r="J51" s="2">
        <v>38.0</v>
      </c>
      <c r="K51" s="2">
        <v>71.0</v>
      </c>
      <c r="L51" s="2">
        <v>24.0</v>
      </c>
      <c r="M51" s="2">
        <v>45.0</v>
      </c>
      <c r="N51" s="2">
        <v>566.0</v>
      </c>
      <c r="O51" s="2">
        <v>116.0</v>
      </c>
      <c r="P51" s="2">
        <v>938.0</v>
      </c>
      <c r="Q51" s="2">
        <v>0.0</v>
      </c>
      <c r="R51" s="2">
        <v>27.0</v>
      </c>
      <c r="S51" s="2">
        <v>3.0</v>
      </c>
      <c r="T51" s="2">
        <v>58.0</v>
      </c>
      <c r="U51" s="2">
        <f t="shared" ref="U51:U53" si="37">(N51+L51+M51)</f>
        <v>635</v>
      </c>
      <c r="V51" s="4">
        <f t="shared" ref="V51:V53" si="38">(U$50-U51)/U$50</f>
        <v>0.05223880597</v>
      </c>
      <c r="W51" s="5">
        <f t="shared" ref="W51:W53" si="39">SUM($R51:$T51)/($P51+(SUM($R51:$T51)))</f>
        <v>0.08576998051</v>
      </c>
    </row>
    <row r="52" ht="15.75" customHeight="1">
      <c r="A52" s="2" t="s">
        <v>40</v>
      </c>
      <c r="B52" s="2" t="s">
        <v>21</v>
      </c>
      <c r="C52" s="2" t="s">
        <v>22</v>
      </c>
      <c r="D52" s="2" t="s">
        <v>23</v>
      </c>
      <c r="E52" s="2" t="s">
        <v>95</v>
      </c>
      <c r="F52" s="2">
        <v>3.0</v>
      </c>
      <c r="G52" s="2" t="s">
        <v>96</v>
      </c>
      <c r="H52" s="2">
        <v>130.0</v>
      </c>
      <c r="I52" s="2">
        <v>55.0</v>
      </c>
      <c r="J52" s="2">
        <v>37.0</v>
      </c>
      <c r="K52" s="2">
        <v>74.0</v>
      </c>
      <c r="L52" s="2">
        <v>13.0</v>
      </c>
      <c r="M52" s="2">
        <v>43.0</v>
      </c>
      <c r="N52" s="2">
        <v>584.0</v>
      </c>
      <c r="O52" s="2">
        <v>117.0</v>
      </c>
      <c r="P52" s="2">
        <v>936.0</v>
      </c>
      <c r="Q52" s="2">
        <v>0.0</v>
      </c>
      <c r="R52" s="2">
        <v>45.0</v>
      </c>
      <c r="S52" s="2">
        <v>3.0</v>
      </c>
      <c r="T52" s="2">
        <v>46.0</v>
      </c>
      <c r="U52" s="2">
        <f t="shared" si="37"/>
        <v>640</v>
      </c>
      <c r="V52" s="4">
        <f t="shared" si="38"/>
        <v>0.0447761194</v>
      </c>
      <c r="W52" s="5">
        <f t="shared" si="39"/>
        <v>0.09126213592</v>
      </c>
    </row>
    <row r="53" ht="15.75" customHeight="1">
      <c r="A53" s="2" t="s">
        <v>40</v>
      </c>
      <c r="B53" s="2" t="s">
        <v>21</v>
      </c>
      <c r="C53" s="2" t="s">
        <v>22</v>
      </c>
      <c r="D53" s="2" t="s">
        <v>23</v>
      </c>
      <c r="E53" s="2" t="s">
        <v>97</v>
      </c>
      <c r="F53" s="2">
        <v>3.0</v>
      </c>
      <c r="G53" s="2" t="s">
        <v>98</v>
      </c>
      <c r="H53" s="2">
        <v>99.0</v>
      </c>
      <c r="I53" s="2">
        <v>83.0</v>
      </c>
      <c r="J53" s="2">
        <v>58.0</v>
      </c>
      <c r="K53" s="2">
        <v>30.0</v>
      </c>
      <c r="L53" s="2">
        <v>17.0</v>
      </c>
      <c r="M53" s="2">
        <v>15.0</v>
      </c>
      <c r="N53" s="2">
        <v>605.0</v>
      </c>
      <c r="O53" s="2">
        <v>45.0</v>
      </c>
      <c r="P53" s="2">
        <v>907.0</v>
      </c>
      <c r="Q53" s="2">
        <v>0.0</v>
      </c>
      <c r="R53" s="2">
        <v>80.0</v>
      </c>
      <c r="S53" s="2">
        <v>3.0</v>
      </c>
      <c r="T53" s="2">
        <v>75.0</v>
      </c>
      <c r="U53" s="2">
        <f t="shared" si="37"/>
        <v>637</v>
      </c>
      <c r="V53" s="4">
        <f t="shared" si="38"/>
        <v>0.04925373134</v>
      </c>
      <c r="W53" s="5">
        <f t="shared" si="39"/>
        <v>0.1483568075</v>
      </c>
      <c r="Y53" s="42" t="s">
        <v>99</v>
      </c>
      <c r="Z53" s="43" t="s">
        <v>100</v>
      </c>
      <c r="AA53" s="32"/>
      <c r="AB53" s="32"/>
      <c r="AC53" s="32"/>
      <c r="AD53" s="44"/>
      <c r="AE53" s="43" t="s">
        <v>101</v>
      </c>
      <c r="AF53" s="32"/>
      <c r="AG53" s="32"/>
      <c r="AH53" s="32"/>
      <c r="AI53" s="44"/>
      <c r="AJ53" s="43" t="s">
        <v>102</v>
      </c>
      <c r="AK53" s="32"/>
      <c r="AL53" s="32"/>
      <c r="AM53" s="32"/>
      <c r="AP53" s="42" t="s">
        <v>103</v>
      </c>
      <c r="AQ53" s="43" t="s">
        <v>100</v>
      </c>
      <c r="AR53" s="32"/>
      <c r="AS53" s="32"/>
      <c r="AT53" s="32"/>
      <c r="AU53" s="44"/>
      <c r="AV53" s="43" t="s">
        <v>101</v>
      </c>
      <c r="AW53" s="32"/>
      <c r="AX53" s="32"/>
      <c r="AY53" s="32"/>
      <c r="AZ53" s="44"/>
      <c r="BA53" s="43" t="s">
        <v>102</v>
      </c>
      <c r="BB53" s="32"/>
      <c r="BC53" s="32"/>
      <c r="BD53" s="32"/>
    </row>
    <row r="54" ht="15.75" customHeight="1">
      <c r="A54" s="2" t="s">
        <v>52</v>
      </c>
      <c r="B54" s="2" t="s">
        <v>21</v>
      </c>
      <c r="C54" s="2" t="s">
        <v>22</v>
      </c>
      <c r="D54" s="2" t="s">
        <v>23</v>
      </c>
      <c r="E54" s="2" t="s">
        <v>53</v>
      </c>
      <c r="F54" s="2">
        <v>3.0</v>
      </c>
      <c r="G54" s="2" t="s">
        <v>25</v>
      </c>
      <c r="H54" s="2">
        <v>46.0</v>
      </c>
      <c r="I54" s="2">
        <v>1505.0</v>
      </c>
      <c r="J54" s="2">
        <v>1209.0</v>
      </c>
      <c r="K54" s="2">
        <v>0.0</v>
      </c>
      <c r="L54" s="2">
        <v>18.0</v>
      </c>
      <c r="M54" s="2">
        <v>0.0</v>
      </c>
      <c r="N54" s="2">
        <v>210.0</v>
      </c>
      <c r="O54" s="2">
        <v>0.0</v>
      </c>
      <c r="P54" s="2">
        <v>996.0</v>
      </c>
      <c r="Q54" s="2">
        <v>0.0</v>
      </c>
      <c r="R54" s="2">
        <v>0.0</v>
      </c>
      <c r="S54" s="2">
        <v>0.0</v>
      </c>
      <c r="T54" s="2">
        <v>0.0</v>
      </c>
      <c r="U54" s="3">
        <f>(N54+L54+M54)*1/3</f>
        <v>76</v>
      </c>
      <c r="W54" s="5"/>
      <c r="Y54" s="32"/>
      <c r="Z54" s="44" t="s">
        <v>63</v>
      </c>
      <c r="AA54" s="44" t="s">
        <v>64</v>
      </c>
      <c r="AB54" s="44" t="s">
        <v>65</v>
      </c>
      <c r="AC54" s="44" t="s">
        <v>66</v>
      </c>
      <c r="AD54" s="44"/>
      <c r="AE54" s="44" t="s">
        <v>63</v>
      </c>
      <c r="AF54" s="44" t="s">
        <v>64</v>
      </c>
      <c r="AG54" s="44" t="s">
        <v>65</v>
      </c>
      <c r="AH54" s="44" t="s">
        <v>66</v>
      </c>
      <c r="AI54" s="44"/>
      <c r="AJ54" s="44" t="s">
        <v>63</v>
      </c>
      <c r="AK54" s="44" t="s">
        <v>64</v>
      </c>
      <c r="AL54" s="44" t="s">
        <v>65</v>
      </c>
      <c r="AM54" s="44" t="s">
        <v>66</v>
      </c>
      <c r="AP54" s="32"/>
      <c r="AQ54" s="44" t="s">
        <v>63</v>
      </c>
      <c r="AR54" s="44" t="s">
        <v>64</v>
      </c>
      <c r="AS54" s="44" t="s">
        <v>65</v>
      </c>
      <c r="AT54" s="44" t="s">
        <v>66</v>
      </c>
      <c r="AU54" s="44"/>
      <c r="AV54" s="44" t="s">
        <v>63</v>
      </c>
      <c r="AW54" s="44" t="s">
        <v>64</v>
      </c>
      <c r="AX54" s="44" t="s">
        <v>65</v>
      </c>
      <c r="AY54" s="44" t="s">
        <v>66</v>
      </c>
      <c r="AZ54" s="44"/>
      <c r="BA54" s="44" t="s">
        <v>63</v>
      </c>
      <c r="BB54" s="44" t="s">
        <v>64</v>
      </c>
      <c r="BC54" s="44" t="s">
        <v>65</v>
      </c>
      <c r="BD54" s="44" t="s">
        <v>66</v>
      </c>
    </row>
    <row r="55" ht="15.75" customHeight="1">
      <c r="A55" s="2" t="s">
        <v>52</v>
      </c>
      <c r="B55" s="2" t="s">
        <v>21</v>
      </c>
      <c r="C55" s="2" t="s">
        <v>22</v>
      </c>
      <c r="D55" s="2" t="s">
        <v>23</v>
      </c>
      <c r="E55" s="2" t="s">
        <v>104</v>
      </c>
      <c r="F55" s="2">
        <v>3.0</v>
      </c>
      <c r="G55" s="2" t="s">
        <v>94</v>
      </c>
      <c r="H55" s="2">
        <v>20.0</v>
      </c>
      <c r="I55" s="2">
        <v>327.0</v>
      </c>
      <c r="J55" s="2">
        <v>83.0</v>
      </c>
      <c r="K55" s="2">
        <v>439.0</v>
      </c>
      <c r="L55" s="2">
        <v>6.0</v>
      </c>
      <c r="M55" s="2">
        <v>20.0</v>
      </c>
      <c r="N55" s="2">
        <v>41.0</v>
      </c>
      <c r="O55" s="2">
        <v>459.0</v>
      </c>
      <c r="P55" s="2">
        <v>936.0</v>
      </c>
      <c r="Q55" s="2">
        <v>0.0</v>
      </c>
      <c r="R55" s="2">
        <v>57.0</v>
      </c>
      <c r="S55" s="2">
        <v>2.0</v>
      </c>
      <c r="T55" s="2">
        <v>10.0</v>
      </c>
      <c r="U55" s="2">
        <f t="shared" ref="U55:U57" si="40">(N55+L55+M55)</f>
        <v>67</v>
      </c>
      <c r="V55" s="4">
        <f t="shared" ref="V55:V57" si="41">(U$54-U55)/U$54</f>
        <v>0.1184210526</v>
      </c>
      <c r="W55" s="5">
        <f t="shared" ref="W55:W57" si="42">SUM($R55:$T55)/($P55+(SUM($R55:$T55)))</f>
        <v>0.06865671642</v>
      </c>
      <c r="Y55" s="45" t="s">
        <v>105</v>
      </c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P55" s="45" t="s">
        <v>105</v>
      </c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</row>
    <row r="56" ht="15.75" customHeight="1">
      <c r="A56" s="2" t="s">
        <v>52</v>
      </c>
      <c r="B56" s="2" t="s">
        <v>21</v>
      </c>
      <c r="C56" s="2" t="s">
        <v>22</v>
      </c>
      <c r="D56" s="2" t="s">
        <v>23</v>
      </c>
      <c r="E56" s="2" t="s">
        <v>106</v>
      </c>
      <c r="F56" s="2">
        <v>3.0</v>
      </c>
      <c r="G56" s="2" t="s">
        <v>96</v>
      </c>
      <c r="H56" s="2">
        <v>14.0</v>
      </c>
      <c r="I56" s="2">
        <v>324.0</v>
      </c>
      <c r="J56" s="2">
        <v>73.0</v>
      </c>
      <c r="K56" s="2">
        <v>452.0</v>
      </c>
      <c r="L56" s="2">
        <v>5.0</v>
      </c>
      <c r="M56" s="2">
        <v>13.0</v>
      </c>
      <c r="N56" s="2">
        <v>46.0</v>
      </c>
      <c r="O56" s="2">
        <v>465.0</v>
      </c>
      <c r="P56" s="2">
        <v>927.0</v>
      </c>
      <c r="Q56" s="2">
        <v>0.0</v>
      </c>
      <c r="R56" s="2">
        <v>57.0</v>
      </c>
      <c r="S56" s="2">
        <v>2.0</v>
      </c>
      <c r="T56" s="2">
        <v>17.0</v>
      </c>
      <c r="U56" s="2">
        <f t="shared" si="40"/>
        <v>64</v>
      </c>
      <c r="V56" s="4">
        <f t="shared" si="41"/>
        <v>0.1578947368</v>
      </c>
      <c r="W56" s="5">
        <f t="shared" si="42"/>
        <v>0.07577268195</v>
      </c>
      <c r="Y56" s="47" t="s">
        <v>68</v>
      </c>
      <c r="Z56" s="48">
        <v>157.0</v>
      </c>
      <c r="AA56" s="8">
        <v>492.0</v>
      </c>
      <c r="AB56" s="48">
        <v>166.0</v>
      </c>
      <c r="AC56" s="48">
        <v>1.0</v>
      </c>
      <c r="AD56" s="48"/>
      <c r="AE56" s="48">
        <v>144.0</v>
      </c>
      <c r="AF56" s="8">
        <v>505.0</v>
      </c>
      <c r="AG56" s="48">
        <v>148.0</v>
      </c>
      <c r="AH56" s="48">
        <v>2.0</v>
      </c>
      <c r="AI56" s="48"/>
      <c r="AJ56" s="48">
        <v>33.0</v>
      </c>
      <c r="AK56" s="48">
        <v>147.0</v>
      </c>
      <c r="AL56" s="48">
        <v>39.0</v>
      </c>
      <c r="AM56" s="48">
        <v>0.0</v>
      </c>
      <c r="AP56" s="47" t="s">
        <v>68</v>
      </c>
      <c r="AQ56" s="48">
        <v>781.0</v>
      </c>
      <c r="AR56" s="8">
        <v>444.0</v>
      </c>
      <c r="AS56" s="48">
        <v>257.0</v>
      </c>
      <c r="AT56" s="48">
        <v>60.0</v>
      </c>
      <c r="AU56" s="48"/>
      <c r="AV56" s="48">
        <v>792.0</v>
      </c>
      <c r="AW56" s="48">
        <v>422.0</v>
      </c>
      <c r="AX56" s="48">
        <v>285.0</v>
      </c>
      <c r="AY56" s="48">
        <v>73.0</v>
      </c>
      <c r="AZ56" s="48"/>
      <c r="BA56" s="48">
        <v>874.0</v>
      </c>
      <c r="BB56" s="48">
        <v>760.0</v>
      </c>
      <c r="BC56" s="48">
        <v>359.0</v>
      </c>
      <c r="BD56" s="48">
        <v>92.0</v>
      </c>
    </row>
    <row r="57" ht="15.75" customHeight="1">
      <c r="A57" s="2" t="s">
        <v>52</v>
      </c>
      <c r="B57" s="2" t="s">
        <v>21</v>
      </c>
      <c r="C57" s="2" t="s">
        <v>22</v>
      </c>
      <c r="D57" s="2" t="s">
        <v>23</v>
      </c>
      <c r="E57" s="2" t="s">
        <v>107</v>
      </c>
      <c r="F57" s="2">
        <v>3.0</v>
      </c>
      <c r="G57" s="2" t="s">
        <v>98</v>
      </c>
      <c r="H57" s="2">
        <v>11.0</v>
      </c>
      <c r="I57" s="2">
        <v>515.0</v>
      </c>
      <c r="J57" s="2">
        <v>112.0</v>
      </c>
      <c r="K57" s="2">
        <v>203.0</v>
      </c>
      <c r="L57" s="2">
        <v>4.0</v>
      </c>
      <c r="M57" s="2">
        <v>4.0</v>
      </c>
      <c r="N57" s="2">
        <v>58.0</v>
      </c>
      <c r="O57" s="2">
        <v>207.0</v>
      </c>
      <c r="P57" s="2">
        <v>907.0</v>
      </c>
      <c r="Q57" s="2">
        <v>0.0</v>
      </c>
      <c r="R57" s="2">
        <v>97.0</v>
      </c>
      <c r="S57" s="2">
        <v>2.0</v>
      </c>
      <c r="T57" s="2">
        <v>13.0</v>
      </c>
      <c r="U57" s="2">
        <f t="shared" si="40"/>
        <v>66</v>
      </c>
      <c r="V57" s="4">
        <f t="shared" si="41"/>
        <v>0.1315789474</v>
      </c>
      <c r="W57" s="5">
        <f t="shared" si="42"/>
        <v>0.1099116781</v>
      </c>
      <c r="Y57" s="47" t="s">
        <v>73</v>
      </c>
      <c r="Z57" s="48">
        <v>206.0</v>
      </c>
      <c r="AA57" s="48">
        <v>599.0</v>
      </c>
      <c r="AB57" s="48">
        <v>106.0</v>
      </c>
      <c r="AC57" s="48">
        <v>17.0</v>
      </c>
      <c r="AD57" s="48"/>
      <c r="AE57" s="48">
        <v>228.0</v>
      </c>
      <c r="AF57" s="48">
        <v>638.0</v>
      </c>
      <c r="AG57" s="48">
        <v>124.0</v>
      </c>
      <c r="AH57" s="48">
        <v>17.0</v>
      </c>
      <c r="AI57" s="48"/>
      <c r="AJ57" s="48">
        <v>169.0</v>
      </c>
      <c r="AK57" s="48">
        <v>565.0</v>
      </c>
      <c r="AL57" s="48">
        <v>65.0</v>
      </c>
      <c r="AM57" s="48">
        <v>12.0</v>
      </c>
      <c r="AP57" s="47" t="s">
        <v>73</v>
      </c>
      <c r="AQ57" s="48">
        <v>274.0</v>
      </c>
      <c r="AR57" s="48">
        <v>294.0</v>
      </c>
      <c r="AS57" s="48">
        <v>182.0</v>
      </c>
      <c r="AT57" s="48">
        <v>42.0</v>
      </c>
      <c r="AU57" s="48"/>
      <c r="AV57" s="48">
        <v>242.0</v>
      </c>
      <c r="AW57" s="48">
        <v>236.0</v>
      </c>
      <c r="AX57" s="48">
        <v>180.0</v>
      </c>
      <c r="AY57" s="48">
        <v>39.0</v>
      </c>
      <c r="AZ57" s="48"/>
      <c r="BA57" s="48">
        <v>279.0</v>
      </c>
      <c r="BB57" s="48">
        <v>295.0</v>
      </c>
      <c r="BC57" s="48">
        <v>187.0</v>
      </c>
      <c r="BD57" s="48">
        <v>30.0</v>
      </c>
    </row>
    <row r="58" ht="15.75" customHeight="1">
      <c r="A58" s="2" t="s">
        <v>59</v>
      </c>
      <c r="B58" s="2" t="s">
        <v>21</v>
      </c>
      <c r="C58" s="2" t="s">
        <v>22</v>
      </c>
      <c r="D58" s="2" t="s">
        <v>23</v>
      </c>
      <c r="E58" s="2" t="s">
        <v>60</v>
      </c>
      <c r="F58" s="2">
        <v>3.0</v>
      </c>
      <c r="G58" s="2" t="s">
        <v>25</v>
      </c>
      <c r="H58" s="2">
        <v>253.0</v>
      </c>
      <c r="I58" s="2">
        <v>365.0</v>
      </c>
      <c r="J58" s="2">
        <v>582.0</v>
      </c>
      <c r="K58" s="2">
        <v>0.0</v>
      </c>
      <c r="L58" s="2">
        <v>273.0</v>
      </c>
      <c r="M58" s="2">
        <v>0.0</v>
      </c>
      <c r="N58" s="2">
        <v>582.0</v>
      </c>
      <c r="O58" s="2">
        <v>0.0</v>
      </c>
      <c r="P58" s="2">
        <v>685.0</v>
      </c>
      <c r="Q58" s="2">
        <v>0.0</v>
      </c>
      <c r="R58" s="2">
        <v>0.0</v>
      </c>
      <c r="S58" s="2">
        <v>0.0</v>
      </c>
      <c r="T58" s="2">
        <v>0.0</v>
      </c>
      <c r="U58" s="3">
        <f>(N58+L58+M58)*1/3</f>
        <v>285</v>
      </c>
      <c r="W58" s="5"/>
      <c r="Y58" s="47" t="s">
        <v>76</v>
      </c>
      <c r="Z58" s="48">
        <v>480.0</v>
      </c>
      <c r="AA58" s="48">
        <v>422.0</v>
      </c>
      <c r="AB58" s="48">
        <v>154.0</v>
      </c>
      <c r="AC58" s="48">
        <v>33.0</v>
      </c>
      <c r="AD58" s="48"/>
      <c r="AE58" s="48">
        <v>450.0</v>
      </c>
      <c r="AF58" s="48">
        <v>378.0</v>
      </c>
      <c r="AG58" s="48">
        <v>135.0</v>
      </c>
      <c r="AH58" s="48">
        <v>24.0</v>
      </c>
      <c r="AI58" s="48"/>
      <c r="AJ58" s="48">
        <v>349.0</v>
      </c>
      <c r="AK58" s="48">
        <v>251.0</v>
      </c>
      <c r="AL58" s="48">
        <v>122.0</v>
      </c>
      <c r="AM58" s="48">
        <v>21.0</v>
      </c>
      <c r="AP58" s="47" t="s">
        <v>76</v>
      </c>
      <c r="AQ58" s="48">
        <v>185.0</v>
      </c>
      <c r="AR58" s="48">
        <v>114.0</v>
      </c>
      <c r="AS58" s="48">
        <v>173.0</v>
      </c>
      <c r="AT58" s="48">
        <v>47.0</v>
      </c>
      <c r="AU58" s="48"/>
      <c r="AV58" s="48">
        <v>199.0</v>
      </c>
      <c r="AW58" s="48">
        <v>151.0</v>
      </c>
      <c r="AX58" s="48">
        <v>171.0</v>
      </c>
      <c r="AY58" s="48">
        <v>47.0</v>
      </c>
      <c r="AZ58" s="48"/>
      <c r="BA58" s="48">
        <v>307.0</v>
      </c>
      <c r="BB58" s="48">
        <v>275.0</v>
      </c>
      <c r="BC58" s="48">
        <v>228.0</v>
      </c>
      <c r="BD58" s="48">
        <v>58.0</v>
      </c>
    </row>
    <row r="59" ht="15.75" customHeight="1">
      <c r="A59" s="2" t="s">
        <v>59</v>
      </c>
      <c r="B59" s="2" t="s">
        <v>21</v>
      </c>
      <c r="C59" s="2" t="s">
        <v>22</v>
      </c>
      <c r="D59" s="2" t="s">
        <v>23</v>
      </c>
      <c r="E59" s="2" t="s">
        <v>108</v>
      </c>
      <c r="F59" s="2">
        <v>3.0</v>
      </c>
      <c r="G59" s="2" t="s">
        <v>94</v>
      </c>
      <c r="H59" s="2">
        <v>33.0</v>
      </c>
      <c r="I59" s="2">
        <v>55.0</v>
      </c>
      <c r="J59" s="2">
        <v>30.0</v>
      </c>
      <c r="K59" s="2">
        <v>169.0</v>
      </c>
      <c r="L59" s="2">
        <v>4.0</v>
      </c>
      <c r="M59" s="2">
        <v>55.0</v>
      </c>
      <c r="N59" s="2">
        <v>77.0</v>
      </c>
      <c r="O59" s="2">
        <v>224.0</v>
      </c>
      <c r="P59" s="2">
        <v>423.0</v>
      </c>
      <c r="Q59" s="2">
        <v>0.0</v>
      </c>
      <c r="R59" s="2">
        <v>234.0</v>
      </c>
      <c r="S59" s="2">
        <v>2.0</v>
      </c>
      <c r="T59" s="2">
        <v>126.0</v>
      </c>
      <c r="U59" s="2">
        <f t="shared" ref="U59:U61" si="43">(N59+L59+M59)</f>
        <v>136</v>
      </c>
      <c r="V59" s="4">
        <f t="shared" ref="V59:V61" si="44">(U$58-U59)/U$58</f>
        <v>0.5228070175</v>
      </c>
      <c r="W59" s="5">
        <f t="shared" ref="W59:W61" si="45">SUM($R59:$T59)/($P59+(SUM($R59:$T59)))</f>
        <v>0.4611464968</v>
      </c>
      <c r="Y59" s="10" t="s">
        <v>109</v>
      </c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P59" s="10" t="s">
        <v>109</v>
      </c>
      <c r="AQ59" s="49"/>
      <c r="AR59" s="24"/>
      <c r="AS59" s="24"/>
      <c r="AT59" s="24"/>
      <c r="AU59" s="24"/>
      <c r="AV59" s="49"/>
      <c r="AW59" s="49"/>
      <c r="AX59" s="49"/>
      <c r="AY59" s="49"/>
      <c r="AZ59" s="49"/>
      <c r="BA59" s="49"/>
      <c r="BB59" s="49"/>
      <c r="BC59" s="49"/>
      <c r="BD59" s="49"/>
    </row>
    <row r="60" ht="15.75" customHeight="1">
      <c r="A60" s="2" t="s">
        <v>59</v>
      </c>
      <c r="B60" s="2" t="s">
        <v>21</v>
      </c>
      <c r="C60" s="2" t="s">
        <v>22</v>
      </c>
      <c r="D60" s="2" t="s">
        <v>23</v>
      </c>
      <c r="E60" s="2" t="s">
        <v>110</v>
      </c>
      <c r="F60" s="2">
        <v>3.0</v>
      </c>
      <c r="G60" s="2" t="s">
        <v>96</v>
      </c>
      <c r="H60" s="2">
        <v>36.0</v>
      </c>
      <c r="I60" s="2">
        <v>52.0</v>
      </c>
      <c r="J60" s="2">
        <v>27.0</v>
      </c>
      <c r="K60" s="2">
        <v>167.0</v>
      </c>
      <c r="L60" s="2">
        <v>9.0</v>
      </c>
      <c r="M60" s="2">
        <v>50.0</v>
      </c>
      <c r="N60" s="2">
        <v>92.0</v>
      </c>
      <c r="O60" s="2">
        <v>217.0</v>
      </c>
      <c r="P60" s="2">
        <v>433.0</v>
      </c>
      <c r="Q60" s="2">
        <v>0.0</v>
      </c>
      <c r="R60" s="2">
        <v>244.0</v>
      </c>
      <c r="S60" s="2">
        <v>2.0</v>
      </c>
      <c r="T60" s="2">
        <v>111.0</v>
      </c>
      <c r="U60" s="2">
        <f t="shared" si="43"/>
        <v>151</v>
      </c>
      <c r="V60" s="4">
        <f t="shared" si="44"/>
        <v>0.4701754386</v>
      </c>
      <c r="W60" s="5">
        <f t="shared" si="45"/>
        <v>0.4518987342</v>
      </c>
      <c r="Y60" s="11" t="s">
        <v>68</v>
      </c>
      <c r="Z60" s="8">
        <v>15.0</v>
      </c>
      <c r="AA60" s="8">
        <v>5.0</v>
      </c>
      <c r="AB60" s="8">
        <v>3.0</v>
      </c>
      <c r="AC60" s="8">
        <v>0.0</v>
      </c>
      <c r="AD60" s="8"/>
      <c r="AE60" s="8">
        <v>10.0</v>
      </c>
      <c r="AF60" s="8">
        <v>2.0</v>
      </c>
      <c r="AG60" s="8">
        <v>2.0</v>
      </c>
      <c r="AH60" s="8">
        <v>0.0</v>
      </c>
      <c r="AI60" s="8"/>
      <c r="AJ60" s="8">
        <v>7.0</v>
      </c>
      <c r="AK60" s="8">
        <v>1.0</v>
      </c>
      <c r="AL60" s="8">
        <v>4.0</v>
      </c>
      <c r="AM60" s="8">
        <v>0.0</v>
      </c>
      <c r="AP60" s="11" t="s">
        <v>68</v>
      </c>
      <c r="AQ60" s="8">
        <v>122.0</v>
      </c>
      <c r="AR60" s="8">
        <v>15.0</v>
      </c>
      <c r="AS60" s="8">
        <v>30.0</v>
      </c>
      <c r="AT60" s="8">
        <v>5.0</v>
      </c>
      <c r="AU60" s="8"/>
      <c r="AV60" s="8">
        <v>120.0</v>
      </c>
      <c r="AW60" s="8">
        <v>12.0</v>
      </c>
      <c r="AX60" s="8">
        <v>34.0</v>
      </c>
      <c r="AY60" s="8">
        <v>7.0</v>
      </c>
      <c r="AZ60" s="8"/>
      <c r="BA60" s="8">
        <v>92.0</v>
      </c>
      <c r="BB60" s="8">
        <v>10.0</v>
      </c>
      <c r="BC60" s="8">
        <v>38.0</v>
      </c>
      <c r="BD60" s="8">
        <v>2.0</v>
      </c>
    </row>
    <row r="61" ht="15.75" customHeight="1">
      <c r="A61" s="2" t="s">
        <v>59</v>
      </c>
      <c r="B61" s="2" t="s">
        <v>21</v>
      </c>
      <c r="C61" s="2" t="s">
        <v>22</v>
      </c>
      <c r="D61" s="2" t="s">
        <v>23</v>
      </c>
      <c r="E61" s="2" t="s">
        <v>111</v>
      </c>
      <c r="F61" s="2">
        <v>3.0</v>
      </c>
      <c r="G61" s="2" t="s">
        <v>98</v>
      </c>
      <c r="H61" s="2">
        <v>42.0</v>
      </c>
      <c r="I61" s="2">
        <v>94.0</v>
      </c>
      <c r="J61" s="2">
        <v>40.0</v>
      </c>
      <c r="K61" s="2">
        <v>85.0</v>
      </c>
      <c r="L61" s="2">
        <v>6.0</v>
      </c>
      <c r="M61" s="2">
        <v>34.0</v>
      </c>
      <c r="N61" s="2">
        <v>97.0</v>
      </c>
      <c r="O61" s="2">
        <v>119.0</v>
      </c>
      <c r="P61" s="2">
        <v>398.0</v>
      </c>
      <c r="Q61" s="2">
        <v>0.0</v>
      </c>
      <c r="R61" s="2">
        <v>314.0</v>
      </c>
      <c r="S61" s="2">
        <v>2.0</v>
      </c>
      <c r="T61" s="2">
        <v>108.0</v>
      </c>
      <c r="U61" s="2">
        <f t="shared" si="43"/>
        <v>137</v>
      </c>
      <c r="V61" s="4">
        <f t="shared" si="44"/>
        <v>0.5192982456</v>
      </c>
      <c r="W61" s="5">
        <f t="shared" si="45"/>
        <v>0.5158150852</v>
      </c>
      <c r="Y61" s="11" t="s">
        <v>73</v>
      </c>
      <c r="Z61" s="8">
        <v>48.0</v>
      </c>
      <c r="AA61" s="8">
        <v>7.0</v>
      </c>
      <c r="AB61" s="8">
        <v>4.0</v>
      </c>
      <c r="AC61" s="8">
        <v>4.0</v>
      </c>
      <c r="AD61" s="8"/>
      <c r="AE61" s="8">
        <v>60.0</v>
      </c>
      <c r="AF61" s="8">
        <v>9.0</v>
      </c>
      <c r="AG61" s="8">
        <v>6.0</v>
      </c>
      <c r="AH61" s="8">
        <v>2.0</v>
      </c>
      <c r="AI61" s="8"/>
      <c r="AJ61" s="8">
        <v>48.0</v>
      </c>
      <c r="AK61" s="8">
        <v>5.0</v>
      </c>
      <c r="AL61" s="8">
        <v>2.0</v>
      </c>
      <c r="AM61" s="8">
        <v>1.0</v>
      </c>
      <c r="AP61" s="11" t="s">
        <v>73</v>
      </c>
      <c r="AQ61" s="8">
        <v>80.0</v>
      </c>
      <c r="AR61" s="8">
        <v>10.0</v>
      </c>
      <c r="AS61" s="8">
        <v>10.0</v>
      </c>
      <c r="AT61" s="8">
        <v>9.0</v>
      </c>
      <c r="AU61" s="8"/>
      <c r="AV61" s="8">
        <v>67.0</v>
      </c>
      <c r="AW61" s="8">
        <v>5.0</v>
      </c>
      <c r="AX61" s="8">
        <v>12.0</v>
      </c>
      <c r="AY61" s="8">
        <v>7.0</v>
      </c>
      <c r="AZ61" s="8"/>
      <c r="BA61" s="8">
        <v>82.0</v>
      </c>
      <c r="BB61" s="8">
        <v>6.0</v>
      </c>
      <c r="BC61" s="8">
        <v>13.0</v>
      </c>
      <c r="BD61" s="8">
        <v>4.0</v>
      </c>
    </row>
    <row r="62" ht="15.75" customHeight="1">
      <c r="A62" s="2" t="s">
        <v>69</v>
      </c>
      <c r="B62" s="2" t="s">
        <v>21</v>
      </c>
      <c r="C62" s="2" t="s">
        <v>22</v>
      </c>
      <c r="D62" s="2" t="s">
        <v>23</v>
      </c>
      <c r="E62" s="2" t="s">
        <v>70</v>
      </c>
      <c r="F62" s="2">
        <v>3.0</v>
      </c>
      <c r="G62" s="2" t="s">
        <v>25</v>
      </c>
      <c r="H62" s="2">
        <v>81.0</v>
      </c>
      <c r="I62" s="2">
        <v>6.0</v>
      </c>
      <c r="J62" s="2">
        <v>198.0</v>
      </c>
      <c r="K62" s="2">
        <v>0.0</v>
      </c>
      <c r="L62" s="2">
        <v>49.0</v>
      </c>
      <c r="M62" s="2">
        <v>0.0</v>
      </c>
      <c r="N62" s="2">
        <v>254.0</v>
      </c>
      <c r="O62" s="2">
        <v>0.0</v>
      </c>
      <c r="P62" s="2">
        <v>196.0</v>
      </c>
      <c r="Q62" s="2">
        <v>0.0</v>
      </c>
      <c r="R62" s="2">
        <v>0.0</v>
      </c>
      <c r="S62" s="2">
        <v>0.0</v>
      </c>
      <c r="T62" s="2">
        <v>0.0</v>
      </c>
      <c r="U62" s="3">
        <f>(N62+L62+M62)*1/3</f>
        <v>101</v>
      </c>
      <c r="W62" s="5"/>
      <c r="Y62" s="11" t="s">
        <v>76</v>
      </c>
      <c r="Z62" s="8">
        <v>34.0</v>
      </c>
      <c r="AA62" s="8">
        <v>3.0</v>
      </c>
      <c r="AB62" s="8">
        <v>11.0</v>
      </c>
      <c r="AC62" s="8">
        <v>2.0</v>
      </c>
      <c r="AD62" s="8"/>
      <c r="AE62" s="8">
        <v>27.0</v>
      </c>
      <c r="AF62" s="8">
        <v>2.0</v>
      </c>
      <c r="AG62" s="8">
        <v>8.0</v>
      </c>
      <c r="AH62" s="8">
        <v>4.0</v>
      </c>
      <c r="AI62" s="8"/>
      <c r="AJ62" s="8">
        <v>19.0</v>
      </c>
      <c r="AK62" s="8">
        <v>1.0</v>
      </c>
      <c r="AL62" s="8">
        <v>5.0</v>
      </c>
      <c r="AM62" s="8">
        <v>4.0</v>
      </c>
      <c r="AP62" s="11" t="s">
        <v>76</v>
      </c>
      <c r="AQ62" s="8">
        <v>11.0</v>
      </c>
      <c r="AR62" s="8">
        <v>0.0</v>
      </c>
      <c r="AS62" s="8">
        <v>18.0</v>
      </c>
      <c r="AT62" s="8">
        <v>4.0</v>
      </c>
      <c r="AU62" s="8"/>
      <c r="AV62" s="8">
        <v>10.0</v>
      </c>
      <c r="AW62" s="8">
        <v>3.0</v>
      </c>
      <c r="AX62" s="8">
        <v>22.0</v>
      </c>
      <c r="AY62" s="8">
        <v>3.0</v>
      </c>
      <c r="AZ62" s="8"/>
      <c r="BA62" s="8">
        <v>19.0</v>
      </c>
      <c r="BB62" s="8">
        <v>1.0</v>
      </c>
      <c r="BC62" s="8">
        <v>14.0</v>
      </c>
      <c r="BD62" s="8">
        <v>4.0</v>
      </c>
    </row>
    <row r="63" ht="15.75" customHeight="1">
      <c r="A63" s="2" t="s">
        <v>69</v>
      </c>
      <c r="B63" s="2" t="s">
        <v>21</v>
      </c>
      <c r="C63" s="2" t="s">
        <v>22</v>
      </c>
      <c r="D63" s="2" t="s">
        <v>23</v>
      </c>
      <c r="E63" s="2" t="s">
        <v>115</v>
      </c>
      <c r="F63" s="2">
        <v>3.0</v>
      </c>
      <c r="G63" s="2" t="s">
        <v>94</v>
      </c>
      <c r="H63" s="2">
        <v>5.0</v>
      </c>
      <c r="I63" s="2">
        <v>0.0</v>
      </c>
      <c r="J63" s="2">
        <v>0.0</v>
      </c>
      <c r="K63" s="2">
        <v>18.0</v>
      </c>
      <c r="L63" s="2">
        <v>0.0</v>
      </c>
      <c r="M63" s="2">
        <v>11.0</v>
      </c>
      <c r="N63" s="2">
        <v>27.0</v>
      </c>
      <c r="O63" s="2">
        <v>29.0</v>
      </c>
      <c r="P63" s="2">
        <v>61.0</v>
      </c>
      <c r="Q63" s="2">
        <v>0.0</v>
      </c>
      <c r="R63" s="2">
        <v>126.0</v>
      </c>
      <c r="S63" s="2">
        <v>1.0</v>
      </c>
      <c r="T63" s="2">
        <v>79.0</v>
      </c>
      <c r="U63" s="2">
        <f t="shared" ref="U63:U65" si="46">(N63+L63+M63)</f>
        <v>38</v>
      </c>
      <c r="V63" s="4">
        <f t="shared" ref="V63:V65" si="47">(U$62-U63)/U$62</f>
        <v>0.6237623762</v>
      </c>
      <c r="W63" s="5">
        <f t="shared" ref="W63:W65" si="48">SUM($R63:$T63)/($P63+(SUM($R63:$T63)))</f>
        <v>0.7715355805</v>
      </c>
      <c r="Y63" s="10" t="s">
        <v>117</v>
      </c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P63" s="10" t="s">
        <v>117</v>
      </c>
      <c r="AQ63" s="49"/>
      <c r="AR63" s="24"/>
      <c r="AS63" s="24"/>
      <c r="AT63" s="24"/>
      <c r="AU63" s="24"/>
      <c r="AV63" s="49"/>
      <c r="AW63" s="49"/>
      <c r="AX63" s="49"/>
      <c r="AY63" s="49"/>
      <c r="AZ63" s="49"/>
      <c r="BA63" s="49"/>
      <c r="BB63" s="49"/>
      <c r="BC63" s="49"/>
      <c r="BD63" s="49"/>
    </row>
    <row r="64" ht="15.75" customHeight="1">
      <c r="A64" s="2" t="s">
        <v>69</v>
      </c>
      <c r="B64" s="2" t="s">
        <v>21</v>
      </c>
      <c r="C64" s="2" t="s">
        <v>22</v>
      </c>
      <c r="D64" s="2" t="s">
        <v>23</v>
      </c>
      <c r="E64" s="2" t="s">
        <v>118</v>
      </c>
      <c r="F64" s="2">
        <v>3.0</v>
      </c>
      <c r="G64" s="2" t="s">
        <v>96</v>
      </c>
      <c r="H64" s="2">
        <v>7.0</v>
      </c>
      <c r="I64" s="2">
        <v>0.0</v>
      </c>
      <c r="J64" s="2">
        <v>0.0</v>
      </c>
      <c r="K64" s="2">
        <v>18.0</v>
      </c>
      <c r="L64" s="2">
        <v>0.0</v>
      </c>
      <c r="M64" s="2">
        <v>8.0</v>
      </c>
      <c r="N64" s="2">
        <v>42.0</v>
      </c>
      <c r="O64" s="2">
        <v>26.0</v>
      </c>
      <c r="P64" s="2">
        <v>75.0</v>
      </c>
      <c r="Q64" s="2">
        <v>0.0</v>
      </c>
      <c r="R64" s="2">
        <v>137.0</v>
      </c>
      <c r="S64" s="2">
        <v>1.0</v>
      </c>
      <c r="T64" s="2">
        <v>56.0</v>
      </c>
      <c r="U64" s="2">
        <f t="shared" si="46"/>
        <v>50</v>
      </c>
      <c r="V64" s="4">
        <f t="shared" si="47"/>
        <v>0.504950495</v>
      </c>
      <c r="W64" s="5">
        <f t="shared" si="48"/>
        <v>0.7211895911</v>
      </c>
      <c r="Y64" s="11" t="s">
        <v>68</v>
      </c>
      <c r="Z64" s="8">
        <v>26.0</v>
      </c>
      <c r="AA64" s="8">
        <v>12.0</v>
      </c>
      <c r="AB64" s="8">
        <v>31.0</v>
      </c>
      <c r="AC64" s="8">
        <v>0.0</v>
      </c>
      <c r="AD64" s="8"/>
      <c r="AE64" s="8">
        <v>24.0</v>
      </c>
      <c r="AF64" s="8">
        <v>8.0</v>
      </c>
      <c r="AG64" s="8">
        <v>23.0</v>
      </c>
      <c r="AH64" s="8">
        <v>0.0</v>
      </c>
      <c r="AI64" s="8"/>
      <c r="AJ64" s="8">
        <v>2.0</v>
      </c>
      <c r="AK64" s="8">
        <v>1.0</v>
      </c>
      <c r="AL64" s="8">
        <v>4.0</v>
      </c>
      <c r="AM64" s="8">
        <v>0.0</v>
      </c>
      <c r="AP64" s="11" t="s">
        <v>68</v>
      </c>
      <c r="AQ64" s="50">
        <v>43.0</v>
      </c>
      <c r="AR64" s="8">
        <v>14.0</v>
      </c>
      <c r="AS64" s="8">
        <v>28.0</v>
      </c>
      <c r="AT64" s="8">
        <v>11.0</v>
      </c>
      <c r="AU64" s="8"/>
      <c r="AV64" s="50">
        <v>32.0</v>
      </c>
      <c r="AW64" s="50">
        <v>10.0</v>
      </c>
      <c r="AX64" s="50">
        <v>36.0</v>
      </c>
      <c r="AY64" s="50">
        <v>8.0</v>
      </c>
      <c r="AZ64" s="50"/>
      <c r="BA64" s="50">
        <v>30.0</v>
      </c>
      <c r="BB64" s="50">
        <v>7.0</v>
      </c>
      <c r="BC64" s="50">
        <v>36.0</v>
      </c>
      <c r="BD64" s="50">
        <v>4.0</v>
      </c>
    </row>
    <row r="65" ht="15.75" customHeight="1">
      <c r="A65" s="2" t="s">
        <v>69</v>
      </c>
      <c r="B65" s="2" t="s">
        <v>21</v>
      </c>
      <c r="C65" s="2" t="s">
        <v>22</v>
      </c>
      <c r="D65" s="2" t="s">
        <v>23</v>
      </c>
      <c r="E65" s="2" t="s">
        <v>120</v>
      </c>
      <c r="F65" s="2">
        <v>3.0</v>
      </c>
      <c r="G65" s="2" t="s">
        <v>98</v>
      </c>
      <c r="H65" s="2">
        <v>2.0</v>
      </c>
      <c r="I65" s="2">
        <v>0.0</v>
      </c>
      <c r="J65" s="2">
        <v>0.0</v>
      </c>
      <c r="K65" s="2">
        <v>20.0</v>
      </c>
      <c r="L65" s="2">
        <v>0.0</v>
      </c>
      <c r="M65" s="2">
        <v>4.0</v>
      </c>
      <c r="N65" s="2">
        <v>66.0</v>
      </c>
      <c r="O65" s="2">
        <v>24.0</v>
      </c>
      <c r="P65" s="2">
        <v>92.0</v>
      </c>
      <c r="Q65" s="2">
        <v>0.0</v>
      </c>
      <c r="R65" s="2">
        <v>140.0</v>
      </c>
      <c r="S65" s="2">
        <v>1.0</v>
      </c>
      <c r="T65" s="2">
        <v>38.0</v>
      </c>
      <c r="U65" s="2">
        <f t="shared" si="46"/>
        <v>70</v>
      </c>
      <c r="V65" s="4">
        <f t="shared" si="47"/>
        <v>0.3069306931</v>
      </c>
      <c r="W65" s="5">
        <f t="shared" si="48"/>
        <v>0.6605166052</v>
      </c>
      <c r="Y65" s="11" t="s">
        <v>73</v>
      </c>
      <c r="Z65" s="8">
        <v>16.0</v>
      </c>
      <c r="AA65" s="8">
        <v>9.0</v>
      </c>
      <c r="AB65" s="8">
        <v>18.0</v>
      </c>
      <c r="AC65" s="8">
        <v>2.0</v>
      </c>
      <c r="AD65" s="8"/>
      <c r="AE65" s="8">
        <v>14.0</v>
      </c>
      <c r="AF65" s="8">
        <v>10.0</v>
      </c>
      <c r="AG65" s="8">
        <v>32.0</v>
      </c>
      <c r="AH65" s="8">
        <v>0.0</v>
      </c>
      <c r="AI65" s="8"/>
      <c r="AJ65" s="8">
        <v>8.0</v>
      </c>
      <c r="AK65" s="8">
        <v>3.0</v>
      </c>
      <c r="AL65" s="8">
        <v>11.0</v>
      </c>
      <c r="AM65" s="8">
        <v>0.0</v>
      </c>
      <c r="AP65" s="11" t="s">
        <v>73</v>
      </c>
      <c r="AQ65" s="50">
        <v>25.0</v>
      </c>
      <c r="AR65" s="8">
        <v>9.0</v>
      </c>
      <c r="AS65" s="8">
        <v>33.0</v>
      </c>
      <c r="AT65" s="8">
        <v>9.0</v>
      </c>
      <c r="AU65" s="8"/>
      <c r="AV65" s="50">
        <v>27.0</v>
      </c>
      <c r="AW65" s="50">
        <v>8.0</v>
      </c>
      <c r="AX65" s="50">
        <v>38.0</v>
      </c>
      <c r="AY65" s="50">
        <v>6.0</v>
      </c>
      <c r="AZ65" s="50"/>
      <c r="BA65" s="50">
        <v>17.0</v>
      </c>
      <c r="BB65" s="50">
        <v>4.0</v>
      </c>
      <c r="BC65" s="50">
        <v>25.0</v>
      </c>
      <c r="BD65" s="50">
        <v>3.0</v>
      </c>
    </row>
    <row r="66" ht="15.75" customHeight="1">
      <c r="A66" s="2" t="s">
        <v>75</v>
      </c>
      <c r="B66" s="2" t="s">
        <v>32</v>
      </c>
      <c r="C66" s="2" t="s">
        <v>22</v>
      </c>
      <c r="D66" s="2" t="s">
        <v>23</v>
      </c>
      <c r="E66" s="2" t="s">
        <v>41</v>
      </c>
      <c r="F66" s="2">
        <v>3.0</v>
      </c>
      <c r="G66" s="2" t="s">
        <v>25</v>
      </c>
      <c r="H66" s="2">
        <v>879.0</v>
      </c>
      <c r="I66" s="2">
        <v>483.0</v>
      </c>
      <c r="J66" s="2">
        <v>180.0</v>
      </c>
      <c r="K66" s="2">
        <v>0.0</v>
      </c>
      <c r="L66" s="2">
        <v>79.0</v>
      </c>
      <c r="M66" s="2">
        <v>0.0</v>
      </c>
      <c r="N66" s="2">
        <v>1364.0</v>
      </c>
      <c r="O66" s="2">
        <v>0.0</v>
      </c>
      <c r="P66" s="2">
        <v>995.0</v>
      </c>
      <c r="Q66" s="2">
        <v>0.0</v>
      </c>
      <c r="R66" s="2">
        <v>0.0</v>
      </c>
      <c r="S66" s="2">
        <v>0.0</v>
      </c>
      <c r="T66" s="2">
        <v>0.0</v>
      </c>
      <c r="U66" s="3">
        <f>(N66+L66+M66)*1/3</f>
        <v>481</v>
      </c>
      <c r="W66" s="5"/>
      <c r="Y66" s="25" t="s">
        <v>76</v>
      </c>
      <c r="Z66" s="8">
        <v>86.0</v>
      </c>
      <c r="AA66" s="8">
        <v>6.0</v>
      </c>
      <c r="AB66" s="8">
        <v>24.0</v>
      </c>
      <c r="AC66" s="8">
        <v>16.0</v>
      </c>
      <c r="AD66" s="8"/>
      <c r="AE66" s="8">
        <v>96.0</v>
      </c>
      <c r="AF66" s="8">
        <v>3.0</v>
      </c>
      <c r="AG66" s="8">
        <v>24.0</v>
      </c>
      <c r="AH66" s="8">
        <v>11.0</v>
      </c>
      <c r="AI66" s="8"/>
      <c r="AJ66" s="8">
        <v>54.0</v>
      </c>
      <c r="AK66" s="8">
        <v>3.0</v>
      </c>
      <c r="AL66" s="8">
        <v>19.0</v>
      </c>
      <c r="AM66" s="8">
        <v>8.0</v>
      </c>
      <c r="AP66" s="25" t="s">
        <v>76</v>
      </c>
      <c r="AQ66" s="50">
        <v>26.0</v>
      </c>
      <c r="AR66" s="8">
        <v>2.0</v>
      </c>
      <c r="AS66" s="8">
        <v>26.0</v>
      </c>
      <c r="AT66" s="8">
        <v>30.0</v>
      </c>
      <c r="AU66" s="8"/>
      <c r="AV66" s="50">
        <v>35.0</v>
      </c>
      <c r="AW66" s="50">
        <v>1.0</v>
      </c>
      <c r="AX66" s="50">
        <v>35.0</v>
      </c>
      <c r="AY66" s="50">
        <v>31.0</v>
      </c>
      <c r="AZ66" s="50"/>
      <c r="BA66" s="50">
        <v>58.0</v>
      </c>
      <c r="BB66" s="50">
        <v>4.0</v>
      </c>
      <c r="BC66" s="50">
        <v>34.0</v>
      </c>
      <c r="BD66" s="50">
        <v>32.0</v>
      </c>
    </row>
    <row r="67" ht="15.75" customHeight="1">
      <c r="A67" s="2" t="s">
        <v>75</v>
      </c>
      <c r="B67" s="2" t="s">
        <v>32</v>
      </c>
      <c r="C67" s="2" t="s">
        <v>22</v>
      </c>
      <c r="D67" s="2" t="s">
        <v>23</v>
      </c>
      <c r="E67" s="2" t="s">
        <v>93</v>
      </c>
      <c r="F67" s="2">
        <v>3.0</v>
      </c>
      <c r="G67" s="2" t="s">
        <v>94</v>
      </c>
      <c r="H67" s="2">
        <v>128.0</v>
      </c>
      <c r="I67" s="2">
        <v>74.0</v>
      </c>
      <c r="J67" s="2">
        <v>4.0</v>
      </c>
      <c r="K67" s="2">
        <v>90.0</v>
      </c>
      <c r="L67" s="2">
        <v>19.0</v>
      </c>
      <c r="M67" s="2">
        <v>22.0</v>
      </c>
      <c r="N67" s="2">
        <v>143.0</v>
      </c>
      <c r="O67" s="2">
        <v>112.0</v>
      </c>
      <c r="P67" s="2">
        <v>480.0</v>
      </c>
      <c r="Q67" s="2">
        <v>0.0</v>
      </c>
      <c r="R67" s="2">
        <v>87.0</v>
      </c>
      <c r="S67" s="2">
        <v>4.0</v>
      </c>
      <c r="T67" s="2">
        <v>618.0</v>
      </c>
      <c r="U67" s="2">
        <f t="shared" ref="U67:U69" si="49">(N67+L67+M67)</f>
        <v>184</v>
      </c>
      <c r="V67" s="26">
        <f t="shared" ref="V67:V69" si="50">(U$66-U67)/U$66</f>
        <v>0.6174636175</v>
      </c>
      <c r="W67" s="5">
        <f t="shared" ref="W67:W69" si="51">SUM($R67:$T67)/($P67+(SUM($R67:$T67)))</f>
        <v>0.5962994113</v>
      </c>
      <c r="Y67" s="10" t="s">
        <v>121</v>
      </c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P67" s="10" t="s">
        <v>121</v>
      </c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</row>
    <row r="68" ht="15.75" customHeight="1">
      <c r="A68" s="2" t="s">
        <v>75</v>
      </c>
      <c r="B68" s="2" t="s">
        <v>32</v>
      </c>
      <c r="C68" s="2" t="s">
        <v>22</v>
      </c>
      <c r="D68" s="2" t="s">
        <v>23</v>
      </c>
      <c r="E68" s="2" t="s">
        <v>95</v>
      </c>
      <c r="F68" s="2">
        <v>3.0</v>
      </c>
      <c r="G68" s="2" t="s">
        <v>96</v>
      </c>
      <c r="H68" s="2">
        <v>127.0</v>
      </c>
      <c r="I68" s="2">
        <v>72.0</v>
      </c>
      <c r="J68" s="2">
        <v>4.0</v>
      </c>
      <c r="K68" s="2">
        <v>77.0</v>
      </c>
      <c r="L68" s="2">
        <v>16.0</v>
      </c>
      <c r="M68" s="2">
        <v>25.0</v>
      </c>
      <c r="N68" s="2">
        <v>149.0</v>
      </c>
      <c r="O68" s="2">
        <v>102.0</v>
      </c>
      <c r="P68" s="2">
        <v>470.0</v>
      </c>
      <c r="Q68" s="2">
        <v>0.0</v>
      </c>
      <c r="R68" s="2">
        <v>73.0</v>
      </c>
      <c r="S68" s="2">
        <v>3.0</v>
      </c>
      <c r="T68" s="2">
        <v>607.0</v>
      </c>
      <c r="U68" s="2">
        <f t="shared" si="49"/>
        <v>190</v>
      </c>
      <c r="V68" s="4">
        <f t="shared" si="50"/>
        <v>0.604989605</v>
      </c>
      <c r="W68" s="5">
        <f t="shared" si="51"/>
        <v>0.5923677363</v>
      </c>
      <c r="Y68" s="11" t="s">
        <v>68</v>
      </c>
      <c r="Z68" s="8">
        <v>19.0</v>
      </c>
      <c r="AA68" s="8">
        <v>11.0</v>
      </c>
      <c r="AB68" s="8">
        <v>27.0</v>
      </c>
      <c r="AC68" s="8">
        <v>0.0</v>
      </c>
      <c r="AD68" s="8"/>
      <c r="AE68" s="8">
        <v>22.0</v>
      </c>
      <c r="AF68" s="8">
        <v>6.0</v>
      </c>
      <c r="AG68" s="8">
        <v>18.0</v>
      </c>
      <c r="AH68" s="8">
        <v>0.0</v>
      </c>
      <c r="AI68" s="8"/>
      <c r="AJ68" s="8">
        <v>1.0</v>
      </c>
      <c r="AK68" s="8">
        <v>0.0</v>
      </c>
      <c r="AL68" s="8">
        <v>2.0</v>
      </c>
      <c r="AM68" s="8">
        <v>0.0</v>
      </c>
      <c r="AP68" s="11" t="s">
        <v>68</v>
      </c>
      <c r="AQ68" s="8">
        <v>26.0</v>
      </c>
      <c r="AR68" s="8">
        <v>9.0</v>
      </c>
      <c r="AS68" s="8">
        <v>28.0</v>
      </c>
      <c r="AT68" s="8">
        <v>11.0</v>
      </c>
      <c r="AU68" s="8"/>
      <c r="AV68" s="8">
        <v>21.0</v>
      </c>
      <c r="AW68" s="8">
        <v>7.0</v>
      </c>
      <c r="AX68" s="8">
        <v>32.0</v>
      </c>
      <c r="AY68" s="8">
        <v>8.0</v>
      </c>
      <c r="AZ68" s="8"/>
      <c r="BA68" s="8">
        <v>14.0</v>
      </c>
      <c r="BB68" s="8">
        <v>4.0</v>
      </c>
      <c r="BC68" s="8">
        <v>32.0</v>
      </c>
      <c r="BD68" s="8">
        <v>4.0</v>
      </c>
    </row>
    <row r="69" ht="15.75" customHeight="1">
      <c r="A69" s="2" t="s">
        <v>75</v>
      </c>
      <c r="B69" s="2" t="s">
        <v>32</v>
      </c>
      <c r="C69" s="2" t="s">
        <v>22</v>
      </c>
      <c r="D69" s="2" t="s">
        <v>23</v>
      </c>
      <c r="E69" s="2" t="s">
        <v>97</v>
      </c>
      <c r="F69" s="2">
        <v>3.0</v>
      </c>
      <c r="G69" s="2" t="s">
        <v>98</v>
      </c>
      <c r="H69" s="2">
        <v>130.0</v>
      </c>
      <c r="I69" s="2">
        <v>67.0</v>
      </c>
      <c r="J69" s="2">
        <v>11.0</v>
      </c>
      <c r="K69" s="2">
        <v>60.0</v>
      </c>
      <c r="L69" s="2">
        <v>12.0</v>
      </c>
      <c r="M69" s="2">
        <v>13.0</v>
      </c>
      <c r="N69" s="2">
        <v>155.0</v>
      </c>
      <c r="O69" s="2">
        <v>73.0</v>
      </c>
      <c r="P69" s="2">
        <v>448.0</v>
      </c>
      <c r="Q69" s="2">
        <v>0.0</v>
      </c>
      <c r="R69" s="2">
        <v>120.0</v>
      </c>
      <c r="S69" s="2">
        <v>3.0</v>
      </c>
      <c r="T69" s="2">
        <v>645.0</v>
      </c>
      <c r="U69" s="2">
        <f t="shared" si="49"/>
        <v>180</v>
      </c>
      <c r="V69" s="4">
        <f t="shared" si="50"/>
        <v>0.6257796258</v>
      </c>
      <c r="W69" s="5">
        <f t="shared" si="51"/>
        <v>0.6315789474</v>
      </c>
      <c r="Y69" s="11" t="s">
        <v>73</v>
      </c>
      <c r="Z69" s="8">
        <v>7.0</v>
      </c>
      <c r="AA69" s="8">
        <v>7.0</v>
      </c>
      <c r="AB69" s="8">
        <v>13.0</v>
      </c>
      <c r="AC69" s="8">
        <v>2.0</v>
      </c>
      <c r="AD69" s="8"/>
      <c r="AE69" s="8">
        <v>8.0</v>
      </c>
      <c r="AF69" s="8">
        <v>6.0</v>
      </c>
      <c r="AG69" s="8">
        <v>15.0</v>
      </c>
      <c r="AH69" s="8">
        <v>0.0</v>
      </c>
      <c r="AI69" s="8"/>
      <c r="AJ69" s="8">
        <v>3.0</v>
      </c>
      <c r="AK69" s="8">
        <v>1.0</v>
      </c>
      <c r="AL69" s="8">
        <v>4.0</v>
      </c>
      <c r="AM69" s="8">
        <v>0.0</v>
      </c>
      <c r="AP69" s="11" t="s">
        <v>73</v>
      </c>
      <c r="AQ69" s="8">
        <v>15.0</v>
      </c>
      <c r="AR69" s="8">
        <v>8.0</v>
      </c>
      <c r="AS69" s="8">
        <v>22.0</v>
      </c>
      <c r="AT69" s="8">
        <v>9.0</v>
      </c>
      <c r="AU69" s="8"/>
      <c r="AV69" s="8">
        <v>17.0</v>
      </c>
      <c r="AW69" s="8">
        <v>8.0</v>
      </c>
      <c r="AX69" s="8">
        <v>27.0</v>
      </c>
      <c r="AY69" s="8">
        <v>5.0</v>
      </c>
      <c r="AZ69" s="8"/>
      <c r="BA69" s="8">
        <v>10.0</v>
      </c>
      <c r="BB69" s="8">
        <v>3.0</v>
      </c>
      <c r="BC69" s="8">
        <v>10.0</v>
      </c>
      <c r="BD69" s="8">
        <v>1.0</v>
      </c>
    </row>
    <row r="70" ht="15.75" customHeight="1">
      <c r="A70" s="2" t="s">
        <v>77</v>
      </c>
      <c r="B70" s="2" t="s">
        <v>32</v>
      </c>
      <c r="C70" s="2" t="s">
        <v>22</v>
      </c>
      <c r="D70" s="2" t="s">
        <v>23</v>
      </c>
      <c r="E70" s="2" t="s">
        <v>53</v>
      </c>
      <c r="F70" s="2">
        <v>3.0</v>
      </c>
      <c r="G70" s="2" t="s">
        <v>25</v>
      </c>
      <c r="H70" s="2">
        <v>60.0</v>
      </c>
      <c r="I70" s="2">
        <v>1479.0</v>
      </c>
      <c r="J70" s="2">
        <v>1209.0</v>
      </c>
      <c r="K70" s="2">
        <v>0.0</v>
      </c>
      <c r="L70" s="2">
        <v>19.0</v>
      </c>
      <c r="M70" s="2">
        <v>0.0</v>
      </c>
      <c r="N70" s="2">
        <v>215.0</v>
      </c>
      <c r="O70" s="2">
        <v>0.0</v>
      </c>
      <c r="P70" s="2">
        <v>994.0</v>
      </c>
      <c r="Q70" s="2">
        <v>0.0</v>
      </c>
      <c r="R70" s="2">
        <v>0.0</v>
      </c>
      <c r="S70" s="2">
        <v>0.0</v>
      </c>
      <c r="T70" s="2">
        <v>0.0</v>
      </c>
      <c r="U70" s="3">
        <f>(N70+L70+M70)*1/3</f>
        <v>78</v>
      </c>
      <c r="W70" s="5"/>
      <c r="Y70" s="25" t="s">
        <v>76</v>
      </c>
      <c r="Z70" s="51">
        <v>21.0</v>
      </c>
      <c r="AA70" s="51">
        <v>1.0</v>
      </c>
      <c r="AB70" s="51">
        <v>14.0</v>
      </c>
      <c r="AC70" s="51">
        <v>9.0</v>
      </c>
      <c r="AD70" s="51"/>
      <c r="AE70" s="51">
        <v>33.0</v>
      </c>
      <c r="AF70" s="51">
        <v>0.0</v>
      </c>
      <c r="AG70" s="51">
        <v>21.0</v>
      </c>
      <c r="AH70" s="51">
        <v>4.0</v>
      </c>
      <c r="AI70" s="51"/>
      <c r="AJ70" s="51">
        <v>2.0</v>
      </c>
      <c r="AK70" s="51">
        <v>0.0</v>
      </c>
      <c r="AL70" s="51">
        <v>8.0</v>
      </c>
      <c r="AM70" s="51">
        <v>2.0</v>
      </c>
      <c r="AP70" s="25" t="s">
        <v>76</v>
      </c>
      <c r="AQ70" s="51">
        <v>4.0</v>
      </c>
      <c r="AR70" s="51">
        <v>0.0</v>
      </c>
      <c r="AS70" s="51">
        <v>22.0</v>
      </c>
      <c r="AT70" s="51">
        <v>25.0</v>
      </c>
      <c r="AU70" s="51"/>
      <c r="AV70" s="51">
        <v>5.0</v>
      </c>
      <c r="AW70" s="51">
        <v>0.0</v>
      </c>
      <c r="AX70" s="51">
        <v>27.0</v>
      </c>
      <c r="AY70" s="51">
        <v>23.0</v>
      </c>
      <c r="AZ70" s="51"/>
      <c r="BA70" s="51">
        <v>9.0</v>
      </c>
      <c r="BB70" s="51">
        <v>0.0</v>
      </c>
      <c r="BC70" s="51">
        <v>21.0</v>
      </c>
      <c r="BD70" s="51">
        <v>20.0</v>
      </c>
    </row>
    <row r="71" ht="15.75" customHeight="1">
      <c r="A71" s="2" t="s">
        <v>77</v>
      </c>
      <c r="B71" s="2" t="s">
        <v>32</v>
      </c>
      <c r="C71" s="2" t="s">
        <v>22</v>
      </c>
      <c r="D71" s="2" t="s">
        <v>23</v>
      </c>
      <c r="E71" s="2" t="s">
        <v>104</v>
      </c>
      <c r="F71" s="2">
        <v>3.0</v>
      </c>
      <c r="G71" s="2" t="s">
        <v>94</v>
      </c>
      <c r="H71" s="2">
        <v>17.0</v>
      </c>
      <c r="I71" s="2">
        <v>408.0</v>
      </c>
      <c r="J71" s="2">
        <v>74.0</v>
      </c>
      <c r="K71" s="2">
        <v>340.0</v>
      </c>
      <c r="L71" s="2">
        <v>3.0</v>
      </c>
      <c r="M71" s="2">
        <v>15.0</v>
      </c>
      <c r="N71" s="2">
        <v>36.0</v>
      </c>
      <c r="O71" s="2">
        <v>355.0</v>
      </c>
      <c r="P71" s="2">
        <v>893.0</v>
      </c>
      <c r="Q71" s="2">
        <v>0.0</v>
      </c>
      <c r="R71" s="2">
        <v>89.0</v>
      </c>
      <c r="S71" s="2">
        <v>5.0</v>
      </c>
      <c r="T71" s="2">
        <v>40.0</v>
      </c>
      <c r="U71" s="2">
        <f t="shared" ref="U71:U73" si="52">(N71+L71+M71)</f>
        <v>54</v>
      </c>
      <c r="V71" s="4">
        <f t="shared" ref="V71:V73" si="53">(U$70-U71)/U$70</f>
        <v>0.3076923077</v>
      </c>
      <c r="W71" s="5">
        <f t="shared" ref="W71:W73" si="54">SUM($R71:$T71)/($P71+(SUM($R71:$T71)))</f>
        <v>0.1304771178</v>
      </c>
      <c r="Y71" s="2" t="s">
        <v>122</v>
      </c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P71" s="2" t="s">
        <v>122</v>
      </c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</row>
    <row r="72" ht="15.75" customHeight="1">
      <c r="A72" s="2" t="s">
        <v>77</v>
      </c>
      <c r="B72" s="2" t="s">
        <v>32</v>
      </c>
      <c r="C72" s="2" t="s">
        <v>22</v>
      </c>
      <c r="D72" s="2" t="s">
        <v>23</v>
      </c>
      <c r="E72" s="2" t="s">
        <v>106</v>
      </c>
      <c r="F72" s="2">
        <v>3.0</v>
      </c>
      <c r="G72" s="2" t="s">
        <v>96</v>
      </c>
      <c r="H72" s="2">
        <v>14.0</v>
      </c>
      <c r="I72" s="2">
        <v>420.0</v>
      </c>
      <c r="J72" s="2">
        <v>65.0</v>
      </c>
      <c r="K72" s="2">
        <v>327.0</v>
      </c>
      <c r="L72" s="2">
        <v>4.0</v>
      </c>
      <c r="M72" s="2">
        <v>14.0</v>
      </c>
      <c r="N72" s="2">
        <v>30.0</v>
      </c>
      <c r="O72" s="2">
        <v>341.0</v>
      </c>
      <c r="P72" s="2">
        <v>874.0</v>
      </c>
      <c r="Q72" s="2">
        <v>0.0</v>
      </c>
      <c r="R72" s="2">
        <v>100.0</v>
      </c>
      <c r="S72" s="2">
        <v>5.0</v>
      </c>
      <c r="T72" s="2">
        <v>45.0</v>
      </c>
      <c r="U72" s="2">
        <f t="shared" si="52"/>
        <v>48</v>
      </c>
      <c r="V72" s="4">
        <f t="shared" si="53"/>
        <v>0.3846153846</v>
      </c>
      <c r="W72" s="5">
        <f t="shared" si="54"/>
        <v>0.146484375</v>
      </c>
      <c r="Y72" s="11" t="s">
        <v>68</v>
      </c>
      <c r="Z72" s="8">
        <v>33.0</v>
      </c>
      <c r="AA72" s="8">
        <v>6.0</v>
      </c>
      <c r="AB72" s="8">
        <v>20.0</v>
      </c>
      <c r="AC72" s="8">
        <v>0.0</v>
      </c>
      <c r="AD72" s="8"/>
      <c r="AE72" s="8">
        <v>27.0</v>
      </c>
      <c r="AF72" s="8">
        <v>9.0</v>
      </c>
      <c r="AG72" s="8">
        <v>18.0</v>
      </c>
      <c r="AH72" s="8">
        <v>2.0</v>
      </c>
      <c r="AI72" s="8"/>
      <c r="AJ72" s="8">
        <v>5.0</v>
      </c>
      <c r="AK72" s="8">
        <v>3.0</v>
      </c>
      <c r="AL72" s="8">
        <v>4.0</v>
      </c>
      <c r="AM72" s="8">
        <v>0.0</v>
      </c>
      <c r="AP72" s="11" t="s">
        <v>68</v>
      </c>
      <c r="AQ72" s="8">
        <v>533.0</v>
      </c>
      <c r="AR72" s="8">
        <v>35.0</v>
      </c>
      <c r="AS72" s="8">
        <v>57.0</v>
      </c>
      <c r="AT72" s="8">
        <v>27.0</v>
      </c>
      <c r="AU72" s="8"/>
      <c r="AV72" s="8">
        <v>557.0</v>
      </c>
      <c r="AW72" s="8">
        <v>37.0</v>
      </c>
      <c r="AX72" s="8">
        <v>74.0</v>
      </c>
      <c r="AY72" s="8">
        <v>40.0</v>
      </c>
      <c r="AZ72" s="8"/>
      <c r="BA72" s="8">
        <v>600.0</v>
      </c>
      <c r="BB72" s="8">
        <v>55.0</v>
      </c>
      <c r="BC72" s="8">
        <v>93.0</v>
      </c>
      <c r="BD72" s="8">
        <v>66.0</v>
      </c>
    </row>
    <row r="73" ht="15.75" customHeight="1">
      <c r="A73" s="2" t="s">
        <v>77</v>
      </c>
      <c r="B73" s="2" t="s">
        <v>32</v>
      </c>
      <c r="C73" s="2" t="s">
        <v>22</v>
      </c>
      <c r="D73" s="2" t="s">
        <v>23</v>
      </c>
      <c r="E73" s="2" t="s">
        <v>107</v>
      </c>
      <c r="F73" s="2">
        <v>3.0</v>
      </c>
      <c r="G73" s="2" t="s">
        <v>98</v>
      </c>
      <c r="H73" s="2">
        <v>11.0</v>
      </c>
      <c r="I73" s="2">
        <v>536.0</v>
      </c>
      <c r="J73" s="2">
        <v>88.0</v>
      </c>
      <c r="K73" s="2">
        <v>170.0</v>
      </c>
      <c r="L73" s="2">
        <v>3.0</v>
      </c>
      <c r="M73" s="2">
        <v>4.0</v>
      </c>
      <c r="N73" s="2">
        <v>48.0</v>
      </c>
      <c r="O73" s="2">
        <v>174.0</v>
      </c>
      <c r="P73" s="2">
        <v>860.0</v>
      </c>
      <c r="Q73" s="2">
        <v>0.0</v>
      </c>
      <c r="R73" s="2">
        <v>140.0</v>
      </c>
      <c r="S73" s="2">
        <v>4.0</v>
      </c>
      <c r="T73" s="2">
        <v>44.0</v>
      </c>
      <c r="U73" s="2">
        <f t="shared" si="52"/>
        <v>55</v>
      </c>
      <c r="V73" s="4">
        <f t="shared" si="53"/>
        <v>0.2948717949</v>
      </c>
      <c r="W73" s="5">
        <f t="shared" si="54"/>
        <v>0.179389313</v>
      </c>
      <c r="Y73" s="11" t="s">
        <v>73</v>
      </c>
      <c r="Z73" s="8">
        <v>56.0</v>
      </c>
      <c r="AA73" s="8">
        <v>14.0</v>
      </c>
      <c r="AB73" s="8">
        <v>25.0</v>
      </c>
      <c r="AC73" s="8">
        <v>3.0</v>
      </c>
      <c r="AD73" s="8"/>
      <c r="AE73" s="8">
        <v>66.0</v>
      </c>
      <c r="AF73" s="8">
        <v>12.0</v>
      </c>
      <c r="AG73" s="8">
        <v>22.0</v>
      </c>
      <c r="AH73" s="8">
        <v>4.0</v>
      </c>
      <c r="AI73" s="8"/>
      <c r="AJ73" s="8">
        <v>57.0</v>
      </c>
      <c r="AK73" s="8">
        <v>15.0</v>
      </c>
      <c r="AL73" s="8">
        <v>17.0</v>
      </c>
      <c r="AM73" s="8">
        <v>1.0</v>
      </c>
      <c r="AP73" s="11" t="s">
        <v>73</v>
      </c>
      <c r="AQ73" s="8">
        <v>87.0</v>
      </c>
      <c r="AR73" s="8">
        <v>22.0</v>
      </c>
      <c r="AS73" s="8">
        <v>63.0</v>
      </c>
      <c r="AT73" s="8">
        <v>6.0</v>
      </c>
      <c r="AU73" s="8"/>
      <c r="AV73" s="8">
        <v>83.0</v>
      </c>
      <c r="AW73" s="8">
        <v>18.0</v>
      </c>
      <c r="AX73" s="8">
        <v>58.0</v>
      </c>
      <c r="AY73" s="8">
        <v>8.0</v>
      </c>
      <c r="AZ73" s="8"/>
      <c r="BA73" s="8">
        <v>98.0</v>
      </c>
      <c r="BB73" s="8">
        <v>33.0</v>
      </c>
      <c r="BC73" s="8">
        <v>71.0</v>
      </c>
      <c r="BD73" s="8">
        <v>7.0</v>
      </c>
    </row>
    <row r="74" ht="15.75" customHeight="1">
      <c r="A74" s="2" t="s">
        <v>78</v>
      </c>
      <c r="B74" s="2" t="s">
        <v>32</v>
      </c>
      <c r="C74" s="2" t="s">
        <v>22</v>
      </c>
      <c r="D74" s="2" t="s">
        <v>23</v>
      </c>
      <c r="E74" s="2" t="s">
        <v>60</v>
      </c>
      <c r="F74" s="2">
        <v>3.0</v>
      </c>
      <c r="G74" s="2" t="s">
        <v>25</v>
      </c>
      <c r="H74" s="2">
        <v>89.0</v>
      </c>
      <c r="I74" s="2">
        <v>325.0</v>
      </c>
      <c r="J74" s="2">
        <v>558.0</v>
      </c>
      <c r="K74" s="2">
        <v>0.0</v>
      </c>
      <c r="L74" s="2">
        <v>177.0</v>
      </c>
      <c r="M74" s="2">
        <v>0.0</v>
      </c>
      <c r="N74" s="2">
        <v>894.0</v>
      </c>
      <c r="O74" s="2">
        <v>0.0</v>
      </c>
      <c r="P74" s="2">
        <v>681.0</v>
      </c>
      <c r="Q74" s="2">
        <v>0.0</v>
      </c>
      <c r="R74" s="2">
        <v>0.0</v>
      </c>
      <c r="S74" s="2">
        <v>0.0</v>
      </c>
      <c r="T74" s="2">
        <v>0.0</v>
      </c>
      <c r="U74" s="3">
        <f>(N74+L74+M74)*1/3</f>
        <v>357</v>
      </c>
      <c r="W74" s="19"/>
      <c r="Y74" s="25" t="s">
        <v>76</v>
      </c>
      <c r="Z74" s="8">
        <v>217.0</v>
      </c>
      <c r="AA74" s="8">
        <v>24.0</v>
      </c>
      <c r="AB74" s="8">
        <v>17.0</v>
      </c>
      <c r="AC74" s="8">
        <v>10.0</v>
      </c>
      <c r="AD74" s="8"/>
      <c r="AE74" s="8">
        <v>191.0</v>
      </c>
      <c r="AF74" s="8">
        <v>11.0</v>
      </c>
      <c r="AG74" s="8">
        <v>17.0</v>
      </c>
      <c r="AH74" s="8">
        <v>6.0</v>
      </c>
      <c r="AI74" s="8"/>
      <c r="AJ74" s="8">
        <v>177.0</v>
      </c>
      <c r="AK74" s="8">
        <v>14.0</v>
      </c>
      <c r="AL74" s="8">
        <v>27.0</v>
      </c>
      <c r="AM74" s="8">
        <v>6.0</v>
      </c>
      <c r="AP74" s="25" t="s">
        <v>76</v>
      </c>
      <c r="AQ74" s="8">
        <v>107.0</v>
      </c>
      <c r="AR74" s="8">
        <v>10.0</v>
      </c>
      <c r="AS74" s="8">
        <v>91.0</v>
      </c>
      <c r="AT74" s="8">
        <v>9.0</v>
      </c>
      <c r="AU74" s="8"/>
      <c r="AV74" s="8">
        <v>101.0</v>
      </c>
      <c r="AW74" s="8">
        <v>19.0</v>
      </c>
      <c r="AX74" s="8">
        <v>77.0</v>
      </c>
      <c r="AY74" s="8">
        <v>7.0</v>
      </c>
      <c r="AZ74" s="8"/>
      <c r="BA74" s="8">
        <v>145.0</v>
      </c>
      <c r="BB74" s="8">
        <v>17.0</v>
      </c>
      <c r="BC74" s="8">
        <v>85.0</v>
      </c>
      <c r="BD74" s="8">
        <v>14.0</v>
      </c>
    </row>
    <row r="75" ht="15.75" customHeight="1">
      <c r="A75" s="2" t="s">
        <v>78</v>
      </c>
      <c r="B75" s="2" t="s">
        <v>32</v>
      </c>
      <c r="C75" s="2" t="s">
        <v>22</v>
      </c>
      <c r="D75" s="2" t="s">
        <v>23</v>
      </c>
      <c r="E75" s="2" t="s">
        <v>108</v>
      </c>
      <c r="F75" s="2">
        <v>3.0</v>
      </c>
      <c r="G75" s="2" t="s">
        <v>94</v>
      </c>
      <c r="H75" s="2">
        <v>14.0</v>
      </c>
      <c r="I75" s="2">
        <v>49.0</v>
      </c>
      <c r="J75" s="2">
        <v>18.0</v>
      </c>
      <c r="K75" s="2">
        <v>68.0</v>
      </c>
      <c r="L75" s="2">
        <v>16.0</v>
      </c>
      <c r="M75" s="2">
        <v>35.0</v>
      </c>
      <c r="N75" s="2">
        <v>88.0</v>
      </c>
      <c r="O75" s="2">
        <v>103.0</v>
      </c>
      <c r="P75" s="2">
        <v>288.0</v>
      </c>
      <c r="Q75" s="2">
        <v>0.0</v>
      </c>
      <c r="R75" s="2">
        <v>265.0</v>
      </c>
      <c r="S75" s="2">
        <v>1.0</v>
      </c>
      <c r="T75" s="2">
        <v>310.0</v>
      </c>
      <c r="U75" s="2">
        <f t="shared" ref="U75:U77" si="55">(N75+L75+M75)</f>
        <v>139</v>
      </c>
      <c r="V75" s="4">
        <f t="shared" ref="V75:V77" si="56">(U$74-U75)/U$74</f>
        <v>0.6106442577</v>
      </c>
      <c r="W75" s="19">
        <f t="shared" ref="W75:W77" si="57">SUM($R75:$T75)/($P75+(SUM($R75:$T75)))</f>
        <v>0.6666666667</v>
      </c>
      <c r="Y75" s="45" t="s">
        <v>123</v>
      </c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P75" s="45" t="s">
        <v>123</v>
      </c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</row>
    <row r="76" ht="15.75" customHeight="1">
      <c r="A76" s="2" t="s">
        <v>78</v>
      </c>
      <c r="B76" s="2" t="s">
        <v>32</v>
      </c>
      <c r="C76" s="2" t="s">
        <v>22</v>
      </c>
      <c r="D76" s="2" t="s">
        <v>23</v>
      </c>
      <c r="E76" s="2" t="s">
        <v>110</v>
      </c>
      <c r="F76" s="2">
        <v>3.0</v>
      </c>
      <c r="G76" s="2" t="s">
        <v>96</v>
      </c>
      <c r="H76" s="2">
        <v>18.0</v>
      </c>
      <c r="I76" s="2">
        <v>61.0</v>
      </c>
      <c r="J76" s="2">
        <v>22.0</v>
      </c>
      <c r="K76" s="2">
        <v>53.0</v>
      </c>
      <c r="L76" s="2">
        <v>28.0</v>
      </c>
      <c r="M76" s="2">
        <v>42.0</v>
      </c>
      <c r="N76" s="2">
        <v>80.0</v>
      </c>
      <c r="O76" s="2">
        <v>95.0</v>
      </c>
      <c r="P76" s="2">
        <v>304.0</v>
      </c>
      <c r="Q76" s="2">
        <v>0.0</v>
      </c>
      <c r="R76" s="2">
        <v>259.0</v>
      </c>
      <c r="S76" s="2">
        <v>1.0</v>
      </c>
      <c r="T76" s="2">
        <v>279.0</v>
      </c>
      <c r="U76" s="2">
        <f t="shared" si="55"/>
        <v>150</v>
      </c>
      <c r="V76" s="4">
        <f t="shared" si="56"/>
        <v>0.5798319328</v>
      </c>
      <c r="W76" s="19">
        <f t="shared" si="57"/>
        <v>0.6393831554</v>
      </c>
      <c r="Y76" s="47" t="s">
        <v>68</v>
      </c>
      <c r="Z76" s="53">
        <f>Z56/$P$51*100</f>
        <v>16.73773987</v>
      </c>
      <c r="AA76" s="53">
        <f>AA56/$P$55*100</f>
        <v>52.56410256</v>
      </c>
      <c r="AB76" s="53">
        <f>AB56/$P$59*100</f>
        <v>39.24349882</v>
      </c>
      <c r="AC76" s="54">
        <f>AC56/$P$63*100</f>
        <v>1.639344262</v>
      </c>
      <c r="AD76" s="53"/>
      <c r="AE76" s="53">
        <f>AE56/$P$52*100</f>
        <v>15.38461538</v>
      </c>
      <c r="AF76" s="53">
        <f>AF56/$P$56*100</f>
        <v>54.4768069</v>
      </c>
      <c r="AG76" s="53">
        <f>AG56/$P$60*100</f>
        <v>34.18013857</v>
      </c>
      <c r="AH76" s="53">
        <f>AH56/$P$64*100</f>
        <v>2.666666667</v>
      </c>
      <c r="AI76" s="53"/>
      <c r="AJ76" s="53">
        <f>AJ56/$P$53*100</f>
        <v>3.638368247</v>
      </c>
      <c r="AK76" s="53">
        <f>AK56/$P$57*100</f>
        <v>16.20727674</v>
      </c>
      <c r="AL76" s="53">
        <f>AL56/$P$61*100</f>
        <v>9.798994975</v>
      </c>
      <c r="AM76" s="53">
        <f>AM56/$P$65*100</f>
        <v>0</v>
      </c>
      <c r="AN76" s="33"/>
      <c r="AP76" s="47" t="s">
        <v>68</v>
      </c>
      <c r="AQ76" s="53">
        <f>AQ56/$P$51*100</f>
        <v>83.26226013</v>
      </c>
      <c r="AR76" s="53">
        <f>AR56/$P$55*100</f>
        <v>47.43589744</v>
      </c>
      <c r="AS76" s="53">
        <f>AS56/$P$59*100</f>
        <v>60.75650118</v>
      </c>
      <c r="AT76" s="53">
        <f>AT56/$P$63*100</f>
        <v>98.36065574</v>
      </c>
      <c r="AU76" s="53"/>
      <c r="AV76" s="53">
        <f>AV56/$P$52*100</f>
        <v>84.61538462</v>
      </c>
      <c r="AW76" s="53">
        <f>AW56/$P$56*100</f>
        <v>45.5231931</v>
      </c>
      <c r="AX76" s="53">
        <f>AX56/$P$60*100</f>
        <v>65.81986143</v>
      </c>
      <c r="AY76" s="53">
        <f>AY56/$P$64*100</f>
        <v>97.33333333</v>
      </c>
      <c r="AZ76" s="53"/>
      <c r="BA76" s="53">
        <f>BA56/$P$53*100</f>
        <v>96.36163175</v>
      </c>
      <c r="BB76" s="53">
        <f>BB56/$P$57*100</f>
        <v>83.79272326</v>
      </c>
      <c r="BC76" s="53">
        <f>BC56/$P$61*100</f>
        <v>90.20100503</v>
      </c>
      <c r="BD76" s="53">
        <f>BD56/$P$65*100</f>
        <v>100</v>
      </c>
      <c r="BE76" s="33"/>
    </row>
    <row r="77" ht="15.75" customHeight="1">
      <c r="A77" s="2" t="s">
        <v>78</v>
      </c>
      <c r="B77" s="2" t="s">
        <v>32</v>
      </c>
      <c r="C77" s="2" t="s">
        <v>22</v>
      </c>
      <c r="D77" s="2" t="s">
        <v>23</v>
      </c>
      <c r="E77" s="2" t="s">
        <v>111</v>
      </c>
      <c r="F77" s="2">
        <v>3.0</v>
      </c>
      <c r="G77" s="2" t="s">
        <v>98</v>
      </c>
      <c r="H77" s="2">
        <v>15.0</v>
      </c>
      <c r="I77" s="2">
        <v>64.0</v>
      </c>
      <c r="J77" s="2">
        <v>18.0</v>
      </c>
      <c r="K77" s="2">
        <v>31.0</v>
      </c>
      <c r="L77" s="2">
        <v>22.0</v>
      </c>
      <c r="M77" s="2">
        <v>14.0</v>
      </c>
      <c r="N77" s="2">
        <v>88.0</v>
      </c>
      <c r="O77" s="2">
        <v>45.0</v>
      </c>
      <c r="P77" s="2">
        <v>252.0</v>
      </c>
      <c r="Q77" s="2">
        <v>0.0</v>
      </c>
      <c r="R77" s="2">
        <v>309.0</v>
      </c>
      <c r="S77" s="2">
        <v>1.0</v>
      </c>
      <c r="T77" s="2">
        <v>344.0</v>
      </c>
      <c r="U77" s="2">
        <f t="shared" si="55"/>
        <v>124</v>
      </c>
      <c r="V77" s="4">
        <f t="shared" si="56"/>
        <v>0.6526610644</v>
      </c>
      <c r="W77" s="19">
        <f t="shared" si="57"/>
        <v>0.7218543046</v>
      </c>
      <c r="Y77" s="47" t="s">
        <v>73</v>
      </c>
      <c r="Z77" s="53">
        <f>Z57/$P$67*100</f>
        <v>42.91666667</v>
      </c>
      <c r="AA77" s="53">
        <f>AA57/$P$71*100</f>
        <v>67.07726764</v>
      </c>
      <c r="AB77" s="53">
        <f>AB57/$P$75*100</f>
        <v>36.80555556</v>
      </c>
      <c r="AC77" s="53">
        <f>AC57/$P$79*100</f>
        <v>28.81355932</v>
      </c>
      <c r="AD77" s="53"/>
      <c r="AE77" s="53">
        <f>AE57/$P$68*100</f>
        <v>48.5106383</v>
      </c>
      <c r="AF77" s="53">
        <f>AF57/$P$72*100</f>
        <v>72.99771167</v>
      </c>
      <c r="AG77" s="53">
        <f>AG57/$P$76*100</f>
        <v>40.78947368</v>
      </c>
      <c r="AH77" s="53">
        <f>AH57/$P$80*100</f>
        <v>30.35714286</v>
      </c>
      <c r="AI77" s="53"/>
      <c r="AJ77" s="53">
        <f>AJ57/$P$69*100</f>
        <v>37.72321429</v>
      </c>
      <c r="AK77" s="53">
        <f>AK57/$P$73*100</f>
        <v>65.69767442</v>
      </c>
      <c r="AL77" s="53">
        <f>AL57/$P$77*100</f>
        <v>25.79365079</v>
      </c>
      <c r="AM77" s="53">
        <f>AM57/$P$81*100</f>
        <v>28.57142857</v>
      </c>
      <c r="AN77" s="33"/>
      <c r="AP77" s="47" t="s">
        <v>73</v>
      </c>
      <c r="AQ77" s="53">
        <f>AQ57/$P$67*100</f>
        <v>57.08333333</v>
      </c>
      <c r="AR77" s="53">
        <f>AR57/$P$71*100</f>
        <v>32.92273236</v>
      </c>
      <c r="AS77" s="53">
        <f>AS57/$P$75*100</f>
        <v>63.19444444</v>
      </c>
      <c r="AT77" s="53">
        <f>AT57/$P$79*100</f>
        <v>71.18644068</v>
      </c>
      <c r="AU77" s="53"/>
      <c r="AV77" s="53">
        <f>AV57/$P$68*100</f>
        <v>51.4893617</v>
      </c>
      <c r="AW77" s="53">
        <f>AW57/$P$72*100</f>
        <v>27.00228833</v>
      </c>
      <c r="AX77" s="53">
        <f>AX57/$P$76*100</f>
        <v>59.21052632</v>
      </c>
      <c r="AY77" s="53">
        <f>AY57/$P$80*100</f>
        <v>69.64285714</v>
      </c>
      <c r="AZ77" s="53"/>
      <c r="BA77" s="53">
        <f>BA57/$P$69*100</f>
        <v>62.27678571</v>
      </c>
      <c r="BB77" s="53">
        <f>BB57/$P$73*100</f>
        <v>34.30232558</v>
      </c>
      <c r="BC77" s="53">
        <f>BC57/$P$77*100</f>
        <v>74.20634921</v>
      </c>
      <c r="BD77" s="53">
        <f>BD57/$P$81*100</f>
        <v>71.42857143</v>
      </c>
      <c r="BE77" s="33"/>
    </row>
    <row r="78" ht="15.75" customHeight="1">
      <c r="A78" s="2" t="s">
        <v>80</v>
      </c>
      <c r="B78" s="2" t="s">
        <v>32</v>
      </c>
      <c r="C78" s="2" t="s">
        <v>22</v>
      </c>
      <c r="D78" s="2" t="s">
        <v>23</v>
      </c>
      <c r="E78" s="2" t="s">
        <v>70</v>
      </c>
      <c r="F78" s="2">
        <v>3.0</v>
      </c>
      <c r="G78" s="2" t="s">
        <v>25</v>
      </c>
      <c r="H78" s="2">
        <v>109.0</v>
      </c>
      <c r="I78" s="2">
        <v>155.0</v>
      </c>
      <c r="J78" s="2">
        <v>141.0</v>
      </c>
      <c r="K78" s="2">
        <v>0.0</v>
      </c>
      <c r="L78" s="2">
        <v>34.0</v>
      </c>
      <c r="M78" s="2">
        <v>0.0</v>
      </c>
      <c r="N78" s="2">
        <v>149.0</v>
      </c>
      <c r="O78" s="2">
        <v>0.0</v>
      </c>
      <c r="P78" s="2">
        <v>196.0</v>
      </c>
      <c r="Q78" s="2">
        <v>0.0</v>
      </c>
      <c r="R78" s="2">
        <v>0.0</v>
      </c>
      <c r="S78" s="2">
        <v>0.0</v>
      </c>
      <c r="T78" s="2">
        <v>0.0</v>
      </c>
      <c r="U78" s="3">
        <f>(N78+L78+M78)*1/3</f>
        <v>61</v>
      </c>
      <c r="W78" s="5"/>
      <c r="Y78" s="47" t="s">
        <v>76</v>
      </c>
      <c r="Z78" s="53">
        <f>Z58/$P$83*100</f>
        <v>72.18045113</v>
      </c>
      <c r="AA78" s="53">
        <f>AA58/$P$87*100</f>
        <v>78.73134328</v>
      </c>
      <c r="AB78" s="53">
        <f>AB58/$P$91*100</f>
        <v>47.09480122</v>
      </c>
      <c r="AC78" s="53">
        <f>AC58/$P$95*100</f>
        <v>41.25</v>
      </c>
      <c r="AD78" s="33">
        <f>AVERAGE(Z76:AC78)</f>
        <v>43.75452753</v>
      </c>
      <c r="AE78" s="53">
        <f>AE58/$P$84*100</f>
        <v>69.33744222</v>
      </c>
      <c r="AF78" s="53">
        <f>AF58/$P$88*100</f>
        <v>71.45557656</v>
      </c>
      <c r="AG78" s="53">
        <f>AG58/$P$92*100</f>
        <v>44.11764706</v>
      </c>
      <c r="AH78" s="53">
        <f>AH58/$P$96*100</f>
        <v>33.8028169</v>
      </c>
      <c r="AI78" s="33">
        <f>AVERAGE(AE76:AH78)</f>
        <v>43.1730564</v>
      </c>
      <c r="AJ78" s="53">
        <f>AJ58/$P$85*100</f>
        <v>53.20121951</v>
      </c>
      <c r="AK78" s="53">
        <f>AK58/$P$89*100</f>
        <v>47.71863118</v>
      </c>
      <c r="AL78" s="53">
        <f>AL58/$P$93*100</f>
        <v>34.85714286</v>
      </c>
      <c r="AM78" s="53">
        <f>AM58/$P$97*100</f>
        <v>26.58227848</v>
      </c>
      <c r="AN78" s="33">
        <f>AVERAGE(AJ76:AM78)</f>
        <v>29.14915667</v>
      </c>
      <c r="AP78" s="47" t="s">
        <v>76</v>
      </c>
      <c r="AQ78" s="53">
        <f>AQ58/$P$83*100</f>
        <v>27.81954887</v>
      </c>
      <c r="AR78" s="53">
        <f>AR58/$P$87*100</f>
        <v>21.26865672</v>
      </c>
      <c r="AS78" s="53">
        <f>AS58/$P$91*100</f>
        <v>52.90519878</v>
      </c>
      <c r="AT78" s="53">
        <f>AT58/$P$95*100</f>
        <v>58.75</v>
      </c>
      <c r="AU78" s="33">
        <f>AVERAGE(AQ76:AT78)</f>
        <v>56.24547247</v>
      </c>
      <c r="AV78" s="53">
        <f>AV58/$P$84*100</f>
        <v>30.66255778</v>
      </c>
      <c r="AW78" s="53">
        <f>AW58/$P$88*100</f>
        <v>28.54442344</v>
      </c>
      <c r="AX78" s="53">
        <f>AX58/$P$92*100</f>
        <v>55.88235294</v>
      </c>
      <c r="AY78" s="53">
        <f>AY58/$P$96*100</f>
        <v>66.1971831</v>
      </c>
      <c r="AZ78" s="33">
        <f>AVERAGE(AV76:AY78)</f>
        <v>56.8269436</v>
      </c>
      <c r="BA78" s="53">
        <f>BA58/$P$85*100</f>
        <v>46.79878049</v>
      </c>
      <c r="BB78" s="53">
        <f>BB58/$P$89*100</f>
        <v>52.28136882</v>
      </c>
      <c r="BC78" s="53">
        <f>BC58/$P$93*100</f>
        <v>65.14285714</v>
      </c>
      <c r="BD78" s="53">
        <f>BD58/$P$97*100</f>
        <v>73.41772152</v>
      </c>
      <c r="BE78" s="33">
        <f>AVERAGE(BA76:BD78)</f>
        <v>70.85084333</v>
      </c>
    </row>
    <row r="79" ht="15.75" customHeight="1">
      <c r="A79" s="2" t="s">
        <v>80</v>
      </c>
      <c r="B79" s="2" t="s">
        <v>32</v>
      </c>
      <c r="C79" s="2" t="s">
        <v>22</v>
      </c>
      <c r="D79" s="2" t="s">
        <v>23</v>
      </c>
      <c r="E79" s="2" t="s">
        <v>115</v>
      </c>
      <c r="F79" s="2">
        <v>3.0</v>
      </c>
      <c r="G79" s="2" t="s">
        <v>94</v>
      </c>
      <c r="H79" s="2">
        <v>13.0</v>
      </c>
      <c r="I79" s="2">
        <v>11.0</v>
      </c>
      <c r="J79" s="2">
        <v>1.0</v>
      </c>
      <c r="K79" s="2">
        <v>14.0</v>
      </c>
      <c r="L79" s="2">
        <v>0.0</v>
      </c>
      <c r="M79" s="2">
        <v>11.0</v>
      </c>
      <c r="N79" s="2">
        <v>9.0</v>
      </c>
      <c r="O79" s="2">
        <v>25.0</v>
      </c>
      <c r="P79" s="2">
        <v>59.0</v>
      </c>
      <c r="Q79" s="2">
        <v>0.0</v>
      </c>
      <c r="R79" s="2">
        <v>75.0</v>
      </c>
      <c r="S79" s="2">
        <v>1.0</v>
      </c>
      <c r="T79" s="2">
        <v>153.0</v>
      </c>
      <c r="U79" s="2">
        <f t="shared" ref="U79:U81" si="58">(N79+L79+M79)</f>
        <v>20</v>
      </c>
      <c r="V79" s="4">
        <f t="shared" ref="V79:V81" si="59">(U$78-U79)/U$78</f>
        <v>0.6721311475</v>
      </c>
      <c r="W79" s="5">
        <f t="shared" ref="W79:W81" si="60">SUM($R79:$T79)/($P79+(SUM($R79:$T79)))</f>
        <v>0.7951388889</v>
      </c>
      <c r="Y79" s="10" t="s">
        <v>130</v>
      </c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33"/>
      <c r="AP79" s="10" t="s">
        <v>130</v>
      </c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33"/>
    </row>
    <row r="80" ht="15.75" customHeight="1">
      <c r="A80" s="2" t="s">
        <v>80</v>
      </c>
      <c r="B80" s="2" t="s">
        <v>32</v>
      </c>
      <c r="C80" s="2" t="s">
        <v>22</v>
      </c>
      <c r="D80" s="2" t="s">
        <v>23</v>
      </c>
      <c r="E80" s="2" t="s">
        <v>118</v>
      </c>
      <c r="F80" s="2">
        <v>3.0</v>
      </c>
      <c r="G80" s="2" t="s">
        <v>96</v>
      </c>
      <c r="H80" s="2">
        <v>9.0</v>
      </c>
      <c r="I80" s="2">
        <v>11.0</v>
      </c>
      <c r="J80" s="2">
        <v>1.0</v>
      </c>
      <c r="K80" s="2">
        <v>17.0</v>
      </c>
      <c r="L80" s="2">
        <v>1.0</v>
      </c>
      <c r="M80" s="2">
        <v>5.0</v>
      </c>
      <c r="N80" s="2">
        <v>12.0</v>
      </c>
      <c r="O80" s="2">
        <v>22.0</v>
      </c>
      <c r="P80" s="2">
        <v>56.0</v>
      </c>
      <c r="Q80" s="2">
        <v>0.0</v>
      </c>
      <c r="R80" s="2">
        <v>80.0</v>
      </c>
      <c r="S80" s="2">
        <v>1.0</v>
      </c>
      <c r="T80" s="2">
        <v>147.0</v>
      </c>
      <c r="U80" s="2">
        <f t="shared" si="58"/>
        <v>18</v>
      </c>
      <c r="V80" s="4">
        <f t="shared" si="59"/>
        <v>0.7049180328</v>
      </c>
      <c r="W80" s="5">
        <f t="shared" si="60"/>
        <v>0.8028169014</v>
      </c>
      <c r="Y80" s="11" t="s">
        <v>68</v>
      </c>
      <c r="Z80" s="53">
        <f>Z60/$H$51*100</f>
        <v>10.94890511</v>
      </c>
      <c r="AA80" s="53">
        <f>AA60/$H$55*100</f>
        <v>25</v>
      </c>
      <c r="AB80" s="53">
        <f>AB60/$H$59*100</f>
        <v>9.090909091</v>
      </c>
      <c r="AC80" s="54">
        <f>AC60/$H$63*100</f>
        <v>0</v>
      </c>
      <c r="AD80" s="53"/>
      <c r="AE80" s="54">
        <f>AE60/$H$52*100</f>
        <v>7.692307692</v>
      </c>
      <c r="AF80" s="53">
        <f>AF60/$H$56*100</f>
        <v>14.28571429</v>
      </c>
      <c r="AG80" s="53">
        <f>AG60/$H$60*100</f>
        <v>5.555555556</v>
      </c>
      <c r="AH80" s="53">
        <f>AH60/$H$64*100</f>
        <v>0</v>
      </c>
      <c r="AI80" s="53"/>
      <c r="AJ80" s="53">
        <f>AJ60/$H$53*100</f>
        <v>7.070707071</v>
      </c>
      <c r="AK80" s="53">
        <f>AK60/$H$57*100</f>
        <v>9.090909091</v>
      </c>
      <c r="AL80" s="53">
        <f>AL60/$H$61*100</f>
        <v>9.523809524</v>
      </c>
      <c r="AM80" s="53">
        <f>AM60/$H$65*100</f>
        <v>0</v>
      </c>
      <c r="AN80" s="33"/>
      <c r="AP80" s="11" t="s">
        <v>68</v>
      </c>
      <c r="AQ80" s="53">
        <f>AQ60/$H$51*100</f>
        <v>89.05109489</v>
      </c>
      <c r="AR80" s="53">
        <f>AR60/$H$55*100</f>
        <v>75</v>
      </c>
      <c r="AS80" s="53">
        <f>AS60/$H$59*100</f>
        <v>90.90909091</v>
      </c>
      <c r="AT80" s="48">
        <f>AT60/$H$63*100</f>
        <v>100</v>
      </c>
      <c r="AU80" s="53"/>
      <c r="AV80" s="53">
        <f>AV60/$H$52*100</f>
        <v>92.30769231</v>
      </c>
      <c r="AW80" s="53">
        <f>AW60/$H$56*100</f>
        <v>85.71428571</v>
      </c>
      <c r="AX80" s="53">
        <f>AX60/$H$60*100</f>
        <v>94.44444444</v>
      </c>
      <c r="AY80" s="53">
        <f>AY60/$H$64*100</f>
        <v>100</v>
      </c>
      <c r="AZ80" s="53"/>
      <c r="BA80" s="53">
        <f>BA60/$H$53*100</f>
        <v>92.92929293</v>
      </c>
      <c r="BB80" s="53">
        <f>BB60/$H$57*100</f>
        <v>90.90909091</v>
      </c>
      <c r="BC80" s="53">
        <f>BC60/$H$61*100</f>
        <v>90.47619048</v>
      </c>
      <c r="BD80" s="53">
        <f>BD60/$H$65*100</f>
        <v>100</v>
      </c>
      <c r="BE80" s="33"/>
    </row>
    <row r="81" ht="15.75" customHeight="1">
      <c r="A81" s="2" t="s">
        <v>80</v>
      </c>
      <c r="B81" s="2" t="s">
        <v>32</v>
      </c>
      <c r="C81" s="2" t="s">
        <v>22</v>
      </c>
      <c r="D81" s="2" t="s">
        <v>23</v>
      </c>
      <c r="E81" s="2" t="s">
        <v>120</v>
      </c>
      <c r="F81" s="2">
        <v>3.0</v>
      </c>
      <c r="G81" s="2" t="s">
        <v>98</v>
      </c>
      <c r="H81" s="2">
        <v>5.0</v>
      </c>
      <c r="I81" s="2">
        <v>13.0</v>
      </c>
      <c r="J81" s="2">
        <v>0.0</v>
      </c>
      <c r="K81" s="2">
        <v>13.0</v>
      </c>
      <c r="L81" s="2">
        <v>2.0</v>
      </c>
      <c r="M81" s="2">
        <v>1.0</v>
      </c>
      <c r="N81" s="2">
        <v>8.0</v>
      </c>
      <c r="O81" s="2">
        <v>14.0</v>
      </c>
      <c r="P81" s="2">
        <v>42.0</v>
      </c>
      <c r="Q81" s="2">
        <v>0.0</v>
      </c>
      <c r="R81" s="2">
        <v>103.0</v>
      </c>
      <c r="S81" s="2">
        <v>1.0</v>
      </c>
      <c r="T81" s="2">
        <v>162.0</v>
      </c>
      <c r="U81" s="2">
        <f t="shared" si="58"/>
        <v>11</v>
      </c>
      <c r="V81" s="4">
        <f t="shared" si="59"/>
        <v>0.8196721311</v>
      </c>
      <c r="W81" s="5">
        <f t="shared" si="60"/>
        <v>0.8636363636</v>
      </c>
      <c r="Y81" s="11" t="s">
        <v>73</v>
      </c>
      <c r="Z81" s="53">
        <f>Z61/$H$67*100</f>
        <v>37.5</v>
      </c>
      <c r="AA81" s="53">
        <f>AA61/$H$71*100</f>
        <v>41.17647059</v>
      </c>
      <c r="AB81" s="53">
        <f>AB61/$H$75*100</f>
        <v>28.57142857</v>
      </c>
      <c r="AC81" s="53">
        <f>AC61/$H$79*100</f>
        <v>30.76923077</v>
      </c>
      <c r="AD81" s="53"/>
      <c r="AE81" s="53">
        <f>AE61/$H$68*100</f>
        <v>47.24409449</v>
      </c>
      <c r="AF81" s="53">
        <f>AF61/$H$72*100</f>
        <v>64.28571429</v>
      </c>
      <c r="AG81" s="53">
        <f>AG61/$H$76*100</f>
        <v>33.33333333</v>
      </c>
      <c r="AH81" s="53">
        <f>AH61/$H$80*100</f>
        <v>22.22222222</v>
      </c>
      <c r="AI81" s="53"/>
      <c r="AJ81" s="53">
        <f>AJ61/$H$69*100</f>
        <v>36.92307692</v>
      </c>
      <c r="AK81" s="53">
        <f>AK61/$H$73*100</f>
        <v>45.45454545</v>
      </c>
      <c r="AL81" s="53">
        <f>AL61/$H$77*100</f>
        <v>13.33333333</v>
      </c>
      <c r="AM81" s="53">
        <f>AM61/$H$81*100</f>
        <v>20</v>
      </c>
      <c r="AN81" s="33"/>
      <c r="AP81" s="11" t="s">
        <v>73</v>
      </c>
      <c r="AQ81" s="53">
        <f>AQ61/$H$67*100</f>
        <v>62.5</v>
      </c>
      <c r="AR81" s="53">
        <f>AR61/$H$71*100</f>
        <v>58.82352941</v>
      </c>
      <c r="AS81" s="53">
        <f>AS61/$H$75*100</f>
        <v>71.42857143</v>
      </c>
      <c r="AT81" s="53">
        <f>AT61/$H$79*100</f>
        <v>69.23076923</v>
      </c>
      <c r="AU81" s="53"/>
      <c r="AV81" s="53">
        <f>AV61/$H$68*100</f>
        <v>52.75590551</v>
      </c>
      <c r="AW81" s="53">
        <f>AW61/$H$72*100</f>
        <v>35.71428571</v>
      </c>
      <c r="AX81" s="53">
        <f>AX61/$H$76*100</f>
        <v>66.66666667</v>
      </c>
      <c r="AY81" s="53">
        <f>AY61/$H$80*100</f>
        <v>77.77777778</v>
      </c>
      <c r="AZ81" s="53"/>
      <c r="BA81" s="53">
        <f>BA61/$H$69*100</f>
        <v>63.07692308</v>
      </c>
      <c r="BB81" s="53">
        <f>BB61/$H$73*100</f>
        <v>54.54545455</v>
      </c>
      <c r="BC81" s="53">
        <f>BC61/$H$77*100</f>
        <v>86.66666667</v>
      </c>
      <c r="BD81" s="53">
        <f>BD61/$H$81*100</f>
        <v>80</v>
      </c>
      <c r="BE81" s="33"/>
    </row>
    <row r="82" ht="15.75" customHeight="1">
      <c r="A82" s="2" t="s">
        <v>87</v>
      </c>
      <c r="B82" s="2" t="s">
        <v>43</v>
      </c>
      <c r="C82" s="2" t="s">
        <v>22</v>
      </c>
      <c r="D82" s="2" t="s">
        <v>23</v>
      </c>
      <c r="E82" s="2" t="s">
        <v>41</v>
      </c>
      <c r="F82" s="2">
        <v>3.0</v>
      </c>
      <c r="G82" s="2" t="s">
        <v>25</v>
      </c>
      <c r="H82" s="2">
        <v>162.0</v>
      </c>
      <c r="I82" s="2">
        <v>312.0</v>
      </c>
      <c r="J82" s="2">
        <v>441.0</v>
      </c>
      <c r="K82" s="2">
        <v>0.0</v>
      </c>
      <c r="L82" s="2">
        <v>209.0</v>
      </c>
      <c r="M82" s="2">
        <v>0.0</v>
      </c>
      <c r="N82" s="2">
        <v>1483.0</v>
      </c>
      <c r="O82" s="2">
        <v>0.0</v>
      </c>
      <c r="P82" s="2">
        <v>869.0</v>
      </c>
      <c r="Q82" s="2">
        <v>0.0</v>
      </c>
      <c r="R82" s="2">
        <v>0.0</v>
      </c>
      <c r="S82" s="2">
        <v>0.0</v>
      </c>
      <c r="T82" s="2">
        <v>0.0</v>
      </c>
      <c r="U82" s="3">
        <f>(N82+L82+M82)*1/3</f>
        <v>564</v>
      </c>
      <c r="W82" s="5"/>
      <c r="Y82" s="25" t="s">
        <v>76</v>
      </c>
      <c r="Z82" s="53">
        <f>Z62/$H$83*100</f>
        <v>75.55555556</v>
      </c>
      <c r="AA82" s="53">
        <f>AA62/$H$87*100</f>
        <v>100</v>
      </c>
      <c r="AB82" s="53">
        <f>AB62/$H$91*100</f>
        <v>37.93103448</v>
      </c>
      <c r="AC82" s="53">
        <f>AC62/$H$95*100</f>
        <v>33.33333333</v>
      </c>
      <c r="AD82" s="33">
        <f>AVERAGE(Z80:AC82)</f>
        <v>35.82307229</v>
      </c>
      <c r="AE82" s="53">
        <f>AE62/$H$84*100</f>
        <v>72.97297297</v>
      </c>
      <c r="AF82" s="53">
        <f>AF62/$H$88*100</f>
        <v>40</v>
      </c>
      <c r="AG82" s="53">
        <f>AG62/$H$92*100</f>
        <v>26.66666667</v>
      </c>
      <c r="AH82" s="53">
        <f>AH62/$H$96*100</f>
        <v>57.14285714</v>
      </c>
      <c r="AI82" s="33">
        <f>AVERAGE(AE80:AH82)</f>
        <v>32.61678655</v>
      </c>
      <c r="AJ82" s="53">
        <f>AJ62/$H$85*100</f>
        <v>50</v>
      </c>
      <c r="AK82" s="53">
        <f>AK62/$H$89*100</f>
        <v>50</v>
      </c>
      <c r="AL82" s="53">
        <f>AL62/$H$93*100</f>
        <v>26.31578947</v>
      </c>
      <c r="AM82" s="53">
        <f>AM62/$H$97*100</f>
        <v>50</v>
      </c>
      <c r="AN82" s="33">
        <f>AVERAGE(AJ80:AM82)</f>
        <v>26.47601424</v>
      </c>
      <c r="AP82" s="25" t="s">
        <v>76</v>
      </c>
      <c r="AQ82" s="53">
        <f>AQ62/$H$83*100</f>
        <v>24.44444444</v>
      </c>
      <c r="AR82" s="54">
        <f>AR62/$H$87*100</f>
        <v>0</v>
      </c>
      <c r="AS82" s="53">
        <f>AS62/$H$91*100</f>
        <v>62.06896552</v>
      </c>
      <c r="AT82" s="53">
        <f>AT62/$H$95*100</f>
        <v>66.66666667</v>
      </c>
      <c r="AU82" s="33">
        <f>AVERAGE(AQ80:AT82)</f>
        <v>64.17692771</v>
      </c>
      <c r="AV82" s="53">
        <f>AV62/$H$84*100</f>
        <v>27.02702703</v>
      </c>
      <c r="AW82" s="53">
        <f>AW62/$H$88*100</f>
        <v>60</v>
      </c>
      <c r="AX82" s="53">
        <f>AX62/$H$92*100</f>
        <v>73.33333333</v>
      </c>
      <c r="AY82" s="53">
        <f>AY62/$H$96*100</f>
        <v>42.85714286</v>
      </c>
      <c r="AZ82" s="33">
        <f>AVERAGE(AV80:AY82)</f>
        <v>67.38321345</v>
      </c>
      <c r="BA82" s="53">
        <f>BA62/$H$85*100</f>
        <v>50</v>
      </c>
      <c r="BB82" s="53">
        <f>BB62/$H$89*100</f>
        <v>50</v>
      </c>
      <c r="BC82" s="53">
        <f>BC62/$H$93*100</f>
        <v>73.68421053</v>
      </c>
      <c r="BD82" s="53">
        <f>BD62/$H$97*100</f>
        <v>50</v>
      </c>
      <c r="BE82" s="33">
        <f>AVERAGE(BA80:BD82)</f>
        <v>73.52398576</v>
      </c>
    </row>
    <row r="83" ht="15.75" customHeight="1">
      <c r="A83" s="2" t="s">
        <v>87</v>
      </c>
      <c r="B83" s="2" t="s">
        <v>43</v>
      </c>
      <c r="C83" s="2" t="s">
        <v>22</v>
      </c>
      <c r="D83" s="2" t="s">
        <v>23</v>
      </c>
      <c r="E83" s="2" t="s">
        <v>93</v>
      </c>
      <c r="F83" s="2">
        <v>3.0</v>
      </c>
      <c r="G83" s="2" t="s">
        <v>94</v>
      </c>
      <c r="H83" s="2">
        <v>45.0</v>
      </c>
      <c r="I83" s="2">
        <v>138.0</v>
      </c>
      <c r="J83" s="2">
        <v>1.0</v>
      </c>
      <c r="K83" s="2">
        <v>45.0</v>
      </c>
      <c r="L83" s="2">
        <v>87.0</v>
      </c>
      <c r="M83" s="2">
        <v>25.0</v>
      </c>
      <c r="N83" s="2">
        <v>324.0</v>
      </c>
      <c r="O83" s="2">
        <v>70.0</v>
      </c>
      <c r="P83" s="2">
        <v>665.0</v>
      </c>
      <c r="Q83" s="2">
        <v>0.0</v>
      </c>
      <c r="R83" s="2">
        <v>21.0</v>
      </c>
      <c r="S83" s="2">
        <v>68.0</v>
      </c>
      <c r="T83" s="2">
        <v>9.0</v>
      </c>
      <c r="U83" s="2">
        <f t="shared" ref="U83:U85" si="61">(N83+L83+M83)</f>
        <v>436</v>
      </c>
      <c r="V83" s="26">
        <f t="shared" ref="V83:V85" si="62">(U$82-U83)/U$82</f>
        <v>0.2269503546</v>
      </c>
      <c r="W83" s="5">
        <f t="shared" ref="W83:W85" si="63">SUM($R83:$T83)/($P83+(SUM($R83:$T83)))</f>
        <v>0.128440367</v>
      </c>
      <c r="Y83" s="10" t="s">
        <v>139</v>
      </c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33"/>
      <c r="AP83" s="10" t="s">
        <v>139</v>
      </c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33"/>
    </row>
    <row r="84" ht="15.75" customHeight="1">
      <c r="A84" s="2" t="s">
        <v>87</v>
      </c>
      <c r="B84" s="2" t="s">
        <v>43</v>
      </c>
      <c r="C84" s="2" t="s">
        <v>22</v>
      </c>
      <c r="D84" s="2" t="s">
        <v>23</v>
      </c>
      <c r="E84" s="2" t="s">
        <v>95</v>
      </c>
      <c r="F84" s="2">
        <v>3.0</v>
      </c>
      <c r="G84" s="2" t="s">
        <v>96</v>
      </c>
      <c r="H84" s="2">
        <v>37.0</v>
      </c>
      <c r="I84" s="2">
        <v>145.0</v>
      </c>
      <c r="J84" s="2">
        <v>2.0</v>
      </c>
      <c r="K84" s="2">
        <v>42.0</v>
      </c>
      <c r="L84" s="2">
        <v>93.0</v>
      </c>
      <c r="M84" s="2">
        <v>38.0</v>
      </c>
      <c r="N84" s="2">
        <v>292.0</v>
      </c>
      <c r="O84" s="2">
        <v>80.0</v>
      </c>
      <c r="P84" s="2">
        <v>649.0</v>
      </c>
      <c r="Q84" s="2">
        <v>0.0</v>
      </c>
      <c r="R84" s="2">
        <v>20.0</v>
      </c>
      <c r="S84" s="2">
        <v>64.0</v>
      </c>
      <c r="T84" s="2">
        <v>6.0</v>
      </c>
      <c r="U84" s="2">
        <f t="shared" si="61"/>
        <v>423</v>
      </c>
      <c r="V84" s="26">
        <f t="shared" si="62"/>
        <v>0.25</v>
      </c>
      <c r="W84" s="5">
        <f t="shared" si="63"/>
        <v>0.1217861976</v>
      </c>
      <c r="Y84" s="11" t="s">
        <v>68</v>
      </c>
      <c r="Z84" s="53">
        <f>Z64/($L$51+$M$51)*100</f>
        <v>37.68115942</v>
      </c>
      <c r="AA84" s="53">
        <f>AA64/($L$55+$M$55)*100</f>
        <v>46.15384615</v>
      </c>
      <c r="AB84" s="53">
        <f>AB64/($L$59+$M$59)*100</f>
        <v>52.54237288</v>
      </c>
      <c r="AC84" s="54">
        <f>AC64/($L$63+$M$63)*100</f>
        <v>0</v>
      </c>
      <c r="AD84" s="53"/>
      <c r="AE84" s="53">
        <f>AE64/($L$52+$M$52)*100</f>
        <v>42.85714286</v>
      </c>
      <c r="AF84" s="53">
        <f>AF64/($L$56+$M$56)*100</f>
        <v>44.44444444</v>
      </c>
      <c r="AG84" s="53">
        <f>AG64/($L$60+$M$60)*100</f>
        <v>38.98305085</v>
      </c>
      <c r="AH84" s="53">
        <f>AH64/($L$64+$M$64)*100</f>
        <v>0</v>
      </c>
      <c r="AI84" s="53"/>
      <c r="AJ84" s="53">
        <f>AJ64/($L$53+$M$53)*100</f>
        <v>6.25</v>
      </c>
      <c r="AK84" s="53">
        <f>AK64/($L$57+$M$57)*100</f>
        <v>12.5</v>
      </c>
      <c r="AL84" s="53">
        <f>AL64/($L$61+$M$61)*100</f>
        <v>10</v>
      </c>
      <c r="AM84" s="53">
        <f>AM64/($L$65+$M$65)*100</f>
        <v>0</v>
      </c>
      <c r="AN84" s="33"/>
      <c r="AP84" s="11" t="s">
        <v>68</v>
      </c>
      <c r="AQ84" s="53">
        <f>AQ64/($L$51+$M$51)*100</f>
        <v>62.31884058</v>
      </c>
      <c r="AR84" s="53">
        <f>AR64/($L$55+$M$55)*100</f>
        <v>53.84615385</v>
      </c>
      <c r="AS84" s="53">
        <f>AS64/($L$59+$M$59)*100</f>
        <v>47.45762712</v>
      </c>
      <c r="AT84" s="48">
        <f>AT64/($L$63+$M$63)*100</f>
        <v>100</v>
      </c>
      <c r="AU84" s="53"/>
      <c r="AV84" s="53">
        <f>AV64/($L$52+$M$52)*100</f>
        <v>57.14285714</v>
      </c>
      <c r="AW84" s="53">
        <f>AW64/($L$56+$M$56)*100</f>
        <v>55.55555556</v>
      </c>
      <c r="AX84" s="53">
        <f>AX64/($L$60+$M$60)*100</f>
        <v>61.01694915</v>
      </c>
      <c r="AY84" s="53">
        <f>AY64/($L$64+$M$64)*100</f>
        <v>100</v>
      </c>
      <c r="AZ84" s="53"/>
      <c r="BA84" s="53">
        <f>BA64/($L$53+$M$53)*100</f>
        <v>93.75</v>
      </c>
      <c r="BB84" s="53">
        <f>BB64/($L$57+$M$57)*100</f>
        <v>87.5</v>
      </c>
      <c r="BC84" s="53">
        <f>BC64/($L$60+$M$60)*100</f>
        <v>61.01694915</v>
      </c>
      <c r="BD84" s="53">
        <f>BD64/($L$65+$M$65)*100</f>
        <v>100</v>
      </c>
      <c r="BE84" s="33"/>
    </row>
    <row r="85" ht="15.75" customHeight="1">
      <c r="A85" s="2" t="s">
        <v>87</v>
      </c>
      <c r="B85" s="2" t="s">
        <v>43</v>
      </c>
      <c r="C85" s="2" t="s">
        <v>22</v>
      </c>
      <c r="D85" s="2" t="s">
        <v>23</v>
      </c>
      <c r="E85" s="2" t="s">
        <v>97</v>
      </c>
      <c r="F85" s="2">
        <v>3.0</v>
      </c>
      <c r="G85" s="2" t="s">
        <v>98</v>
      </c>
      <c r="H85" s="2">
        <v>38.0</v>
      </c>
      <c r="I85" s="2">
        <v>165.0</v>
      </c>
      <c r="J85" s="2">
        <v>2.0</v>
      </c>
      <c r="K85" s="2">
        <v>17.0</v>
      </c>
      <c r="L85" s="2">
        <v>101.0</v>
      </c>
      <c r="M85" s="2">
        <v>11.0</v>
      </c>
      <c r="N85" s="2">
        <v>322.0</v>
      </c>
      <c r="O85" s="2">
        <v>28.0</v>
      </c>
      <c r="P85" s="2">
        <v>656.0</v>
      </c>
      <c r="Q85" s="2">
        <v>0.0</v>
      </c>
      <c r="R85" s="2">
        <v>13.0</v>
      </c>
      <c r="S85" s="2">
        <v>58.0</v>
      </c>
      <c r="T85" s="2">
        <v>7.0</v>
      </c>
      <c r="U85" s="2">
        <f t="shared" si="61"/>
        <v>434</v>
      </c>
      <c r="V85" s="26">
        <f t="shared" si="62"/>
        <v>0.2304964539</v>
      </c>
      <c r="W85" s="5">
        <f t="shared" si="63"/>
        <v>0.10626703</v>
      </c>
      <c r="Y85" s="11" t="s">
        <v>73</v>
      </c>
      <c r="Z85" s="53">
        <f>Z65/($L$67+$M$67)*100</f>
        <v>39.02439024</v>
      </c>
      <c r="AA85" s="53">
        <f>AA65/($L$71+$M$71)*100</f>
        <v>50</v>
      </c>
      <c r="AB85" s="53">
        <f>AB65/($L$75+$M$75)*100</f>
        <v>35.29411765</v>
      </c>
      <c r="AC85" s="53">
        <f>AC65/($L$79+$M$79)*100</f>
        <v>18.18181818</v>
      </c>
      <c r="AD85" s="53"/>
      <c r="AE85" s="53">
        <f>AE65/($L$68+$M$68)*100</f>
        <v>34.14634146</v>
      </c>
      <c r="AF85" s="53">
        <f>AF65/($L$72+$M$72)*100</f>
        <v>55.55555556</v>
      </c>
      <c r="AG85" s="53">
        <f>AG65/($L$76+$M$76)*100</f>
        <v>45.71428571</v>
      </c>
      <c r="AH85" s="53">
        <f>AH65/($L$80+$M$80)*100</f>
        <v>0</v>
      </c>
      <c r="AI85" s="53"/>
      <c r="AJ85" s="53">
        <f>AJ65/($L$69+$M$69)*100</f>
        <v>32</v>
      </c>
      <c r="AK85" s="53">
        <f>AK65/($L$73+$M$73)*100</f>
        <v>42.85714286</v>
      </c>
      <c r="AL85" s="53">
        <f>AL65/($L$77+$M$77)*100</f>
        <v>30.55555556</v>
      </c>
      <c r="AM85" s="53">
        <f>AM65/($L$81+$M$81)*100</f>
        <v>0</v>
      </c>
      <c r="AN85" s="33"/>
      <c r="AP85" s="11" t="s">
        <v>73</v>
      </c>
      <c r="AQ85" s="53">
        <f>AQ65/($L$67+$M$67)*100</f>
        <v>60.97560976</v>
      </c>
      <c r="AR85" s="53">
        <f>AR65/($L$71+$M$71)*100</f>
        <v>50</v>
      </c>
      <c r="AS85" s="53">
        <f>AS65/($L$75+$M$75)*100</f>
        <v>64.70588235</v>
      </c>
      <c r="AT85" s="53">
        <f>AT65/($L$79+$M$79)*100</f>
        <v>81.81818182</v>
      </c>
      <c r="AU85" s="53"/>
      <c r="AV85" s="53">
        <f>AV65/($L$68+$M$68)*100</f>
        <v>65.85365854</v>
      </c>
      <c r="AW85" s="53">
        <f>AW65/($L$72+$M$72)*100</f>
        <v>44.44444444</v>
      </c>
      <c r="AX85" s="53">
        <f>AX65/($L$76+$M$76)*100</f>
        <v>54.28571429</v>
      </c>
      <c r="AY85" s="53">
        <f>AY65/($L$80+$M$80)*100</f>
        <v>100</v>
      </c>
      <c r="AZ85" s="53"/>
      <c r="BA85" s="53">
        <f>BA65/($L$69+$M$69)*100</f>
        <v>68</v>
      </c>
      <c r="BB85" s="53">
        <f>BB65/($L$73+$M$73)*100</f>
        <v>57.14285714</v>
      </c>
      <c r="BC85" s="53">
        <f>BC65/($L$77+$M$77)*100</f>
        <v>69.44444444</v>
      </c>
      <c r="BD85" s="53">
        <f>BD65/($L$80+$M$80)*100</f>
        <v>50</v>
      </c>
      <c r="BE85" s="33"/>
    </row>
    <row r="86" ht="15.75" customHeight="1">
      <c r="A86" s="2" t="s">
        <v>88</v>
      </c>
      <c r="B86" s="2" t="s">
        <v>43</v>
      </c>
      <c r="C86" s="2" t="s">
        <v>22</v>
      </c>
      <c r="D86" s="2" t="s">
        <v>23</v>
      </c>
      <c r="E86" s="2" t="s">
        <v>53</v>
      </c>
      <c r="F86" s="2">
        <v>3.0</v>
      </c>
      <c r="G86" s="2" t="s">
        <v>25</v>
      </c>
      <c r="H86" s="2">
        <v>16.0</v>
      </c>
      <c r="I86" s="2">
        <v>734.0</v>
      </c>
      <c r="J86" s="2">
        <v>1275.0</v>
      </c>
      <c r="K86" s="2">
        <v>0.0</v>
      </c>
      <c r="L86" s="2">
        <v>27.0</v>
      </c>
      <c r="M86" s="2">
        <v>0.0</v>
      </c>
      <c r="N86" s="2">
        <v>138.0</v>
      </c>
      <c r="O86" s="2">
        <v>0.0</v>
      </c>
      <c r="P86" s="2">
        <v>730.0</v>
      </c>
      <c r="Q86" s="2">
        <v>0.0</v>
      </c>
      <c r="R86" s="2">
        <v>0.0</v>
      </c>
      <c r="S86" s="2">
        <v>0.0</v>
      </c>
      <c r="T86" s="2">
        <v>0.0</v>
      </c>
      <c r="U86" s="3">
        <f>(N86+L86+M86)*1/3</f>
        <v>55</v>
      </c>
      <c r="W86" s="5"/>
      <c r="Y86" s="25" t="s">
        <v>76</v>
      </c>
      <c r="Z86" s="53">
        <f>Z66/($L$83+$M$83)*100</f>
        <v>76.78571429</v>
      </c>
      <c r="AA86" s="53">
        <f>AA66/($L$87+$M$87)*100</f>
        <v>75</v>
      </c>
      <c r="AB86" s="53">
        <f>AB66/($L$91+$M$91)*100</f>
        <v>48</v>
      </c>
      <c r="AC86" s="53">
        <f>AC66/($L$95+$M$95)*100</f>
        <v>34.7826087</v>
      </c>
      <c r="AD86" s="33">
        <f>AVERAGE(Z84:AC86)</f>
        <v>42.78716896</v>
      </c>
      <c r="AE86" s="53">
        <f>AE66/($L$84+$M$84)*100</f>
        <v>73.28244275</v>
      </c>
      <c r="AF86" s="53">
        <f>AF66/($L$88+$M$88)*100</f>
        <v>75</v>
      </c>
      <c r="AG86" s="53">
        <f>AG66/($L$92+$M$92)*100</f>
        <v>40.6779661</v>
      </c>
      <c r="AH86" s="53">
        <f>AH66/($L$96+$M$96)*100</f>
        <v>26.19047619</v>
      </c>
      <c r="AI86" s="33">
        <f>AVERAGE(AE84:AH86)</f>
        <v>39.73764216</v>
      </c>
      <c r="AJ86" s="53">
        <f>AJ66/($L$85+$M$85)*100</f>
        <v>48.21428571</v>
      </c>
      <c r="AK86" s="53">
        <f>AK66/($L$89+$M$89)*100</f>
        <v>42.85714286</v>
      </c>
      <c r="AL86" s="53">
        <f>AL66/($L$93+$M$93)*100</f>
        <v>35.8490566</v>
      </c>
      <c r="AM86" s="53">
        <f>AM66/($L$97+$M$97)*100</f>
        <v>20</v>
      </c>
      <c r="AN86" s="33">
        <f>AVERAGE(AJ84:AM86)</f>
        <v>23.42359863</v>
      </c>
      <c r="AP86" s="25" t="s">
        <v>76</v>
      </c>
      <c r="AQ86" s="53">
        <f>AQ66/($L$83+$M$83)*100</f>
        <v>23.21428571</v>
      </c>
      <c r="AR86" s="53">
        <f>AR66/($L$87+$M$87)*100</f>
        <v>25</v>
      </c>
      <c r="AS86" s="53">
        <f>AS66/($L$91+$M$91)*100</f>
        <v>52</v>
      </c>
      <c r="AT86" s="53">
        <f>AT66/($L$95+$M$95)*100</f>
        <v>65.2173913</v>
      </c>
      <c r="AU86" s="33">
        <f>AVERAGE(AQ84:AT86)</f>
        <v>57.21283104</v>
      </c>
      <c r="AV86" s="53">
        <f>AV66/($L$84+$M$84)*100</f>
        <v>26.71755725</v>
      </c>
      <c r="AW86" s="53">
        <f>AW66/($L$88+$M$88)*100</f>
        <v>25</v>
      </c>
      <c r="AX86" s="53">
        <f>AX66/($L$92+$M$92)*100</f>
        <v>59.3220339</v>
      </c>
      <c r="AY86" s="53">
        <f>AY66/($L$96+$M$96)*100</f>
        <v>73.80952381</v>
      </c>
      <c r="AZ86" s="33">
        <f>AVERAGE(AV84:AY86)</f>
        <v>60.26235784</v>
      </c>
      <c r="BA86" s="53">
        <f>BA66/($L$85+$M$85)*100</f>
        <v>51.78571429</v>
      </c>
      <c r="BB86" s="53">
        <f>BB66/($L$89+$M$89)*100</f>
        <v>57.14285714</v>
      </c>
      <c r="BC86" s="53">
        <f>BC66/($L$93+$M$93)*100</f>
        <v>64.1509434</v>
      </c>
      <c r="BD86" s="53">
        <f>BD66/($L$97+$M$97)*100</f>
        <v>80</v>
      </c>
      <c r="BE86" s="33">
        <f>AVERAGE(BA84:BD86)</f>
        <v>69.99448046</v>
      </c>
    </row>
    <row r="87" ht="15.75" customHeight="1">
      <c r="A87" s="2" t="s">
        <v>88</v>
      </c>
      <c r="B87" s="2" t="s">
        <v>43</v>
      </c>
      <c r="C87" s="2" t="s">
        <v>22</v>
      </c>
      <c r="D87" s="2" t="s">
        <v>23</v>
      </c>
      <c r="E87" s="2" t="s">
        <v>104</v>
      </c>
      <c r="F87" s="2">
        <v>3.0</v>
      </c>
      <c r="G87" s="2" t="s">
        <v>94</v>
      </c>
      <c r="H87" s="2">
        <v>3.0</v>
      </c>
      <c r="I87" s="2">
        <v>313.0</v>
      </c>
      <c r="J87" s="2">
        <v>7.0</v>
      </c>
      <c r="K87" s="2">
        <v>171.0</v>
      </c>
      <c r="L87" s="2">
        <v>7.0</v>
      </c>
      <c r="M87" s="2">
        <v>1.0</v>
      </c>
      <c r="N87" s="2">
        <v>34.0</v>
      </c>
      <c r="O87" s="2">
        <v>172.0</v>
      </c>
      <c r="P87" s="2">
        <v>536.0</v>
      </c>
      <c r="Q87" s="2">
        <v>0.0</v>
      </c>
      <c r="R87" s="2">
        <v>11.0</v>
      </c>
      <c r="S87" s="2">
        <v>134.0</v>
      </c>
      <c r="T87" s="2">
        <v>0.0</v>
      </c>
      <c r="U87" s="2">
        <f t="shared" ref="U87:U89" si="64">(N87+L87+M87)</f>
        <v>42</v>
      </c>
      <c r="V87" s="26">
        <f t="shared" ref="V87:V89" si="65">(U$86-U87)/U$86</f>
        <v>0.2363636364</v>
      </c>
      <c r="W87" s="5">
        <f t="shared" ref="W87:W89" si="66">SUM($R87:$T87)/($P87+(SUM($R87:$T87)))</f>
        <v>0.2129221733</v>
      </c>
      <c r="Y87" s="10" t="s">
        <v>150</v>
      </c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33"/>
      <c r="AP87" s="10" t="s">
        <v>150</v>
      </c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33"/>
    </row>
    <row r="88" ht="15.75" customHeight="1">
      <c r="A88" s="2" t="s">
        <v>88</v>
      </c>
      <c r="B88" s="2" t="s">
        <v>43</v>
      </c>
      <c r="C88" s="2" t="s">
        <v>22</v>
      </c>
      <c r="D88" s="2" t="s">
        <v>23</v>
      </c>
      <c r="E88" s="2" t="s">
        <v>106</v>
      </c>
      <c r="F88" s="2">
        <v>3.0</v>
      </c>
      <c r="G88" s="2" t="s">
        <v>96</v>
      </c>
      <c r="H88" s="2">
        <v>5.0</v>
      </c>
      <c r="I88" s="2">
        <v>306.0</v>
      </c>
      <c r="J88" s="2">
        <v>5.0</v>
      </c>
      <c r="K88" s="2">
        <v>179.0</v>
      </c>
      <c r="L88" s="2">
        <v>4.0</v>
      </c>
      <c r="M88" s="2">
        <v>0.0</v>
      </c>
      <c r="N88" s="2">
        <v>30.0</v>
      </c>
      <c r="O88" s="2">
        <v>179.0</v>
      </c>
      <c r="P88" s="2">
        <v>529.0</v>
      </c>
      <c r="Q88" s="2">
        <v>0.0</v>
      </c>
      <c r="R88" s="2">
        <v>12.0</v>
      </c>
      <c r="S88" s="2">
        <v>143.0</v>
      </c>
      <c r="T88" s="2">
        <v>1.0</v>
      </c>
      <c r="U88" s="2">
        <f t="shared" si="64"/>
        <v>34</v>
      </c>
      <c r="V88" s="26">
        <f t="shared" si="65"/>
        <v>0.3818181818</v>
      </c>
      <c r="W88" s="5">
        <f t="shared" si="66"/>
        <v>0.2277372263</v>
      </c>
      <c r="Y88" s="11" t="s">
        <v>68</v>
      </c>
      <c r="Z88" s="53">
        <f>Z68/$M$51*100</f>
        <v>42.22222222</v>
      </c>
      <c r="AA88" s="53">
        <f>AA68/$M$55*100</f>
        <v>55</v>
      </c>
      <c r="AB88" s="53">
        <f>AB68/$M$59*100</f>
        <v>49.09090909</v>
      </c>
      <c r="AC88" s="54">
        <f>AC68/$M$63*100</f>
        <v>0</v>
      </c>
      <c r="AD88" s="53"/>
      <c r="AE88" s="53">
        <f>AE68/$M$52*100</f>
        <v>51.1627907</v>
      </c>
      <c r="AF88" s="53">
        <f>AF68/$M$56*100</f>
        <v>46.15384615</v>
      </c>
      <c r="AG88" s="53">
        <f>AG68/$M$60*100</f>
        <v>36</v>
      </c>
      <c r="AH88" s="53">
        <f>AH68/$M$64*100</f>
        <v>0</v>
      </c>
      <c r="AI88" s="53"/>
      <c r="AJ88" s="53">
        <f>AJ68/$M$53*100</f>
        <v>6.666666667</v>
      </c>
      <c r="AK88" s="53">
        <f>AK68/$M$57*100</f>
        <v>0</v>
      </c>
      <c r="AL88" s="53">
        <f>AL68/$M$61*100</f>
        <v>5.882352941</v>
      </c>
      <c r="AM88" s="53">
        <f>AM68/$M$65*100</f>
        <v>0</v>
      </c>
      <c r="AN88" s="33"/>
      <c r="AP88" s="11" t="s">
        <v>68</v>
      </c>
      <c r="AQ88" s="53">
        <f>AQ68/$M$51*100</f>
        <v>57.77777778</v>
      </c>
      <c r="AR88" s="53">
        <f>AR68/$M$55*100</f>
        <v>45</v>
      </c>
      <c r="AS88" s="53">
        <f>AS68/$M$59*100</f>
        <v>50.90909091</v>
      </c>
      <c r="AT88" s="48">
        <f>AT68/$M$63*100</f>
        <v>100</v>
      </c>
      <c r="AU88" s="53"/>
      <c r="AV88" s="53">
        <f>AV68/$M$52*100</f>
        <v>48.8372093</v>
      </c>
      <c r="AW88" s="53">
        <f>AW68/$M$56*100</f>
        <v>53.84615385</v>
      </c>
      <c r="AX88" s="53">
        <f>AX68/$M$60*100</f>
        <v>64</v>
      </c>
      <c r="AY88" s="53">
        <f>AY68/$M$64*100</f>
        <v>100</v>
      </c>
      <c r="AZ88" s="53"/>
      <c r="BA88" s="53">
        <f>BA68/$M$53*100</f>
        <v>93.33333333</v>
      </c>
      <c r="BB88" s="53">
        <f>BB68/$M$57*100</f>
        <v>100</v>
      </c>
      <c r="BC88" s="53">
        <f>BC68/$M$61*100</f>
        <v>94.11764706</v>
      </c>
      <c r="BD88" s="53">
        <f>BD68/$M$65*100</f>
        <v>100</v>
      </c>
      <c r="BE88" s="33"/>
    </row>
    <row r="89" ht="15.75" customHeight="1">
      <c r="A89" s="2" t="s">
        <v>88</v>
      </c>
      <c r="B89" s="2" t="s">
        <v>43</v>
      </c>
      <c r="C89" s="2" t="s">
        <v>22</v>
      </c>
      <c r="D89" s="2" t="s">
        <v>23</v>
      </c>
      <c r="E89" s="2" t="s">
        <v>107</v>
      </c>
      <c r="F89" s="2">
        <v>3.0</v>
      </c>
      <c r="G89" s="2" t="s">
        <v>98</v>
      </c>
      <c r="H89" s="2">
        <v>2.0</v>
      </c>
      <c r="I89" s="2">
        <v>430.0</v>
      </c>
      <c r="J89" s="2">
        <v>10.0</v>
      </c>
      <c r="K89" s="2">
        <v>46.0</v>
      </c>
      <c r="L89" s="2">
        <v>7.0</v>
      </c>
      <c r="M89" s="2">
        <v>0.0</v>
      </c>
      <c r="N89" s="2">
        <v>31.0</v>
      </c>
      <c r="O89" s="2">
        <v>46.0</v>
      </c>
      <c r="P89" s="2">
        <v>526.0</v>
      </c>
      <c r="Q89" s="2">
        <v>0.0</v>
      </c>
      <c r="R89" s="2">
        <v>10.0</v>
      </c>
      <c r="S89" s="2">
        <v>148.0</v>
      </c>
      <c r="T89" s="2">
        <v>0.0</v>
      </c>
      <c r="U89" s="2">
        <f t="shared" si="64"/>
        <v>38</v>
      </c>
      <c r="V89" s="26">
        <f t="shared" si="65"/>
        <v>0.3090909091</v>
      </c>
      <c r="W89" s="5">
        <f t="shared" si="66"/>
        <v>0.230994152</v>
      </c>
      <c r="Y89" s="11" t="s">
        <v>73</v>
      </c>
      <c r="Z89" s="53">
        <f>Z69/$M$67*100</f>
        <v>31.81818182</v>
      </c>
      <c r="AA89" s="53">
        <f>AA69/$M$71*100</f>
        <v>46.66666667</v>
      </c>
      <c r="AB89" s="53">
        <f>AB69/$M$75*100</f>
        <v>37.14285714</v>
      </c>
      <c r="AC89" s="53">
        <f>AC69/$M$79*100</f>
        <v>18.18181818</v>
      </c>
      <c r="AD89" s="53"/>
      <c r="AE89" s="53">
        <f>AE69/$M$68*100</f>
        <v>32</v>
      </c>
      <c r="AF89" s="53">
        <f>AF69/$M$72*100</f>
        <v>42.85714286</v>
      </c>
      <c r="AG89" s="53">
        <f>AG69/$M$76*100</f>
        <v>35.71428571</v>
      </c>
      <c r="AH89" s="53">
        <f>AH69/$M$80*100</f>
        <v>0</v>
      </c>
      <c r="AI89" s="53"/>
      <c r="AJ89" s="53">
        <f>AJ69/$M$69*100</f>
        <v>23.07692308</v>
      </c>
      <c r="AK89" s="53">
        <f>AK69/$M$73*100</f>
        <v>25</v>
      </c>
      <c r="AL89" s="53">
        <f>AL69/$M$77*100</f>
        <v>28.57142857</v>
      </c>
      <c r="AM89" s="53">
        <f>AM69/$M$81*100</f>
        <v>0</v>
      </c>
      <c r="AN89" s="33"/>
      <c r="AP89" s="11" t="s">
        <v>73</v>
      </c>
      <c r="AQ89" s="53">
        <f>AQ69/$M$67*100</f>
        <v>68.18181818</v>
      </c>
      <c r="AR89" s="53">
        <f>AR69/$M$71*100</f>
        <v>53.33333333</v>
      </c>
      <c r="AS89" s="53">
        <f>AS69/$M$75*100</f>
        <v>62.85714286</v>
      </c>
      <c r="AT89" s="53">
        <f>AT69/$M$79*100</f>
        <v>81.81818182</v>
      </c>
      <c r="AU89" s="53"/>
      <c r="AV89" s="53">
        <f>AV69/$M$68*100</f>
        <v>68</v>
      </c>
      <c r="AW89" s="53">
        <f>AW69/$M$72*100</f>
        <v>57.14285714</v>
      </c>
      <c r="AX89" s="53">
        <f>AX69/$M$76*100</f>
        <v>64.28571429</v>
      </c>
      <c r="AY89" s="53">
        <f>AY69/$M$80*100</f>
        <v>100</v>
      </c>
      <c r="AZ89" s="53"/>
      <c r="BA89" s="53">
        <f>BA69/$M$69*100</f>
        <v>76.92307692</v>
      </c>
      <c r="BB89" s="53">
        <f>BB69/$M$73*100</f>
        <v>75</v>
      </c>
      <c r="BC89" s="53">
        <f>BC69/$M$77*100</f>
        <v>71.42857143</v>
      </c>
      <c r="BD89" s="53">
        <f>BD69/$M$81*100</f>
        <v>100</v>
      </c>
      <c r="BE89" s="33"/>
    </row>
    <row r="90" ht="15.75" customHeight="1">
      <c r="A90" s="2" t="s">
        <v>89</v>
      </c>
      <c r="B90" s="2" t="s">
        <v>43</v>
      </c>
      <c r="C90" s="2" t="s">
        <v>22</v>
      </c>
      <c r="D90" s="2" t="s">
        <v>23</v>
      </c>
      <c r="E90" s="2" t="s">
        <v>60</v>
      </c>
      <c r="F90" s="2">
        <v>3.0</v>
      </c>
      <c r="G90" s="2" t="s">
        <v>25</v>
      </c>
      <c r="H90" s="2">
        <v>85.0</v>
      </c>
      <c r="I90" s="2">
        <v>188.0</v>
      </c>
      <c r="J90" s="2">
        <v>573.0</v>
      </c>
      <c r="K90" s="2">
        <v>0.0</v>
      </c>
      <c r="L90" s="2">
        <v>125.0</v>
      </c>
      <c r="M90" s="2">
        <v>0.0</v>
      </c>
      <c r="N90" s="2">
        <v>523.0</v>
      </c>
      <c r="O90" s="2">
        <v>0.0</v>
      </c>
      <c r="P90" s="2">
        <v>498.0</v>
      </c>
      <c r="Q90" s="2">
        <v>0.0</v>
      </c>
      <c r="R90" s="2">
        <v>0.0</v>
      </c>
      <c r="S90" s="2">
        <v>0.0</v>
      </c>
      <c r="T90" s="2">
        <v>0.0</v>
      </c>
      <c r="U90" s="3">
        <f>(N90+L90)*1/3</f>
        <v>216</v>
      </c>
      <c r="W90" s="5"/>
      <c r="Y90" s="25" t="s">
        <v>76</v>
      </c>
      <c r="Z90" s="53">
        <f>Z70/$M$83*100</f>
        <v>84</v>
      </c>
      <c r="AA90" s="53">
        <f>AA70/$M$87*100</f>
        <v>100</v>
      </c>
      <c r="AB90" s="53">
        <f>AB70/$M$91*100</f>
        <v>38.88888889</v>
      </c>
      <c r="AC90" s="53">
        <f>AC70/$M$95*100</f>
        <v>26.47058824</v>
      </c>
      <c r="AD90" s="33">
        <f>AVERAGE(Z88:AC90)</f>
        <v>44.12351102</v>
      </c>
      <c r="AE90" s="53">
        <f>AE70/$M$84*100</f>
        <v>86.84210526</v>
      </c>
      <c r="AF90" s="53" t="s">
        <v>152</v>
      </c>
      <c r="AG90" s="53">
        <f>AG70/$M$92*100</f>
        <v>43.75</v>
      </c>
      <c r="AH90" s="53">
        <f>AH70/$M$96*100</f>
        <v>14.81481481</v>
      </c>
      <c r="AI90" s="33">
        <f>AVERAGE(AE88:AH90)</f>
        <v>35.39045323</v>
      </c>
      <c r="AJ90" s="53">
        <f>AJ70/$M$85*100</f>
        <v>18.18181818</v>
      </c>
      <c r="AK90" s="53" t="s">
        <v>152</v>
      </c>
      <c r="AL90" s="53">
        <f>AL70/$M$93*100</f>
        <v>27.5862069</v>
      </c>
      <c r="AM90" s="53">
        <f>AM70/$M$97*100</f>
        <v>9.090909091</v>
      </c>
      <c r="AN90" s="33">
        <f>AVERAGE(AJ88:AM90)</f>
        <v>13.09602777</v>
      </c>
      <c r="AP90" s="25" t="s">
        <v>76</v>
      </c>
      <c r="AQ90" s="53">
        <f>AQ70/$M$83*100</f>
        <v>16</v>
      </c>
      <c r="AR90" s="53">
        <f>AR70/$M$87*100</f>
        <v>0</v>
      </c>
      <c r="AS90" s="53">
        <f>AS70/$M$91*100</f>
        <v>61.11111111</v>
      </c>
      <c r="AT90" s="53">
        <f>AT70/$M$95*100</f>
        <v>73.52941176</v>
      </c>
      <c r="AU90" s="33">
        <f>AVERAGE(AQ88:AT90)</f>
        <v>55.87648898</v>
      </c>
      <c r="AV90" s="53">
        <f>AV70/$M$84*100</f>
        <v>13.15789474</v>
      </c>
      <c r="AW90" s="53" t="s">
        <v>152</v>
      </c>
      <c r="AX90" s="53">
        <f>AX70/$M$92*100</f>
        <v>56.25</v>
      </c>
      <c r="AY90" s="53">
        <f>AY70/$M$96*100</f>
        <v>85.18518519</v>
      </c>
      <c r="AZ90" s="33">
        <f>AVERAGE(AV88:AY90)</f>
        <v>64.60954677</v>
      </c>
      <c r="BA90" s="53">
        <f>BA70/$M$85*100</f>
        <v>81.81818182</v>
      </c>
      <c r="BB90" s="53" t="s">
        <v>152</v>
      </c>
      <c r="BC90" s="53">
        <f>BC70/$M$93*100</f>
        <v>72.4137931</v>
      </c>
      <c r="BD90" s="53">
        <f>BD70/$M$97*100</f>
        <v>90.90909091</v>
      </c>
      <c r="BE90" s="33">
        <f>AVERAGE(BA88:BD90)</f>
        <v>86.90397223</v>
      </c>
    </row>
    <row r="91" ht="15.75" customHeight="1">
      <c r="A91" s="2" t="s">
        <v>89</v>
      </c>
      <c r="B91" s="2" t="s">
        <v>43</v>
      </c>
      <c r="C91" s="2" t="s">
        <v>22</v>
      </c>
      <c r="D91" s="2" t="s">
        <v>23</v>
      </c>
      <c r="E91" s="2" t="s">
        <v>108</v>
      </c>
      <c r="F91" s="2">
        <v>3.0</v>
      </c>
      <c r="G91" s="2" t="s">
        <v>94</v>
      </c>
      <c r="H91" s="2">
        <v>29.0</v>
      </c>
      <c r="I91" s="2">
        <v>64.0</v>
      </c>
      <c r="J91" s="2">
        <v>10.0</v>
      </c>
      <c r="K91" s="2">
        <v>66.0</v>
      </c>
      <c r="L91" s="2">
        <v>14.0</v>
      </c>
      <c r="M91" s="2">
        <v>36.0</v>
      </c>
      <c r="N91" s="2">
        <v>108.0</v>
      </c>
      <c r="O91" s="2">
        <v>102.0</v>
      </c>
      <c r="P91" s="2">
        <v>327.0</v>
      </c>
      <c r="Q91" s="2">
        <v>0.0</v>
      </c>
      <c r="R91" s="2">
        <v>68.0</v>
      </c>
      <c r="S91" s="2">
        <v>137.0</v>
      </c>
      <c r="T91" s="2">
        <v>35.0</v>
      </c>
      <c r="U91" s="2">
        <f t="shared" ref="U91:U93" si="67">(N91+L91)</f>
        <v>122</v>
      </c>
      <c r="V91" s="4">
        <f t="shared" ref="V91:V93" si="68">(U$90-U91)/U$90</f>
        <v>0.4351851852</v>
      </c>
      <c r="W91" s="5">
        <f t="shared" ref="W91:W93" si="69">SUM($R91:$T91)/($P91+(SUM($R91:$T91)))</f>
        <v>0.4232804233</v>
      </c>
      <c r="Y91" s="10" t="s">
        <v>158</v>
      </c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33"/>
      <c r="AP91" s="10" t="s">
        <v>158</v>
      </c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33"/>
    </row>
    <row r="92" ht="15.75" customHeight="1">
      <c r="A92" s="2" t="s">
        <v>89</v>
      </c>
      <c r="B92" s="2" t="s">
        <v>43</v>
      </c>
      <c r="C92" s="2" t="s">
        <v>22</v>
      </c>
      <c r="D92" s="2" t="s">
        <v>23</v>
      </c>
      <c r="E92" s="2" t="s">
        <v>110</v>
      </c>
      <c r="F92" s="2">
        <v>3.0</v>
      </c>
      <c r="G92" s="2" t="s">
        <v>96</v>
      </c>
      <c r="H92" s="2">
        <v>30.0</v>
      </c>
      <c r="I92" s="2">
        <v>72.0</v>
      </c>
      <c r="J92" s="2">
        <v>3.0</v>
      </c>
      <c r="K92" s="2">
        <v>48.0</v>
      </c>
      <c r="L92" s="2">
        <v>11.0</v>
      </c>
      <c r="M92" s="2">
        <v>48.0</v>
      </c>
      <c r="N92" s="2">
        <v>94.0</v>
      </c>
      <c r="O92" s="2">
        <v>96.0</v>
      </c>
      <c r="P92" s="2">
        <v>306.0</v>
      </c>
      <c r="Q92" s="2">
        <v>0.0</v>
      </c>
      <c r="R92" s="2">
        <v>72.0</v>
      </c>
      <c r="S92" s="2">
        <v>126.0</v>
      </c>
      <c r="T92" s="2">
        <v>47.0</v>
      </c>
      <c r="U92" s="2">
        <f t="shared" si="67"/>
        <v>105</v>
      </c>
      <c r="V92" s="4">
        <f t="shared" si="68"/>
        <v>0.5138888889</v>
      </c>
      <c r="W92" s="5">
        <f t="shared" si="69"/>
        <v>0.444646098</v>
      </c>
      <c r="Y92" s="11" t="s">
        <v>68</v>
      </c>
      <c r="Z92" s="54">
        <f>Z72/$N$51*100</f>
        <v>5.830388693</v>
      </c>
      <c r="AA92" s="53">
        <f>AA72/$N$55*100</f>
        <v>14.63414634</v>
      </c>
      <c r="AB92" s="53">
        <f>AB72/$N$59*100</f>
        <v>25.97402597</v>
      </c>
      <c r="AC92" s="54">
        <f>AC72/$N$63*100</f>
        <v>0</v>
      </c>
      <c r="AD92" s="53"/>
      <c r="AE92" s="54">
        <f>AE72/$N$52*100</f>
        <v>4.623287671</v>
      </c>
      <c r="AF92" s="53">
        <f>AF72/$N$56*100</f>
        <v>19.56521739</v>
      </c>
      <c r="AG92" s="53">
        <f>AG72/$N$60*100</f>
        <v>19.56521739</v>
      </c>
      <c r="AH92" s="53">
        <f>AH72/$N$64*100</f>
        <v>4.761904762</v>
      </c>
      <c r="AI92" s="53"/>
      <c r="AJ92" s="53">
        <f>AJ72/$N$53*100</f>
        <v>0.826446281</v>
      </c>
      <c r="AK92" s="53">
        <f>AK72/$N$57*100</f>
        <v>5.172413793</v>
      </c>
      <c r="AL92" s="53">
        <f>AL72/$N$61*100</f>
        <v>4.12371134</v>
      </c>
      <c r="AM92" s="53">
        <f>AM72/$N$65*100</f>
        <v>0</v>
      </c>
      <c r="AN92" s="33"/>
      <c r="AP92" s="11" t="s">
        <v>68</v>
      </c>
      <c r="AQ92" s="53">
        <f>AQ72/$N$51*100</f>
        <v>94.16961131</v>
      </c>
      <c r="AR92" s="53">
        <f>AR72/$N$55*100</f>
        <v>85.36585366</v>
      </c>
      <c r="AS92" s="53">
        <f>AS72/$N$59*100</f>
        <v>74.02597403</v>
      </c>
      <c r="AT92" s="48">
        <f>AT72/$N$63*100</f>
        <v>100</v>
      </c>
      <c r="AU92" s="53"/>
      <c r="AV92" s="53">
        <f>AV72/$N$52*100</f>
        <v>95.37671233</v>
      </c>
      <c r="AW92" s="53">
        <f>AW72/$N$56*100</f>
        <v>80.43478261</v>
      </c>
      <c r="AX92" s="53">
        <f>AX72/$N$60*100</f>
        <v>80.43478261</v>
      </c>
      <c r="AY92" s="53">
        <f>AY72/$N$64*100</f>
        <v>95.23809524</v>
      </c>
      <c r="AZ92" s="53"/>
      <c r="BA92" s="53">
        <f>BA72/$N$53*100</f>
        <v>99.17355372</v>
      </c>
      <c r="BB92" s="53">
        <f>BB72/$N$57*100</f>
        <v>94.82758621</v>
      </c>
      <c r="BC92" s="53">
        <f>BC72/$N$61*100</f>
        <v>95.87628866</v>
      </c>
      <c r="BD92" s="53">
        <f>BD72/$N$65*100</f>
        <v>100</v>
      </c>
      <c r="BE92" s="33"/>
    </row>
    <row r="93" ht="15.75" customHeight="1">
      <c r="A93" s="2" t="s">
        <v>89</v>
      </c>
      <c r="B93" s="2" t="s">
        <v>43</v>
      </c>
      <c r="C93" s="2" t="s">
        <v>22</v>
      </c>
      <c r="D93" s="2" t="s">
        <v>23</v>
      </c>
      <c r="E93" s="2" t="s">
        <v>111</v>
      </c>
      <c r="F93" s="2">
        <v>3.0</v>
      </c>
      <c r="G93" s="2" t="s">
        <v>98</v>
      </c>
      <c r="H93" s="2">
        <v>19.0</v>
      </c>
      <c r="I93" s="2">
        <v>134.0</v>
      </c>
      <c r="J93" s="2">
        <v>5.0</v>
      </c>
      <c r="K93" s="2">
        <v>27.0</v>
      </c>
      <c r="L93" s="2">
        <v>24.0</v>
      </c>
      <c r="M93" s="2">
        <v>29.0</v>
      </c>
      <c r="N93" s="2">
        <v>112.0</v>
      </c>
      <c r="O93" s="2">
        <v>56.0</v>
      </c>
      <c r="P93" s="2">
        <v>350.0</v>
      </c>
      <c r="Q93" s="2">
        <v>0.0</v>
      </c>
      <c r="R93" s="2">
        <v>43.0</v>
      </c>
      <c r="S93" s="2">
        <v>129.0</v>
      </c>
      <c r="T93" s="2">
        <v>50.0</v>
      </c>
      <c r="U93" s="2">
        <f t="shared" si="67"/>
        <v>136</v>
      </c>
      <c r="V93" s="26">
        <f t="shared" si="68"/>
        <v>0.3703703704</v>
      </c>
      <c r="W93" s="5">
        <f t="shared" si="69"/>
        <v>0.3881118881</v>
      </c>
      <c r="Y93" s="11" t="s">
        <v>73</v>
      </c>
      <c r="Z93" s="53">
        <f>Z73/$N$67*100</f>
        <v>39.16083916</v>
      </c>
      <c r="AA93" s="53">
        <f>AA73/$N$71*100</f>
        <v>38.88888889</v>
      </c>
      <c r="AB93" s="53">
        <f>AB73/$N$75*100</f>
        <v>28.40909091</v>
      </c>
      <c r="AC93" s="53">
        <f>AC73/$N$79*100</f>
        <v>33.33333333</v>
      </c>
      <c r="AD93" s="53"/>
      <c r="AE93" s="53">
        <f>AE73/$N$68*100</f>
        <v>44.29530201</v>
      </c>
      <c r="AF93" s="53">
        <f>AF73/$N$72*100</f>
        <v>40</v>
      </c>
      <c r="AG93" s="53">
        <f>AG73/$N$76*100</f>
        <v>27.5</v>
      </c>
      <c r="AH93" s="53">
        <f>AH73/$N$80*100</f>
        <v>33.33333333</v>
      </c>
      <c r="AI93" s="53"/>
      <c r="AJ93" s="53">
        <f>AJ73/$N$69*100</f>
        <v>36.77419355</v>
      </c>
      <c r="AK93" s="53">
        <f>AK73/$N$73*100</f>
        <v>31.25</v>
      </c>
      <c r="AL93" s="53">
        <f>AL73/$N$77*100</f>
        <v>19.31818182</v>
      </c>
      <c r="AM93" s="53">
        <f>AM73/$N$81*100</f>
        <v>12.5</v>
      </c>
      <c r="AN93" s="33"/>
      <c r="AP93" s="11" t="s">
        <v>73</v>
      </c>
      <c r="AQ93" s="53">
        <f>AQ73/$N$67*100</f>
        <v>60.83916084</v>
      </c>
      <c r="AR93" s="53">
        <f>AR73/$N$71*100</f>
        <v>61.11111111</v>
      </c>
      <c r="AS93" s="53">
        <f>AS73/$N$75*100</f>
        <v>71.59090909</v>
      </c>
      <c r="AT93" s="53">
        <f>AT73/$N$79*100</f>
        <v>66.66666667</v>
      </c>
      <c r="AU93" s="53"/>
      <c r="AV93" s="53">
        <f>AV73/$N$68*100</f>
        <v>55.70469799</v>
      </c>
      <c r="AW93" s="53">
        <f>AW73/$N$72*100</f>
        <v>60</v>
      </c>
      <c r="AX93" s="53">
        <f>AX73/$N$76*100</f>
        <v>72.5</v>
      </c>
      <c r="AY93" s="53">
        <f>AY73/$N$80*100</f>
        <v>66.66666667</v>
      </c>
      <c r="AZ93" s="53"/>
      <c r="BA93" s="53">
        <f>BA73/$N$69*100</f>
        <v>63.22580645</v>
      </c>
      <c r="BB93" s="53">
        <f>BB73/$N$73*100</f>
        <v>68.75</v>
      </c>
      <c r="BC93" s="53">
        <f>BC73/$N$77*100</f>
        <v>80.68181818</v>
      </c>
      <c r="BD93" s="53">
        <f>BD73/$N$81*100</f>
        <v>87.5</v>
      </c>
      <c r="BE93" s="33"/>
    </row>
    <row r="94" ht="15.75" customHeight="1">
      <c r="A94" s="2" t="s">
        <v>91</v>
      </c>
      <c r="B94" s="2" t="s">
        <v>43</v>
      </c>
      <c r="C94" s="2" t="s">
        <v>22</v>
      </c>
      <c r="D94" s="2" t="s">
        <v>23</v>
      </c>
      <c r="E94" s="2" t="s">
        <v>70</v>
      </c>
      <c r="F94" s="2">
        <v>3.0</v>
      </c>
      <c r="G94" s="2" t="s">
        <v>25</v>
      </c>
      <c r="H94" s="2">
        <v>38.0</v>
      </c>
      <c r="I94" s="2">
        <v>7.0</v>
      </c>
      <c r="J94" s="2">
        <v>87.0</v>
      </c>
      <c r="K94" s="2">
        <v>0.0</v>
      </c>
      <c r="L94" s="2">
        <v>40.0</v>
      </c>
      <c r="M94" s="2">
        <v>0.0</v>
      </c>
      <c r="N94" s="2">
        <v>263.0</v>
      </c>
      <c r="O94" s="2">
        <v>0.0</v>
      </c>
      <c r="P94" s="2">
        <v>145.0</v>
      </c>
      <c r="Q94" s="2">
        <v>0.0</v>
      </c>
      <c r="R94" s="2">
        <v>0.0</v>
      </c>
      <c r="S94" s="2">
        <v>0.0</v>
      </c>
      <c r="T94" s="2">
        <v>0.0</v>
      </c>
      <c r="U94" s="3">
        <f>(N94+L94)*1/3</f>
        <v>101</v>
      </c>
      <c r="W94" s="5"/>
      <c r="Y94" s="25" t="s">
        <v>76</v>
      </c>
      <c r="Z94" s="53">
        <f>Z74/$N$83*100</f>
        <v>66.97530864</v>
      </c>
      <c r="AA94" s="53">
        <f>AA74/$N$87*100</f>
        <v>70.58823529</v>
      </c>
      <c r="AB94" s="53">
        <f>AB74/$N$91*100</f>
        <v>15.74074074</v>
      </c>
      <c r="AC94" s="53">
        <f>AC74/$N$95*100</f>
        <v>52.63157895</v>
      </c>
      <c r="AD94" s="33">
        <f>AVERAGE(Z92:AC94)</f>
        <v>32.68054808</v>
      </c>
      <c r="AE94" s="53">
        <f>AE74/$N$84*100</f>
        <v>65.4109589</v>
      </c>
      <c r="AF94" s="53">
        <f>AF74/$N$88*100</f>
        <v>36.66666667</v>
      </c>
      <c r="AG94" s="53">
        <f>AG74/$N$92*100</f>
        <v>18.08510638</v>
      </c>
      <c r="AH94" s="53">
        <f>AH74/$N$96*100</f>
        <v>46.15384615</v>
      </c>
      <c r="AI94" s="33">
        <f>AVERAGE(AE92:AH94)</f>
        <v>29.99673672</v>
      </c>
      <c r="AJ94" s="53">
        <f>AJ74/$N$85*100</f>
        <v>54.9689441</v>
      </c>
      <c r="AK94" s="53">
        <f>AK74/$N$89*100</f>
        <v>45.16129032</v>
      </c>
      <c r="AL94" s="53">
        <f>AL74/$N$93*100</f>
        <v>24.10714286</v>
      </c>
      <c r="AM94" s="53">
        <f>AM74/$N$97*100</f>
        <v>30</v>
      </c>
      <c r="AN94" s="33">
        <f>AVERAGE(AJ92:AM94)</f>
        <v>22.01686034</v>
      </c>
      <c r="AP94" s="25" t="s">
        <v>76</v>
      </c>
      <c r="AQ94" s="53">
        <f>AQ74/$N$83*100</f>
        <v>33.02469136</v>
      </c>
      <c r="AR94" s="53">
        <f>AR74/$N$87*100</f>
        <v>29.41176471</v>
      </c>
      <c r="AS94" s="53">
        <f>AS74/$N$91*100</f>
        <v>84.25925926</v>
      </c>
      <c r="AT94" s="53">
        <f>AT74/$N$95*100</f>
        <v>47.36842105</v>
      </c>
      <c r="AU94" s="33">
        <f>AVERAGE(AQ92:AT94)</f>
        <v>67.31945192</v>
      </c>
      <c r="AV94" s="53">
        <f>AV74/$N$84*100</f>
        <v>34.5890411</v>
      </c>
      <c r="AW94" s="53">
        <f>AW74/$N$88*100</f>
        <v>63.33333333</v>
      </c>
      <c r="AX94" s="53">
        <f>AX74/$N$92*100</f>
        <v>81.91489362</v>
      </c>
      <c r="AY94" s="53">
        <f>AY74/$N$96*100</f>
        <v>53.84615385</v>
      </c>
      <c r="AZ94" s="33">
        <f>AVERAGE(AV92:AY94)</f>
        <v>70.00326328</v>
      </c>
      <c r="BA94" s="53">
        <f>BA74/$N$85*100</f>
        <v>45.0310559</v>
      </c>
      <c r="BB94" s="53">
        <f>BB74/$N$89*100</f>
        <v>54.83870968</v>
      </c>
      <c r="BC94" s="53">
        <f>BC74/$N$93*100</f>
        <v>75.89285714</v>
      </c>
      <c r="BD94" s="53">
        <f>BD74/$N$97*100</f>
        <v>70</v>
      </c>
      <c r="BE94" s="33">
        <f>AVERAGE(BA92:BD94)</f>
        <v>77.98313966</v>
      </c>
    </row>
    <row r="95" ht="15.75" customHeight="1">
      <c r="A95" s="2" t="s">
        <v>91</v>
      </c>
      <c r="B95" s="2" t="s">
        <v>43</v>
      </c>
      <c r="C95" s="2" t="s">
        <v>22</v>
      </c>
      <c r="D95" s="2" t="s">
        <v>23</v>
      </c>
      <c r="E95" s="2" t="s">
        <v>115</v>
      </c>
      <c r="F95" s="2">
        <v>3.0</v>
      </c>
      <c r="G95" s="2" t="s">
        <v>94</v>
      </c>
      <c r="H95" s="2">
        <v>6.0</v>
      </c>
      <c r="I95" s="2">
        <v>5.0</v>
      </c>
      <c r="J95" s="2">
        <v>0.0</v>
      </c>
      <c r="K95" s="2">
        <v>4.0</v>
      </c>
      <c r="L95" s="2">
        <v>12.0</v>
      </c>
      <c r="M95" s="2">
        <v>34.0</v>
      </c>
      <c r="N95" s="2">
        <v>19.0</v>
      </c>
      <c r="O95" s="2">
        <v>38.0</v>
      </c>
      <c r="P95" s="2">
        <v>80.0</v>
      </c>
      <c r="Q95" s="2">
        <v>0.0</v>
      </c>
      <c r="R95" s="2">
        <v>20.0</v>
      </c>
      <c r="S95" s="2">
        <v>41.0</v>
      </c>
      <c r="T95" s="2">
        <v>33.0</v>
      </c>
      <c r="U95" s="2">
        <f t="shared" ref="U95:U97" si="70">(N95+L95)</f>
        <v>31</v>
      </c>
      <c r="V95" s="4">
        <f t="shared" ref="V95:V97" si="71">(U$90-U95)/U$90</f>
        <v>0.8564814815</v>
      </c>
      <c r="W95" s="5">
        <f t="shared" ref="W95:W97" si="72">SUM($R95:$T95)/($P95+(SUM($R95:$T95)))</f>
        <v>0.5402298851</v>
      </c>
    </row>
    <row r="96" ht="15.75" customHeight="1">
      <c r="A96" s="2" t="s">
        <v>91</v>
      </c>
      <c r="B96" s="2" t="s">
        <v>43</v>
      </c>
      <c r="C96" s="2" t="s">
        <v>22</v>
      </c>
      <c r="D96" s="2" t="s">
        <v>23</v>
      </c>
      <c r="E96" s="2" t="s">
        <v>118</v>
      </c>
      <c r="F96" s="2">
        <v>3.0</v>
      </c>
      <c r="G96" s="2" t="s">
        <v>96</v>
      </c>
      <c r="H96" s="2">
        <v>7.0</v>
      </c>
      <c r="I96" s="2">
        <v>2.0</v>
      </c>
      <c r="J96" s="2">
        <v>0.0</v>
      </c>
      <c r="K96" s="2">
        <v>7.0</v>
      </c>
      <c r="L96" s="2">
        <v>15.0</v>
      </c>
      <c r="M96" s="2">
        <v>27.0</v>
      </c>
      <c r="N96" s="2">
        <v>13.0</v>
      </c>
      <c r="O96" s="2">
        <v>34.0</v>
      </c>
      <c r="P96" s="2">
        <v>71.0</v>
      </c>
      <c r="Q96" s="2">
        <v>0.0</v>
      </c>
      <c r="R96" s="2">
        <v>21.0</v>
      </c>
      <c r="S96" s="2">
        <v>41.0</v>
      </c>
      <c r="T96" s="2">
        <v>44.0</v>
      </c>
      <c r="U96" s="2">
        <f t="shared" si="70"/>
        <v>28</v>
      </c>
      <c r="V96" s="4">
        <f t="shared" si="71"/>
        <v>0.8703703704</v>
      </c>
      <c r="W96" s="5">
        <f t="shared" si="72"/>
        <v>0.5988700565</v>
      </c>
      <c r="AG96" s="42" t="s">
        <v>175</v>
      </c>
      <c r="AH96" s="43" t="s">
        <v>100</v>
      </c>
      <c r="AI96" s="32"/>
      <c r="AJ96" s="61"/>
      <c r="AK96" s="43" t="s">
        <v>101</v>
      </c>
      <c r="AL96" s="32"/>
      <c r="AN96" s="43" t="s">
        <v>102</v>
      </c>
      <c r="AO96" s="32"/>
    </row>
    <row r="97" ht="15.0" customHeight="1">
      <c r="A97" s="2" t="s">
        <v>91</v>
      </c>
      <c r="B97" s="2" t="s">
        <v>43</v>
      </c>
      <c r="C97" s="2" t="s">
        <v>22</v>
      </c>
      <c r="D97" s="2" t="s">
        <v>23</v>
      </c>
      <c r="E97" s="2" t="s">
        <v>120</v>
      </c>
      <c r="F97" s="2">
        <v>3.0</v>
      </c>
      <c r="G97" s="2" t="s">
        <v>98</v>
      </c>
      <c r="H97" s="2">
        <v>8.0</v>
      </c>
      <c r="I97" s="2">
        <v>8.0</v>
      </c>
      <c r="J97" s="2">
        <v>1.0</v>
      </c>
      <c r="K97" s="2">
        <v>2.0</v>
      </c>
      <c r="L97" s="2">
        <v>18.0</v>
      </c>
      <c r="M97" s="2">
        <v>22.0</v>
      </c>
      <c r="N97" s="2">
        <v>20.0</v>
      </c>
      <c r="O97" s="2">
        <v>24.0</v>
      </c>
      <c r="P97" s="2">
        <v>79.0</v>
      </c>
      <c r="Q97" s="2">
        <v>0.0</v>
      </c>
      <c r="R97" s="2">
        <v>12.0</v>
      </c>
      <c r="S97" s="2">
        <v>30.0</v>
      </c>
      <c r="T97" s="2">
        <v>38.0</v>
      </c>
      <c r="U97" s="2">
        <f t="shared" si="70"/>
        <v>38</v>
      </c>
      <c r="V97" s="26">
        <f t="shared" si="71"/>
        <v>0.8240740741</v>
      </c>
      <c r="W97" s="5">
        <f t="shared" si="72"/>
        <v>0.5031446541</v>
      </c>
      <c r="Y97" s="62" t="s">
        <v>176</v>
      </c>
      <c r="Z97" s="62" t="s">
        <v>177</v>
      </c>
      <c r="AG97" s="32"/>
      <c r="AH97" s="9" t="s">
        <v>178</v>
      </c>
      <c r="AI97" s="9" t="s">
        <v>179</v>
      </c>
      <c r="AJ97" s="8"/>
      <c r="AK97" s="9" t="s">
        <v>178</v>
      </c>
      <c r="AL97" s="9" t="s">
        <v>179</v>
      </c>
      <c r="AM97" s="8"/>
      <c r="AN97" s="63" t="s">
        <v>178</v>
      </c>
      <c r="AO97" s="63" t="s">
        <v>179</v>
      </c>
    </row>
    <row r="98" ht="15.75" customHeight="1">
      <c r="R98" s="29">
        <f t="shared" ref="R98:T98" si="73">SUM(R3:R5,R7:R9,R11:R13,R15:R17,R19:R21,R23:R25,R27:R29,R31:R33,R35:R37,R39:R41,R43:R45,R47:R49,R51:R53,R55:R57,R59:R61,R63:R65,R67:R69,R71:R73,R75:R77,R79:R81,R83:R85,R87:R89,R91:R93,R95:R97)</f>
        <v>5496</v>
      </c>
      <c r="S98" s="29">
        <f t="shared" si="73"/>
        <v>2327</v>
      </c>
      <c r="T98" s="29">
        <f t="shared" si="73"/>
        <v>6240</v>
      </c>
      <c r="U98" s="29"/>
      <c r="V98" s="4"/>
      <c r="W98" s="5">
        <f>AVERAGE(W3:W5,W7:W9,W11:W13,W15:W17,W19:W21,W23:W25,W27:W29,W31:W33,W35:W37,W39:W41,W43:W45,W47:W49,W51:W53,W55:W57,W59:W61,W63:W65,W67:W69,W71:W73,W75:W77,W79:W81,W83:W85,W87:W89,W91:W93,W95:W97)</f>
        <v>0.3423607249</v>
      </c>
      <c r="X98" s="62" t="s">
        <v>92</v>
      </c>
      <c r="Y98" s="4">
        <f>W98*(R99+S99)</f>
        <v>0.1904492605</v>
      </c>
      <c r="Z98" s="4">
        <f>W98*T99</f>
        <v>0.1519114643</v>
      </c>
      <c r="AG98" s="64" t="s">
        <v>180</v>
      </c>
      <c r="AH98" s="10"/>
      <c r="AI98" s="10"/>
      <c r="AJ98" s="10"/>
      <c r="AK98" s="10"/>
      <c r="AL98" s="10"/>
      <c r="AM98" s="10"/>
      <c r="AN98" s="10"/>
      <c r="AO98" s="10"/>
      <c r="AQ98" s="14">
        <f>AD78</f>
        <v>43.75452753</v>
      </c>
      <c r="AR98" s="17">
        <f>AU78</f>
        <v>56.24547247</v>
      </c>
      <c r="AS98" s="8"/>
      <c r="AT98" s="14">
        <f>AI78</f>
        <v>43.1730564</v>
      </c>
      <c r="AU98" s="17">
        <f>AZ78</f>
        <v>56.8269436</v>
      </c>
      <c r="AV98" s="8"/>
      <c r="AW98" s="14">
        <f>AN78</f>
        <v>29.14915667</v>
      </c>
      <c r="AX98" s="17">
        <f>BE78</f>
        <v>70.85084333</v>
      </c>
    </row>
    <row r="99" ht="15.75" customHeight="1">
      <c r="R99" s="5">
        <f t="shared" ref="R99:T99" si="74">R98/(SUM($R$98:$T$98))</f>
        <v>0.3908127711</v>
      </c>
      <c r="S99" s="5">
        <f t="shared" si="74"/>
        <v>0.1654696722</v>
      </c>
      <c r="T99" s="5">
        <f t="shared" si="74"/>
        <v>0.4437175567</v>
      </c>
      <c r="U99" s="5"/>
      <c r="V99" s="5"/>
      <c r="W99" s="5">
        <f>MAX(W3:W5,W7:W9,W11:W13,W15:W17,W19:W21,W23:W25,W27:W29,W31:W33,W35:W37,W39:W41,W43:W45,W47:W49,W51:W53,W55:W57,W59:W61,W63:W65,W67:W69,W71:W73,W75:W77,W79:W81,W83:W85,W87:W89,W91:W93,W95:W97)</f>
        <v>0.8636363636</v>
      </c>
      <c r="X99" s="62" t="s">
        <v>182</v>
      </c>
      <c r="AG99" s="65" t="s">
        <v>123</v>
      </c>
      <c r="AH99" s="14">
        <f>$AD$78</f>
        <v>43.75452753</v>
      </c>
      <c r="AI99" s="17">
        <f>$AU$78</f>
        <v>56.24547247</v>
      </c>
      <c r="AJ99" s="8"/>
      <c r="AK99" s="14">
        <f>$AI$78</f>
        <v>43.1730564</v>
      </c>
      <c r="AL99" s="17">
        <f>$AZ$78</f>
        <v>56.8269436</v>
      </c>
      <c r="AM99" s="8"/>
      <c r="AN99" s="14">
        <f>$AN$78</f>
        <v>29.14915667</v>
      </c>
      <c r="AO99" s="17">
        <f>$BE$78</f>
        <v>70.85084333</v>
      </c>
      <c r="AQ99" s="14">
        <f>AD82</f>
        <v>35.82307229</v>
      </c>
      <c r="AR99" s="17">
        <f>AU82</f>
        <v>64.17692771</v>
      </c>
      <c r="AS99" s="8"/>
      <c r="AT99" s="14">
        <f>AI82</f>
        <v>32.61678655</v>
      </c>
      <c r="AU99" s="17">
        <f>AZ82</f>
        <v>67.38321345</v>
      </c>
      <c r="AV99" s="8"/>
      <c r="AW99" s="14">
        <f>AN82</f>
        <v>26.47601424</v>
      </c>
      <c r="AX99" s="17">
        <f>BE82</f>
        <v>73.52398576</v>
      </c>
    </row>
    <row r="100" ht="15.75" customHeight="1">
      <c r="V100" s="5"/>
      <c r="W100" s="5">
        <f>MIN(W3:W5,W7:W9,W11:W13,W15:W17,W19:W21,W23:W25,W27:W29,W31:W33,W35:W37,W39:W41,W43:W45,W47:W49,W51:W53,W55:W57,W59:W61,W63:W65,W67:W69,W71:W73,W75:W77,W79:W81,W83:W85,W87:W89,W91:W93,W95:W97)</f>
        <v>0.0202020202</v>
      </c>
      <c r="X100" s="62" t="s">
        <v>184</v>
      </c>
      <c r="AG100" s="65" t="s">
        <v>186</v>
      </c>
      <c r="AH100" s="14">
        <f>$AD$82</f>
        <v>35.82307229</v>
      </c>
      <c r="AI100" s="17">
        <f>$AU$82</f>
        <v>64.17692771</v>
      </c>
      <c r="AJ100" s="8"/>
      <c r="AK100" s="14">
        <f>$AI$82</f>
        <v>32.61678655</v>
      </c>
      <c r="AL100" s="17">
        <f>$AZ$82</f>
        <v>67.38321345</v>
      </c>
      <c r="AM100" s="8"/>
      <c r="AN100" s="14">
        <f>$AN$82</f>
        <v>26.47601424</v>
      </c>
      <c r="AO100" s="17">
        <f>$BE$82</f>
        <v>73.52398576</v>
      </c>
      <c r="AQ100" s="14">
        <f>AD86</f>
        <v>42.78716896</v>
      </c>
      <c r="AR100" s="17">
        <f>AU86</f>
        <v>57.21283104</v>
      </c>
      <c r="AS100" s="8"/>
      <c r="AT100" s="14">
        <f>AI86</f>
        <v>39.73764216</v>
      </c>
      <c r="AU100" s="17">
        <f>AZ86</f>
        <v>60.26235784</v>
      </c>
      <c r="AV100" s="8"/>
      <c r="AW100" s="14">
        <f>AN86</f>
        <v>23.42359863</v>
      </c>
      <c r="AX100" s="17">
        <f>BE86</f>
        <v>69.99448046</v>
      </c>
    </row>
    <row r="101" ht="15.75" customHeight="1">
      <c r="AG101" s="65" t="s">
        <v>139</v>
      </c>
      <c r="AH101" s="14">
        <f>$AD86</f>
        <v>42.78716896</v>
      </c>
      <c r="AI101" s="17">
        <f>$AU$86</f>
        <v>57.21283104</v>
      </c>
      <c r="AJ101" s="8"/>
      <c r="AK101" s="14">
        <f>$AI86</f>
        <v>39.73764216</v>
      </c>
      <c r="AL101" s="17">
        <f>$AZ$86</f>
        <v>60.26235784</v>
      </c>
      <c r="AM101" s="8"/>
      <c r="AN101" s="14">
        <f>$AN86</f>
        <v>23.42359863</v>
      </c>
      <c r="AO101" s="17">
        <f>$BE$86</f>
        <v>69.99448046</v>
      </c>
      <c r="AQ101" s="14">
        <f>AD90</f>
        <v>44.12351102</v>
      </c>
      <c r="AR101" s="17">
        <f>AU90</f>
        <v>55.87648898</v>
      </c>
      <c r="AS101" s="8"/>
      <c r="AT101" s="14">
        <f>AI90</f>
        <v>35.39045323</v>
      </c>
      <c r="AU101" s="17">
        <f>AZ90</f>
        <v>64.60954677</v>
      </c>
      <c r="AV101" s="8"/>
      <c r="AW101" s="14">
        <f>AN90</f>
        <v>13.09602777</v>
      </c>
      <c r="AX101" s="17">
        <f>BE90</f>
        <v>86.90397223</v>
      </c>
    </row>
    <row r="102" ht="15.75" customHeight="1">
      <c r="AG102" s="65" t="s">
        <v>191</v>
      </c>
      <c r="AH102" s="14">
        <f>$AD$90</f>
        <v>44.12351102</v>
      </c>
      <c r="AI102" s="17">
        <f>$AU$90</f>
        <v>55.87648898</v>
      </c>
      <c r="AJ102" s="8"/>
      <c r="AK102" s="14">
        <f>$AI$90</f>
        <v>35.39045323</v>
      </c>
      <c r="AL102" s="17">
        <f>$AZ$90</f>
        <v>64.60954677</v>
      </c>
      <c r="AM102" s="8"/>
      <c r="AN102" s="14">
        <f>$AN$90</f>
        <v>13.09602777</v>
      </c>
      <c r="AO102" s="17">
        <f>$BE$90</f>
        <v>86.90397223</v>
      </c>
      <c r="AQ102" s="14">
        <f>AD94</f>
        <v>32.68054808</v>
      </c>
      <c r="AR102" s="17">
        <f>AU94</f>
        <v>67.31945192</v>
      </c>
      <c r="AS102" s="8"/>
      <c r="AT102" s="14">
        <f>AI94</f>
        <v>29.99673672</v>
      </c>
      <c r="AU102" s="17">
        <f>AZ94</f>
        <v>70.00326328</v>
      </c>
      <c r="AV102" s="8"/>
      <c r="AW102" s="14">
        <f>AN94</f>
        <v>22.01686034</v>
      </c>
      <c r="AX102" s="17">
        <f>BE94</f>
        <v>77.98313966</v>
      </c>
    </row>
    <row r="103" ht="15.75" customHeight="1">
      <c r="AG103" s="65" t="s">
        <v>158</v>
      </c>
      <c r="AH103" s="14">
        <f>$AD$94</f>
        <v>32.68054808</v>
      </c>
      <c r="AI103" s="17">
        <f>$AU$94</f>
        <v>67.31945192</v>
      </c>
      <c r="AJ103" s="8"/>
      <c r="AK103" s="14">
        <f>$AI$94</f>
        <v>29.99673672</v>
      </c>
      <c r="AL103" s="17">
        <f>$AZ$94</f>
        <v>70.00326328</v>
      </c>
      <c r="AM103" s="8"/>
      <c r="AN103" s="14">
        <f>$AN$94</f>
        <v>22.01686034</v>
      </c>
      <c r="AO103" s="17">
        <f>$BE$94</f>
        <v>77.98313966</v>
      </c>
      <c r="AQ103" s="8"/>
      <c r="AR103" s="8"/>
      <c r="AS103" s="8"/>
      <c r="AT103" s="8"/>
      <c r="AU103" s="8"/>
      <c r="AV103" s="8"/>
      <c r="AW103" s="8"/>
      <c r="AX103" s="8"/>
    </row>
    <row r="104" ht="15.0" customHeight="1">
      <c r="AG104" s="66" t="s">
        <v>195</v>
      </c>
      <c r="AH104" s="67"/>
      <c r="AI104" s="68"/>
      <c r="AJ104" s="67"/>
      <c r="AK104" s="67"/>
      <c r="AL104" s="68"/>
      <c r="AM104" s="24"/>
      <c r="AN104" s="67"/>
      <c r="AO104" s="68"/>
      <c r="AQ104" s="43" t="s">
        <v>100</v>
      </c>
      <c r="AR104" s="32"/>
      <c r="AS104" s="43"/>
      <c r="AT104" s="43" t="s">
        <v>101</v>
      </c>
      <c r="AU104" s="32"/>
      <c r="AV104" s="8"/>
      <c r="AW104" s="43" t="s">
        <v>102</v>
      </c>
      <c r="AX104" s="32"/>
    </row>
    <row r="105" ht="15.0" customHeight="1">
      <c r="AG105" s="65" t="s">
        <v>123</v>
      </c>
      <c r="AH105" s="14">
        <f>AVERAGE($Z$76:$AC$76)</f>
        <v>27.54617138</v>
      </c>
      <c r="AI105" s="17">
        <f>AVERAGE($AQ$76:$AT$76)</f>
        <v>72.45382862</v>
      </c>
      <c r="AJ105" s="8"/>
      <c r="AK105" s="14">
        <f>AVERAGE($AE$76:$AH$76)</f>
        <v>26.67705688</v>
      </c>
      <c r="AL105" s="17">
        <f>AVERAGE($AV$76:$AY$76)</f>
        <v>73.32294312</v>
      </c>
      <c r="AM105" s="8"/>
      <c r="AN105" s="14">
        <f>AVERAGE($AJ$76:$AM$76)</f>
        <v>7.41115999</v>
      </c>
      <c r="AO105" s="17">
        <f>AVERAGE($BA$76:$BD$76)</f>
        <v>92.58884001</v>
      </c>
      <c r="AQ105" s="9" t="s">
        <v>196</v>
      </c>
      <c r="AR105" s="9" t="s">
        <v>197</v>
      </c>
      <c r="AS105" s="8"/>
      <c r="AT105" s="9" t="s">
        <v>196</v>
      </c>
      <c r="AU105" s="9" t="s">
        <v>197</v>
      </c>
      <c r="AV105" s="8"/>
      <c r="AW105" s="63" t="s">
        <v>196</v>
      </c>
      <c r="AX105" s="63" t="s">
        <v>197</v>
      </c>
    </row>
    <row r="106" ht="15.75" customHeight="1">
      <c r="AG106" s="65" t="s">
        <v>186</v>
      </c>
      <c r="AH106" s="14">
        <f>AVERAGE($Z$80:$AC$80)</f>
        <v>11.25995355</v>
      </c>
      <c r="AI106" s="17">
        <f>AVERAGE($AQ$80:$AT$80)</f>
        <v>88.74004645</v>
      </c>
      <c r="AJ106" s="8"/>
      <c r="AK106" s="12">
        <f>AVERAGE($AE$80:$AH$80)</f>
        <v>6.883394383</v>
      </c>
      <c r="AL106" s="17">
        <f>AVERAGE($AV$80:$AY$80)</f>
        <v>93.11660562</v>
      </c>
      <c r="AM106" s="8"/>
      <c r="AN106" s="14">
        <f>AVERAGE($AJ$80:$AM$80)</f>
        <v>6.421356421</v>
      </c>
      <c r="AO106" s="17">
        <f>AVERAGE($BA$80:$BD$80)</f>
        <v>93.57864358</v>
      </c>
      <c r="AQ106" s="14">
        <f>AVERAGE(Z76:AC76)</f>
        <v>27.54617138</v>
      </c>
      <c r="AR106" s="17">
        <f>AVERAGE(AQ76:AT76)</f>
        <v>72.45382862</v>
      </c>
      <c r="AS106" s="8"/>
      <c r="AT106" s="14">
        <f>AVERAGE(AE76:AH76)</f>
        <v>26.67705688</v>
      </c>
      <c r="AU106" s="17">
        <f>AVERAGE(AV76:AY76)</f>
        <v>73.32294312</v>
      </c>
      <c r="AV106" s="8"/>
      <c r="AW106" s="14">
        <f>AVERAGE(AJ76:AM76)</f>
        <v>7.41115999</v>
      </c>
      <c r="AX106" s="17">
        <f>AVERAGE(BA76:BD76)</f>
        <v>92.58884001</v>
      </c>
    </row>
    <row r="107" ht="15.75" customHeight="1">
      <c r="AG107" s="65" t="s">
        <v>139</v>
      </c>
      <c r="AH107" s="14">
        <f>AVERAGE($Z$84:$AC$84)</f>
        <v>34.09434461</v>
      </c>
      <c r="AI107" s="17">
        <f>AVERAGE($AQ$84:$AT$84)</f>
        <v>65.90565539</v>
      </c>
      <c r="AJ107" s="8"/>
      <c r="AK107" s="14">
        <f>AVERAGE($AE$84:$AH$84)</f>
        <v>31.57115954</v>
      </c>
      <c r="AL107" s="17">
        <f>AVERAGE($AV$84:$AY$84)</f>
        <v>68.42884046</v>
      </c>
      <c r="AM107" s="8"/>
      <c r="AN107" s="14">
        <f>AVERAGE($AJ$84:$AM$84)</f>
        <v>7.1875</v>
      </c>
      <c r="AO107" s="17">
        <f>AVERAGE($BA$84:$BD$84)</f>
        <v>85.56673729</v>
      </c>
      <c r="AQ107" s="14">
        <f>AVERAGE(Z80:AC80)</f>
        <v>11.25995355</v>
      </c>
      <c r="AR107" s="17">
        <f>AVERAGE(AQ80:AT80)</f>
        <v>88.74004645</v>
      </c>
      <c r="AS107" s="8"/>
      <c r="AT107" s="12">
        <f>AVERAGE(AE80:AH80)</f>
        <v>6.883394383</v>
      </c>
      <c r="AU107" s="17">
        <f>AVERAGE(AV80:AY80)</f>
        <v>93.11660562</v>
      </c>
      <c r="AV107" s="8"/>
      <c r="AW107" s="14">
        <f>AVERAGE(AJ80:AM80)</f>
        <v>6.421356421</v>
      </c>
      <c r="AX107" s="17">
        <f>AVERAGE(BA80:BD80)</f>
        <v>93.57864358</v>
      </c>
    </row>
    <row r="108" ht="15.75" customHeight="1">
      <c r="AG108" s="65" t="s">
        <v>191</v>
      </c>
      <c r="AH108" s="14">
        <f>AVERAGE($Z$88:$AC$88)</f>
        <v>36.57828283</v>
      </c>
      <c r="AI108" s="17">
        <f>AVERAGE($AQ$88:$AT$88)</f>
        <v>63.42171717</v>
      </c>
      <c r="AJ108" s="8"/>
      <c r="AK108" s="14">
        <f>AVERAGE($AE$88:$AH$88)</f>
        <v>33.32915921</v>
      </c>
      <c r="AL108" s="17">
        <f>AVERAGE($AV$88:$AY$88)</f>
        <v>66.67084079</v>
      </c>
      <c r="AM108" s="8"/>
      <c r="AN108" s="14">
        <f>AVERAGE($AJ$88:$AM$88)</f>
        <v>3.137254902</v>
      </c>
      <c r="AO108" s="17">
        <f>AVERAGE($BA$88:$BD$88)</f>
        <v>96.8627451</v>
      </c>
      <c r="AQ108" s="14">
        <f>AVERAGE(Z84:AC84)</f>
        <v>34.09434461</v>
      </c>
      <c r="AR108" s="17">
        <f>AVERAGE(AQ84:AT84)</f>
        <v>65.90565539</v>
      </c>
      <c r="AS108" s="8"/>
      <c r="AT108" s="14">
        <f>AVERAGE(AE84:AH84)</f>
        <v>31.57115954</v>
      </c>
      <c r="AU108" s="17">
        <f>AVERAGE(AV84:AY84)</f>
        <v>68.42884046</v>
      </c>
      <c r="AV108" s="8"/>
      <c r="AW108" s="14">
        <f>AVERAGE(AJ84:AM84)</f>
        <v>7.1875</v>
      </c>
      <c r="AX108" s="17">
        <f>AVERAGE(BA84:BD84)</f>
        <v>85.56673729</v>
      </c>
    </row>
    <row r="109" ht="15.75" customHeight="1">
      <c r="AG109" s="69" t="s">
        <v>158</v>
      </c>
      <c r="AH109" s="70">
        <f>AVERAGE($Z$92:$AC$92)</f>
        <v>11.60964025</v>
      </c>
      <c r="AI109" s="71">
        <f>AVERAGE($AQ$92:$AT$92)</f>
        <v>88.39035975</v>
      </c>
      <c r="AJ109" s="51"/>
      <c r="AK109" s="70">
        <f>AVERAGE($AE$92:$AH$92)</f>
        <v>12.1289068</v>
      </c>
      <c r="AL109" s="71">
        <f>AVERAGE($AV$92:$AY$92)</f>
        <v>87.8710932</v>
      </c>
      <c r="AM109" s="51"/>
      <c r="AN109" s="70">
        <f>AVERAGE($AJ$92:$AM$92)</f>
        <v>2.530642854</v>
      </c>
      <c r="AO109" s="71">
        <f>AVERAGE($BA$92:$BD$92)</f>
        <v>97.46935715</v>
      </c>
      <c r="AQ109" s="14">
        <f>AVERAGE(Z88:AC88)</f>
        <v>36.57828283</v>
      </c>
      <c r="AR109" s="17">
        <f>AVERAGE(AQ88:AT88)</f>
        <v>63.42171717</v>
      </c>
      <c r="AS109" s="8"/>
      <c r="AT109" s="14">
        <f>AVERAGE(AE88:AH88)</f>
        <v>33.32915921</v>
      </c>
      <c r="AU109" s="17">
        <f>AVERAGE(AV88:AY88)</f>
        <v>66.67084079</v>
      </c>
      <c r="AV109" s="8"/>
      <c r="AW109" s="14">
        <f>AVERAGE(AJ88:AM88)</f>
        <v>3.137254902</v>
      </c>
      <c r="AX109" s="17">
        <f>AVERAGE(BA88:BD88)</f>
        <v>96.8627451</v>
      </c>
    </row>
    <row r="110" ht="15.75" customHeight="1">
      <c r="AG110" s="47" t="s">
        <v>199</v>
      </c>
      <c r="AQ110" s="14">
        <f>AVERAGE(Z92:AC92)</f>
        <v>11.60964025</v>
      </c>
      <c r="AR110" s="17">
        <f>AVERAGE(AQ92:AT92)</f>
        <v>88.39035975</v>
      </c>
      <c r="AS110" s="8"/>
      <c r="AT110" s="14">
        <f>AVERAGE(AE92:AH92)</f>
        <v>12.1289068</v>
      </c>
      <c r="AU110" s="17">
        <f>AVERAGE(AV92:AY92)</f>
        <v>87.8710932</v>
      </c>
      <c r="AV110" s="8"/>
      <c r="AW110" s="14">
        <f>AVERAGE(AJ92:AM92)</f>
        <v>2.530642854</v>
      </c>
      <c r="AX110" s="17">
        <f>AVERAGE(BA92:BD92)</f>
        <v>97.46935715</v>
      </c>
    </row>
    <row r="111" ht="15.75" customHeight="1">
      <c r="AG111" s="65" t="s">
        <v>123</v>
      </c>
      <c r="AH111" s="14">
        <f>AVERAGE($Z$77:$AC$77)</f>
        <v>43.9032623</v>
      </c>
      <c r="AI111" s="17">
        <f>AVERAGE($AQ$77:$AT$77)</f>
        <v>56.0967377</v>
      </c>
      <c r="AJ111" s="8"/>
      <c r="AK111" s="14">
        <f>AVERAGE($AE$77:$AH$77)</f>
        <v>48.16374163</v>
      </c>
      <c r="AL111" s="17">
        <f>AVERAGE($AV$77:$AY$77)</f>
        <v>51.83625837</v>
      </c>
      <c r="AM111" s="8"/>
      <c r="AN111" s="14">
        <f>AVERAGE($AJ$77:$AM$77)</f>
        <v>39.44649202</v>
      </c>
      <c r="AO111" s="17">
        <f>AVERAGE($BA$77:$BD$77)</f>
        <v>60.55350798</v>
      </c>
      <c r="AQ111" s="8"/>
      <c r="AR111" s="8"/>
      <c r="AS111" s="8"/>
      <c r="AT111" s="8"/>
      <c r="AU111" s="8"/>
      <c r="AV111" s="8"/>
      <c r="AW111" s="8"/>
      <c r="AX111" s="8"/>
    </row>
    <row r="112" ht="15.0" customHeight="1">
      <c r="AG112" s="65" t="s">
        <v>186</v>
      </c>
      <c r="AH112" s="14">
        <f>AVERAGE($Z$81:$AC$81)</f>
        <v>34.50428248</v>
      </c>
      <c r="AI112" s="17">
        <f>AVERAGE($AQ$81:$AT$81)</f>
        <v>65.49571752</v>
      </c>
      <c r="AJ112" s="8"/>
      <c r="AK112" s="14">
        <f>AVERAGE($AE$81:$AH$81)</f>
        <v>41.77134108</v>
      </c>
      <c r="AL112" s="17">
        <f>AVERAGE($AV$81:$AY$81)</f>
        <v>58.22865892</v>
      </c>
      <c r="AM112" s="8"/>
      <c r="AN112" s="14">
        <f>AVERAGE($AJ$81:$AM$81)</f>
        <v>28.92773893</v>
      </c>
      <c r="AO112" s="17">
        <f>AVERAGE($BA$81:$BD$81)</f>
        <v>71.07226107</v>
      </c>
      <c r="AQ112" s="43" t="s">
        <v>100</v>
      </c>
      <c r="AR112" s="32"/>
      <c r="AS112" s="43"/>
      <c r="AT112" s="43" t="s">
        <v>101</v>
      </c>
      <c r="AU112" s="32"/>
      <c r="AV112" s="8"/>
      <c r="AW112" s="43" t="s">
        <v>102</v>
      </c>
      <c r="AX112" s="32"/>
    </row>
    <row r="113" ht="15.0" customHeight="1">
      <c r="AG113" s="65" t="s">
        <v>139</v>
      </c>
      <c r="AH113" s="14">
        <f>AVERAGE($Z$85:$AC$85)</f>
        <v>35.62508152</v>
      </c>
      <c r="AI113" s="17">
        <f>AVERAGE($AQ$85:$AT$85)</f>
        <v>64.37491848</v>
      </c>
      <c r="AJ113" s="8"/>
      <c r="AK113" s="14">
        <f>AVERAGE($AE$85:$AH$85)</f>
        <v>33.85404568</v>
      </c>
      <c r="AL113" s="17">
        <f>AVERAGE($AV$85:$AY$85)</f>
        <v>66.14595432</v>
      </c>
      <c r="AM113" s="8"/>
      <c r="AN113" s="14">
        <f>AVERAGE($AJ$85:$AM$85)</f>
        <v>26.3531746</v>
      </c>
      <c r="AO113" s="17">
        <f>AVERAGE($BA$85:$BD$85)</f>
        <v>61.1468254</v>
      </c>
      <c r="AQ113" s="9" t="s">
        <v>196</v>
      </c>
      <c r="AR113" s="9" t="s">
        <v>197</v>
      </c>
      <c r="AS113" s="8"/>
      <c r="AT113" s="9" t="s">
        <v>196</v>
      </c>
      <c r="AU113" s="9" t="s">
        <v>197</v>
      </c>
      <c r="AV113" s="8"/>
      <c r="AW113" s="63" t="s">
        <v>196</v>
      </c>
      <c r="AX113" s="63" t="s">
        <v>197</v>
      </c>
    </row>
    <row r="114" ht="15.75" customHeight="1">
      <c r="A114" s="57" t="s">
        <v>112</v>
      </c>
      <c r="B114" s="57" t="s">
        <v>113</v>
      </c>
      <c r="C114" s="57" t="s">
        <v>22</v>
      </c>
      <c r="D114" s="57" t="s">
        <v>23</v>
      </c>
      <c r="E114" s="57" t="s">
        <v>41</v>
      </c>
      <c r="F114" s="58">
        <v>3.0</v>
      </c>
      <c r="G114" s="57" t="s">
        <v>25</v>
      </c>
      <c r="H114" s="58">
        <v>41.0</v>
      </c>
      <c r="I114" s="58">
        <v>106.0</v>
      </c>
      <c r="J114" s="58">
        <v>57.0</v>
      </c>
      <c r="K114" s="58">
        <v>0.0</v>
      </c>
      <c r="L114" s="58">
        <v>133.0</v>
      </c>
      <c r="M114" s="58">
        <v>0.0</v>
      </c>
      <c r="N114" s="58">
        <v>1514.0</v>
      </c>
      <c r="O114" s="58">
        <v>0.0</v>
      </c>
      <c r="P114" s="58">
        <v>617.0</v>
      </c>
      <c r="Q114" s="58">
        <v>0.0</v>
      </c>
      <c r="R114" s="58">
        <v>0.0</v>
      </c>
      <c r="S114" s="58">
        <v>0.0</v>
      </c>
      <c r="T114" s="58">
        <v>0.0</v>
      </c>
      <c r="AG114" s="65" t="s">
        <v>191</v>
      </c>
      <c r="AH114" s="14">
        <f>AVERAGE($Z$89:$AC$89)</f>
        <v>33.45238095</v>
      </c>
      <c r="AI114" s="17">
        <f>AVERAGE($AQ$89:$AT$89)</f>
        <v>66.54761905</v>
      </c>
      <c r="AJ114" s="8"/>
      <c r="AK114" s="14">
        <f>AVERAGE($AE$89:$AH$89)</f>
        <v>27.64285714</v>
      </c>
      <c r="AL114" s="17">
        <f>AVERAGE($AV$89:$AY$89)</f>
        <v>72.35714286</v>
      </c>
      <c r="AM114" s="8"/>
      <c r="AN114" s="14">
        <f>AVERAGE($AJ$89:$AM$89)</f>
        <v>19.16208791</v>
      </c>
      <c r="AO114" s="17">
        <f>AVERAGE($BA$89:$BD$89)</f>
        <v>80.83791209</v>
      </c>
      <c r="AQ114" s="14">
        <f>AVERAGE(Z77:AC77)</f>
        <v>43.9032623</v>
      </c>
      <c r="AR114" s="17">
        <f>AVERAGE(AQ77:AT77)</f>
        <v>56.0967377</v>
      </c>
      <c r="AS114" s="8"/>
      <c r="AT114" s="14">
        <f>AVERAGE(AE77:AH77)</f>
        <v>48.16374163</v>
      </c>
      <c r="AU114" s="17">
        <f>AVERAGE(AV77:AY77)</f>
        <v>51.83625837</v>
      </c>
      <c r="AV114" s="8"/>
      <c r="AW114" s="14">
        <f>AVERAGE(AJ77:AM77)</f>
        <v>39.44649202</v>
      </c>
      <c r="AX114" s="17">
        <f>AVERAGE(BA77:BD77)</f>
        <v>60.55350798</v>
      </c>
    </row>
    <row r="115" ht="15.75" customHeight="1">
      <c r="A115" s="57" t="s">
        <v>112</v>
      </c>
      <c r="B115" s="57" t="s">
        <v>113</v>
      </c>
      <c r="C115" s="57" t="s">
        <v>22</v>
      </c>
      <c r="D115" s="57" t="s">
        <v>23</v>
      </c>
      <c r="E115" s="57" t="s">
        <v>44</v>
      </c>
      <c r="F115" s="58">
        <v>3.0</v>
      </c>
      <c r="G115" s="57" t="s">
        <v>45</v>
      </c>
      <c r="H115" s="58">
        <v>9.0</v>
      </c>
      <c r="I115" s="58">
        <v>15.0</v>
      </c>
      <c r="J115" s="58">
        <v>0.0</v>
      </c>
      <c r="K115" s="58">
        <v>12.0</v>
      </c>
      <c r="L115" s="58">
        <v>20.0</v>
      </c>
      <c r="M115" s="58">
        <v>13.0</v>
      </c>
      <c r="N115" s="58">
        <v>87.0</v>
      </c>
      <c r="O115" s="58">
        <v>25.0</v>
      </c>
      <c r="P115" s="58">
        <v>78.0</v>
      </c>
      <c r="Q115" s="58">
        <v>0.0</v>
      </c>
      <c r="R115" s="58">
        <v>11.0</v>
      </c>
      <c r="S115" s="58">
        <v>61.0</v>
      </c>
      <c r="T115" s="58">
        <v>310.0</v>
      </c>
      <c r="AG115" s="65" t="s">
        <v>158</v>
      </c>
      <c r="AH115" s="14">
        <f>AVERAGE($Z$93:$AC$93)</f>
        <v>34.94803807</v>
      </c>
      <c r="AI115" s="17">
        <f>AVERAGE($AQ$93:$AT$93)</f>
        <v>65.05196193</v>
      </c>
      <c r="AJ115" s="8"/>
      <c r="AK115" s="14">
        <f>AVERAGE($AE$93:$AH$93)</f>
        <v>36.28215884</v>
      </c>
      <c r="AL115" s="17">
        <f>AVERAGE($AV$93:$AY$93)</f>
        <v>63.71784116</v>
      </c>
      <c r="AM115" s="8"/>
      <c r="AN115" s="14">
        <f>AVERAGE($AJ$93:$AM$93)</f>
        <v>24.96059384</v>
      </c>
      <c r="AO115" s="17">
        <f>AVERAGE($BA$93:$BD$93)</f>
        <v>75.03940616</v>
      </c>
      <c r="AQ115" s="14">
        <f>AVERAGE(Z81:AC81)</f>
        <v>34.50428248</v>
      </c>
      <c r="AR115" s="17">
        <f>AVERAGE(AQ81:AT81)</f>
        <v>65.49571752</v>
      </c>
      <c r="AS115" s="8"/>
      <c r="AT115" s="14">
        <f>AVERAGE(AE81:AH81)</f>
        <v>41.77134108</v>
      </c>
      <c r="AU115" s="17">
        <f>AVERAGE(AV81:AY81)</f>
        <v>58.22865892</v>
      </c>
      <c r="AV115" s="8"/>
      <c r="AW115" s="14">
        <f>AVERAGE(AJ81:AM81)</f>
        <v>28.92773893</v>
      </c>
      <c r="AX115" s="17">
        <f>AVERAGE(BA81:BD81)</f>
        <v>71.07226107</v>
      </c>
    </row>
    <row r="116" ht="15.75" customHeight="1">
      <c r="A116" s="57" t="s">
        <v>112</v>
      </c>
      <c r="B116" s="57" t="s">
        <v>113</v>
      </c>
      <c r="C116" s="57" t="s">
        <v>22</v>
      </c>
      <c r="D116" s="57" t="s">
        <v>23</v>
      </c>
      <c r="E116" s="57" t="s">
        <v>46</v>
      </c>
      <c r="F116" s="58">
        <v>3.0</v>
      </c>
      <c r="G116" s="57" t="s">
        <v>47</v>
      </c>
      <c r="H116" s="58">
        <v>1.0</v>
      </c>
      <c r="I116" s="58">
        <v>8.0</v>
      </c>
      <c r="J116" s="58">
        <v>0.0</v>
      </c>
      <c r="K116" s="58">
        <v>9.0</v>
      </c>
      <c r="L116" s="58">
        <v>15.0</v>
      </c>
      <c r="M116" s="58">
        <v>5.0</v>
      </c>
      <c r="N116" s="58">
        <v>68.0</v>
      </c>
      <c r="O116" s="58">
        <v>14.0</v>
      </c>
      <c r="P116" s="58">
        <v>53.0</v>
      </c>
      <c r="Q116" s="58">
        <v>0.0</v>
      </c>
      <c r="R116" s="58">
        <v>25.0</v>
      </c>
      <c r="S116" s="58">
        <v>55.0</v>
      </c>
      <c r="T116" s="58">
        <v>364.0</v>
      </c>
      <c r="AG116" s="74" t="s">
        <v>201</v>
      </c>
      <c r="AH116" s="10"/>
      <c r="AI116" s="10"/>
      <c r="AJ116" s="10"/>
      <c r="AK116" s="10"/>
      <c r="AL116" s="10"/>
      <c r="AM116" s="10"/>
      <c r="AN116" s="10"/>
      <c r="AO116" s="10"/>
      <c r="AQ116" s="14">
        <f>AVERAGE(Z85:AC85)</f>
        <v>35.62508152</v>
      </c>
      <c r="AR116" s="17">
        <f>AVERAGE(AQ85:AT85)</f>
        <v>64.37491848</v>
      </c>
      <c r="AS116" s="8"/>
      <c r="AT116" s="14">
        <f>AVERAGE(AE85:AH85)</f>
        <v>33.85404568</v>
      </c>
      <c r="AU116" s="17">
        <f>AVERAGE(AV85:AY85)</f>
        <v>66.14595432</v>
      </c>
      <c r="AV116" s="8"/>
      <c r="AW116" s="14">
        <f>AVERAGE(AJ85:AM85)</f>
        <v>26.3531746</v>
      </c>
      <c r="AX116" s="17">
        <f>AVERAGE(BA85:BD85)</f>
        <v>61.1468254</v>
      </c>
    </row>
    <row r="117" ht="15.75" customHeight="1">
      <c r="A117" s="57" t="s">
        <v>112</v>
      </c>
      <c r="B117" s="57" t="s">
        <v>113</v>
      </c>
      <c r="C117" s="57" t="s">
        <v>22</v>
      </c>
      <c r="D117" s="57" t="s">
        <v>23</v>
      </c>
      <c r="E117" s="57" t="s">
        <v>50</v>
      </c>
      <c r="F117" s="58">
        <v>3.0</v>
      </c>
      <c r="G117" s="57" t="s">
        <v>51</v>
      </c>
      <c r="H117" s="58">
        <v>6.0</v>
      </c>
      <c r="I117" s="58">
        <v>13.0</v>
      </c>
      <c r="J117" s="58">
        <v>4.0</v>
      </c>
      <c r="K117" s="58">
        <v>11.0</v>
      </c>
      <c r="L117" s="58">
        <v>12.0</v>
      </c>
      <c r="M117" s="58">
        <v>12.0</v>
      </c>
      <c r="N117" s="58">
        <v>54.0</v>
      </c>
      <c r="O117" s="58">
        <v>23.0</v>
      </c>
      <c r="P117" s="58">
        <v>56.0</v>
      </c>
      <c r="Q117" s="58">
        <v>0.0</v>
      </c>
      <c r="R117" s="58">
        <v>26.0</v>
      </c>
      <c r="S117" s="58">
        <v>64.0</v>
      </c>
      <c r="T117" s="58">
        <v>368.0</v>
      </c>
      <c r="AG117" s="65" t="s">
        <v>123</v>
      </c>
      <c r="AH117" s="17">
        <f>AVERAGE($Z$78:$AC$78)</f>
        <v>59.81414891</v>
      </c>
      <c r="AI117" s="14">
        <f>AVERAGE($AQ$78:$AT$78)</f>
        <v>40.18585109</v>
      </c>
      <c r="AJ117" s="8"/>
      <c r="AK117" s="17">
        <f>AVERAGE($AE$78:$AH$78)</f>
        <v>54.67837068</v>
      </c>
      <c r="AL117" s="14">
        <f>AVERAGE($AV$78:$AY$78)</f>
        <v>45.32162932</v>
      </c>
      <c r="AM117" s="8"/>
      <c r="AN117" s="14">
        <f>AVERAGE($AJ$78:$AM$78)</f>
        <v>40.58981801</v>
      </c>
      <c r="AO117" s="17">
        <f>AVERAGE($BA$78:$BD$78)</f>
        <v>59.41018199</v>
      </c>
      <c r="AQ117" s="14">
        <f>AVERAGE(Z89:AC89)</f>
        <v>33.45238095</v>
      </c>
      <c r="AR117" s="17">
        <f>AVERAGE(AQ89:AT89)</f>
        <v>66.54761905</v>
      </c>
      <c r="AS117" s="8"/>
      <c r="AT117" s="14">
        <f>AVERAGE(AE89:AH89)</f>
        <v>27.64285714</v>
      </c>
      <c r="AU117" s="17">
        <f>AVERAGE(AV89:AY89)</f>
        <v>72.35714286</v>
      </c>
      <c r="AV117" s="8"/>
      <c r="AW117" s="14">
        <f>AVERAGE(AJ89:AM89)</f>
        <v>19.16208791</v>
      </c>
      <c r="AX117" s="17">
        <f>AVERAGE(BA89:BD89)</f>
        <v>80.83791209</v>
      </c>
    </row>
    <row r="118" ht="15.75" customHeight="1">
      <c r="A118" s="57" t="s">
        <v>114</v>
      </c>
      <c r="B118" s="57" t="s">
        <v>113</v>
      </c>
      <c r="C118" s="57" t="s">
        <v>22</v>
      </c>
      <c r="D118" s="57" t="s">
        <v>23</v>
      </c>
      <c r="E118" s="57" t="s">
        <v>53</v>
      </c>
      <c r="F118" s="58">
        <v>3.0</v>
      </c>
      <c r="G118" s="57" t="s">
        <v>25</v>
      </c>
      <c r="H118" s="58">
        <v>9.0</v>
      </c>
      <c r="I118" s="58">
        <v>510.0</v>
      </c>
      <c r="J118" s="58">
        <v>975.0</v>
      </c>
      <c r="K118" s="58">
        <v>0.0</v>
      </c>
      <c r="L118" s="58">
        <v>5.0</v>
      </c>
      <c r="M118" s="58">
        <v>0.0</v>
      </c>
      <c r="N118" s="58">
        <v>124.0</v>
      </c>
      <c r="O118" s="58">
        <v>0.0</v>
      </c>
      <c r="P118" s="58">
        <v>541.0</v>
      </c>
      <c r="Q118" s="58">
        <v>0.0</v>
      </c>
      <c r="R118" s="58">
        <v>0.0</v>
      </c>
      <c r="S118" s="58">
        <v>0.0</v>
      </c>
      <c r="T118" s="58">
        <v>0.0</v>
      </c>
      <c r="AG118" s="65" t="s">
        <v>186</v>
      </c>
      <c r="AH118" s="17">
        <f>AVERAGE($Z$82:$AC$82)</f>
        <v>61.70498084</v>
      </c>
      <c r="AI118" s="14">
        <f>AVERAGE($AQ$82:$AT$82)</f>
        <v>38.29501916</v>
      </c>
      <c r="AJ118" s="8"/>
      <c r="AK118" s="14">
        <f>AVERAGE($AE$82:$AH$82)</f>
        <v>49.1956242</v>
      </c>
      <c r="AL118" s="17">
        <f>AVERAGE($AV$82:$AY$82)</f>
        <v>50.8043758</v>
      </c>
      <c r="AM118" s="8"/>
      <c r="AN118" s="14">
        <f>AVERAGE($AJ$82:$AM$82)</f>
        <v>44.07894737</v>
      </c>
      <c r="AO118" s="17">
        <f>AVERAGE($BA$82:$BD$82)</f>
        <v>55.92105263</v>
      </c>
      <c r="AQ118" s="14">
        <f>AVERAGE(Z93:AC93)</f>
        <v>34.94803807</v>
      </c>
      <c r="AR118" s="17">
        <f>AVERAGE(AQ93:AT93)</f>
        <v>65.05196193</v>
      </c>
      <c r="AS118" s="8"/>
      <c r="AT118" s="14">
        <f>AVERAGE(AE93:AH93)</f>
        <v>36.28215884</v>
      </c>
      <c r="AU118" s="17">
        <f>AVERAGE(AV93:AY93)</f>
        <v>63.71784116</v>
      </c>
      <c r="AV118" s="8"/>
      <c r="AW118" s="14">
        <f>AVERAGE(AJ93:AM93)</f>
        <v>24.96059384</v>
      </c>
      <c r="AX118" s="17">
        <f>AVERAGE(BA93:BD93)</f>
        <v>75.03940616</v>
      </c>
    </row>
    <row r="119" ht="15.75" customHeight="1">
      <c r="A119" s="57" t="s">
        <v>114</v>
      </c>
      <c r="B119" s="57" t="s">
        <v>113</v>
      </c>
      <c r="C119" s="57" t="s">
        <v>22</v>
      </c>
      <c r="D119" s="57" t="s">
        <v>23</v>
      </c>
      <c r="E119" s="57" t="s">
        <v>55</v>
      </c>
      <c r="F119" s="58">
        <v>3.0</v>
      </c>
      <c r="G119" s="57" t="s">
        <v>45</v>
      </c>
      <c r="H119" s="58">
        <v>4.0</v>
      </c>
      <c r="I119" s="58">
        <v>219.0</v>
      </c>
      <c r="J119" s="58">
        <v>26.0</v>
      </c>
      <c r="K119" s="58">
        <v>235.0</v>
      </c>
      <c r="L119" s="58">
        <v>4.0</v>
      </c>
      <c r="M119" s="58">
        <v>5.0</v>
      </c>
      <c r="N119" s="58">
        <v>5.0</v>
      </c>
      <c r="O119" s="58">
        <v>240.0</v>
      </c>
      <c r="P119" s="58">
        <v>249.0</v>
      </c>
      <c r="Q119" s="58">
        <v>0.0</v>
      </c>
      <c r="R119" s="58">
        <v>102.0</v>
      </c>
      <c r="S119" s="58">
        <v>153.0</v>
      </c>
      <c r="T119" s="58">
        <v>28.0</v>
      </c>
      <c r="AG119" s="65" t="s">
        <v>139</v>
      </c>
      <c r="AH119" s="17">
        <f>AVERAGE($Z$86:$AC$86)</f>
        <v>58.64208075</v>
      </c>
      <c r="AI119" s="14">
        <f>AVERAGE($AQ$86:$AT$86)</f>
        <v>41.35791925</v>
      </c>
      <c r="AJ119" s="8"/>
      <c r="AK119" s="17">
        <f>AVERAGE($AE$86:$AH$86)</f>
        <v>53.78772126</v>
      </c>
      <c r="AL119" s="14">
        <f>AVERAGE($AV$86:$AY$86)</f>
        <v>46.21227874</v>
      </c>
      <c r="AM119" s="8"/>
      <c r="AN119" s="14">
        <f>AVERAGE($AJ$86:$AM$86)</f>
        <v>36.73012129</v>
      </c>
      <c r="AO119" s="17">
        <f>AVERAGE($BA$86:$BD$86)</f>
        <v>63.26987871</v>
      </c>
      <c r="AQ119" s="8"/>
      <c r="AR119" s="8"/>
      <c r="AS119" s="8"/>
      <c r="AT119" s="8"/>
      <c r="AU119" s="8"/>
      <c r="AV119" s="8"/>
      <c r="AW119" s="8"/>
      <c r="AX119" s="8"/>
    </row>
    <row r="120" ht="15.0" customHeight="1">
      <c r="A120" s="57" t="s">
        <v>114</v>
      </c>
      <c r="B120" s="57" t="s">
        <v>113</v>
      </c>
      <c r="C120" s="57" t="s">
        <v>22</v>
      </c>
      <c r="D120" s="57" t="s">
        <v>23</v>
      </c>
      <c r="E120" s="57" t="s">
        <v>56</v>
      </c>
      <c r="F120" s="58">
        <v>3.0</v>
      </c>
      <c r="G120" s="57" t="s">
        <v>47</v>
      </c>
      <c r="H120" s="58">
        <v>0.0</v>
      </c>
      <c r="I120" s="58">
        <v>199.0</v>
      </c>
      <c r="J120" s="58">
        <v>10.0</v>
      </c>
      <c r="K120" s="58">
        <v>131.0</v>
      </c>
      <c r="L120" s="58">
        <v>0.0</v>
      </c>
      <c r="M120" s="58">
        <v>4.0</v>
      </c>
      <c r="N120" s="58">
        <v>4.0</v>
      </c>
      <c r="O120" s="58">
        <v>135.0</v>
      </c>
      <c r="P120" s="58">
        <v>174.0</v>
      </c>
      <c r="Q120" s="58">
        <v>0.0</v>
      </c>
      <c r="R120" s="58">
        <v>195.0</v>
      </c>
      <c r="S120" s="58">
        <v>133.0</v>
      </c>
      <c r="T120" s="58">
        <v>33.0</v>
      </c>
      <c r="AG120" s="65" t="s">
        <v>191</v>
      </c>
      <c r="AH120" s="17">
        <f>AVERAGE($Z$90:$AC$90)</f>
        <v>62.33986928</v>
      </c>
      <c r="AI120" s="14">
        <f>AVERAGE($AQ$90:$AT$90)</f>
        <v>37.66013072</v>
      </c>
      <c r="AJ120" s="8"/>
      <c r="AK120" s="14">
        <f>AVERAGE($AE$90:$AH$90)</f>
        <v>48.46897336</v>
      </c>
      <c r="AL120" s="17">
        <f>AVERAGE($AV$90:$AY$90)</f>
        <v>51.53102664</v>
      </c>
      <c r="AM120" s="8"/>
      <c r="AN120" s="14">
        <f>AVERAGE($AJ$90:$AM$90)</f>
        <v>18.28631139</v>
      </c>
      <c r="AO120" s="17">
        <f>AVERAGE($BA$90:$BD$90)</f>
        <v>81.71368861</v>
      </c>
      <c r="AQ120" s="43" t="s">
        <v>100</v>
      </c>
      <c r="AR120" s="32"/>
      <c r="AS120" s="43"/>
      <c r="AT120" s="43" t="s">
        <v>101</v>
      </c>
      <c r="AU120" s="32"/>
      <c r="AV120" s="8"/>
      <c r="AW120" s="43" t="s">
        <v>102</v>
      </c>
      <c r="AX120" s="32"/>
    </row>
    <row r="121" ht="15.0" customHeight="1">
      <c r="A121" s="57" t="s">
        <v>114</v>
      </c>
      <c r="B121" s="57" t="s">
        <v>113</v>
      </c>
      <c r="C121" s="57" t="s">
        <v>22</v>
      </c>
      <c r="D121" s="57" t="s">
        <v>23</v>
      </c>
      <c r="E121" s="57" t="s">
        <v>57</v>
      </c>
      <c r="F121" s="58">
        <v>3.0</v>
      </c>
      <c r="G121" s="57" t="s">
        <v>51</v>
      </c>
      <c r="H121" s="58">
        <v>1.0</v>
      </c>
      <c r="I121" s="58">
        <v>165.0</v>
      </c>
      <c r="J121" s="58">
        <v>20.0</v>
      </c>
      <c r="K121" s="58">
        <v>140.0</v>
      </c>
      <c r="L121" s="58">
        <v>0.0</v>
      </c>
      <c r="M121" s="58">
        <v>2.0</v>
      </c>
      <c r="N121" s="58">
        <v>14.0</v>
      </c>
      <c r="O121" s="58">
        <v>142.0</v>
      </c>
      <c r="P121" s="58">
        <v>171.0</v>
      </c>
      <c r="Q121" s="58">
        <v>0.0</v>
      </c>
      <c r="R121" s="58">
        <v>183.0</v>
      </c>
      <c r="S121" s="58">
        <v>118.0</v>
      </c>
      <c r="T121" s="58">
        <v>28.0</v>
      </c>
      <c r="AG121" s="69" t="s">
        <v>158</v>
      </c>
      <c r="AH121" s="71">
        <f>AVERAGE($Z$94:$AC$94)</f>
        <v>51.48396591</v>
      </c>
      <c r="AI121" s="70">
        <f>AVERAGE($AQ$94:$AT$94)</f>
        <v>48.51603409</v>
      </c>
      <c r="AJ121" s="51"/>
      <c r="AK121" s="70">
        <f>AVERAGE($AE$94:$AH$94)</f>
        <v>41.57914453</v>
      </c>
      <c r="AL121" s="71">
        <f>AVERAGE($AV$94:$AY$94)</f>
        <v>58.42085547</v>
      </c>
      <c r="AM121" s="51"/>
      <c r="AN121" s="70">
        <f>AVERAGE($AJ$94:$AM$94)</f>
        <v>38.55934432</v>
      </c>
      <c r="AO121" s="71">
        <f>AVERAGE($BA$94:$BD$94)</f>
        <v>61.44065568</v>
      </c>
      <c r="AQ121" s="9" t="s">
        <v>196</v>
      </c>
      <c r="AR121" s="9" t="s">
        <v>197</v>
      </c>
      <c r="AS121" s="8"/>
      <c r="AT121" s="9" t="s">
        <v>196</v>
      </c>
      <c r="AU121" s="9" t="s">
        <v>197</v>
      </c>
      <c r="AV121" s="8"/>
      <c r="AW121" s="63" t="s">
        <v>196</v>
      </c>
      <c r="AX121" s="63" t="s">
        <v>197</v>
      </c>
    </row>
    <row r="122" ht="15.75" customHeight="1">
      <c r="A122" s="57" t="s">
        <v>116</v>
      </c>
      <c r="B122" s="57" t="s">
        <v>113</v>
      </c>
      <c r="C122" s="57" t="s">
        <v>22</v>
      </c>
      <c r="D122" s="57" t="s">
        <v>23</v>
      </c>
      <c r="E122" s="57" t="s">
        <v>60</v>
      </c>
      <c r="F122" s="58">
        <v>3.0</v>
      </c>
      <c r="G122" s="57" t="s">
        <v>25</v>
      </c>
      <c r="H122" s="58">
        <v>81.0</v>
      </c>
      <c r="I122" s="58">
        <v>129.0</v>
      </c>
      <c r="J122" s="58">
        <v>537.0</v>
      </c>
      <c r="K122" s="58">
        <v>0.0</v>
      </c>
      <c r="L122" s="58">
        <v>39.0</v>
      </c>
      <c r="M122" s="58">
        <v>0.0</v>
      </c>
      <c r="N122" s="58">
        <v>711.0</v>
      </c>
      <c r="O122" s="58">
        <v>0.0</v>
      </c>
      <c r="P122" s="58">
        <v>499.0</v>
      </c>
      <c r="Q122" s="58">
        <v>0.0</v>
      </c>
      <c r="R122" s="58">
        <v>0.0</v>
      </c>
      <c r="S122" s="58">
        <v>0.0</v>
      </c>
      <c r="T122" s="58">
        <v>0.0</v>
      </c>
      <c r="AG122" s="45"/>
      <c r="AQ122" s="17">
        <f>AVERAGE(Z78:AC78)</f>
        <v>59.81414891</v>
      </c>
      <c r="AR122" s="14">
        <f>AVERAGE(AQ78:AT78)</f>
        <v>40.18585109</v>
      </c>
      <c r="AS122" s="8"/>
      <c r="AT122" s="17">
        <f>AVERAGE(AE78:AH78)</f>
        <v>54.67837068</v>
      </c>
      <c r="AU122" s="14">
        <f>AVERAGE(AV78:AY78)</f>
        <v>45.32162932</v>
      </c>
      <c r="AV122" s="8"/>
      <c r="AW122" s="14">
        <f>AVERAGE(AJ78:AM78)</f>
        <v>40.58981801</v>
      </c>
      <c r="AX122" s="17">
        <f>AVERAGE(BA78:BD78)</f>
        <v>59.41018199</v>
      </c>
    </row>
    <row r="123" ht="15.75" customHeight="1">
      <c r="A123" s="57" t="s">
        <v>116</v>
      </c>
      <c r="B123" s="57" t="s">
        <v>113</v>
      </c>
      <c r="C123" s="57" t="s">
        <v>22</v>
      </c>
      <c r="D123" s="57" t="s">
        <v>23</v>
      </c>
      <c r="E123" s="57" t="s">
        <v>61</v>
      </c>
      <c r="F123" s="58">
        <v>3.0</v>
      </c>
      <c r="G123" s="57" t="s">
        <v>45</v>
      </c>
      <c r="H123" s="58">
        <v>15.0</v>
      </c>
      <c r="I123" s="58">
        <v>49.0</v>
      </c>
      <c r="J123" s="58">
        <v>6.0</v>
      </c>
      <c r="K123" s="58">
        <v>94.0</v>
      </c>
      <c r="L123" s="58">
        <v>8.0</v>
      </c>
      <c r="M123" s="58">
        <v>30.0</v>
      </c>
      <c r="N123" s="58">
        <v>82.0</v>
      </c>
      <c r="O123" s="58">
        <v>124.0</v>
      </c>
      <c r="P123" s="58">
        <v>142.0</v>
      </c>
      <c r="Q123" s="58">
        <v>0.0</v>
      </c>
      <c r="R123" s="58">
        <v>104.0</v>
      </c>
      <c r="S123" s="58">
        <v>72.0</v>
      </c>
      <c r="T123" s="58">
        <v>149.0</v>
      </c>
      <c r="AQ123" s="17">
        <f>AVERAGE(Z82:AC82)</f>
        <v>61.70498084</v>
      </c>
      <c r="AR123" s="14">
        <f>AVERAGE(AQ82:AT82)</f>
        <v>38.29501916</v>
      </c>
      <c r="AS123" s="8"/>
      <c r="AT123" s="14">
        <f>AVERAGE(AE82:AH82)</f>
        <v>49.1956242</v>
      </c>
      <c r="AU123" s="17">
        <f>AVERAGE(AV82:AY82)</f>
        <v>50.8043758</v>
      </c>
      <c r="AV123" s="8"/>
      <c r="AW123" s="14">
        <f>AVERAGE(AJ82:AM82)</f>
        <v>44.07894737</v>
      </c>
      <c r="AX123" s="17">
        <f>AVERAGE(BA82:BD82)</f>
        <v>55.92105263</v>
      </c>
    </row>
    <row r="124" ht="15.0" customHeight="1">
      <c r="A124" s="57" t="s">
        <v>116</v>
      </c>
      <c r="B124" s="57" t="s">
        <v>113</v>
      </c>
      <c r="C124" s="57" t="s">
        <v>22</v>
      </c>
      <c r="D124" s="57" t="s">
        <v>23</v>
      </c>
      <c r="E124" s="57" t="s">
        <v>62</v>
      </c>
      <c r="F124" s="58">
        <v>3.0</v>
      </c>
      <c r="G124" s="57" t="s">
        <v>47</v>
      </c>
      <c r="H124" s="58">
        <v>7.0</v>
      </c>
      <c r="I124" s="58">
        <v>28.0</v>
      </c>
      <c r="J124" s="58">
        <v>12.0</v>
      </c>
      <c r="K124" s="58">
        <v>55.0</v>
      </c>
      <c r="L124" s="58">
        <v>5.0</v>
      </c>
      <c r="M124" s="58">
        <v>15.0</v>
      </c>
      <c r="N124" s="58">
        <v>36.0</v>
      </c>
      <c r="O124" s="58">
        <v>70.0</v>
      </c>
      <c r="P124" s="58">
        <v>79.0</v>
      </c>
      <c r="Q124" s="58">
        <v>0.0</v>
      </c>
      <c r="R124" s="58">
        <v>137.0</v>
      </c>
      <c r="S124" s="58">
        <v>62.0</v>
      </c>
      <c r="T124" s="58">
        <v>208.0</v>
      </c>
      <c r="AQ124" s="17">
        <f>AVERAGE(Z86:AC86)</f>
        <v>58.64208075</v>
      </c>
      <c r="AR124" s="14">
        <f>AVERAGE(AQ86:AT86)</f>
        <v>41.35791925</v>
      </c>
      <c r="AS124" s="8"/>
      <c r="AT124" s="17">
        <f>AVERAGE(AE86:AH86)</f>
        <v>53.78772126</v>
      </c>
      <c r="AU124" s="14">
        <f>AVERAGE(AV86:AY86)</f>
        <v>46.21227874</v>
      </c>
      <c r="AV124" s="8"/>
      <c r="AW124" s="14">
        <f>AVERAGE(AJ86:AM86)</f>
        <v>36.73012129</v>
      </c>
      <c r="AX124" s="17">
        <f>AVERAGE(BA86:BD86)</f>
        <v>63.26987871</v>
      </c>
    </row>
    <row r="125" ht="15.75" customHeight="1">
      <c r="A125" s="57" t="s">
        <v>116</v>
      </c>
      <c r="B125" s="57" t="s">
        <v>113</v>
      </c>
      <c r="C125" s="57" t="s">
        <v>22</v>
      </c>
      <c r="D125" s="57" t="s">
        <v>23</v>
      </c>
      <c r="E125" s="57" t="s">
        <v>67</v>
      </c>
      <c r="F125" s="58">
        <v>3.0</v>
      </c>
      <c r="G125" s="57" t="s">
        <v>51</v>
      </c>
      <c r="H125" s="58">
        <v>5.0</v>
      </c>
      <c r="I125" s="58">
        <v>29.0</v>
      </c>
      <c r="J125" s="58">
        <v>16.0</v>
      </c>
      <c r="K125" s="58">
        <v>46.0</v>
      </c>
      <c r="L125" s="58">
        <v>3.0</v>
      </c>
      <c r="M125" s="58">
        <v>16.0</v>
      </c>
      <c r="N125" s="58">
        <v>49.0</v>
      </c>
      <c r="O125" s="58">
        <v>62.0</v>
      </c>
      <c r="P125" s="58">
        <v>82.0</v>
      </c>
      <c r="Q125" s="58">
        <v>0.0</v>
      </c>
      <c r="R125" s="58">
        <v>141.0</v>
      </c>
      <c r="S125" s="58">
        <v>62.0</v>
      </c>
      <c r="T125" s="58">
        <v>206.0</v>
      </c>
      <c r="AQ125" s="17">
        <f>AVERAGE(Z90:AC90)</f>
        <v>62.33986928</v>
      </c>
      <c r="AR125" s="14">
        <f>AVERAGE(AQ90:AT90)</f>
        <v>37.66013072</v>
      </c>
      <c r="AS125" s="8"/>
      <c r="AT125" s="14">
        <f>AVERAGE(AE90:AH90)</f>
        <v>48.46897336</v>
      </c>
      <c r="AU125" s="17">
        <f>AVERAGE(AV90:AY90)</f>
        <v>51.53102664</v>
      </c>
      <c r="AV125" s="8"/>
      <c r="AW125" s="14">
        <f>AVERAGE(AJ90:AM90)</f>
        <v>18.28631139</v>
      </c>
      <c r="AX125" s="17">
        <f>AVERAGE(BA90:BD90)</f>
        <v>81.71368861</v>
      </c>
    </row>
    <row r="126" ht="15.75" customHeight="1">
      <c r="A126" s="57" t="s">
        <v>119</v>
      </c>
      <c r="B126" s="57" t="s">
        <v>113</v>
      </c>
      <c r="C126" s="57" t="s">
        <v>22</v>
      </c>
      <c r="D126" s="57" t="s">
        <v>23</v>
      </c>
      <c r="E126" s="57" t="s">
        <v>70</v>
      </c>
      <c r="F126" s="58">
        <v>3.0</v>
      </c>
      <c r="G126" s="57" t="s">
        <v>25</v>
      </c>
      <c r="H126" s="58">
        <v>46.0</v>
      </c>
      <c r="I126" s="58">
        <v>20.0</v>
      </c>
      <c r="J126" s="58">
        <v>156.0</v>
      </c>
      <c r="K126" s="58">
        <v>0.0</v>
      </c>
      <c r="L126" s="58">
        <v>41.0</v>
      </c>
      <c r="M126" s="58">
        <v>0.0</v>
      </c>
      <c r="N126" s="58">
        <v>235.0</v>
      </c>
      <c r="O126" s="58">
        <v>0.0</v>
      </c>
      <c r="P126" s="58">
        <v>166.0</v>
      </c>
      <c r="Q126" s="58">
        <v>0.0</v>
      </c>
      <c r="R126" s="58">
        <v>0.0</v>
      </c>
      <c r="S126" s="58">
        <v>0.0</v>
      </c>
      <c r="T126" s="58">
        <v>0.0</v>
      </c>
      <c r="AQ126" s="17">
        <f>AVERAGE(Z94:AC94)</f>
        <v>51.48396591</v>
      </c>
      <c r="AR126" s="14">
        <f>AVERAGE(AQ94:AT94)</f>
        <v>48.51603409</v>
      </c>
      <c r="AS126" s="8"/>
      <c r="AT126" s="14">
        <f>AVERAGE(AE94:AH94)</f>
        <v>41.57914453</v>
      </c>
      <c r="AU126" s="17">
        <f>AVERAGE(AV94:AY94)</f>
        <v>58.42085547</v>
      </c>
      <c r="AV126" s="8"/>
      <c r="AW126" s="14">
        <f>AVERAGE(AJ94:AM94)</f>
        <v>38.55934432</v>
      </c>
      <c r="AX126" s="17">
        <f>AVERAGE(BA94:BD94)</f>
        <v>61.44065568</v>
      </c>
    </row>
    <row r="127" ht="15.75" customHeight="1">
      <c r="A127" s="57" t="s">
        <v>119</v>
      </c>
      <c r="B127" s="57" t="s">
        <v>113</v>
      </c>
      <c r="C127" s="57" t="s">
        <v>22</v>
      </c>
      <c r="D127" s="57" t="s">
        <v>23</v>
      </c>
      <c r="E127" s="57" t="s">
        <v>71</v>
      </c>
      <c r="F127" s="58">
        <v>3.0</v>
      </c>
      <c r="G127" s="57" t="s">
        <v>45</v>
      </c>
      <c r="H127" s="58">
        <v>9.0</v>
      </c>
      <c r="I127" s="58">
        <v>3.0</v>
      </c>
      <c r="J127" s="58">
        <v>8.0</v>
      </c>
      <c r="K127" s="58">
        <v>22.0</v>
      </c>
      <c r="L127" s="58">
        <v>8.0</v>
      </c>
      <c r="M127" s="58">
        <v>27.0</v>
      </c>
      <c r="N127" s="58">
        <v>41.0</v>
      </c>
      <c r="O127" s="58">
        <v>49.0</v>
      </c>
      <c r="P127" s="58">
        <v>59.0</v>
      </c>
      <c r="Q127" s="58">
        <v>0.0</v>
      </c>
      <c r="R127" s="58">
        <v>32.0</v>
      </c>
      <c r="S127" s="58">
        <v>14.0</v>
      </c>
      <c r="T127" s="58">
        <v>55.0</v>
      </c>
    </row>
    <row r="128" ht="15.75" customHeight="1">
      <c r="A128" s="57" t="s">
        <v>119</v>
      </c>
      <c r="B128" s="57" t="s">
        <v>113</v>
      </c>
      <c r="C128" s="57" t="s">
        <v>22</v>
      </c>
      <c r="D128" s="57" t="s">
        <v>23</v>
      </c>
      <c r="E128" s="57" t="s">
        <v>72</v>
      </c>
      <c r="F128" s="58">
        <v>3.0</v>
      </c>
      <c r="G128" s="57" t="s">
        <v>47</v>
      </c>
      <c r="H128" s="58">
        <v>3.0</v>
      </c>
      <c r="I128" s="58">
        <v>8.0</v>
      </c>
      <c r="J128" s="58">
        <v>2.0</v>
      </c>
      <c r="K128" s="58">
        <v>11.0</v>
      </c>
      <c r="L128" s="58">
        <v>0.0</v>
      </c>
      <c r="M128" s="58">
        <v>13.0</v>
      </c>
      <c r="N128" s="58">
        <v>5.0</v>
      </c>
      <c r="O128" s="58">
        <v>24.0</v>
      </c>
      <c r="P128" s="58">
        <v>21.0</v>
      </c>
      <c r="Q128" s="58">
        <v>0.0</v>
      </c>
      <c r="R128" s="58">
        <v>52.0</v>
      </c>
      <c r="S128" s="58">
        <v>12.0</v>
      </c>
      <c r="T128" s="58">
        <v>74.0</v>
      </c>
    </row>
    <row r="129" ht="15.75" customHeight="1">
      <c r="A129" s="57" t="s">
        <v>119</v>
      </c>
      <c r="B129" s="57" t="s">
        <v>113</v>
      </c>
      <c r="C129" s="57" t="s">
        <v>22</v>
      </c>
      <c r="D129" s="57" t="s">
        <v>23</v>
      </c>
      <c r="E129" s="57" t="s">
        <v>74</v>
      </c>
      <c r="F129" s="58">
        <v>3.0</v>
      </c>
      <c r="G129" s="57" t="s">
        <v>51</v>
      </c>
      <c r="H129" s="58">
        <v>7.0</v>
      </c>
      <c r="I129" s="58">
        <v>7.0</v>
      </c>
      <c r="J129" s="58">
        <v>0.0</v>
      </c>
      <c r="K129" s="58">
        <v>6.0</v>
      </c>
      <c r="L129" s="58">
        <v>3.0</v>
      </c>
      <c r="M129" s="58">
        <v>4.0</v>
      </c>
      <c r="N129" s="58">
        <v>13.0</v>
      </c>
      <c r="O129" s="58">
        <v>10.0</v>
      </c>
      <c r="P129" s="58">
        <v>20.0</v>
      </c>
      <c r="Q129" s="58">
        <v>0.0</v>
      </c>
      <c r="R129" s="58">
        <v>53.0</v>
      </c>
      <c r="S129" s="58">
        <v>12.0</v>
      </c>
      <c r="T129" s="58">
        <v>76.0</v>
      </c>
    </row>
    <row r="130" ht="15.75" customHeight="1">
      <c r="A130" s="57" t="s">
        <v>112</v>
      </c>
      <c r="B130" s="57" t="s">
        <v>113</v>
      </c>
      <c r="C130" s="57" t="s">
        <v>22</v>
      </c>
      <c r="D130" s="57" t="s">
        <v>23</v>
      </c>
      <c r="E130" s="57" t="s">
        <v>41</v>
      </c>
      <c r="F130" s="58">
        <v>3.0</v>
      </c>
      <c r="G130" s="57" t="s">
        <v>25</v>
      </c>
      <c r="H130" s="58">
        <v>41.0</v>
      </c>
      <c r="I130" s="58">
        <v>106.0</v>
      </c>
      <c r="J130" s="58">
        <v>57.0</v>
      </c>
      <c r="K130" s="58">
        <v>0.0</v>
      </c>
      <c r="L130" s="58">
        <v>133.0</v>
      </c>
      <c r="M130" s="58">
        <v>0.0</v>
      </c>
      <c r="N130" s="58">
        <v>1514.0</v>
      </c>
      <c r="O130" s="58">
        <v>0.0</v>
      </c>
      <c r="P130" s="58">
        <v>617.0</v>
      </c>
      <c r="Q130" s="58">
        <v>0.0</v>
      </c>
      <c r="R130" s="58">
        <v>0.0</v>
      </c>
      <c r="S130" s="58">
        <v>0.0</v>
      </c>
      <c r="T130" s="58">
        <v>0.0</v>
      </c>
    </row>
    <row r="131" ht="15.75" customHeight="1">
      <c r="A131" s="57" t="s">
        <v>112</v>
      </c>
      <c r="B131" s="57" t="s">
        <v>113</v>
      </c>
      <c r="C131" s="57" t="s">
        <v>22</v>
      </c>
      <c r="D131" s="57" t="s">
        <v>23</v>
      </c>
      <c r="E131" s="57" t="s">
        <v>93</v>
      </c>
      <c r="F131" s="58">
        <v>3.0</v>
      </c>
      <c r="G131" s="57" t="s">
        <v>94</v>
      </c>
      <c r="H131" s="58">
        <v>0.0</v>
      </c>
      <c r="I131" s="58">
        <v>6.0</v>
      </c>
      <c r="J131" s="58">
        <v>3.0</v>
      </c>
      <c r="K131" s="58">
        <v>5.0</v>
      </c>
      <c r="L131" s="58">
        <v>7.0</v>
      </c>
      <c r="M131" s="58">
        <v>12.0</v>
      </c>
      <c r="N131" s="58">
        <v>24.0</v>
      </c>
      <c r="O131" s="58">
        <v>17.0</v>
      </c>
      <c r="P131" s="58">
        <v>57.0</v>
      </c>
      <c r="Q131" s="58">
        <v>0.0</v>
      </c>
      <c r="R131" s="58">
        <v>21.0</v>
      </c>
      <c r="S131" s="58">
        <v>63.0</v>
      </c>
      <c r="T131" s="58">
        <v>477.0</v>
      </c>
    </row>
    <row r="132" ht="15.75" customHeight="1">
      <c r="A132" s="57" t="s">
        <v>112</v>
      </c>
      <c r="B132" s="57" t="s">
        <v>113</v>
      </c>
      <c r="C132" s="57" t="s">
        <v>22</v>
      </c>
      <c r="D132" s="57" t="s">
        <v>23</v>
      </c>
      <c r="E132" s="57" t="s">
        <v>95</v>
      </c>
      <c r="F132" s="58">
        <v>3.0</v>
      </c>
      <c r="G132" s="57" t="s">
        <v>96</v>
      </c>
      <c r="H132" s="58">
        <v>2.0</v>
      </c>
      <c r="I132" s="58">
        <v>7.0</v>
      </c>
      <c r="J132" s="58">
        <v>2.0</v>
      </c>
      <c r="K132" s="58">
        <v>6.0</v>
      </c>
      <c r="L132" s="58">
        <v>11.0</v>
      </c>
      <c r="M132" s="58">
        <v>11.0</v>
      </c>
      <c r="N132" s="58">
        <v>12.0</v>
      </c>
      <c r="O132" s="58">
        <v>17.0</v>
      </c>
      <c r="P132" s="58">
        <v>51.0</v>
      </c>
      <c r="Q132" s="58">
        <v>0.0</v>
      </c>
      <c r="R132" s="58">
        <v>17.0</v>
      </c>
      <c r="S132" s="58">
        <v>69.0</v>
      </c>
      <c r="T132" s="58">
        <v>503.0</v>
      </c>
    </row>
    <row r="133" ht="15.75" customHeight="1">
      <c r="A133" s="57" t="s">
        <v>112</v>
      </c>
      <c r="B133" s="57" t="s">
        <v>113</v>
      </c>
      <c r="C133" s="57" t="s">
        <v>22</v>
      </c>
      <c r="D133" s="57" t="s">
        <v>23</v>
      </c>
      <c r="E133" s="57" t="s">
        <v>97</v>
      </c>
      <c r="F133" s="58">
        <v>3.0</v>
      </c>
      <c r="G133" s="57" t="s">
        <v>98</v>
      </c>
      <c r="H133" s="58">
        <v>0.0</v>
      </c>
      <c r="I133" s="58">
        <v>10.0</v>
      </c>
      <c r="J133" s="58">
        <v>1.0</v>
      </c>
      <c r="K133" s="58">
        <v>10.0</v>
      </c>
      <c r="L133" s="58">
        <v>9.0</v>
      </c>
      <c r="M133" s="58">
        <v>9.0</v>
      </c>
      <c r="N133" s="58">
        <v>13.0</v>
      </c>
      <c r="O133" s="58">
        <v>19.0</v>
      </c>
      <c r="P133" s="58">
        <v>52.0</v>
      </c>
      <c r="Q133" s="58">
        <v>0.0</v>
      </c>
      <c r="R133" s="58">
        <v>44.0</v>
      </c>
      <c r="S133" s="58">
        <v>78.0</v>
      </c>
      <c r="T133" s="58">
        <v>644.0</v>
      </c>
    </row>
    <row r="134" ht="15.75" customHeight="1">
      <c r="A134" s="57" t="s">
        <v>114</v>
      </c>
      <c r="B134" s="57" t="s">
        <v>113</v>
      </c>
      <c r="C134" s="57" t="s">
        <v>22</v>
      </c>
      <c r="D134" s="57" t="s">
        <v>23</v>
      </c>
      <c r="E134" s="57" t="s">
        <v>53</v>
      </c>
      <c r="F134" s="58">
        <v>3.0</v>
      </c>
      <c r="G134" s="57" t="s">
        <v>25</v>
      </c>
      <c r="H134" s="58">
        <v>9.0</v>
      </c>
      <c r="I134" s="58">
        <v>510.0</v>
      </c>
      <c r="J134" s="58">
        <v>975.0</v>
      </c>
      <c r="K134" s="58">
        <v>0.0</v>
      </c>
      <c r="L134" s="58">
        <v>5.0</v>
      </c>
      <c r="M134" s="58">
        <v>0.0</v>
      </c>
      <c r="N134" s="58">
        <v>124.0</v>
      </c>
      <c r="O134" s="58">
        <v>0.0</v>
      </c>
      <c r="P134" s="58">
        <v>541.0</v>
      </c>
      <c r="Q134" s="58">
        <v>0.0</v>
      </c>
      <c r="R134" s="58">
        <v>0.0</v>
      </c>
      <c r="S134" s="58">
        <v>0.0</v>
      </c>
      <c r="T134" s="58">
        <v>0.0</v>
      </c>
    </row>
    <row r="135" ht="15.75" customHeight="1">
      <c r="A135" s="57" t="s">
        <v>114</v>
      </c>
      <c r="B135" s="57" t="s">
        <v>113</v>
      </c>
      <c r="C135" s="57" t="s">
        <v>22</v>
      </c>
      <c r="D135" s="57" t="s">
        <v>23</v>
      </c>
      <c r="E135" s="57" t="s">
        <v>104</v>
      </c>
      <c r="F135" s="58">
        <v>3.0</v>
      </c>
      <c r="G135" s="57" t="s">
        <v>94</v>
      </c>
      <c r="H135" s="58">
        <v>0.0</v>
      </c>
      <c r="I135" s="58">
        <v>83.0</v>
      </c>
      <c r="J135" s="58">
        <v>2.0</v>
      </c>
      <c r="K135" s="58">
        <v>144.0</v>
      </c>
      <c r="L135" s="58">
        <v>1.0</v>
      </c>
      <c r="M135" s="58">
        <v>4.0</v>
      </c>
      <c r="N135" s="58">
        <v>4.0</v>
      </c>
      <c r="O135" s="58">
        <v>148.0</v>
      </c>
      <c r="P135" s="58">
        <v>238.0</v>
      </c>
      <c r="Q135" s="58">
        <v>0.0</v>
      </c>
      <c r="R135" s="58">
        <v>166.0</v>
      </c>
      <c r="S135" s="58">
        <v>165.0</v>
      </c>
      <c r="T135" s="58">
        <v>43.0</v>
      </c>
    </row>
    <row r="136" ht="15.75" customHeight="1">
      <c r="A136" s="57" t="s">
        <v>114</v>
      </c>
      <c r="B136" s="57" t="s">
        <v>113</v>
      </c>
      <c r="C136" s="57" t="s">
        <v>22</v>
      </c>
      <c r="D136" s="57" t="s">
        <v>23</v>
      </c>
      <c r="E136" s="57" t="s">
        <v>106</v>
      </c>
      <c r="F136" s="58">
        <v>3.0</v>
      </c>
      <c r="G136" s="57" t="s">
        <v>96</v>
      </c>
      <c r="H136" s="58">
        <v>1.0</v>
      </c>
      <c r="I136" s="58">
        <v>75.0</v>
      </c>
      <c r="J136" s="58">
        <v>3.0</v>
      </c>
      <c r="K136" s="58">
        <v>134.0</v>
      </c>
      <c r="L136" s="58">
        <v>1.0</v>
      </c>
      <c r="M136" s="58">
        <v>4.0</v>
      </c>
      <c r="N136" s="58">
        <v>1.0</v>
      </c>
      <c r="O136" s="58">
        <v>138.0</v>
      </c>
      <c r="P136" s="58">
        <v>219.0</v>
      </c>
      <c r="Q136" s="58">
        <v>0.0</v>
      </c>
      <c r="R136" s="58">
        <v>193.0</v>
      </c>
      <c r="S136" s="58">
        <v>151.0</v>
      </c>
      <c r="T136" s="58">
        <v>45.0</v>
      </c>
    </row>
    <row r="137" ht="15.75" customHeight="1">
      <c r="A137" s="57" t="s">
        <v>114</v>
      </c>
      <c r="B137" s="57" t="s">
        <v>113</v>
      </c>
      <c r="C137" s="57" t="s">
        <v>22</v>
      </c>
      <c r="D137" s="57" t="s">
        <v>23</v>
      </c>
      <c r="E137" s="57" t="s">
        <v>107</v>
      </c>
      <c r="F137" s="58">
        <v>3.0</v>
      </c>
      <c r="G137" s="57" t="s">
        <v>98</v>
      </c>
      <c r="H137" s="58">
        <v>0.0</v>
      </c>
      <c r="I137" s="58">
        <v>61.0</v>
      </c>
      <c r="J137" s="58">
        <v>5.0</v>
      </c>
      <c r="K137" s="58">
        <v>71.0</v>
      </c>
      <c r="L137" s="58">
        <v>0.0</v>
      </c>
      <c r="M137" s="58">
        <v>3.0</v>
      </c>
      <c r="N137" s="58">
        <v>2.0</v>
      </c>
      <c r="O137" s="58">
        <v>74.0</v>
      </c>
      <c r="P137" s="58">
        <v>142.0</v>
      </c>
      <c r="Q137" s="58">
        <v>0.0</v>
      </c>
      <c r="R137" s="58">
        <v>333.0</v>
      </c>
      <c r="S137" s="58">
        <v>142.0</v>
      </c>
      <c r="T137" s="58">
        <v>58.0</v>
      </c>
    </row>
    <row r="138" ht="15.75" customHeight="1">
      <c r="A138" s="57" t="s">
        <v>116</v>
      </c>
      <c r="B138" s="57" t="s">
        <v>113</v>
      </c>
      <c r="C138" s="57" t="s">
        <v>22</v>
      </c>
      <c r="D138" s="57" t="s">
        <v>23</v>
      </c>
      <c r="E138" s="57" t="s">
        <v>60</v>
      </c>
      <c r="F138" s="58">
        <v>3.0</v>
      </c>
      <c r="G138" s="57" t="s">
        <v>25</v>
      </c>
      <c r="H138" s="58">
        <v>81.0</v>
      </c>
      <c r="I138" s="58">
        <v>129.0</v>
      </c>
      <c r="J138" s="58">
        <v>537.0</v>
      </c>
      <c r="K138" s="58">
        <v>0.0</v>
      </c>
      <c r="L138" s="58">
        <v>39.0</v>
      </c>
      <c r="M138" s="58">
        <v>0.0</v>
      </c>
      <c r="N138" s="58">
        <v>711.0</v>
      </c>
      <c r="O138" s="58">
        <v>0.0</v>
      </c>
      <c r="P138" s="58">
        <v>499.0</v>
      </c>
      <c r="Q138" s="58">
        <v>0.0</v>
      </c>
      <c r="R138" s="58">
        <v>0.0</v>
      </c>
      <c r="S138" s="58">
        <v>0.0</v>
      </c>
      <c r="T138" s="58">
        <v>0.0</v>
      </c>
    </row>
    <row r="139" ht="15.75" customHeight="1">
      <c r="A139" s="57" t="s">
        <v>116</v>
      </c>
      <c r="B139" s="57" t="s">
        <v>113</v>
      </c>
      <c r="C139" s="57" t="s">
        <v>22</v>
      </c>
      <c r="D139" s="57" t="s">
        <v>23</v>
      </c>
      <c r="E139" s="57" t="s">
        <v>108</v>
      </c>
      <c r="F139" s="58">
        <v>3.0</v>
      </c>
      <c r="G139" s="57" t="s">
        <v>94</v>
      </c>
      <c r="H139" s="58">
        <v>4.0</v>
      </c>
      <c r="I139" s="58">
        <v>11.0</v>
      </c>
      <c r="J139" s="58">
        <v>2.0</v>
      </c>
      <c r="K139" s="58">
        <v>49.0</v>
      </c>
      <c r="L139" s="58">
        <v>6.0</v>
      </c>
      <c r="M139" s="58">
        <v>25.0</v>
      </c>
      <c r="N139" s="58">
        <v>21.0</v>
      </c>
      <c r="O139" s="58">
        <v>74.0</v>
      </c>
      <c r="P139" s="58">
        <v>118.0</v>
      </c>
      <c r="Q139" s="58">
        <v>0.0</v>
      </c>
      <c r="R139" s="58">
        <v>199.0</v>
      </c>
      <c r="S139" s="58">
        <v>81.0</v>
      </c>
      <c r="T139" s="58">
        <v>298.0</v>
      </c>
    </row>
    <row r="140" ht="15.75" customHeight="1">
      <c r="A140" s="57" t="s">
        <v>116</v>
      </c>
      <c r="B140" s="57" t="s">
        <v>113</v>
      </c>
      <c r="C140" s="57" t="s">
        <v>22</v>
      </c>
      <c r="D140" s="57" t="s">
        <v>23</v>
      </c>
      <c r="E140" s="57" t="s">
        <v>110</v>
      </c>
      <c r="F140" s="58">
        <v>3.0</v>
      </c>
      <c r="G140" s="57" t="s">
        <v>96</v>
      </c>
      <c r="H140" s="58">
        <v>5.0</v>
      </c>
      <c r="I140" s="58">
        <v>8.0</v>
      </c>
      <c r="J140" s="58">
        <v>2.0</v>
      </c>
      <c r="K140" s="58">
        <v>53.0</v>
      </c>
      <c r="L140" s="58">
        <v>3.0</v>
      </c>
      <c r="M140" s="58">
        <v>22.0</v>
      </c>
      <c r="N140" s="58">
        <v>19.0</v>
      </c>
      <c r="O140" s="58">
        <v>75.0</v>
      </c>
      <c r="P140" s="58">
        <v>112.0</v>
      </c>
      <c r="Q140" s="58">
        <v>0.0</v>
      </c>
      <c r="R140" s="58">
        <v>200.0</v>
      </c>
      <c r="S140" s="58">
        <v>72.0</v>
      </c>
      <c r="T140" s="58">
        <v>291.0</v>
      </c>
    </row>
    <row r="141" ht="15.0" customHeight="1">
      <c r="A141" s="57" t="s">
        <v>116</v>
      </c>
      <c r="B141" s="57" t="s">
        <v>113</v>
      </c>
      <c r="C141" s="57" t="s">
        <v>22</v>
      </c>
      <c r="D141" s="57" t="s">
        <v>23</v>
      </c>
      <c r="E141" s="57" t="s">
        <v>111</v>
      </c>
      <c r="F141" s="58">
        <v>3.0</v>
      </c>
      <c r="G141" s="57" t="s">
        <v>98</v>
      </c>
      <c r="H141" s="58">
        <v>4.0</v>
      </c>
      <c r="I141" s="58">
        <v>11.0</v>
      </c>
      <c r="J141" s="58">
        <v>2.0</v>
      </c>
      <c r="K141" s="58">
        <v>27.0</v>
      </c>
      <c r="L141" s="58">
        <v>1.0</v>
      </c>
      <c r="M141" s="58">
        <v>17.0</v>
      </c>
      <c r="N141" s="58">
        <v>18.0</v>
      </c>
      <c r="O141" s="58">
        <v>44.0</v>
      </c>
      <c r="P141" s="58">
        <v>80.0</v>
      </c>
      <c r="Q141" s="58">
        <v>0.0</v>
      </c>
      <c r="R141" s="58">
        <v>257.0</v>
      </c>
      <c r="S141" s="58">
        <v>69.0</v>
      </c>
      <c r="T141" s="58">
        <v>367.0</v>
      </c>
    </row>
    <row r="142" ht="15.75" customHeight="1">
      <c r="A142" s="57" t="s">
        <v>119</v>
      </c>
      <c r="B142" s="57" t="s">
        <v>113</v>
      </c>
      <c r="C142" s="57" t="s">
        <v>22</v>
      </c>
      <c r="D142" s="57" t="s">
        <v>23</v>
      </c>
      <c r="E142" s="57" t="s">
        <v>70</v>
      </c>
      <c r="F142" s="58">
        <v>3.0</v>
      </c>
      <c r="G142" s="57" t="s">
        <v>25</v>
      </c>
      <c r="H142" s="58">
        <v>46.0</v>
      </c>
      <c r="I142" s="58">
        <v>20.0</v>
      </c>
      <c r="J142" s="58">
        <v>156.0</v>
      </c>
      <c r="K142" s="58">
        <v>0.0</v>
      </c>
      <c r="L142" s="58">
        <v>41.0</v>
      </c>
      <c r="M142" s="58">
        <v>0.0</v>
      </c>
      <c r="N142" s="58">
        <v>235.0</v>
      </c>
      <c r="O142" s="58">
        <v>0.0</v>
      </c>
      <c r="P142" s="58">
        <v>166.0</v>
      </c>
      <c r="Q142" s="58">
        <v>0.0</v>
      </c>
      <c r="R142" s="58">
        <v>0.0</v>
      </c>
      <c r="S142" s="58">
        <v>0.0</v>
      </c>
      <c r="T142" s="58">
        <v>0.0</v>
      </c>
    </row>
    <row r="143" ht="15.75" customHeight="1">
      <c r="A143" s="57" t="s">
        <v>119</v>
      </c>
      <c r="B143" s="57" t="s">
        <v>113</v>
      </c>
      <c r="C143" s="57" t="s">
        <v>22</v>
      </c>
      <c r="D143" s="57" t="s">
        <v>23</v>
      </c>
      <c r="E143" s="57" t="s">
        <v>115</v>
      </c>
      <c r="F143" s="58">
        <v>3.0</v>
      </c>
      <c r="G143" s="57" t="s">
        <v>94</v>
      </c>
      <c r="H143" s="58">
        <v>0.0</v>
      </c>
      <c r="I143" s="58">
        <v>4.0</v>
      </c>
      <c r="J143" s="58">
        <v>0.0</v>
      </c>
      <c r="K143" s="58">
        <v>10.0</v>
      </c>
      <c r="L143" s="58">
        <v>3.0</v>
      </c>
      <c r="M143" s="58">
        <v>14.0</v>
      </c>
      <c r="N143" s="58">
        <v>12.0</v>
      </c>
      <c r="O143" s="58">
        <v>24.0</v>
      </c>
      <c r="P143" s="58">
        <v>43.0</v>
      </c>
      <c r="Q143" s="58">
        <v>0.0</v>
      </c>
      <c r="R143" s="58">
        <v>57.0</v>
      </c>
      <c r="S143" s="58">
        <v>16.0</v>
      </c>
      <c r="T143" s="58">
        <v>136.0</v>
      </c>
    </row>
    <row r="144" ht="15.75" customHeight="1">
      <c r="A144" s="57" t="s">
        <v>119</v>
      </c>
      <c r="B144" s="57" t="s">
        <v>113</v>
      </c>
      <c r="C144" s="57" t="s">
        <v>22</v>
      </c>
      <c r="D144" s="57" t="s">
        <v>23</v>
      </c>
      <c r="E144" s="57" t="s">
        <v>118</v>
      </c>
      <c r="F144" s="58">
        <v>3.0</v>
      </c>
      <c r="G144" s="57" t="s">
        <v>96</v>
      </c>
      <c r="H144" s="58">
        <v>2.0</v>
      </c>
      <c r="I144" s="58">
        <v>2.0</v>
      </c>
      <c r="J144" s="58">
        <v>0.0</v>
      </c>
      <c r="K144" s="58">
        <v>14.0</v>
      </c>
      <c r="L144" s="58">
        <v>1.0</v>
      </c>
      <c r="M144" s="58">
        <v>10.0</v>
      </c>
      <c r="N144" s="58">
        <v>14.0</v>
      </c>
      <c r="O144" s="58">
        <v>24.0</v>
      </c>
      <c r="P144" s="58">
        <v>43.0</v>
      </c>
      <c r="Q144" s="58">
        <v>0.0</v>
      </c>
      <c r="R144" s="58">
        <v>56.0</v>
      </c>
      <c r="S144" s="58">
        <v>13.0</v>
      </c>
      <c r="T144" s="58">
        <v>131.0</v>
      </c>
    </row>
    <row r="145" ht="15.75" customHeight="1">
      <c r="A145" s="57" t="s">
        <v>119</v>
      </c>
      <c r="B145" s="57" t="s">
        <v>113</v>
      </c>
      <c r="C145" s="57" t="s">
        <v>22</v>
      </c>
      <c r="D145" s="57" t="s">
        <v>23</v>
      </c>
      <c r="E145" s="57" t="s">
        <v>120</v>
      </c>
      <c r="F145" s="58">
        <v>3.0</v>
      </c>
      <c r="G145" s="57" t="s">
        <v>98</v>
      </c>
      <c r="H145" s="58">
        <v>4.0</v>
      </c>
      <c r="I145" s="58">
        <v>0.0</v>
      </c>
      <c r="J145" s="58">
        <v>0.0</v>
      </c>
      <c r="K145" s="58">
        <v>8.0</v>
      </c>
      <c r="L145" s="58">
        <v>0.0</v>
      </c>
      <c r="M145" s="58">
        <v>7.0</v>
      </c>
      <c r="N145" s="58">
        <v>1.0</v>
      </c>
      <c r="O145" s="58">
        <v>15.0</v>
      </c>
      <c r="P145" s="58">
        <v>20.0</v>
      </c>
      <c r="Q145" s="58">
        <v>0.0</v>
      </c>
      <c r="R145" s="58">
        <v>105.0</v>
      </c>
      <c r="S145" s="58">
        <v>20.0</v>
      </c>
      <c r="T145" s="58">
        <v>148.0</v>
      </c>
    </row>
    <row r="146" ht="15.0" customHeight="1"/>
    <row r="147" ht="15.75" customHeight="1"/>
    <row r="148" ht="15.75" customHeight="1"/>
    <row r="149" ht="15.75" customHeight="1"/>
    <row r="150" ht="15.75" customHeight="1">
      <c r="A150" s="30" t="s">
        <v>215</v>
      </c>
      <c r="B150" s="31" t="s">
        <v>216</v>
      </c>
      <c r="C150" s="32"/>
      <c r="D150" s="32"/>
      <c r="E150" s="32"/>
      <c r="F150" s="8"/>
      <c r="G150" s="31" t="s">
        <v>217</v>
      </c>
      <c r="H150" s="32"/>
      <c r="I150" s="32"/>
      <c r="J150" s="32"/>
      <c r="L150" s="31" t="s">
        <v>219</v>
      </c>
      <c r="M150" s="32"/>
      <c r="N150" s="32"/>
      <c r="O150" s="32"/>
    </row>
    <row r="151" ht="15.75" customHeight="1">
      <c r="B151" s="8" t="s">
        <v>63</v>
      </c>
      <c r="C151" s="8" t="s">
        <v>64</v>
      </c>
      <c r="D151" s="8" t="s">
        <v>65</v>
      </c>
      <c r="E151" s="8" t="s">
        <v>66</v>
      </c>
      <c r="G151" s="8" t="s">
        <v>63</v>
      </c>
      <c r="H151" s="8" t="s">
        <v>64</v>
      </c>
      <c r="I151" s="8" t="s">
        <v>65</v>
      </c>
      <c r="J151" s="8" t="s">
        <v>66</v>
      </c>
      <c r="K151" s="59"/>
      <c r="L151" s="8" t="s">
        <v>63</v>
      </c>
      <c r="M151" s="8" t="s">
        <v>64</v>
      </c>
      <c r="N151" s="8" t="s">
        <v>65</v>
      </c>
      <c r="O151" s="8" t="s">
        <v>66</v>
      </c>
    </row>
    <row r="152" ht="15.75" customHeight="1">
      <c r="A152" s="10" t="s">
        <v>203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1" t="s">
        <v>68</v>
      </c>
      <c r="B153" s="14">
        <f>$H$3/(($F$3-1)*$P$3)*100</f>
        <v>12.73987207</v>
      </c>
      <c r="C153" s="12">
        <f>$H$7/(($F$7-1)*$P$7)*100</f>
        <v>1.907216495</v>
      </c>
      <c r="D153" s="14">
        <f>$H$11/(($F$11-1)*$P$11)*100</f>
        <v>12.5</v>
      </c>
      <c r="E153" s="16">
        <f>$H$15/(($F$15-1)*$P$15)*100</f>
        <v>6.034482759</v>
      </c>
      <c r="G153" s="14">
        <f>$H$4/(($F$4-1)*$P$4)*100</f>
        <v>11.22112211</v>
      </c>
      <c r="H153" s="12">
        <f>$H$8/(($F$8-1)*$P$8)*100</f>
        <v>2.016985138</v>
      </c>
      <c r="I153" s="14">
        <f>$H$12/(($F$12-1)*$P$12)*100</f>
        <v>12.90944123</v>
      </c>
      <c r="J153" s="20">
        <f>$H$16/(($F$16-1)*$P$16)*100</f>
        <v>4.424778761</v>
      </c>
      <c r="L153" s="17">
        <f>$H$5/(($F$5-1)*$P$5)*100</f>
        <v>10.81382386</v>
      </c>
      <c r="M153" s="20">
        <f>$H$9/(($F$9-1)*$P$9)*100</f>
        <v>1.498929336</v>
      </c>
      <c r="N153" s="17">
        <f>$H$13/(($F$13-1)*$P$13)*100</f>
        <v>12.28239845</v>
      </c>
      <c r="O153" s="16">
        <f>$H$17/(($F$17-1)*$P$17)*100</f>
        <v>7.943925234</v>
      </c>
    </row>
    <row r="154" ht="15.75" customHeight="1">
      <c r="A154" s="11" t="s">
        <v>73</v>
      </c>
      <c r="B154" s="14">
        <f>$H$19/(($F$19-1)*$P$19)*100</f>
        <v>31.21212121</v>
      </c>
      <c r="C154" s="12">
        <f>$H$23/(($F$23-1)*$P$23)*100</f>
        <v>2.448313384</v>
      </c>
      <c r="D154" s="16">
        <f>$H$27/(($F$27-1)*$P$27)*100</f>
        <v>6.153846154</v>
      </c>
      <c r="E154" s="17">
        <f>$H$31/(($F$31-1)*$P$31)*100</f>
        <v>20.38834951</v>
      </c>
      <c r="F154" s="8"/>
      <c r="G154" s="17">
        <f>$H$20/(($F$20-1)*$P$20)*100</f>
        <v>28.73303167</v>
      </c>
      <c r="H154" s="12">
        <f>$H$24/(($F$24-1)*$P$24)*100</f>
        <v>2.101769912</v>
      </c>
      <c r="I154" s="16">
        <f>$H$28/(($F$28-1)*$P$28)*100</f>
        <v>5.93220339</v>
      </c>
      <c r="J154" s="14">
        <f>$H$32/(($F$32-1)*$P$32)*100</f>
        <v>22.88135593</v>
      </c>
      <c r="L154" s="14">
        <f>$H$21/(($F$21-1)*$P$21)*100</f>
        <v>28.92690513</v>
      </c>
      <c r="M154" s="15">
        <f>$H$25/(($F$25-1)*$P$25)*100</f>
        <v>1.803278689</v>
      </c>
      <c r="N154" s="20">
        <f>$H$29/(($F$29-1)*$P$29)*100</f>
        <v>4.567307692</v>
      </c>
      <c r="O154" s="14">
        <f>$H$33/(($F$33-1)*$P$33)*100</f>
        <v>28.31325301</v>
      </c>
    </row>
    <row r="155" ht="15.75" customHeight="1">
      <c r="A155" s="11" t="s">
        <v>76</v>
      </c>
      <c r="B155" s="16">
        <f>$H$35/(($F$35-1)*$P$35)*100</f>
        <v>7.203994294</v>
      </c>
      <c r="C155" s="16">
        <f>$H$39/(($F$39-1)*$P$39)*100</f>
        <v>1.636363636</v>
      </c>
      <c r="D155" s="14">
        <f>$H$43/(($F$43-1)*$P$43)*100</f>
        <v>14.75644699</v>
      </c>
      <c r="E155" s="14">
        <f>$H$47/(($F$47-1)*$P$47)*100</f>
        <v>14.04494382</v>
      </c>
      <c r="F155" s="8"/>
      <c r="G155" s="20">
        <f>$H$36/(($F$36-1)*$P$36)*100</f>
        <v>5.861070912</v>
      </c>
      <c r="H155" s="27">
        <f>$H$40/(($F$40-1)*$P$40)*100</f>
        <v>0.6457564576</v>
      </c>
      <c r="I155" s="12">
        <f>$H$44/(($F$44-1)*$P$44)*100</f>
        <v>6.417910448</v>
      </c>
      <c r="J155" s="15">
        <f>$H$48/(($F$48-1)*$P$48)*100</f>
        <v>5.617977528</v>
      </c>
      <c r="L155" s="16">
        <f>$H$37/(($F$37-1)*$P$37)*100</f>
        <v>7.142857143</v>
      </c>
      <c r="M155" s="12">
        <f>$H$41/(($F$41-1)*$P$41)*100</f>
        <v>1.691729323</v>
      </c>
      <c r="N155" s="15">
        <f>$H$45/(($F$45-1)*$P$45)*100</f>
        <v>5.718475073</v>
      </c>
      <c r="O155" s="14">
        <f>$H$49/(($F$49-1)*$P$49)*100</f>
        <v>10</v>
      </c>
    </row>
    <row r="156" ht="15.75" customHeight="1">
      <c r="A156" s="10" t="s">
        <v>210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10"/>
      <c r="L156" s="24"/>
      <c r="M156" s="24"/>
      <c r="N156" s="24"/>
      <c r="O156" s="24"/>
    </row>
    <row r="157" ht="15.75" customHeight="1">
      <c r="A157" s="11" t="s">
        <v>68</v>
      </c>
      <c r="B157" s="17">
        <f>$N$3/(($F$3-1)*$P$3)*100</f>
        <v>61.14072495</v>
      </c>
      <c r="C157" s="15">
        <f>$N$7/(($F$7-1)*$P$7)*100</f>
        <v>5.103092784</v>
      </c>
      <c r="D157" s="18">
        <f>$N$11/(($F$11-1)*$P$11)*100</f>
        <v>25.27173913</v>
      </c>
      <c r="E157" s="17">
        <f>$N$15/(($F$15-1)*$P$15)*100</f>
        <v>63.36206897</v>
      </c>
      <c r="F157" s="8"/>
      <c r="G157" s="14">
        <f>$N$4/(($F$4-1)*$P$4)*100</f>
        <v>64.52145215</v>
      </c>
      <c r="H157" s="16">
        <f>$N$8/(($F$8-1)*$P$8)*100</f>
        <v>5.891719745</v>
      </c>
      <c r="I157" s="13">
        <f>$N$12/(($F$12-1)*$P$12)*100</f>
        <v>30.53949904</v>
      </c>
      <c r="J157" s="14">
        <f>$N$16/(($F$16-1)*$P$16)*100</f>
        <v>66.37168142</v>
      </c>
      <c r="L157" s="14">
        <f>$N$5/(($F$5-1)*$P$5)*100</f>
        <v>65.10590858</v>
      </c>
      <c r="M157" s="12">
        <f>$N$9/(($F$9-1)*$P$9)*100</f>
        <v>6.316916488</v>
      </c>
      <c r="N157" s="13">
        <f>$N$13/(($F$13-1)*$P$13)*100</f>
        <v>32.78529981</v>
      </c>
      <c r="O157" s="14">
        <f>$N$17/(($F$17-1)*$P$17)*100</f>
        <v>71.4953271</v>
      </c>
    </row>
    <row r="158" ht="15.75" customHeight="1">
      <c r="A158" s="11" t="s">
        <v>73</v>
      </c>
      <c r="B158" s="18">
        <f>$N$19/(($F$19-1)*$P$19)*100</f>
        <v>36.28787879</v>
      </c>
      <c r="C158" s="20">
        <f>$N$23/(($F$23-1)*$P$23)*100</f>
        <v>4.352557127</v>
      </c>
      <c r="D158" s="14">
        <f>$N$27/(($F$27-1)*$P$27)*100</f>
        <v>43.18681319</v>
      </c>
      <c r="E158" s="13">
        <f>$N$31/(($F$31-1)*$P$31)*100</f>
        <v>26.21359223</v>
      </c>
      <c r="F158" s="8"/>
      <c r="G158" s="13">
        <f>$N$20/(($F$20-1)*$P$20)*100</f>
        <v>40.7239819</v>
      </c>
      <c r="H158" s="12">
        <f>$N$24/(($F$24-1)*$P$24)*100</f>
        <v>6.194690265</v>
      </c>
      <c r="I158" s="17">
        <f>$N$28/(($F$28-1)*$P$28)*100</f>
        <v>42.51412429</v>
      </c>
      <c r="J158" s="18">
        <f>$N$32/(($F$32-1)*$P$32)*100</f>
        <v>21.18644068</v>
      </c>
      <c r="L158" s="13">
        <f>$N$21/(($F$21-1)*$P$21)*100</f>
        <v>44.40124417</v>
      </c>
      <c r="M158" s="12">
        <f>$N$25/(($F$25-1)*$P$25)*100</f>
        <v>6.284153005</v>
      </c>
      <c r="N158" s="14">
        <f>$N$29/(($F$29-1)*$P$29)*100</f>
        <v>48.07692308</v>
      </c>
      <c r="O158" s="14">
        <f>$N$33/(($F$33-1)*$P$33)*100</f>
        <v>35.54216867</v>
      </c>
    </row>
    <row r="159" ht="15.75" customHeight="1">
      <c r="A159" s="11" t="s">
        <v>76</v>
      </c>
      <c r="B159" s="14">
        <f>$N$35/(($F$35-1)*$P$35)*100</f>
        <v>53.42368046</v>
      </c>
      <c r="C159" s="15">
        <f>$N$39/(($F$39-1)*$P$39)*100</f>
        <v>4.636363636</v>
      </c>
      <c r="D159" s="17">
        <f>$N$43/(($F$43-1)*$P$43)*100</f>
        <v>30.65902579</v>
      </c>
      <c r="E159" s="17">
        <f>$N$47/(($F$47-1)*$P$47)*100</f>
        <v>27.52808989</v>
      </c>
      <c r="F159" s="8"/>
      <c r="G159" s="17">
        <f>$N$36/(($F$36-1)*$P$36)*100</f>
        <v>46.38205499</v>
      </c>
      <c r="H159" s="12">
        <f>$N$40/(($F$40-1)*$P$40)*100</f>
        <v>6.549815498</v>
      </c>
      <c r="I159" s="14">
        <f>$N$44/(($F$44-1)*$P$44)*100</f>
        <v>32.68656716</v>
      </c>
      <c r="J159" s="14">
        <f>$N$48/(($F$48-1)*$P$48)*100</f>
        <v>37.07865169</v>
      </c>
      <c r="L159" s="14">
        <f>$N$37/(($F$37-1)*$P$37)*100</f>
        <v>51.85714286</v>
      </c>
      <c r="M159" s="16">
        <f>$N$41/(($F$41-1)*$P$41)*100</f>
        <v>5.169172932</v>
      </c>
      <c r="N159" s="14">
        <f>$N$45/(($F$45-1)*$P$45)*100</f>
        <v>33.28445748</v>
      </c>
      <c r="O159" s="13">
        <f>$N$49/(($F$49-1)*$P$49)*100</f>
        <v>28.23529412</v>
      </c>
    </row>
    <row r="160" ht="15.75" customHeight="1">
      <c r="A160" s="10" t="s">
        <v>213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10"/>
      <c r="L160" s="24"/>
      <c r="M160" s="24"/>
      <c r="N160" s="24"/>
      <c r="O160" s="24"/>
    </row>
    <row r="161" ht="15.75" customHeight="1">
      <c r="A161" s="11" t="s">
        <v>68</v>
      </c>
      <c r="B161" s="14">
        <f>($I$3+$J$3+$K$3)/(($F$3-1)*$P$3)*100</f>
        <v>19.24307036</v>
      </c>
      <c r="C161" s="14">
        <f>($I$7+$J$7+$K$7)/(($F$7-1)*$P$7)*100</f>
        <v>90.56701031</v>
      </c>
      <c r="D161" s="13">
        <f>($I$11+$J$11+$K$11)/(($F$11-1)*$P$11)*100</f>
        <v>47.64492754</v>
      </c>
      <c r="E161" s="17">
        <f>($I$15+$J$15+$K$15)/(($F$15-1)*$P$15)*100</f>
        <v>22.4137931</v>
      </c>
      <c r="F161" s="14"/>
      <c r="G161" s="14">
        <f>($I$4+$J$4+$K$4)/(($F$4-1)*$P$4)*100</f>
        <v>19.5819582</v>
      </c>
      <c r="H161" s="14">
        <f>($I$8+$J$8+$K$8)/(($F$8-1)*$P$8)*100</f>
        <v>90.76433121</v>
      </c>
      <c r="I161" s="18">
        <f>($I$12+$J$12+$K$12)/(($F$12-1)*$P$12)*100</f>
        <v>48.74759152</v>
      </c>
      <c r="J161" s="14">
        <f>($I$16+$J$16+$K$16)/(($F$16-1)*$P$16)*100</f>
        <v>20.3539823</v>
      </c>
      <c r="K161" s="14"/>
      <c r="L161" s="17">
        <f>($I$5+$J$5+$K$5)/(($F$5-1)*$P$5)*100</f>
        <v>20.06688963</v>
      </c>
      <c r="M161" s="17">
        <f>($I$9+$J$9+$K$9)/(($F$9-1)*$P$9)*100</f>
        <v>91.00642398</v>
      </c>
      <c r="N161" s="13">
        <f>($I$13+$J$13+$K$13)/(($F$13-1)*$P$13)*100</f>
        <v>47.67891683</v>
      </c>
      <c r="O161" s="14">
        <f>($I$17+$J$17+$K$17)/(($F$17-1)*$P$17)*100</f>
        <v>13.55140187</v>
      </c>
      <c r="P161" s="14">
        <f t="shared" ref="P161:P163" si="75">AVERAGE(L161:O161)</f>
        <v>43.07590808</v>
      </c>
      <c r="Q161" s="72" t="s">
        <v>231</v>
      </c>
      <c r="R161" s="24"/>
      <c r="S161" s="24"/>
      <c r="T161" s="24"/>
      <c r="U161" s="24"/>
      <c r="V161" s="24"/>
      <c r="W161" s="24"/>
      <c r="X161" s="24"/>
      <c r="Y161" s="24"/>
      <c r="Z161" s="24"/>
      <c r="AA161" s="10"/>
      <c r="AB161" s="24"/>
      <c r="AC161" s="24"/>
      <c r="AD161" s="24"/>
      <c r="AE161" s="24"/>
    </row>
    <row r="162" ht="15.75" customHeight="1">
      <c r="A162" s="11" t="s">
        <v>73</v>
      </c>
      <c r="B162" s="18">
        <f>($I$19+$J$19+$K$19)/(($F$19-1)*$P$19)*100</f>
        <v>26.51515152</v>
      </c>
      <c r="C162" s="17">
        <f>($I$23+$J$23+$K$23)/(($F$23-1)*$P$23)*100</f>
        <v>91.24047878</v>
      </c>
      <c r="D162" s="14">
        <f>($I$27+$J$27+$K$27)/(($F$27-1)*$P$27)*100</f>
        <v>34.50549451</v>
      </c>
      <c r="E162" s="13">
        <f>($I$31+$J$31+$K$31)/(($F$31-1)*$P$31)*100</f>
        <v>41.74757282</v>
      </c>
      <c r="F162" s="14"/>
      <c r="G162" s="14">
        <f>($I$20+$J$20+$K$20)/(($F$20-1)*$P$20)*100</f>
        <v>25.4147813</v>
      </c>
      <c r="H162" s="14">
        <f>($I$24+$J$24+$K$24)/(($F$24-1)*$P$24)*100</f>
        <v>90.7079646</v>
      </c>
      <c r="I162" s="17">
        <f>($I$28+$J$28+$K$28)/(($F$28-1)*$P$28)*100</f>
        <v>38.13559322</v>
      </c>
      <c r="J162" s="18">
        <f>($I$32+$J$32+$K$32)/(($F$32-1)*$P$32)*100</f>
        <v>50</v>
      </c>
      <c r="K162" s="14"/>
      <c r="L162" s="14">
        <f>($I$21+$J$21+$K$21)/(($F$21-1)*$P$21)*100</f>
        <v>22.86158631</v>
      </c>
      <c r="M162" s="14">
        <f>($I$25+$J$25+$K$25)/(($F$25-1)*$P$25)*100</f>
        <v>90.98360656</v>
      </c>
      <c r="N162" s="14">
        <f>($I$29+$J$29+$K$29)/(($F$29-1)*$P$29)*100</f>
        <v>34.375</v>
      </c>
      <c r="O162" s="13">
        <f>($I$33+$J$33+$K$33)/(($F$33-1)*$P$33)*100</f>
        <v>30.72289157</v>
      </c>
      <c r="P162" s="14">
        <f t="shared" si="75"/>
        <v>44.73577111</v>
      </c>
      <c r="Q162" s="11" t="s">
        <v>68</v>
      </c>
      <c r="R162" s="14">
        <f>$O$3/(($F$3-1)*$P$3)*100</f>
        <v>11.19402985</v>
      </c>
      <c r="S162" s="14">
        <f>$O$7/(($F$7-1)*$P$7)*100</f>
        <v>37.21649485</v>
      </c>
      <c r="T162" s="14">
        <f>$O$11/(($F$11-1)*$P$11)*100</f>
        <v>36.68478261</v>
      </c>
      <c r="U162" s="14">
        <f>$O$15/(($F$15-1)*$P$15)*100</f>
        <v>29.74137931</v>
      </c>
      <c r="V162" s="8"/>
      <c r="W162" s="12">
        <f>$O$4/(($F$4-1)*$P$4)*100</f>
        <v>4.01540154</v>
      </c>
      <c r="X162" s="17">
        <f>$O$8/(($F$8-1)*$P$8)*100</f>
        <v>18.36518047</v>
      </c>
      <c r="Y162" s="14">
        <f>$O$12/(($F$12-1)*$P$12)*100</f>
        <v>22.25433526</v>
      </c>
      <c r="Z162" s="14">
        <f>$O$16/(($F$16-1)*$P$16)*100</f>
        <v>28.31858407</v>
      </c>
      <c r="AB162" s="15">
        <f>$O$5/(($F$5-1)*$P$5)*100</f>
        <v>3.177257525</v>
      </c>
      <c r="AC162" s="14">
        <f>$O$9/(($F$9-1)*$P$9)*100</f>
        <v>19.9143469</v>
      </c>
      <c r="AD162" s="17">
        <f>$O$13/(($F$13-1)*$P$13)*100</f>
        <v>19.34235977</v>
      </c>
      <c r="AE162" s="17">
        <f>$O$17/(($F$17-1)*$P$17)*100</f>
        <v>20.09345794</v>
      </c>
    </row>
    <row r="163" ht="15.75" customHeight="1">
      <c r="A163" s="11" t="s">
        <v>76</v>
      </c>
      <c r="B163" s="14">
        <f>($I$35+$J$35+$K$35)/(($F$35-1)*$P$35)*100</f>
        <v>26.0342368</v>
      </c>
      <c r="C163" s="18">
        <f>($I$39+$J$39+$K$39)/(($F$39-1)*$P$39)*100</f>
        <v>92</v>
      </c>
      <c r="D163" s="14">
        <f>($I$43+$J$43+$K$43)/(($F$43-1)*$P$43)*100</f>
        <v>37.39255014</v>
      </c>
      <c r="E163" s="14">
        <f>($I$47+$J$47+$K$47)/(($F$47-1)*$P$47)*100</f>
        <v>11.79775281</v>
      </c>
      <c r="F163" s="14"/>
      <c r="G163" s="18">
        <f>($I$36+$J$36+$K$36)/(($F$36-1)*$P$36)*100</f>
        <v>29.45007236</v>
      </c>
      <c r="H163" s="13">
        <f>($I$40+$J$40+$K$40)/(($F$40-1)*$P$40)*100</f>
        <v>91.05166052</v>
      </c>
      <c r="I163" s="17">
        <f>($I$44+$J$44+$K$44)/(($F$44-1)*$P$44)*100</f>
        <v>46.11940299</v>
      </c>
      <c r="J163" s="17">
        <f>($I$48+$J$48+$K$48)/(($F$48-1)*$P$48)*100</f>
        <v>13.48314607</v>
      </c>
      <c r="K163" s="14"/>
      <c r="L163" s="13">
        <f>($I$37+$J$37+$K$37)/(($F$37-1)*$P$37)*100</f>
        <v>27.28571429</v>
      </c>
      <c r="M163" s="13">
        <f>($I$41+$J$41+$K$41)/(($F$41-1)*$P$41)*100</f>
        <v>91.35338346</v>
      </c>
      <c r="N163" s="14">
        <f>($I$45+$J$45+$K$45)/(($F$45-1)*$P$45)*100</f>
        <v>44.42815249</v>
      </c>
      <c r="O163" s="17">
        <f>($I$49+$J$49+$K$49)/(($F$49-1)*$P$49)*100</f>
        <v>13.52941176</v>
      </c>
      <c r="P163" s="14">
        <f t="shared" si="75"/>
        <v>44.1491655</v>
      </c>
      <c r="Q163" s="11" t="s">
        <v>73</v>
      </c>
      <c r="R163" s="14">
        <f>$O$19/(($F$19-1)*$P$19)*100</f>
        <v>12.72727273</v>
      </c>
      <c r="S163" s="14">
        <f>$O$23/(($F$23-1)*$P$23)*100</f>
        <v>30.79434168</v>
      </c>
      <c r="T163" s="14">
        <f>$O$27/(($F$27-1)*$P$27)*100</f>
        <v>19.23076923</v>
      </c>
      <c r="U163" s="14">
        <f>$O$31/(($F$31-1)*$P$31)*100</f>
        <v>33.00970874</v>
      </c>
      <c r="V163" s="8"/>
      <c r="W163" s="12">
        <f>$O$20/(($F$20-1)*$P$20)*100</f>
        <v>9.2760181</v>
      </c>
      <c r="X163" s="14">
        <f>$O$24/(($F$24-1)*$P$24)*100</f>
        <v>12.83185841</v>
      </c>
      <c r="Y163" s="14">
        <f>$O$28/(($F$28-1)*$P$28)*100</f>
        <v>16.38418079</v>
      </c>
      <c r="Z163" s="14">
        <f>$O$32/(($F$32-1)*$P$32)*100</f>
        <v>22.88135593</v>
      </c>
      <c r="AB163" s="15">
        <f>$O$21/(($F$21-1)*$P$21)*100</f>
        <v>8.087091757</v>
      </c>
      <c r="AC163" s="17">
        <f>$O$25/(($F$25-1)*$P$25)*100</f>
        <v>12.62295082</v>
      </c>
      <c r="AD163" s="17">
        <f>$O$29/(($F$29-1)*$P$29)*100</f>
        <v>11.41826923</v>
      </c>
      <c r="AE163" s="17">
        <f>$O$33/(($F$33-1)*$P$33)*100</f>
        <v>12.65060241</v>
      </c>
    </row>
    <row r="164" ht="15.75" customHeight="1">
      <c r="A164" s="10" t="s">
        <v>221</v>
      </c>
      <c r="B164" s="24"/>
      <c r="C164" s="24"/>
      <c r="D164" s="24"/>
      <c r="E164" s="24"/>
      <c r="F164" s="24"/>
      <c r="G164" s="24"/>
      <c r="H164" s="24"/>
      <c r="I164" s="24"/>
      <c r="J164" s="24"/>
      <c r="L164" s="24"/>
      <c r="M164" s="24"/>
      <c r="N164" s="24"/>
      <c r="O164" s="24"/>
      <c r="Q164" s="25" t="s">
        <v>76</v>
      </c>
      <c r="R164" s="12">
        <f>$O$35/(($F$35-1)*$P$35)*100</f>
        <v>8.059914408</v>
      </c>
      <c r="S164" s="14">
        <f>$O$39/(($F$39-1)*$P$39)*100</f>
        <v>30.54545455</v>
      </c>
      <c r="T164" s="14">
        <f>$O$43/(($F$43-1)*$P$43)*100</f>
        <v>28.65329513</v>
      </c>
      <c r="U164" s="14">
        <f>$O$47/(($F$47-1)*$P$47)*100</f>
        <v>46.06741573</v>
      </c>
      <c r="V164" s="59"/>
      <c r="W164" s="12">
        <f>$O$36/(($F$36-1)*$P$36)*100</f>
        <v>5.282199711</v>
      </c>
      <c r="X164" s="15">
        <f>$O$40/(($F$40-1)*$P$40)*100</f>
        <v>7.287822878</v>
      </c>
      <c r="Y164" s="17">
        <f>$O$44/(($F$44-1)*$P$44)*100</f>
        <v>17.76119403</v>
      </c>
      <c r="Z164" s="17">
        <f>$O$48/(($F$48-1)*$P$48)*100</f>
        <v>33.14606742</v>
      </c>
      <c r="AA164" s="59"/>
      <c r="AB164" s="15">
        <f>$O$37/(($F$37-1)*$P$37)*100</f>
        <v>3.357142857</v>
      </c>
      <c r="AC164" s="12">
        <f>$O$41/(($F$41-1)*$P$41)*100</f>
        <v>8.552631579</v>
      </c>
      <c r="AD164" s="14">
        <f>$O$45/(($F$45-1)*$P$45)*100</f>
        <v>20.08797654</v>
      </c>
      <c r="AE164" s="14">
        <f>$O$49/(($F$49-1)*$P$49)*100</f>
        <v>36.47058824</v>
      </c>
    </row>
    <row r="165" ht="15.75" customHeight="1">
      <c r="A165" s="11" t="s">
        <v>68</v>
      </c>
      <c r="B165" s="15">
        <f>($L$3+$M$3)/(($F$3-1)*$P$3)*100</f>
        <v>6.876332623</v>
      </c>
      <c r="C165" s="20">
        <f>($L$7+$M$7)/(($F$7-1)*$P$7)*100</f>
        <v>2.422680412</v>
      </c>
      <c r="D165" s="17">
        <f>($L$11+$M$11)/(($F$11-1)*$P$11)*100</f>
        <v>14.58333333</v>
      </c>
      <c r="E165" s="15">
        <f>($L$15+$M$15)/(($F$15-1)*$P$15)*100</f>
        <v>8.189655172</v>
      </c>
      <c r="F165" s="14"/>
      <c r="G165" s="12">
        <f>($L$4+$M$4)/(($F$4-1)*$P$4)*100</f>
        <v>4.675467547</v>
      </c>
      <c r="H165" s="12">
        <f>($L$8+$M$8)/(($F$8-1)*$P$8)*100</f>
        <v>1.326963907</v>
      </c>
      <c r="I165" s="12">
        <f>($L$12+$M$12)/(($F$12-1)*$P$12)*100</f>
        <v>7.803468208</v>
      </c>
      <c r="J165" s="12">
        <f>($L$16+$M$16)/(($F$16-1)*$P$16)*100</f>
        <v>8.849557522</v>
      </c>
      <c r="K165" s="14"/>
      <c r="L165" s="12">
        <f>($L$5+$M$5)/(($F$5-1)*$P$5)*100</f>
        <v>4.013377926</v>
      </c>
      <c r="M165" s="12">
        <f>($L$9+$M$9)/(($F$9-1)*$P$9)*100</f>
        <v>1.177730193</v>
      </c>
      <c r="N165" s="12">
        <f>($L$13+$M$13)/(($F$13-1)*$P$13)*100</f>
        <v>7.253384913</v>
      </c>
      <c r="O165" s="12">
        <f>($L$17+$M$17)/(($F$17-1)*$P$17)*100</f>
        <v>7.009345794</v>
      </c>
      <c r="P165" s="14">
        <f t="shared" ref="P165:P167" si="76">AVERAGE(L165:O165)</f>
        <v>4.863459707</v>
      </c>
    </row>
    <row r="166" ht="15.75" customHeight="1">
      <c r="A166" s="11" t="s">
        <v>73</v>
      </c>
      <c r="B166" s="15">
        <f>($L$19+$M$19)/(($F$19-1)*$P$19)*100</f>
        <v>5.984848485</v>
      </c>
      <c r="C166" s="15">
        <f>($L$23+$M$23)/(($F$23-1)*$P$23)*100</f>
        <v>1.958650707</v>
      </c>
      <c r="D166" s="17">
        <f>($L$27+$M$27)/(($F$27-1)*$P$27)*100</f>
        <v>16.15384615</v>
      </c>
      <c r="E166" s="17">
        <f>($L$31+$M$31)/(($F$31-1)*$P$31)*100</f>
        <v>11.65048544</v>
      </c>
      <c r="F166" s="14"/>
      <c r="G166" s="12">
        <f>($L$20+$M$20)/(($F$20-1)*$P$20)*100</f>
        <v>5.128205128</v>
      </c>
      <c r="H166" s="21">
        <f>($L$24+$M$24)/(($F$24-1)*$P$24)*100</f>
        <v>0.9955752212</v>
      </c>
      <c r="I166" s="14">
        <f>($L$28+$M$28)/(($F$28-1)*$P$28)*100</f>
        <v>13.4180791</v>
      </c>
      <c r="J166" s="12">
        <f>($L$32+$M$32)/(($F$32-1)*$P$32)*100</f>
        <v>5.93220339</v>
      </c>
      <c r="K166" s="14"/>
      <c r="L166" s="12">
        <f>($L$21+$M$21)/(($F$21-1)*$P$21)*100</f>
        <v>3.810264386</v>
      </c>
      <c r="M166" s="21">
        <f>($L$25+$M$25)/(($F$25-1)*$P$25)*100</f>
        <v>0.9289617486</v>
      </c>
      <c r="N166" s="14">
        <f>($L$29+$M$29)/(($F$29-1)*$P$29)*100</f>
        <v>12.98076923</v>
      </c>
      <c r="O166" s="12">
        <f>($L$33+$M$33)/(($F$33-1)*$P$33)*100</f>
        <v>5.421686747</v>
      </c>
      <c r="P166" s="14">
        <f t="shared" si="76"/>
        <v>5.785420528</v>
      </c>
    </row>
    <row r="167" ht="15.75" customHeight="1">
      <c r="A167" s="11" t="s">
        <v>76</v>
      </c>
      <c r="B167" s="13">
        <f>($L$35+$M$35)/(($F$35-1)*$P$35)*100</f>
        <v>13.33808845</v>
      </c>
      <c r="C167" s="12">
        <f>($L$39+$M$39)/(($F$39-1)*$P$39)*100</f>
        <v>1.727272727</v>
      </c>
      <c r="D167" s="18">
        <f>($L$43+$M$43)/(($F$43-1)*$P$43)*100</f>
        <v>17.19197708</v>
      </c>
      <c r="E167" s="13">
        <f>($L$47+$M$47)/(($F$47-1)*$P$47)*100</f>
        <v>46.62921348</v>
      </c>
      <c r="F167" s="14"/>
      <c r="G167" s="18">
        <f>($L$36+$M$36)/(($F$36-1)*$P$36)*100</f>
        <v>18.30680174</v>
      </c>
      <c r="H167" s="16">
        <f>($L$40+$M$40)/(($F$40-1)*$P$40)*100</f>
        <v>1.752767528</v>
      </c>
      <c r="I167" s="13">
        <f>($L$44+$M$44)/(($F$44-1)*$P$44)*100</f>
        <v>14.7761194</v>
      </c>
      <c r="J167" s="13">
        <f>($L$48+$M$48)/(($F$48-1)*$P$48)*100</f>
        <v>43.82022472</v>
      </c>
      <c r="K167" s="14"/>
      <c r="L167" s="13">
        <f>($L$37+$M$37)/(($F$37-1)*$P$37)*100</f>
        <v>13.71428571</v>
      </c>
      <c r="M167" s="20">
        <f>($L$41+$M$41)/(($F$41-1)*$P$41)*100</f>
        <v>1.785714286</v>
      </c>
      <c r="N167" s="13">
        <f>($L$45+$M$45)/(($F$45-1)*$P$45)*100</f>
        <v>16.56891496</v>
      </c>
      <c r="O167" s="18">
        <f>($L$49+$M$49)/(($F$49-1)*$P$49)*100</f>
        <v>48.23529412</v>
      </c>
      <c r="P167" s="14">
        <f t="shared" si="76"/>
        <v>20.07605227</v>
      </c>
      <c r="Q167" s="30" t="s">
        <v>240</v>
      </c>
      <c r="R167" s="31" t="s">
        <v>216</v>
      </c>
      <c r="S167" s="32"/>
      <c r="T167" s="32"/>
      <c r="U167" s="32"/>
      <c r="V167" s="8"/>
      <c r="W167" s="31" t="s">
        <v>217</v>
      </c>
      <c r="X167" s="32"/>
      <c r="Y167" s="32"/>
      <c r="Z167" s="32"/>
      <c r="AB167" s="31" t="s">
        <v>219</v>
      </c>
      <c r="AC167" s="32"/>
      <c r="AD167" s="32"/>
      <c r="AE167" s="32"/>
    </row>
    <row r="168" ht="15.75" customHeight="1">
      <c r="A168" s="105" t="s">
        <v>241</v>
      </c>
      <c r="B168" s="24"/>
      <c r="C168" s="24"/>
      <c r="D168" s="24"/>
      <c r="E168" s="24"/>
      <c r="F168" s="60"/>
      <c r="G168" s="24"/>
      <c r="H168" s="24"/>
      <c r="I168" s="24"/>
      <c r="J168" s="24"/>
      <c r="K168" s="60"/>
      <c r="L168" s="24"/>
      <c r="M168" s="24"/>
      <c r="N168" s="24"/>
      <c r="O168" s="24"/>
      <c r="P168" s="60">
        <f>AVERAGE(P165:P167)</f>
        <v>10.24164417</v>
      </c>
      <c r="R168" s="8" t="s">
        <v>63</v>
      </c>
      <c r="S168" s="8" t="s">
        <v>64</v>
      </c>
      <c r="T168" s="8" t="s">
        <v>65</v>
      </c>
      <c r="U168" s="8" t="s">
        <v>66</v>
      </c>
      <c r="W168" s="8" t="s">
        <v>63</v>
      </c>
      <c r="X168" s="8" t="s">
        <v>64</v>
      </c>
      <c r="Y168" s="8" t="s">
        <v>65</v>
      </c>
      <c r="Z168" s="8" t="s">
        <v>66</v>
      </c>
      <c r="AB168" s="8" t="s">
        <v>63</v>
      </c>
      <c r="AC168" s="8" t="s">
        <v>64</v>
      </c>
      <c r="AD168" s="8" t="s">
        <v>65</v>
      </c>
      <c r="AE168" s="8" t="s">
        <v>66</v>
      </c>
    </row>
    <row r="169" ht="15.75" customHeight="1">
      <c r="A169" s="11" t="s">
        <v>68</v>
      </c>
      <c r="B169" s="17">
        <f>$O$3/(($F$3-1)*$P$3)*100</f>
        <v>11.19402985</v>
      </c>
      <c r="C169" s="18">
        <f>$O$7/(($F$7-1)*$P$7)*100</f>
        <v>37.21649485</v>
      </c>
      <c r="D169" s="18">
        <f>$O$11/(($F$11-1)*$P$11)*100</f>
        <v>36.68478261</v>
      </c>
      <c r="E169" s="17">
        <f>$O$15/(($F$15-1)*$P$15)*100</f>
        <v>29.74137931</v>
      </c>
      <c r="F169" s="14"/>
      <c r="G169" s="12">
        <f>$O$4/(($F$4-1)*$P$4)*100</f>
        <v>4.01540154</v>
      </c>
      <c r="H169" s="13">
        <f>$O$8/(($F$8-1)*$P$8)*100</f>
        <v>18.36518047</v>
      </c>
      <c r="I169" s="13">
        <f>$O$12/(($F$12-1)*$P$12)*100</f>
        <v>22.25433526</v>
      </c>
      <c r="J169" s="14">
        <f>$O$16/(($F$16-1)*$P$16)*100</f>
        <v>28.31858407</v>
      </c>
      <c r="K169" s="14"/>
      <c r="L169" s="12">
        <f>$O$5/(($F$5-1)*$P$5)*100</f>
        <v>3.177257525</v>
      </c>
      <c r="M169" s="13">
        <f>$O$9/(($F$9-1)*$P$9)*100</f>
        <v>19.9143469</v>
      </c>
      <c r="N169" s="14">
        <f>$O$13/(($F$13-1)*$P$13)*100</f>
        <v>19.34235977</v>
      </c>
      <c r="O169" s="14">
        <f>$O$17/(($F$17-1)*$P$17)*100</f>
        <v>20.09345794</v>
      </c>
      <c r="P169" s="14">
        <f t="shared" ref="P169:P171" si="80">AVERAGE(L169:O169)</f>
        <v>15.63185553</v>
      </c>
      <c r="Q169" s="11" t="s">
        <v>68</v>
      </c>
      <c r="R169" s="33">
        <f t="shared" ref="R169:U169" si="77">B153+B157</f>
        <v>73.88059701</v>
      </c>
      <c r="S169" s="29">
        <f t="shared" si="77"/>
        <v>7.010309278</v>
      </c>
      <c r="T169" s="33">
        <f t="shared" si="77"/>
        <v>37.77173913</v>
      </c>
      <c r="U169" s="33">
        <f t="shared" si="77"/>
        <v>69.39655172</v>
      </c>
      <c r="V169" s="33"/>
      <c r="W169" s="33">
        <f t="shared" ref="W169:Z169" si="78">G153+G157</f>
        <v>75.74257426</v>
      </c>
      <c r="X169" s="29">
        <f t="shared" si="78"/>
        <v>7.908704883</v>
      </c>
      <c r="Y169" s="33">
        <f t="shared" si="78"/>
        <v>43.44894027</v>
      </c>
      <c r="Z169" s="33">
        <f t="shared" si="78"/>
        <v>70.79646018</v>
      </c>
      <c r="AA169" s="33"/>
      <c r="AB169" s="33">
        <f t="shared" ref="AB169:AE169" si="79">L153+L157</f>
        <v>75.91973244</v>
      </c>
      <c r="AC169" s="29">
        <f t="shared" si="79"/>
        <v>7.815845824</v>
      </c>
      <c r="AD169" s="33">
        <f t="shared" si="79"/>
        <v>45.06769826</v>
      </c>
      <c r="AE169" s="33">
        <f t="shared" si="79"/>
        <v>79.43925234</v>
      </c>
      <c r="AF169" s="33">
        <f t="shared" ref="AF169:AF171" si="84">AVERAGE(R169:U169,W169:Z169,AB169:AE169)</f>
        <v>49.5165338</v>
      </c>
    </row>
    <row r="170" ht="15.75" customHeight="1">
      <c r="A170" s="11" t="s">
        <v>73</v>
      </c>
      <c r="B170" s="18">
        <f>$O$19/(($F$19-1)*$P$19)*100</f>
        <v>12.72727273</v>
      </c>
      <c r="C170" s="17">
        <f>$O$23/(($F$23-1)*$P$23)*100</f>
        <v>30.79434168</v>
      </c>
      <c r="D170" s="17">
        <f>$O$27/(($F$27-1)*$P$27)*100</f>
        <v>19.23076923</v>
      </c>
      <c r="E170" s="17">
        <f>$O$31/(($F$31-1)*$P$31)*100</f>
        <v>33.00970874</v>
      </c>
      <c r="F170" s="14"/>
      <c r="G170" s="16">
        <f>$O$20/(($F$20-1)*$P$20)*100</f>
        <v>9.2760181</v>
      </c>
      <c r="H170" s="14">
        <f>$O$24/(($F$24-1)*$P$24)*100</f>
        <v>12.83185841</v>
      </c>
      <c r="I170" s="14">
        <f>$O$28/(($F$28-1)*$P$28)*100</f>
        <v>16.38418079</v>
      </c>
      <c r="J170" s="14">
        <f>$O$32/(($F$32-1)*$P$32)*100</f>
        <v>22.88135593</v>
      </c>
      <c r="K170" s="14"/>
      <c r="L170" s="16">
        <f>$O$21/(($F$21-1)*$P$21)*100</f>
        <v>8.087091757</v>
      </c>
      <c r="M170" s="14">
        <f>$O$25/(($F$25-1)*$P$25)*100</f>
        <v>12.62295082</v>
      </c>
      <c r="N170" s="14">
        <f>$O$29/(($F$29-1)*$P$29)*100</f>
        <v>11.41826923</v>
      </c>
      <c r="O170" s="14">
        <f>$O$33/(($F$33-1)*$P$33)*100</f>
        <v>12.65060241</v>
      </c>
      <c r="P170" s="14">
        <f t="shared" si="80"/>
        <v>11.19472855</v>
      </c>
      <c r="Q170" s="11" t="s">
        <v>73</v>
      </c>
      <c r="R170" s="33">
        <f t="shared" ref="R170:U170" si="81">B154+B158</f>
        <v>67.5</v>
      </c>
      <c r="S170" s="29">
        <f t="shared" si="81"/>
        <v>6.800870511</v>
      </c>
      <c r="T170" s="33">
        <f t="shared" si="81"/>
        <v>49.34065934</v>
      </c>
      <c r="U170" s="33">
        <f t="shared" si="81"/>
        <v>46.60194175</v>
      </c>
      <c r="V170" s="33"/>
      <c r="W170" s="33">
        <f t="shared" ref="W170:Z170" si="82">G154+G158</f>
        <v>69.45701357</v>
      </c>
      <c r="X170" s="29">
        <f t="shared" si="82"/>
        <v>8.296460177</v>
      </c>
      <c r="Y170" s="33">
        <f t="shared" si="82"/>
        <v>48.44632768</v>
      </c>
      <c r="Z170" s="33">
        <f t="shared" si="82"/>
        <v>44.06779661</v>
      </c>
      <c r="AA170" s="29"/>
      <c r="AB170" s="33">
        <f t="shared" ref="AB170:AE170" si="83">L154+L158</f>
        <v>73.3281493</v>
      </c>
      <c r="AC170" s="29">
        <f t="shared" si="83"/>
        <v>8.087431694</v>
      </c>
      <c r="AD170" s="33">
        <f t="shared" si="83"/>
        <v>52.64423077</v>
      </c>
      <c r="AE170" s="33">
        <f t="shared" si="83"/>
        <v>63.85542169</v>
      </c>
      <c r="AF170" s="33">
        <f t="shared" si="84"/>
        <v>44.86885859</v>
      </c>
    </row>
    <row r="171" ht="15.75" customHeight="1">
      <c r="A171" s="25" t="s">
        <v>76</v>
      </c>
      <c r="B171" s="15">
        <f>$O$35/(($F$35-1)*$P$35)*100</f>
        <v>8.059914408</v>
      </c>
      <c r="C171" s="17">
        <f>$O$39/(($F$39-1)*$P$39)*100</f>
        <v>30.54545455</v>
      </c>
      <c r="D171" s="17">
        <f>$O$43/(($F$43-1)*$P$43)*100</f>
        <v>28.65329513</v>
      </c>
      <c r="E171" s="18">
        <f>$O$47/(($F$47-1)*$P$47)*100</f>
        <v>46.06741573</v>
      </c>
      <c r="F171" s="14"/>
      <c r="G171" s="12">
        <f>$O$36/(($F$36-1)*$P$36)*100</f>
        <v>5.282199711</v>
      </c>
      <c r="H171" s="12">
        <f>$O$40/(($F$40-1)*$P$40)*100</f>
        <v>7.287822878</v>
      </c>
      <c r="I171" s="14">
        <f>$O$44/(($F$44-1)*$P$44)*100</f>
        <v>17.76119403</v>
      </c>
      <c r="J171" s="13">
        <f>$O$48/(($F$48-1)*$P$48)*100</f>
        <v>33.14606742</v>
      </c>
      <c r="K171" s="14"/>
      <c r="L171" s="12">
        <f>$O$37/(($F$37-1)*$P$37)*100</f>
        <v>3.357142857</v>
      </c>
      <c r="M171" s="12">
        <f>$O$41/(($F$41-1)*$P$41)*100</f>
        <v>8.552631579</v>
      </c>
      <c r="N171" s="13">
        <f>$O$45/(($F$45-1)*$P$45)*100</f>
        <v>20.08797654</v>
      </c>
      <c r="O171" s="13">
        <f>$O$49/(($F$49-1)*$P$49)*100</f>
        <v>36.47058824</v>
      </c>
      <c r="P171" s="14">
        <f t="shared" si="80"/>
        <v>17.1170848</v>
      </c>
      <c r="Q171" s="23" t="s">
        <v>76</v>
      </c>
      <c r="R171" s="33">
        <f t="shared" ref="R171:U171" si="85">B155+B159</f>
        <v>60.62767475</v>
      </c>
      <c r="S171" s="29">
        <f t="shared" si="85"/>
        <v>6.272727273</v>
      </c>
      <c r="T171" s="33">
        <f t="shared" si="85"/>
        <v>45.41547278</v>
      </c>
      <c r="U171" s="33">
        <f t="shared" si="85"/>
        <v>41.57303371</v>
      </c>
      <c r="V171" s="33"/>
      <c r="W171" s="33">
        <f t="shared" ref="W171:Z171" si="86">G155+G159</f>
        <v>52.2431259</v>
      </c>
      <c r="X171" s="29">
        <f t="shared" si="86"/>
        <v>7.195571956</v>
      </c>
      <c r="Y171" s="33">
        <f t="shared" si="86"/>
        <v>39.10447761</v>
      </c>
      <c r="Z171" s="33">
        <f t="shared" si="86"/>
        <v>42.69662921</v>
      </c>
      <c r="AB171" s="33">
        <f t="shared" ref="AB171:AE171" si="87">L155+L159</f>
        <v>59</v>
      </c>
      <c r="AC171" s="29">
        <f t="shared" si="87"/>
        <v>6.860902256</v>
      </c>
      <c r="AD171" s="33">
        <f t="shared" si="87"/>
        <v>39.00293255</v>
      </c>
      <c r="AE171" s="33">
        <f t="shared" si="87"/>
        <v>38.23529412</v>
      </c>
      <c r="AF171" s="33">
        <f t="shared" si="84"/>
        <v>36.51898684</v>
      </c>
    </row>
    <row r="172" ht="15.75" customHeight="1">
      <c r="Q172" s="11" t="s">
        <v>92</v>
      </c>
      <c r="R172" s="33">
        <f t="shared" ref="R172:U172" si="88">AVERAGE(R169:R171)</f>
        <v>67.33609059</v>
      </c>
      <c r="S172" s="29">
        <f t="shared" si="88"/>
        <v>6.694635688</v>
      </c>
      <c r="T172" s="33">
        <f t="shared" si="88"/>
        <v>44.17595708</v>
      </c>
      <c r="U172" s="33">
        <f t="shared" si="88"/>
        <v>52.52384239</v>
      </c>
      <c r="V172" s="33"/>
      <c r="W172" s="33">
        <f t="shared" ref="W172:Z172" si="89">AVERAGE(W169:W171)</f>
        <v>65.81423791</v>
      </c>
      <c r="X172" s="29">
        <f t="shared" si="89"/>
        <v>7.800245672</v>
      </c>
      <c r="Y172" s="33">
        <f t="shared" si="89"/>
        <v>43.66658186</v>
      </c>
      <c r="Z172" s="33">
        <f t="shared" si="89"/>
        <v>52.52029533</v>
      </c>
      <c r="AA172" s="33"/>
      <c r="AB172" s="33">
        <f t="shared" ref="AB172:AE172" si="90">AVERAGE(AB169:AB171)</f>
        <v>69.41596058</v>
      </c>
      <c r="AC172" s="29">
        <f t="shared" si="90"/>
        <v>7.588059925</v>
      </c>
      <c r="AD172" s="33">
        <f t="shared" si="90"/>
        <v>45.57162053</v>
      </c>
      <c r="AE172" s="33">
        <f t="shared" si="90"/>
        <v>60.50998938</v>
      </c>
    </row>
    <row r="173" ht="15.75" customHeight="1">
      <c r="A173" s="76" t="s">
        <v>250</v>
      </c>
      <c r="B173" s="9" t="s">
        <v>216</v>
      </c>
      <c r="G173" s="9" t="s">
        <v>217</v>
      </c>
      <c r="L173" s="9" t="s">
        <v>219</v>
      </c>
      <c r="S173" s="33">
        <f>AVERAGE(R172:U172)</f>
        <v>42.68263144</v>
      </c>
      <c r="X173" s="33">
        <f>AVERAGE(W172:Z172)</f>
        <v>42.45034019</v>
      </c>
      <c r="AC173" s="33">
        <f>AVERAGE(AB172:AE172)</f>
        <v>45.7714076</v>
      </c>
    </row>
    <row r="174" ht="15.75" customHeight="1">
      <c r="B174" s="32"/>
      <c r="C174" s="32"/>
      <c r="D174" s="32"/>
      <c r="E174" s="32"/>
      <c r="F174" s="8"/>
      <c r="G174" s="32"/>
      <c r="H174" s="32"/>
      <c r="I174" s="32"/>
      <c r="J174" s="32"/>
      <c r="L174" s="32"/>
      <c r="M174" s="32"/>
      <c r="N174" s="32"/>
      <c r="O174" s="32"/>
    </row>
    <row r="175" ht="15.75" customHeight="1">
      <c r="A175" s="32"/>
      <c r="B175" s="51" t="s">
        <v>63</v>
      </c>
      <c r="C175" s="51" t="s">
        <v>64</v>
      </c>
      <c r="D175" s="51" t="s">
        <v>65</v>
      </c>
      <c r="E175" s="51" t="s">
        <v>66</v>
      </c>
      <c r="F175" s="32"/>
      <c r="G175" s="51" t="s">
        <v>63</v>
      </c>
      <c r="H175" s="51" t="s">
        <v>64</v>
      </c>
      <c r="I175" s="51" t="s">
        <v>65</v>
      </c>
      <c r="J175" s="51" t="s">
        <v>66</v>
      </c>
      <c r="K175" s="59"/>
      <c r="L175" s="51" t="s">
        <v>63</v>
      </c>
      <c r="M175" s="51" t="s">
        <v>64</v>
      </c>
      <c r="N175" s="51" t="s">
        <v>65</v>
      </c>
      <c r="O175" s="51" t="s">
        <v>66</v>
      </c>
    </row>
    <row r="176" ht="15.75" customHeight="1">
      <c r="A176" s="10" t="s">
        <v>203</v>
      </c>
    </row>
    <row r="177" ht="15.75" customHeight="1">
      <c r="A177" s="11" t="s">
        <v>73</v>
      </c>
      <c r="B177" s="77">
        <f t="shared" ref="B177:E177" si="91">B154</f>
        <v>31.21212121</v>
      </c>
      <c r="C177" s="89">
        <f t="shared" si="91"/>
        <v>2.448313384</v>
      </c>
      <c r="D177" s="89">
        <f t="shared" si="91"/>
        <v>6.153846154</v>
      </c>
      <c r="E177" s="77">
        <f t="shared" si="91"/>
        <v>20.38834951</v>
      </c>
      <c r="F177" s="77">
        <f t="shared" ref="F177:F178" si="94">AVERAGE(B177,D177:E177)</f>
        <v>19.25143896</v>
      </c>
      <c r="G177" s="77">
        <f t="shared" ref="G177:J177" si="92">G154</f>
        <v>28.73303167</v>
      </c>
      <c r="H177" s="89">
        <f t="shared" si="92"/>
        <v>2.101769912</v>
      </c>
      <c r="I177" s="89">
        <f t="shared" si="92"/>
        <v>5.93220339</v>
      </c>
      <c r="J177" s="77">
        <f t="shared" si="92"/>
        <v>22.88135593</v>
      </c>
      <c r="K177" s="77">
        <f t="shared" ref="K177:K178" si="95">AVERAGE(G177,I177:J177)</f>
        <v>19.182197</v>
      </c>
      <c r="L177" s="77">
        <f t="shared" ref="L177:O177" si="93">L154</f>
        <v>28.92690513</v>
      </c>
      <c r="M177" s="89">
        <f t="shared" si="93"/>
        <v>1.803278689</v>
      </c>
      <c r="N177" s="89">
        <f t="shared" si="93"/>
        <v>4.567307692</v>
      </c>
      <c r="O177" s="77">
        <f t="shared" si="93"/>
        <v>28.31325301</v>
      </c>
      <c r="P177" s="77">
        <f t="shared" ref="P177:P178" si="96">AVERAGE(L177,N177:O177)</f>
        <v>20.60248861</v>
      </c>
      <c r="Q177" s="109" t="s">
        <v>215</v>
      </c>
      <c r="R177" s="101" t="s">
        <v>216</v>
      </c>
      <c r="S177" s="101" t="s">
        <v>217</v>
      </c>
      <c r="T177" s="101" t="s">
        <v>219</v>
      </c>
    </row>
    <row r="178" ht="15.75" customHeight="1">
      <c r="A178" s="11" t="s">
        <v>205</v>
      </c>
      <c r="B178" s="89">
        <f>$H$115/(($F$115-1)*$P$115)*100</f>
        <v>5.769230769</v>
      </c>
      <c r="C178" s="99">
        <f>$H$119/(($F$119-1)*$P$119)*100</f>
        <v>0.8032128514</v>
      </c>
      <c r="D178" s="89">
        <f>$H$123/(($F$123-1)*$P$123)*100</f>
        <v>5.281690141</v>
      </c>
      <c r="E178" s="89">
        <f>$H$127/(($F$127-1)*$P$127)*100</f>
        <v>7.627118644</v>
      </c>
      <c r="F178" s="89">
        <f t="shared" si="94"/>
        <v>6.226013185</v>
      </c>
      <c r="G178" s="89">
        <f>$H$116/(($F$116-1)*$P$116)*100</f>
        <v>0.9433962264</v>
      </c>
      <c r="H178" s="99">
        <f>$H$120/(($F$120-1)*$P$120)*100</f>
        <v>0</v>
      </c>
      <c r="I178" s="89">
        <f>$H$124/(($F$124-1)*$P$124)*100</f>
        <v>4.430379747</v>
      </c>
      <c r="J178" s="89">
        <f>$H$128/(($F$128-1)*$P$128)*100</f>
        <v>7.142857143</v>
      </c>
      <c r="K178" s="89">
        <f t="shared" si="95"/>
        <v>4.172211039</v>
      </c>
      <c r="L178" s="89">
        <f>$H$117/(($F$117-1)*$P$117)*100</f>
        <v>5.357142857</v>
      </c>
      <c r="M178" s="99">
        <f>$H$121/(($F$121-1)*$P$121)*100</f>
        <v>0.2923976608</v>
      </c>
      <c r="N178" s="89">
        <f>$H$125/(($F$125-1)*$P$125)*100</f>
        <v>3.048780488</v>
      </c>
      <c r="O178" s="89">
        <f>$H$129/(($F$129-1)*$P$129)*100</f>
        <v>17.5</v>
      </c>
      <c r="P178" s="89">
        <f t="shared" si="96"/>
        <v>8.635307782</v>
      </c>
      <c r="R178" s="32"/>
      <c r="S178" s="32"/>
      <c r="T178" s="32"/>
    </row>
    <row r="179" ht="15.75" customHeight="1">
      <c r="A179" s="10" t="s">
        <v>210</v>
      </c>
      <c r="B179" s="87"/>
      <c r="C179" s="87"/>
      <c r="D179" s="87"/>
      <c r="E179" s="87"/>
      <c r="F179" s="88"/>
      <c r="G179" s="87"/>
      <c r="H179" s="87"/>
      <c r="I179" s="87"/>
      <c r="J179" s="87"/>
      <c r="K179" s="88"/>
      <c r="L179" s="87"/>
      <c r="M179" s="87"/>
      <c r="N179" s="87"/>
      <c r="O179" s="87"/>
      <c r="Q179" s="102" t="s">
        <v>239</v>
      </c>
      <c r="R179" s="103">
        <f>SUM($F$177,F180)</f>
        <v>54.48086703</v>
      </c>
      <c r="S179" s="103">
        <f>SUM($K$177,K180)</f>
        <v>53.99037929</v>
      </c>
      <c r="T179" s="103">
        <f>SUM($P$177,P180)</f>
        <v>63.27593392</v>
      </c>
    </row>
    <row r="180" ht="15.75" customHeight="1">
      <c r="A180" s="11" t="s">
        <v>73</v>
      </c>
      <c r="B180" s="77">
        <f t="shared" ref="B180:E180" si="97">B158</f>
        <v>36.28787879</v>
      </c>
      <c r="C180" s="89">
        <f t="shared" si="97"/>
        <v>4.352557127</v>
      </c>
      <c r="D180" s="77">
        <f t="shared" si="97"/>
        <v>43.18681319</v>
      </c>
      <c r="E180" s="77">
        <f t="shared" si="97"/>
        <v>26.21359223</v>
      </c>
      <c r="F180" s="77">
        <f t="shared" ref="F180:F181" si="100">AVERAGE(B180,D180:E180)</f>
        <v>35.22942807</v>
      </c>
      <c r="G180" s="77">
        <f t="shared" ref="G180:J180" si="98">G158</f>
        <v>40.7239819</v>
      </c>
      <c r="H180" s="89">
        <f t="shared" si="98"/>
        <v>6.194690265</v>
      </c>
      <c r="I180" s="77">
        <f t="shared" si="98"/>
        <v>42.51412429</v>
      </c>
      <c r="J180" s="77">
        <f t="shared" si="98"/>
        <v>21.18644068</v>
      </c>
      <c r="K180" s="77">
        <f t="shared" ref="K180:K181" si="101">AVERAGE(G180,I180:J180)</f>
        <v>34.80818229</v>
      </c>
      <c r="L180" s="77">
        <f t="shared" ref="L180:O180" si="99">L158</f>
        <v>44.40124417</v>
      </c>
      <c r="M180" s="89">
        <f t="shared" si="99"/>
        <v>6.284153005</v>
      </c>
      <c r="N180" s="77">
        <f t="shared" si="99"/>
        <v>48.07692308</v>
      </c>
      <c r="O180" s="77">
        <f t="shared" si="99"/>
        <v>35.54216867</v>
      </c>
      <c r="P180" s="77">
        <f t="shared" ref="P180:P181" si="102">AVERAGE(L180,N180:O180)</f>
        <v>42.67344531</v>
      </c>
      <c r="Q180" s="102" t="s">
        <v>242</v>
      </c>
      <c r="R180" s="108">
        <f>SUM($F$178,F181)</f>
        <v>46.02209082</v>
      </c>
      <c r="S180" s="108">
        <f>SUM($K$178,K181)</f>
        <v>37.11904951</v>
      </c>
      <c r="T180" s="108">
        <f>SUM($P$178,P181)</f>
        <v>45.49941928</v>
      </c>
    </row>
    <row r="181" ht="15.75" customHeight="1">
      <c r="A181" s="11" t="s">
        <v>205</v>
      </c>
      <c r="B181" s="77">
        <f>$N$115/(($F$115-1)*$P$115)*100</f>
        <v>55.76923077</v>
      </c>
      <c r="C181" s="89">
        <f>$N$119/(($F$119-1)*$P$119)*100</f>
        <v>1.004016064</v>
      </c>
      <c r="D181" s="77">
        <f>$N$123/(($F$123-1)*$P$123)*100</f>
        <v>28.87323944</v>
      </c>
      <c r="E181" s="77">
        <f>$N$127/(($F$127-1)*$P$127)*100</f>
        <v>34.74576271</v>
      </c>
      <c r="F181" s="77">
        <f t="shared" si="100"/>
        <v>39.79607764</v>
      </c>
      <c r="G181" s="77">
        <f>$N$116/(($F$116-1)*$P$116)*100</f>
        <v>64.1509434</v>
      </c>
      <c r="H181" s="89">
        <f>$N$120/(($F$120-1)*$P$120)*100</f>
        <v>1.149425287</v>
      </c>
      <c r="I181" s="77">
        <f>$N$124/(($F$124-1)*$P$124)*100</f>
        <v>22.78481013</v>
      </c>
      <c r="J181" s="77">
        <f>$N$128/(($F$128-1)*$P$128)*100</f>
        <v>11.9047619</v>
      </c>
      <c r="K181" s="77">
        <f t="shared" si="101"/>
        <v>32.94683848</v>
      </c>
      <c r="L181" s="77">
        <f>$N$117/(($F$117-1)*$P$117)*100</f>
        <v>48.21428571</v>
      </c>
      <c r="M181" s="89">
        <f>$N$121/(($F$121-1)*$P$121)*100</f>
        <v>4.093567251</v>
      </c>
      <c r="N181" s="77">
        <f>$N$125/(($F$125-1)*$P$125)*100</f>
        <v>29.87804878</v>
      </c>
      <c r="O181" s="77">
        <f>$N$129/(($F$129-1)*$P$129)*100</f>
        <v>32.5</v>
      </c>
      <c r="P181" s="77">
        <f t="shared" si="102"/>
        <v>36.8641115</v>
      </c>
      <c r="Q181" s="106" t="s">
        <v>247</v>
      </c>
    </row>
    <row r="182" ht="15.75" customHeight="1">
      <c r="A182" s="10" t="s">
        <v>213</v>
      </c>
      <c r="B182" s="87"/>
      <c r="C182" s="87"/>
      <c r="D182" s="87"/>
      <c r="E182" s="87"/>
      <c r="F182" s="88"/>
      <c r="G182" s="87"/>
      <c r="H182" s="87"/>
      <c r="I182" s="87"/>
      <c r="J182" s="87"/>
      <c r="K182" s="88"/>
      <c r="L182" s="87"/>
      <c r="M182" s="87"/>
      <c r="N182" s="87"/>
      <c r="O182" s="87"/>
      <c r="Q182" s="102" t="s">
        <v>239</v>
      </c>
      <c r="R182" s="103">
        <f t="shared" ref="R182:R183" si="103">F177</f>
        <v>19.25143896</v>
      </c>
      <c r="S182" s="103">
        <f t="shared" ref="S182:S183" si="104">K177</f>
        <v>19.182197</v>
      </c>
      <c r="T182" s="103">
        <f t="shared" ref="T182:T183" si="105">P177</f>
        <v>20.60248861</v>
      </c>
    </row>
    <row r="183" ht="15.75" customHeight="1">
      <c r="A183" s="11" t="s">
        <v>73</v>
      </c>
      <c r="B183" s="77">
        <f t="array" ref="B183:E183">B162:E162</f>
        <v>26.51515152</v>
      </c>
      <c r="C183" s="77">
        <v>91.24047878128401</v>
      </c>
      <c r="D183" s="77">
        <v>34.505494505494504</v>
      </c>
      <c r="E183" s="77">
        <v>41.74757281553398</v>
      </c>
      <c r="F183" s="94"/>
      <c r="G183" s="77">
        <f t="array" ref="G183:J183">G162:J162</f>
        <v>25.4147813</v>
      </c>
      <c r="H183" s="77">
        <v>90.7079646017699</v>
      </c>
      <c r="I183" s="77">
        <v>38.13559322033898</v>
      </c>
      <c r="J183" s="77">
        <v>50.0</v>
      </c>
      <c r="K183" s="94"/>
      <c r="L183" s="77">
        <f t="array" ref="L183:O183">L162:O162</f>
        <v>22.86158631</v>
      </c>
      <c r="M183" s="77">
        <v>90.98360655737704</v>
      </c>
      <c r="N183" s="77">
        <v>34.375</v>
      </c>
      <c r="O183" s="77">
        <v>30.72289156626506</v>
      </c>
      <c r="Q183" s="102" t="s">
        <v>242</v>
      </c>
      <c r="R183" s="110">
        <f t="shared" si="103"/>
        <v>6.226013185</v>
      </c>
      <c r="S183" s="110">
        <f t="shared" si="104"/>
        <v>4.172211039</v>
      </c>
      <c r="T183" s="110">
        <f t="shared" si="105"/>
        <v>8.635307782</v>
      </c>
    </row>
    <row r="184" ht="15.75" customHeight="1">
      <c r="A184" s="11" t="s">
        <v>205</v>
      </c>
      <c r="B184" s="89">
        <f>($I$115+$J$115+$K$115)/(($F$115-1)*$P$115)*100</f>
        <v>17.30769231</v>
      </c>
      <c r="C184" s="77">
        <f>($I$119+$J$119+$K$119)/(($F$119-1)*$P$119)*100</f>
        <v>96.38554217</v>
      </c>
      <c r="D184" s="77">
        <f>($I$123+$J$123+$K$123)/(($F$123-1)*$P$123)*100</f>
        <v>52.46478873</v>
      </c>
      <c r="E184" s="77">
        <f>($I$127+$J$127+$K$127)/(($F$127-1)*$P$127)*100</f>
        <v>27.96610169</v>
      </c>
      <c r="F184" s="78"/>
      <c r="G184" s="89">
        <f>($I$116+$J$116+$K$116)/(($F$116-1)*$P$116)*100</f>
        <v>16.03773585</v>
      </c>
      <c r="H184" s="77">
        <f>($I$120+$J$120+$K$120)/(($F$120-1)*$P$120)*100</f>
        <v>97.70114943</v>
      </c>
      <c r="I184" s="77">
        <f>($I$124+$J$124+$K$124)/(($F$124-1)*$P$124)*100</f>
        <v>60.12658228</v>
      </c>
      <c r="J184" s="77">
        <f>($I$128+$J$128+$K$128)/(($F$128-1)*$P$128)*100</f>
        <v>50</v>
      </c>
      <c r="K184" s="78"/>
      <c r="L184" s="89">
        <f>($I$117+$J$117+$K$117)/(($F$117-1)*$P$117)*100</f>
        <v>25</v>
      </c>
      <c r="M184" s="77">
        <f>($I$121+$J$121+$K$121)/(($F$121-1)*$P$121)*100</f>
        <v>95.02923977</v>
      </c>
      <c r="N184" s="77">
        <f>($I$125+$J$125+$K$125)/(($F$125-1)*$P$125)*100</f>
        <v>55.48780488</v>
      </c>
      <c r="O184" s="77">
        <f>($I$129+$J$129+$K$129)/(($F$129-1)*$P$129)*100</f>
        <v>32.5</v>
      </c>
      <c r="Q184" s="106" t="s">
        <v>251</v>
      </c>
    </row>
    <row r="185" ht="15.75" customHeight="1">
      <c r="A185" s="10" t="s">
        <v>221</v>
      </c>
      <c r="B185" s="87"/>
      <c r="C185" s="87"/>
      <c r="D185" s="87"/>
      <c r="E185" s="87"/>
      <c r="F185" s="88"/>
      <c r="G185" s="87"/>
      <c r="H185" s="87"/>
      <c r="I185" s="87"/>
      <c r="J185" s="87"/>
      <c r="K185" s="88"/>
      <c r="L185" s="87"/>
      <c r="M185" s="87"/>
      <c r="N185" s="87"/>
      <c r="O185" s="87"/>
      <c r="Q185" s="102" t="s">
        <v>239</v>
      </c>
      <c r="R185" s="111">
        <f t="shared" ref="R185:R186" si="109">F186</f>
        <v>11.26306003</v>
      </c>
      <c r="S185" s="110">
        <f t="shared" ref="S185:S186" si="110">K186</f>
        <v>8.159495871</v>
      </c>
      <c r="T185" s="110">
        <f t="shared" ref="T185:T186" si="111">P186</f>
        <v>7.404240121</v>
      </c>
    </row>
    <row r="186" ht="15.75" customHeight="1">
      <c r="A186" s="11" t="s">
        <v>73</v>
      </c>
      <c r="B186" s="89">
        <f t="shared" ref="B186:E186" si="106">B166</f>
        <v>5.984848485</v>
      </c>
      <c r="C186" s="99">
        <f t="shared" si="106"/>
        <v>1.958650707</v>
      </c>
      <c r="D186" s="89">
        <f t="shared" si="106"/>
        <v>16.15384615</v>
      </c>
      <c r="E186" s="89">
        <f t="shared" si="106"/>
        <v>11.65048544</v>
      </c>
      <c r="F186" s="89">
        <f t="shared" ref="F186:F187" si="112">AVERAGE(B186,D186:E186)</f>
        <v>11.26306003</v>
      </c>
      <c r="G186" s="89">
        <f t="shared" ref="G186:J186" si="107">G166</f>
        <v>5.128205128</v>
      </c>
      <c r="H186" s="99">
        <f t="shared" si="107"/>
        <v>0.9955752212</v>
      </c>
      <c r="I186" s="89">
        <f t="shared" si="107"/>
        <v>13.4180791</v>
      </c>
      <c r="J186" s="89">
        <f t="shared" si="107"/>
        <v>5.93220339</v>
      </c>
      <c r="K186" s="89">
        <f t="shared" ref="K186:K187" si="113">AVERAGE(G186,I186:J186)</f>
        <v>8.159495871</v>
      </c>
      <c r="L186" s="89">
        <f t="shared" ref="L186:O186" si="108">L166</f>
        <v>3.810264386</v>
      </c>
      <c r="M186" s="99">
        <f t="shared" si="108"/>
        <v>0.9289617486</v>
      </c>
      <c r="N186" s="89">
        <f t="shared" si="108"/>
        <v>12.98076923</v>
      </c>
      <c r="O186" s="89">
        <f t="shared" si="108"/>
        <v>5.421686747</v>
      </c>
      <c r="P186" s="89">
        <f t="shared" ref="P186:P187" si="114">AVERAGE(L186,N186:O186)</f>
        <v>7.404240121</v>
      </c>
      <c r="Q186" s="102" t="s">
        <v>242</v>
      </c>
      <c r="R186" s="103">
        <f t="shared" si="109"/>
        <v>21.3983816</v>
      </c>
      <c r="S186" s="103">
        <f t="shared" si="110"/>
        <v>20.82617778</v>
      </c>
      <c r="T186" s="103">
        <f t="shared" si="111"/>
        <v>16.83797909</v>
      </c>
    </row>
    <row r="187" ht="15.75" customHeight="1">
      <c r="A187" s="11" t="s">
        <v>205</v>
      </c>
      <c r="B187" s="89">
        <f>($L$115+$M$115)/(($F$115-1)*$P$115)*100</f>
        <v>21.15384615</v>
      </c>
      <c r="C187" s="99">
        <f>($L$119+$M$119)/(($F$119-1)*$P$119)*100</f>
        <v>1.807228916</v>
      </c>
      <c r="D187" s="89">
        <f>($L$123+$M$123)/(($F$123-1)*$P$123)*100</f>
        <v>13.38028169</v>
      </c>
      <c r="E187" s="89">
        <f>($L$127+$M$127)/(($F$127-1)*$P$127)*100</f>
        <v>29.66101695</v>
      </c>
      <c r="F187" s="89">
        <f t="shared" si="112"/>
        <v>21.3983816</v>
      </c>
      <c r="G187" s="89">
        <f>($L$116+$M$116)/(($F$116-1)*$P$116)*100</f>
        <v>18.86792453</v>
      </c>
      <c r="H187" s="99">
        <f>($L$120+$M$120)/(($F$120-1)*$P$120)*100</f>
        <v>1.149425287</v>
      </c>
      <c r="I187" s="89">
        <f>($L$124+$M$124)/(($F$124-1)*$P$124)*100</f>
        <v>12.65822785</v>
      </c>
      <c r="J187" s="89">
        <f>($L$128+$M$128)/(($F$128-1)*$P$128)*100</f>
        <v>30.95238095</v>
      </c>
      <c r="K187" s="89">
        <f t="shared" si="113"/>
        <v>20.82617778</v>
      </c>
      <c r="L187" s="89">
        <f>($L$117+$M$117)/(($F$117-1)*$P$117)*100</f>
        <v>21.42857143</v>
      </c>
      <c r="M187" s="99">
        <f>($L$121+$M$121/(($F$121-1)*$P$121)*100)</f>
        <v>0.5847953216</v>
      </c>
      <c r="N187" s="89">
        <f>($L$125+$M$125)/(($F$125-1)*$P$125)*100</f>
        <v>11.58536585</v>
      </c>
      <c r="O187" s="89">
        <f>($L$129+$M$129)/(($F$129-1)*$P$129)*100</f>
        <v>17.5</v>
      </c>
      <c r="P187" s="89">
        <f t="shared" si="114"/>
        <v>16.83797909</v>
      </c>
    </row>
    <row r="188" ht="15.75" customHeight="1">
      <c r="A188" s="105" t="s">
        <v>241</v>
      </c>
      <c r="B188" s="87"/>
      <c r="C188" s="87"/>
      <c r="D188" s="87"/>
      <c r="E188" s="87"/>
      <c r="F188" s="88"/>
      <c r="G188" s="87"/>
      <c r="H188" s="87"/>
      <c r="I188" s="87"/>
      <c r="J188" s="87"/>
      <c r="K188" s="88"/>
      <c r="L188" s="87"/>
      <c r="M188" s="87"/>
      <c r="N188" s="87"/>
      <c r="O188" s="87"/>
    </row>
    <row r="189" ht="15.75" customHeight="1">
      <c r="A189" s="11" t="s">
        <v>73</v>
      </c>
      <c r="B189" s="89">
        <f t="shared" ref="B189:O189" si="115">B170</f>
        <v>12.72727273</v>
      </c>
      <c r="C189" s="89">
        <f t="shared" si="115"/>
        <v>30.79434168</v>
      </c>
      <c r="D189" s="89">
        <f t="shared" si="115"/>
        <v>19.23076923</v>
      </c>
      <c r="E189" s="89">
        <f t="shared" si="115"/>
        <v>33.00970874</v>
      </c>
      <c r="F189" s="89" t="str">
        <f t="shared" si="115"/>
        <v/>
      </c>
      <c r="G189" s="89">
        <f t="shared" si="115"/>
        <v>9.2760181</v>
      </c>
      <c r="H189" s="89">
        <f t="shared" si="115"/>
        <v>12.83185841</v>
      </c>
      <c r="I189" s="89">
        <f t="shared" si="115"/>
        <v>16.38418079</v>
      </c>
      <c r="J189" s="89">
        <f t="shared" si="115"/>
        <v>22.88135593</v>
      </c>
      <c r="K189" s="89" t="str">
        <f t="shared" si="115"/>
        <v/>
      </c>
      <c r="L189" s="89">
        <f t="shared" si="115"/>
        <v>8.087091757</v>
      </c>
      <c r="M189" s="89">
        <f t="shared" si="115"/>
        <v>12.62295082</v>
      </c>
      <c r="N189" s="89">
        <f t="shared" si="115"/>
        <v>11.41826923</v>
      </c>
      <c r="O189" s="89">
        <f t="shared" si="115"/>
        <v>12.65060241</v>
      </c>
    </row>
    <row r="190" ht="15.75" customHeight="1">
      <c r="A190" s="11" t="s">
        <v>205</v>
      </c>
      <c r="B190" s="89">
        <f>$O$115/(($F$115-1)*$P$115)*100</f>
        <v>16.02564103</v>
      </c>
      <c r="C190" s="99">
        <f>$O$119/(($F$119-1)*$P$119)*100</f>
        <v>48.19277108</v>
      </c>
      <c r="D190" s="89">
        <f>$O$123/(($F$123-1)*$P$123)*100</f>
        <v>43.66197183</v>
      </c>
      <c r="E190" s="89">
        <f>$O$127/(($F$127-1)*$P$127)*100</f>
        <v>41.52542373</v>
      </c>
      <c r="F190" s="78" t="str">
        <f>MIDDEO(B190:E190)</f>
        <v>#NAME?</v>
      </c>
      <c r="G190" s="89">
        <f>$O$116/(($F$116-1)*$P$116)*100</f>
        <v>13.20754717</v>
      </c>
      <c r="H190" s="99">
        <f>$O$120/(($F$120-1)*$P$120)*100</f>
        <v>38.79310345</v>
      </c>
      <c r="I190" s="89">
        <f>$O$124/(($F$124-1)*$P$124)*100</f>
        <v>44.30379747</v>
      </c>
      <c r="J190" s="89">
        <f>$O$128/(($F$128-1)*$P$128)*100</f>
        <v>57.14285714</v>
      </c>
      <c r="K190" s="78" t="str">
        <f>MIDDEO(G190:J190)</f>
        <v>#NAME?</v>
      </c>
      <c r="L190" s="89">
        <f>$O$117/(($F$117-1)*$P$117)*100</f>
        <v>20.53571429</v>
      </c>
      <c r="M190" s="99">
        <f>$O$121/(($F$121-1)*$P$121)*100</f>
        <v>41.52046784</v>
      </c>
      <c r="N190" s="89">
        <f>$O$125/(($F$125-1)*$P$125)*100</f>
        <v>37.80487805</v>
      </c>
      <c r="O190" s="89">
        <f>$O$129/(($F$129-1)*$P$129)*100</f>
        <v>25</v>
      </c>
    </row>
    <row r="191" ht="15.75" customHeight="1">
      <c r="A191" s="72"/>
      <c r="B191" s="56">
        <f t="shared" ref="B191:E191" si="116">SUM(B177,B180,B183,B186)</f>
        <v>100</v>
      </c>
      <c r="C191" s="56">
        <f t="shared" si="116"/>
        <v>100</v>
      </c>
      <c r="D191" s="56">
        <f t="shared" si="116"/>
        <v>100</v>
      </c>
      <c r="E191" s="56">
        <f t="shared" si="116"/>
        <v>100</v>
      </c>
      <c r="F191" s="56"/>
      <c r="G191" s="56">
        <f t="shared" ref="G191:J191" si="117">SUM(G177,G180,G183,G186)</f>
        <v>100</v>
      </c>
      <c r="H191" s="56">
        <f t="shared" si="117"/>
        <v>100</v>
      </c>
      <c r="I191" s="56">
        <f t="shared" si="117"/>
        <v>100</v>
      </c>
      <c r="J191" s="56">
        <f t="shared" si="117"/>
        <v>100</v>
      </c>
      <c r="K191" s="56"/>
      <c r="L191" s="56">
        <f t="shared" ref="L191:O191" si="118">SUM(L177,L180,L183,L186)</f>
        <v>100</v>
      </c>
      <c r="M191" s="56">
        <f t="shared" si="118"/>
        <v>100</v>
      </c>
      <c r="N191" s="56">
        <f t="shared" si="118"/>
        <v>100</v>
      </c>
      <c r="O191" s="56">
        <f t="shared" si="118"/>
        <v>100</v>
      </c>
    </row>
    <row r="192" ht="15.75" customHeight="1">
      <c r="A192" s="11"/>
      <c r="B192" s="33">
        <f t="shared" ref="B192:E192" si="119">SUM(B178,B181,B184,B187)</f>
        <v>100</v>
      </c>
      <c r="C192" s="33">
        <f t="shared" si="119"/>
        <v>100</v>
      </c>
      <c r="D192" s="33">
        <f t="shared" si="119"/>
        <v>100</v>
      </c>
      <c r="E192" s="33">
        <f t="shared" si="119"/>
        <v>100</v>
      </c>
      <c r="F192" s="33"/>
      <c r="G192" s="33">
        <f t="shared" ref="G192:J192" si="120">SUM(G178,G181,G184,G187)</f>
        <v>100</v>
      </c>
      <c r="H192" s="33">
        <f t="shared" si="120"/>
        <v>100</v>
      </c>
      <c r="I192" s="33">
        <f t="shared" si="120"/>
        <v>100</v>
      </c>
      <c r="J192" s="33">
        <f t="shared" si="120"/>
        <v>100</v>
      </c>
      <c r="K192" s="33"/>
      <c r="L192" s="33">
        <f t="shared" ref="L192:O192" si="121">SUM(L178,L181,L184,L187)</f>
        <v>100</v>
      </c>
      <c r="M192" s="33">
        <f t="shared" si="121"/>
        <v>100</v>
      </c>
      <c r="N192" s="33">
        <f t="shared" si="121"/>
        <v>100</v>
      </c>
      <c r="O192" s="33">
        <f t="shared" si="121"/>
        <v>100</v>
      </c>
    </row>
    <row r="193" ht="15.75" customHeight="1">
      <c r="Q193" s="30" t="s">
        <v>259</v>
      </c>
      <c r="R193" s="31" t="s">
        <v>260</v>
      </c>
      <c r="S193" s="32"/>
      <c r="T193" s="32"/>
      <c r="U193" s="32"/>
      <c r="V193" s="8"/>
      <c r="W193" s="31" t="s">
        <v>261</v>
      </c>
      <c r="X193" s="32"/>
      <c r="Y193" s="32"/>
      <c r="Z193" s="32"/>
      <c r="AB193" s="31" t="s">
        <v>262</v>
      </c>
      <c r="AC193" s="32"/>
      <c r="AD193" s="32"/>
      <c r="AE193" s="32"/>
      <c r="AF193" s="2" t="s">
        <v>92</v>
      </c>
    </row>
    <row r="194" ht="15.75" customHeight="1">
      <c r="A194" s="30" t="s">
        <v>259</v>
      </c>
      <c r="B194" s="31" t="s">
        <v>260</v>
      </c>
      <c r="C194" s="32"/>
      <c r="D194" s="32"/>
      <c r="E194" s="32"/>
      <c r="F194" s="8"/>
      <c r="G194" s="31" t="s">
        <v>261</v>
      </c>
      <c r="H194" s="32"/>
      <c r="I194" s="32"/>
      <c r="J194" s="32"/>
      <c r="L194" s="31" t="s">
        <v>262</v>
      </c>
      <c r="M194" s="32"/>
      <c r="N194" s="32"/>
      <c r="O194" s="32"/>
      <c r="R194" s="8" t="s">
        <v>63</v>
      </c>
      <c r="S194" s="8" t="s">
        <v>64</v>
      </c>
      <c r="T194" s="8" t="s">
        <v>65</v>
      </c>
      <c r="U194" s="8" t="s">
        <v>66</v>
      </c>
      <c r="W194" s="8" t="s">
        <v>63</v>
      </c>
      <c r="X194" s="8" t="s">
        <v>64</v>
      </c>
      <c r="Y194" s="8" t="s">
        <v>65</v>
      </c>
      <c r="Z194" s="8" t="s">
        <v>66</v>
      </c>
      <c r="AA194" s="59"/>
      <c r="AB194" s="8" t="s">
        <v>63</v>
      </c>
      <c r="AC194" s="8" t="s">
        <v>64</v>
      </c>
      <c r="AD194" s="8" t="s">
        <v>65</v>
      </c>
      <c r="AE194" s="8" t="s">
        <v>66</v>
      </c>
    </row>
    <row r="195" ht="15.75" customHeight="1">
      <c r="A195" s="9"/>
      <c r="B195" s="8" t="s">
        <v>63</v>
      </c>
      <c r="C195" s="8" t="s">
        <v>64</v>
      </c>
      <c r="D195" s="8" t="s">
        <v>65</v>
      </c>
      <c r="E195" s="8" t="s">
        <v>66</v>
      </c>
      <c r="F195" s="8"/>
      <c r="G195" s="8" t="s">
        <v>63</v>
      </c>
      <c r="H195" s="8" t="s">
        <v>64</v>
      </c>
      <c r="I195" s="8" t="s">
        <v>65</v>
      </c>
      <c r="J195" s="8" t="s">
        <v>66</v>
      </c>
      <c r="K195" s="59"/>
      <c r="L195" s="8" t="s">
        <v>63</v>
      </c>
      <c r="M195" s="8" t="s">
        <v>64</v>
      </c>
      <c r="N195" s="8" t="s">
        <v>65</v>
      </c>
      <c r="O195" s="8" t="s">
        <v>66</v>
      </c>
      <c r="Q195" s="11" t="s">
        <v>68</v>
      </c>
      <c r="R195" s="33">
        <f t="shared" ref="R195:U195" si="122">B197+B201</f>
        <v>74.9466951</v>
      </c>
      <c r="S195" s="29">
        <f t="shared" si="122"/>
        <v>6.517094017</v>
      </c>
      <c r="T195" s="33">
        <f t="shared" si="122"/>
        <v>26.00472813</v>
      </c>
      <c r="U195" s="33">
        <f t="shared" si="122"/>
        <v>52.45901639</v>
      </c>
      <c r="V195" s="33"/>
      <c r="W195" s="33">
        <f t="shared" ref="W195:Z195" si="123">G197+G201</f>
        <v>76.28205128</v>
      </c>
      <c r="X195" s="29">
        <f t="shared" si="123"/>
        <v>6.472491909</v>
      </c>
      <c r="Y195" s="33">
        <f t="shared" si="123"/>
        <v>29.56120092</v>
      </c>
      <c r="Z195" s="33">
        <f t="shared" si="123"/>
        <v>65.33333333</v>
      </c>
      <c r="AA195" s="33"/>
      <c r="AB195" s="33">
        <f t="shared" ref="AB195:AE195" si="124">L197+L201</f>
        <v>77.6185226</v>
      </c>
      <c r="AC195" s="29">
        <f t="shared" si="124"/>
        <v>7.607497244</v>
      </c>
      <c r="AD195" s="33">
        <f t="shared" si="124"/>
        <v>34.92462312</v>
      </c>
      <c r="AE195" s="33">
        <f t="shared" si="124"/>
        <v>73.91304348</v>
      </c>
      <c r="AF195" s="33">
        <f t="shared" ref="AF195:AF197" si="128">AVERAGE(R195:U195,W195:Z195,AB195:AE195)</f>
        <v>44.30335813</v>
      </c>
    </row>
    <row r="196" ht="15.75" customHeight="1">
      <c r="A196" s="10" t="s">
        <v>203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Q196" s="11" t="s">
        <v>73</v>
      </c>
      <c r="R196" s="33">
        <f t="shared" ref="R196:U196" si="125">B198+B202</f>
        <v>56.45833333</v>
      </c>
      <c r="S196" s="29">
        <f t="shared" si="125"/>
        <v>5.935050392</v>
      </c>
      <c r="T196" s="33">
        <f t="shared" si="125"/>
        <v>35.41666667</v>
      </c>
      <c r="U196" s="33">
        <f t="shared" si="125"/>
        <v>37.28813559</v>
      </c>
      <c r="V196" s="33"/>
      <c r="W196" s="33">
        <f t="shared" ref="W196:Z196" si="126">G198+G202</f>
        <v>58.72340426</v>
      </c>
      <c r="X196" s="29">
        <f t="shared" si="126"/>
        <v>5.034324943</v>
      </c>
      <c r="Y196" s="33">
        <f t="shared" si="126"/>
        <v>32.23684211</v>
      </c>
      <c r="Z196" s="33">
        <f t="shared" si="126"/>
        <v>37.5</v>
      </c>
      <c r="AA196" s="29"/>
      <c r="AB196" s="33">
        <f t="shared" ref="AB196:AE196" si="127">L198+L202</f>
        <v>63.61607143</v>
      </c>
      <c r="AC196" s="29">
        <f t="shared" si="127"/>
        <v>6.860465116</v>
      </c>
      <c r="AD196" s="33">
        <f t="shared" si="127"/>
        <v>40.87301587</v>
      </c>
      <c r="AE196" s="33">
        <f t="shared" si="127"/>
        <v>30.95238095</v>
      </c>
      <c r="AF196" s="33">
        <f t="shared" si="128"/>
        <v>34.24122422</v>
      </c>
    </row>
    <row r="197" ht="15.75" customHeight="1">
      <c r="A197" s="11" t="s">
        <v>68</v>
      </c>
      <c r="B197" s="14">
        <f>$H$51/(($F$51-2)*$P$51)*100</f>
        <v>14.60554371</v>
      </c>
      <c r="C197" s="12">
        <f>$H$55/(($F$55-2)*$P$55)*100</f>
        <v>2.136752137</v>
      </c>
      <c r="D197" s="15">
        <f>$H$59/(($F$59-2)*$P$59)*100</f>
        <v>7.80141844</v>
      </c>
      <c r="E197" s="12">
        <f>$H$63/(($F$63-2)*$P$63)*100</f>
        <v>8.196721311</v>
      </c>
      <c r="G197" s="14">
        <f>$H$52/(($F$52-2)*$P$52)*100</f>
        <v>13.88888889</v>
      </c>
      <c r="H197" s="12">
        <f>$H$56/(($F$56-2)*$P$56)*100</f>
        <v>1.510248112</v>
      </c>
      <c r="I197" s="12">
        <f>$H$60/(($F$60-2)*$P$60)*100</f>
        <v>8.31408776</v>
      </c>
      <c r="J197" s="16">
        <f>$H$64/(($F$64-2)*$P$64)*100</f>
        <v>9.333333333</v>
      </c>
      <c r="L197" s="17">
        <f>$H$53/(($F$53-2)*$P$53)*100</f>
        <v>10.91510474</v>
      </c>
      <c r="M197" s="15">
        <f>$H$57/(($F$57-2)*$P$57)*100</f>
        <v>1.212789416</v>
      </c>
      <c r="N197" s="14">
        <f>$H$61/(($F$61-2)*$P$61)*100</f>
        <v>10.55276382</v>
      </c>
      <c r="O197" s="20">
        <f>$H$65/(($F$65-2)*$P$65)*100</f>
        <v>2.173913043</v>
      </c>
      <c r="Q197" s="23" t="s">
        <v>76</v>
      </c>
      <c r="R197" s="33">
        <f t="shared" ref="R197:U197" si="129">B199+B203</f>
        <v>55.4887218</v>
      </c>
      <c r="S197" s="29">
        <f t="shared" si="129"/>
        <v>6.902985075</v>
      </c>
      <c r="T197" s="33">
        <f t="shared" si="129"/>
        <v>41.89602446</v>
      </c>
      <c r="U197" s="33">
        <f t="shared" si="129"/>
        <v>31.25</v>
      </c>
      <c r="V197" s="33"/>
      <c r="W197" s="33">
        <f t="shared" ref="W197:Z197" si="130">G199+G203</f>
        <v>50.69337442</v>
      </c>
      <c r="X197" s="29">
        <f t="shared" si="130"/>
        <v>6.616257089</v>
      </c>
      <c r="Y197" s="33">
        <f t="shared" si="130"/>
        <v>40.52287582</v>
      </c>
      <c r="Z197" s="33">
        <f t="shared" si="130"/>
        <v>28.16901408</v>
      </c>
      <c r="AB197" s="33">
        <f t="shared" ref="AB197:AE197" si="131">L199+L203</f>
        <v>54.87804878</v>
      </c>
      <c r="AC197" s="29">
        <f t="shared" si="131"/>
        <v>6.273764259</v>
      </c>
      <c r="AD197" s="33">
        <f t="shared" si="131"/>
        <v>37.42857143</v>
      </c>
      <c r="AE197" s="33">
        <f t="shared" si="131"/>
        <v>35.44303797</v>
      </c>
      <c r="AF197" s="33">
        <f t="shared" si="128"/>
        <v>32.96355627</v>
      </c>
    </row>
    <row r="198" ht="15.75" customHeight="1">
      <c r="A198" s="11" t="s">
        <v>73</v>
      </c>
      <c r="B198" s="17">
        <f>$H$67/(($F$67-2)*$P$67)*100</f>
        <v>26.66666667</v>
      </c>
      <c r="C198" s="12">
        <f>$H$71/(($F$71-2)*$P$71)*100</f>
        <v>1.903695409</v>
      </c>
      <c r="D198" s="20">
        <f>$H$75/(($F$75-2)*$P$75)*100</f>
        <v>4.861111111</v>
      </c>
      <c r="E198" s="14">
        <f>$H$79/(($F$79-2)*$P$79)*100</f>
        <v>22.03389831</v>
      </c>
      <c r="F198" s="8"/>
      <c r="G198" s="14">
        <f>$H$68/(($F$68-2)*$P$68)*100</f>
        <v>27.0212766</v>
      </c>
      <c r="H198" s="12">
        <f>$H$72/(($F$72-2)*$P$72)*100</f>
        <v>1.601830664</v>
      </c>
      <c r="I198" s="16">
        <f>$H$76/(($F$76-2)*$P$76)*100</f>
        <v>5.921052632</v>
      </c>
      <c r="J198" s="14">
        <f>$H$80/(($F$80-2)*$P$80)*100</f>
        <v>16.07142857</v>
      </c>
      <c r="L198" s="14">
        <f>$H$69/(($F$69-2)*$P$69)*100</f>
        <v>29.01785714</v>
      </c>
      <c r="M198" s="15">
        <f>$H$73/(($F$73-2)*$P$73)*100</f>
        <v>1.279069767</v>
      </c>
      <c r="N198" s="12">
        <f>$H$77/(($F$77-2)*$P$77)*100</f>
        <v>5.952380952</v>
      </c>
      <c r="O198" s="17">
        <f>$H$81/(($F$81-2)*$P$81)*100</f>
        <v>11.9047619</v>
      </c>
      <c r="Q198" s="11" t="s">
        <v>92</v>
      </c>
      <c r="R198" s="33">
        <f t="shared" ref="R198:U198" si="132">AVERAGE(R195:R197)</f>
        <v>62.29791674</v>
      </c>
      <c r="S198" s="29">
        <f t="shared" si="132"/>
        <v>6.451709828</v>
      </c>
      <c r="T198" s="33">
        <f t="shared" si="132"/>
        <v>34.43913975</v>
      </c>
      <c r="U198" s="33">
        <f t="shared" si="132"/>
        <v>40.332384</v>
      </c>
      <c r="V198" s="33"/>
      <c r="W198" s="33">
        <f t="shared" ref="W198:Z198" si="133">AVERAGE(W195:W197)</f>
        <v>61.89960999</v>
      </c>
      <c r="X198" s="29">
        <f t="shared" si="133"/>
        <v>6.041024647</v>
      </c>
      <c r="Y198" s="33">
        <f t="shared" si="133"/>
        <v>34.10697295</v>
      </c>
      <c r="Z198" s="33">
        <f t="shared" si="133"/>
        <v>43.66744914</v>
      </c>
      <c r="AA198" s="33"/>
      <c r="AB198" s="33">
        <f t="shared" ref="AB198:AE198" si="134">AVERAGE(AB195:AB197)</f>
        <v>65.37088094</v>
      </c>
      <c r="AC198" s="29">
        <f t="shared" si="134"/>
        <v>6.913908873</v>
      </c>
      <c r="AD198" s="33">
        <f t="shared" si="134"/>
        <v>37.74207014</v>
      </c>
      <c r="AE198" s="33">
        <f t="shared" si="134"/>
        <v>46.76948747</v>
      </c>
    </row>
    <row r="199" ht="15.75" customHeight="1">
      <c r="A199" s="11" t="s">
        <v>76</v>
      </c>
      <c r="B199" s="16">
        <f>$H$83/(($F$83-2)*$P$83)*100</f>
        <v>6.766917293</v>
      </c>
      <c r="C199" s="28">
        <f>$H$87/(($F$87-2)*$P$87)*100</f>
        <v>0.5597014925</v>
      </c>
      <c r="D199" s="12">
        <f>$H$91/(($F$91-2)*$P$91)*100</f>
        <v>8.868501529</v>
      </c>
      <c r="E199" s="20">
        <f>$H$95/(($F$95-2)*$P$95)*100</f>
        <v>7.5</v>
      </c>
      <c r="F199" s="8"/>
      <c r="G199" s="20">
        <f>$H$84/(($F$84-2)*$P$84)*100</f>
        <v>5.701078582</v>
      </c>
      <c r="H199" s="28">
        <f>$H$88/(($F$88-2)*$P$88)*100</f>
        <v>0.9451795841</v>
      </c>
      <c r="I199" s="12">
        <f>$H$92/(($F$92-2)*$P$92)*100</f>
        <v>9.803921569</v>
      </c>
      <c r="J199" s="12">
        <f>$H$96/(($F$96-2)*$P$96)*100</f>
        <v>9.85915493</v>
      </c>
      <c r="L199" s="16">
        <f>$H$85/(($F$85-2)*$P$85)*100</f>
        <v>5.792682927</v>
      </c>
      <c r="M199" s="27">
        <f>$H$89/(($F$89-2)*$P$89)*100</f>
        <v>0.3802281369</v>
      </c>
      <c r="N199" s="20">
        <f>$H$93/(($F$93-2)*$P$93)*100</f>
        <v>5.428571429</v>
      </c>
      <c r="O199" s="14">
        <f>$H$97/(($F$97-2)*$P$97)*100</f>
        <v>10.12658228</v>
      </c>
      <c r="S199" s="33">
        <f>AVERAGE(R198:U198)</f>
        <v>35.88028758</v>
      </c>
      <c r="X199" s="33">
        <f>AVERAGE(W198:Z198)</f>
        <v>36.42876418</v>
      </c>
      <c r="AC199" s="33">
        <f>AVERAGE(AB198:AE198)</f>
        <v>39.19908685</v>
      </c>
    </row>
    <row r="200" ht="15.75" customHeight="1">
      <c r="A200" s="10" t="s">
        <v>210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10"/>
      <c r="L200" s="24"/>
      <c r="M200" s="24"/>
      <c r="N200" s="24"/>
      <c r="O200" s="24"/>
      <c r="X200" s="4"/>
    </row>
    <row r="201" ht="15.75" customHeight="1">
      <c r="A201" s="11" t="s">
        <v>68</v>
      </c>
      <c r="B201" s="17">
        <f>$N$51/(($F$51-2)*$P$51)*100</f>
        <v>60.34115139</v>
      </c>
      <c r="C201" s="15">
        <f>$N$55/(($F$55-2)*$P$55)*100</f>
        <v>4.38034188</v>
      </c>
      <c r="D201" s="18">
        <f>$N$59/(($F$59-2)*$P$59)*100</f>
        <v>18.20330969</v>
      </c>
      <c r="E201" s="17">
        <f>$N$63/(($F$63-2)*$P$63)*100</f>
        <v>44.26229508</v>
      </c>
      <c r="F201" s="8"/>
      <c r="G201" s="14">
        <f>$N$52/(($F$52-2)*$P$52)*100</f>
        <v>62.39316239</v>
      </c>
      <c r="H201" s="12">
        <f>$N$56/(($F$56-2)*$P$56)*100</f>
        <v>4.962243797</v>
      </c>
      <c r="I201" s="13">
        <f>$N$60/(($F$60-2)*$P$60)*100</f>
        <v>21.24711316</v>
      </c>
      <c r="J201" s="14">
        <f>$N$64/(($F$64-2)*$P$64)*100</f>
        <v>56</v>
      </c>
      <c r="L201" s="14">
        <f>$N$53/(($F$53-2)*$P$53)*100</f>
        <v>66.70341786</v>
      </c>
      <c r="M201" s="12">
        <f>$N$57/(($F$57-2)*$P$57)*100</f>
        <v>6.394707828</v>
      </c>
      <c r="N201" s="13">
        <f>$N$61/(($F$61-2)*$P$61)*100</f>
        <v>24.3718593</v>
      </c>
      <c r="O201" s="14">
        <f>$N$65/(($F$65-2)*$P$65)*100</f>
        <v>71.73913043</v>
      </c>
    </row>
    <row r="202" ht="15.75" customHeight="1">
      <c r="A202" s="11" t="s">
        <v>73</v>
      </c>
      <c r="B202" s="18">
        <f>$N$67/(($F$67-2)*$P$67)*100</f>
        <v>29.79166667</v>
      </c>
      <c r="C202" s="16">
        <f>$N$71/(($F$71-2)*$P$71)*100</f>
        <v>4.031354983</v>
      </c>
      <c r="D202" s="14">
        <f>$N$75/(($F$75-2)*$P$75)*100</f>
        <v>30.55555556</v>
      </c>
      <c r="E202" s="18">
        <f>$N$79/(($F$79-2)*$P$79)*100</f>
        <v>15.25423729</v>
      </c>
      <c r="F202" s="8"/>
      <c r="G202" s="13">
        <f>$N$68/(($F$68-2)*$P$68)*100</f>
        <v>31.70212766</v>
      </c>
      <c r="H202" s="20">
        <f>$N$72/(($F$72-2)*$P$72)*100</f>
        <v>3.432494279</v>
      </c>
      <c r="I202" s="17">
        <f>$N$76/(($F$76-2)*$P$76)*100</f>
        <v>26.31578947</v>
      </c>
      <c r="J202" s="14">
        <f>$N$80/(($F$80-2)*$P$80)*100</f>
        <v>21.42857143</v>
      </c>
      <c r="L202" s="13">
        <f>$N$69/(($F$69-2)*$P$69)*100</f>
        <v>34.59821429</v>
      </c>
      <c r="M202" s="16">
        <f>$N$73/(($F$73-2)*$P$73)*100</f>
        <v>5.581395349</v>
      </c>
      <c r="N202" s="14">
        <f>$N$77/(($F$77-2)*$P$77)*100</f>
        <v>34.92063492</v>
      </c>
      <c r="O202" s="13">
        <f>$N$81/(($F$81-2)*$P$81)*100</f>
        <v>19.04761905</v>
      </c>
    </row>
    <row r="203" ht="15.75" customHeight="1">
      <c r="A203" s="11" t="s">
        <v>76</v>
      </c>
      <c r="B203" s="14">
        <f>$N$83/(($F$83-2)*$P$83)*100</f>
        <v>48.72180451</v>
      </c>
      <c r="C203" s="12">
        <f>$N$87/(($F$87-2)*$P$87)*100</f>
        <v>6.343283582</v>
      </c>
      <c r="D203" s="14">
        <f>$N$91/(($F$91-2)*$P$91)*100</f>
        <v>33.02752294</v>
      </c>
      <c r="E203" s="14">
        <f>$N$95/(($F$95-2)*$P$95)*100</f>
        <v>23.75</v>
      </c>
      <c r="F203" s="8"/>
      <c r="G203" s="17">
        <f>$N$84/(($F$84-2)*$P$84)*100</f>
        <v>44.99229584</v>
      </c>
      <c r="H203" s="15">
        <f>$N$88/(($F$88-2)*$P$88)*100</f>
        <v>5.671077505</v>
      </c>
      <c r="I203" s="17">
        <f>$N$92/(($F$92-2)*$P$92)*100</f>
        <v>30.71895425</v>
      </c>
      <c r="J203" s="18">
        <f>$N$96/(($F$96-2)*$P$96)*100</f>
        <v>18.30985915</v>
      </c>
      <c r="L203" s="14">
        <f>$N$85/(($F$85-2)*$P$85)*100</f>
        <v>49.08536585</v>
      </c>
      <c r="M203" s="12">
        <f>$N$89/(($F$89-2)*$P$89)*100</f>
        <v>5.893536122</v>
      </c>
      <c r="N203" s="14">
        <f>$N$93/(($F$93-2)*$P$93)*100</f>
        <v>32</v>
      </c>
      <c r="O203" s="14">
        <f>$N$97/(($F$97-2)*$P$97)*100</f>
        <v>25.3164557</v>
      </c>
    </row>
    <row r="204" ht="15.75" customHeight="1">
      <c r="A204" s="10" t="s">
        <v>213</v>
      </c>
      <c r="B204" s="24"/>
      <c r="C204" s="24"/>
      <c r="D204" s="24"/>
      <c r="E204" s="24"/>
      <c r="F204" s="24"/>
      <c r="G204" s="24"/>
      <c r="H204" s="24"/>
      <c r="I204" s="24"/>
      <c r="J204" s="24"/>
      <c r="K204" s="10"/>
      <c r="L204" s="24"/>
      <c r="M204" s="24"/>
      <c r="N204" s="24"/>
      <c r="O204" s="24"/>
    </row>
    <row r="205" ht="15.75" customHeight="1">
      <c r="A205" s="11" t="s">
        <v>68</v>
      </c>
      <c r="B205" s="14">
        <f>($I$51+$J$51+$K$51)/(($F$51-2)*$P$51)*100</f>
        <v>17.69722814</v>
      </c>
      <c r="C205" s="14">
        <f>($I$55+$J$55+$K$55)/(($F$55-2)*$P$55)*100</f>
        <v>90.70512821</v>
      </c>
      <c r="D205" s="18">
        <f>($I$59+$J$59+$K$59)/(($F$59-2)*$P$59)*100</f>
        <v>60.04728132</v>
      </c>
      <c r="E205" s="17">
        <f>($I$63+$J$63+$K$63)/(($F$63-2)*$P$63)*100</f>
        <v>29.50819672</v>
      </c>
      <c r="F205" s="8"/>
      <c r="G205" s="14">
        <f>($I$52+$J$52+$K$52)/(($F$52-2)*$P$52)*100</f>
        <v>17.73504274</v>
      </c>
      <c r="H205" s="17">
        <f>($I$56+$J$56+$K$56)/(($F$56-2)*$P$56)*100</f>
        <v>91.58576052</v>
      </c>
      <c r="I205" s="13">
        <f>($I$60+$J$60+$K$60)/(($F$60-2)*$P$60)*100</f>
        <v>56.81293303</v>
      </c>
      <c r="J205" s="14">
        <f>($I$64+$J$64+$K$64)/(($F$64-2)*$P$64)*100</f>
        <v>24</v>
      </c>
      <c r="L205" s="17">
        <f>($I$53+$J$53+$K$53)/(($F$53-2)*$P$53)*100</f>
        <v>18.85336273</v>
      </c>
      <c r="M205" s="14">
        <f>($I$57+$J$57+$K$57)/(($F$57-2)*$P$57)*100</f>
        <v>91.51047409</v>
      </c>
      <c r="N205" s="13">
        <f>($I$61+$J$61+$K$61)/(($F$61-2)*$P$61)*100</f>
        <v>55.02512563</v>
      </c>
      <c r="O205" s="14">
        <f>($I$65+$J$65+$K$65)/(($F$65-2)*$P$65)*100</f>
        <v>21.73913043</v>
      </c>
    </row>
    <row r="206" ht="15.75" customHeight="1">
      <c r="A206" s="11" t="s">
        <v>73</v>
      </c>
      <c r="B206" s="18">
        <f>($I$67+$J$67+$K$67)/(($F$67-2)*$P$67)*100</f>
        <v>35</v>
      </c>
      <c r="C206" s="13">
        <f>($I$71+$J$71+$K$71)/(($F$71-2)*$P$71)*100</f>
        <v>92.04927212</v>
      </c>
      <c r="D206" s="17">
        <f>($I$75+$J$75+$K$75)/(($F$75-2)*$P$75)*100</f>
        <v>46.875</v>
      </c>
      <c r="E206" s="13">
        <f>($I$79+$J$79+$K$79)/(($F$79-2)*$P$79)*100</f>
        <v>44.06779661</v>
      </c>
      <c r="F206" s="8"/>
      <c r="G206" s="13">
        <f>($I$68+$J$68+$K$68)/(($F$68-2)*$P$68)*100</f>
        <v>32.55319149</v>
      </c>
      <c r="H206" s="18">
        <f>($I$72+$J$72+$K$72)/(($F$72-2)*$P$72)*100</f>
        <v>92.90617849</v>
      </c>
      <c r="I206" s="14">
        <f>($I$76+$J$76+$K$76)/(($F$76-2)*$P$76)*100</f>
        <v>44.73684211</v>
      </c>
      <c r="J206" s="13">
        <f>($I$80+$J$80+$K$80)/(($F$80-2)*$P$80)*100</f>
        <v>51.78571429</v>
      </c>
      <c r="L206" s="13">
        <f>($I$69+$J$69+$K$69)/(($F$69-2)*$P$69)*100</f>
        <v>30.80357143</v>
      </c>
      <c r="M206" s="14">
        <f>($I$73+$J$73+$K$73)/(($F$73-2)*$P$73)*100</f>
        <v>92.3255814</v>
      </c>
      <c r="N206" s="14">
        <f>($I$77+$J$77+$K$77)/(($F$77-2)*$P$77)*100</f>
        <v>44.84126984</v>
      </c>
      <c r="O206" s="18">
        <f>($I$81+$J$81+$K$81)/(($F$81-2)*$P$81)*100</f>
        <v>61.9047619</v>
      </c>
      <c r="R206" s="45"/>
      <c r="S206" s="45"/>
      <c r="T206" s="45"/>
      <c r="U206" s="45"/>
    </row>
    <row r="207" ht="15.75" customHeight="1">
      <c r="A207" s="11" t="s">
        <v>76</v>
      </c>
      <c r="B207" s="14">
        <f>($I$83+$J$83+$K$83)/(($F$83-2)*$P$83)*100</f>
        <v>27.66917293</v>
      </c>
      <c r="C207" s="14">
        <f>($I$87+$J$87+$K$87)/(($F$87-2)*$P$87)*100</f>
        <v>91.60447761</v>
      </c>
      <c r="D207" s="14">
        <f>($I$91+$J$91+$K$91)/(($F$91-2)*$P$91)*100</f>
        <v>42.81345566</v>
      </c>
      <c r="E207" s="14">
        <f>($I$95+$J$95+$K$95)/(($F$95-2)*$P$95)*100</f>
        <v>11.25</v>
      </c>
      <c r="F207" s="8"/>
      <c r="G207" s="17">
        <f>($I$84+$J$84+$K$84)/(($F$84-2)*$P$84)*100</f>
        <v>29.12172573</v>
      </c>
      <c r="H207" s="17">
        <f>($I$88+$J$88+$K$88)/(($F$88-2)*$P$88)*100</f>
        <v>92.62759924</v>
      </c>
      <c r="I207" s="14">
        <f>($I$92+$J$92+$K$92)/(($F$92-2)*$P$92)*100</f>
        <v>40.19607843</v>
      </c>
      <c r="J207" s="14">
        <f>($I$96+$J$96+$K$96)/(($F$96-2)*$P$96)*100</f>
        <v>12.67605634</v>
      </c>
      <c r="K207" s="59"/>
      <c r="L207" s="14">
        <f>($I$85+$J$85+$K$85)/(($F$85-2)*$P$85)*100</f>
        <v>28.04878049</v>
      </c>
      <c r="M207" s="13">
        <f>($I$89+$J$89+$K$89)/(($F$89-2)*$P$89)*100</f>
        <v>92.39543726</v>
      </c>
      <c r="N207" s="17">
        <f>($I$93+$J$93+$K$93)/(($F$93-2)*$P$93)*100</f>
        <v>47.42857143</v>
      </c>
      <c r="O207" s="17">
        <f>($I$97+$J$97+$K$97)/(($F$97-2)*$P$97)*100</f>
        <v>13.92405063</v>
      </c>
      <c r="Q207" s="30" t="s">
        <v>240</v>
      </c>
      <c r="R207" s="43" t="s">
        <v>216</v>
      </c>
      <c r="S207" s="32"/>
      <c r="T207" s="32"/>
      <c r="U207" s="32"/>
      <c r="W207" s="43" t="s">
        <v>260</v>
      </c>
      <c r="X207" s="32"/>
      <c r="Y207" s="32"/>
      <c r="Z207" s="32"/>
      <c r="AB207" s="43" t="s">
        <v>209</v>
      </c>
      <c r="AC207" s="32"/>
      <c r="AD207" s="32"/>
      <c r="AE207" s="32"/>
    </row>
    <row r="208" ht="15.75" customHeight="1">
      <c r="A208" s="10" t="s">
        <v>221</v>
      </c>
      <c r="B208" s="24"/>
      <c r="C208" s="24"/>
      <c r="D208" s="24"/>
      <c r="E208" s="24"/>
      <c r="F208" s="24"/>
      <c r="G208" s="24"/>
      <c r="H208" s="24"/>
      <c r="I208" s="24"/>
      <c r="J208" s="24"/>
      <c r="L208" s="24"/>
      <c r="M208" s="24"/>
      <c r="N208" s="24"/>
      <c r="O208" s="24"/>
      <c r="R208" s="44" t="s">
        <v>63</v>
      </c>
      <c r="S208" s="44" t="s">
        <v>64</v>
      </c>
      <c r="T208" s="44" t="s">
        <v>65</v>
      </c>
      <c r="U208" s="44" t="s">
        <v>66</v>
      </c>
      <c r="W208" s="44" t="s">
        <v>63</v>
      </c>
      <c r="X208" s="44" t="s">
        <v>64</v>
      </c>
      <c r="Y208" s="44" t="s">
        <v>65</v>
      </c>
      <c r="Z208" s="44" t="s">
        <v>66</v>
      </c>
      <c r="AB208" s="44" t="s">
        <v>63</v>
      </c>
      <c r="AC208" s="44" t="s">
        <v>64</v>
      </c>
      <c r="AD208" s="44" t="s">
        <v>65</v>
      </c>
      <c r="AE208" s="44" t="s">
        <v>66</v>
      </c>
    </row>
    <row r="209" ht="15.75" customHeight="1">
      <c r="A209" s="11" t="s">
        <v>68</v>
      </c>
      <c r="B209" s="15">
        <f>($L$51+$M$51)/(($F$51-2)*$P$51)*100</f>
        <v>7.356076759</v>
      </c>
      <c r="C209" s="20">
        <f>($L$55+$M$55)/(($F$55-2)*$P$55)*100</f>
        <v>2.777777778</v>
      </c>
      <c r="D209" s="17">
        <f>($L$59+$M$59)/(($F$59-2)*$P$59)*100</f>
        <v>13.94799054</v>
      </c>
      <c r="E209" s="17">
        <f>($L$63+$M$63)/(($F$63-2)*$P$63)*100</f>
        <v>18.03278689</v>
      </c>
      <c r="G209" s="12">
        <f>($L$52+$M$52)/(($F$52-2)*$P$52)*100</f>
        <v>5.982905983</v>
      </c>
      <c r="H209" s="12">
        <f>($L$56+$M$56)/(($F$56-2)*$P$56)*100</f>
        <v>1.941747573</v>
      </c>
      <c r="I209" s="14">
        <f>($L$60+$M$60)/(($F$60-2)*$P$60)*100</f>
        <v>13.62586605</v>
      </c>
      <c r="J209" s="14">
        <f>($L$64+$M$64)/(($F$64-2)*$P$64)*100</f>
        <v>10.66666667</v>
      </c>
      <c r="L209" s="12">
        <f>($L$53+$M$53)/(($F$53-2)*$P$53)*100</f>
        <v>3.528114664</v>
      </c>
      <c r="M209" s="21">
        <f>($L$57+$M$57)/(($F$57-2)*$P$57)*100</f>
        <v>0.8820286659</v>
      </c>
      <c r="N209" s="14">
        <f>($L$61+$M$61)/(($F$61-2)*$P$61)*100</f>
        <v>10.05025126</v>
      </c>
      <c r="O209" s="12">
        <f>($L$65+$M$65)/(($F$65-2)*$P$65)*100</f>
        <v>4.347826087</v>
      </c>
      <c r="Q209" s="11" t="s">
        <v>68</v>
      </c>
      <c r="R209" s="90">
        <v>73.9</v>
      </c>
      <c r="S209" s="91">
        <v>7.01</v>
      </c>
      <c r="T209" s="90">
        <v>37.8</v>
      </c>
      <c r="U209" s="90">
        <v>69.4</v>
      </c>
      <c r="W209" s="90">
        <v>74.9</v>
      </c>
      <c r="X209" s="91">
        <v>6.52</v>
      </c>
      <c r="Y209" s="90">
        <v>26.0</v>
      </c>
      <c r="Z209" s="90">
        <v>52.5</v>
      </c>
      <c r="AB209" s="90">
        <v>72.7</v>
      </c>
      <c r="AC209" s="91">
        <v>8.57</v>
      </c>
      <c r="AD209" s="90">
        <v>40.6</v>
      </c>
      <c r="AE209" s="90">
        <v>57.0</v>
      </c>
    </row>
    <row r="210" ht="15.75" customHeight="1">
      <c r="A210" s="11" t="s">
        <v>73</v>
      </c>
      <c r="B210" s="12">
        <f>($L$67+$M$67)/(($F$67-2)*$P$67)*100</f>
        <v>8.541666667</v>
      </c>
      <c r="C210" s="12">
        <f>($L$71+$M$71)/(($F$71-2)*$P$71)*100</f>
        <v>2.015677492</v>
      </c>
      <c r="D210" s="13">
        <f>($L$75+$M$75)/(($F$75-2)*$P$75)*100</f>
        <v>17.70833333</v>
      </c>
      <c r="E210" s="17">
        <f>($L$79+$M$79)/(($F$79-2)*$P$79)*100</f>
        <v>18.6440678</v>
      </c>
      <c r="G210" s="15">
        <f>($L$68+$M$68)/(($F$68-2)*$P$68)*100</f>
        <v>8.723404255</v>
      </c>
      <c r="H210" s="20">
        <f>($L$72+$M$72)/(($F$72-2)*$P$72)*100</f>
        <v>2.059496568</v>
      </c>
      <c r="I210" s="18">
        <f>($L$76+$M$76)/(($F$76-2)*$P$76)*100</f>
        <v>23.02631579</v>
      </c>
      <c r="J210" s="14">
        <f>($L$80+$M$80)/(($F$80-2)*$P$80)*100</f>
        <v>10.71428571</v>
      </c>
      <c r="L210" s="12">
        <f>($L$69+$M$69)/(($F$69-2)*$P$69)*100</f>
        <v>5.580357143</v>
      </c>
      <c r="M210" s="21">
        <f>($L$73+$M$73)/(($F$73-2)*$P$73)*100</f>
        <v>0.8139534884</v>
      </c>
      <c r="N210" s="14">
        <f>($L$77+$M$77)/(($F$77-2)*$P$77)*100</f>
        <v>14.28571429</v>
      </c>
      <c r="O210" s="12">
        <f>($L$81+$M$81)/(($F$81-2)*$P$81)*100</f>
        <v>7.142857143</v>
      </c>
      <c r="Q210" s="11" t="s">
        <v>73</v>
      </c>
      <c r="R210" s="90">
        <v>67.5</v>
      </c>
      <c r="S210" s="91">
        <v>6.8</v>
      </c>
      <c r="T210" s="90">
        <v>49.3</v>
      </c>
      <c r="U210" s="90">
        <v>46.6</v>
      </c>
      <c r="W210" s="90">
        <v>56.5</v>
      </c>
      <c r="X210" s="91">
        <v>5.94</v>
      </c>
      <c r="Y210" s="90">
        <v>35.4</v>
      </c>
      <c r="Z210" s="90">
        <v>37.3</v>
      </c>
      <c r="AB210" s="90">
        <v>75.1</v>
      </c>
      <c r="AC210" s="91">
        <v>9.22</v>
      </c>
      <c r="AD210" s="90">
        <v>48.1</v>
      </c>
      <c r="AE210" s="92">
        <v>43.9</v>
      </c>
    </row>
    <row r="211" ht="15.75" customHeight="1">
      <c r="A211" s="11" t="s">
        <v>76</v>
      </c>
      <c r="B211" s="13">
        <f>($L$83+$M$83)/(($F$83-2)*$P$83)*100</f>
        <v>16.84210526</v>
      </c>
      <c r="C211" s="15">
        <f>($L$87+$M$87)/(($F$87-2)*$P$87)*100</f>
        <v>1.492537313</v>
      </c>
      <c r="D211" s="14">
        <f>($L$91+$M$91)/(($F$91-2)*$P$91)*100</f>
        <v>15.29051988</v>
      </c>
      <c r="E211" s="13">
        <f>($L$95+$M$95)/(($F$95-2)*$P$95)*100</f>
        <v>57.5</v>
      </c>
      <c r="G211" s="18">
        <f>($L$84+$M$84)/(($F$84-2)*$P$84)*100</f>
        <v>20.18489985</v>
      </c>
      <c r="H211" s="21">
        <f>($L$88+$M$88)/(($F$88-2)*$P$88)*100</f>
        <v>0.7561436673</v>
      </c>
      <c r="I211" s="17">
        <f>($L$92+$M$92)/(($F$92-2)*$P$92)*100</f>
        <v>19.28104575</v>
      </c>
      <c r="J211" s="18">
        <f>($L$96+$M$96)/(($F$96-2)*$P$96)*100</f>
        <v>59.15492958</v>
      </c>
      <c r="L211" s="13">
        <f>($L$85+$M$85)/(($F$85-2)*$P$85)*100</f>
        <v>17.07317073</v>
      </c>
      <c r="M211" s="16">
        <f>($L$89+$M$89)/(($F$89-2)*$P$89)*100</f>
        <v>1.330798479</v>
      </c>
      <c r="N211" s="13">
        <f>($L$93+$M$93)/(($F$93-2)*$P$93)*100</f>
        <v>15.14285714</v>
      </c>
      <c r="O211" s="13">
        <f>($L$97+$M$97)/(($F$97-2)*$P$97)*100</f>
        <v>50.63291139</v>
      </c>
      <c r="Q211" s="23" t="s">
        <v>76</v>
      </c>
      <c r="R211" s="90">
        <v>60.6</v>
      </c>
      <c r="S211" s="91">
        <v>6.27</v>
      </c>
      <c r="T211" s="90">
        <v>45.4</v>
      </c>
      <c r="U211" s="90">
        <v>41.6</v>
      </c>
      <c r="W211" s="90">
        <v>55.5</v>
      </c>
      <c r="X211" s="91">
        <v>6.9</v>
      </c>
      <c r="Y211" s="90">
        <v>41.9</v>
      </c>
      <c r="Z211" s="90">
        <v>31.3</v>
      </c>
      <c r="AB211" s="92">
        <v>63.1</v>
      </c>
      <c r="AC211" s="91">
        <v>7.03</v>
      </c>
      <c r="AD211" s="90">
        <v>40.7</v>
      </c>
      <c r="AE211" s="90">
        <v>69.2</v>
      </c>
    </row>
    <row r="212" ht="15.75" customHeight="1">
      <c r="A212" s="105" t="s">
        <v>241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10"/>
      <c r="L212" s="24"/>
      <c r="M212" s="24"/>
      <c r="N212" s="24"/>
      <c r="O212" s="24"/>
      <c r="Q212" s="11" t="s">
        <v>92</v>
      </c>
      <c r="R212" s="90">
        <v>67.3</v>
      </c>
      <c r="S212" s="91">
        <v>6.69</v>
      </c>
      <c r="T212" s="90">
        <v>44.2</v>
      </c>
      <c r="U212" s="90">
        <v>52.5</v>
      </c>
      <c r="W212" s="90">
        <v>62.3</v>
      </c>
      <c r="X212" s="91">
        <v>6.45</v>
      </c>
      <c r="Y212" s="90">
        <v>34.4</v>
      </c>
      <c r="Z212" s="90">
        <v>40.3</v>
      </c>
      <c r="AB212" s="96">
        <v>70.3</v>
      </c>
      <c r="AC212" s="97">
        <v>8.27</v>
      </c>
      <c r="AD212" s="98">
        <v>43.1</v>
      </c>
      <c r="AE212" s="98">
        <v>56.7</v>
      </c>
    </row>
    <row r="213" ht="15.75" customHeight="1">
      <c r="A213" s="11" t="s">
        <v>68</v>
      </c>
      <c r="B213" s="14">
        <f>$O$51/(($F$51-2)*$P$51)*100</f>
        <v>12.36673774</v>
      </c>
      <c r="C213" s="13">
        <f>$O$55/(($F$55-2)*$P$55)*100</f>
        <v>49.03846154</v>
      </c>
      <c r="D213" s="18">
        <f>$O$59/(($F$59-2)*$P$59)*100</f>
        <v>52.95508274</v>
      </c>
      <c r="E213" s="18">
        <f>$O$63/(($F$63-2)*$P$63)*100</f>
        <v>47.54098361</v>
      </c>
      <c r="F213" s="8"/>
      <c r="G213" s="17">
        <f>$O$52/(($F$52-2)*$P$52)*100</f>
        <v>12.5</v>
      </c>
      <c r="H213" s="18">
        <f>$O$56/(($F$56-2)*$P$56)*100</f>
        <v>50.1618123</v>
      </c>
      <c r="I213" s="13">
        <f>$O$60/(($F$60-2)*$P$60)*100</f>
        <v>50.11547344</v>
      </c>
      <c r="J213" s="14">
        <f>$O$64/(($F$64-2)*$P$64)*100</f>
        <v>34.66666667</v>
      </c>
      <c r="L213" s="12">
        <f>$O$53/(($F$53-2)*$P$53)*100</f>
        <v>4.961411246</v>
      </c>
      <c r="M213" s="13">
        <f>$O$57/(($F$57-2)*$P$57)*100</f>
        <v>22.82249173</v>
      </c>
      <c r="N213" s="13">
        <f>$O$61/(($F$61-2)*$P$61)*100</f>
        <v>29.89949749</v>
      </c>
      <c r="O213" s="14">
        <f>$O$65/(($F$65-2)*$P$65)*100</f>
        <v>26.08695652</v>
      </c>
    </row>
    <row r="214" ht="15.75" customHeight="1">
      <c r="A214" s="11" t="s">
        <v>73</v>
      </c>
      <c r="B214" s="18">
        <f>$O$67/(($F$67-2)*$P$67)*100</f>
        <v>23.33333333</v>
      </c>
      <c r="C214" s="17">
        <f>$O$71/(($F$71-2)*$P$71)*100</f>
        <v>39.75363942</v>
      </c>
      <c r="D214" s="17">
        <f>$O$75/(($F$75-2)*$P$75)*100</f>
        <v>35.76388889</v>
      </c>
      <c r="E214" s="17">
        <f>$O$79/(($F$79-2)*$P$79)*100</f>
        <v>42.37288136</v>
      </c>
      <c r="F214" s="8"/>
      <c r="G214" s="13">
        <f>$O$68/(($F$68-2)*$P$68)*100</f>
        <v>21.70212766</v>
      </c>
      <c r="H214" s="14">
        <f>$O$72/(($F$72-2)*$P$72)*100</f>
        <v>39.01601831</v>
      </c>
      <c r="I214" s="14">
        <f>$O$76/(($F$76-2)*$P$76)*100</f>
        <v>31.25</v>
      </c>
      <c r="J214" s="14">
        <f>$O$80/(($F$80-2)*$P$80)*100</f>
        <v>39.28571429</v>
      </c>
      <c r="L214" s="13">
        <f>$O$69/(($F$69-2)*$P$69)*100</f>
        <v>16.29464286</v>
      </c>
      <c r="M214" s="14">
        <f>$O$73/(($F$73-2)*$P$73)*100</f>
        <v>20.23255814</v>
      </c>
      <c r="N214" s="14">
        <f>$O$77/(($F$77-2)*$P$77)*100</f>
        <v>17.85714286</v>
      </c>
      <c r="O214" s="13">
        <f>$O$81/(($F$81-2)*$P$81)*100</f>
        <v>33.33333333</v>
      </c>
    </row>
    <row r="215" ht="15.75" customHeight="1">
      <c r="A215" s="25" t="s">
        <v>76</v>
      </c>
      <c r="B215" s="14">
        <f>$O$83/(($F$83-2)*$P$83)*100</f>
        <v>10.52631579</v>
      </c>
      <c r="C215" s="14">
        <f>$O$87/(($F$87-2)*$P$87)*100</f>
        <v>32.08955224</v>
      </c>
      <c r="D215" s="14">
        <f>$O$91/(($F$91-2)*$P$91)*100</f>
        <v>31.19266055</v>
      </c>
      <c r="E215" s="13">
        <f>$O$95/(($F$95-2)*$P$95)*100</f>
        <v>47.5</v>
      </c>
      <c r="F215" s="8"/>
      <c r="G215" s="17">
        <f>$O$84/(($F$84-2)*$P$84)*100</f>
        <v>12.32665639</v>
      </c>
      <c r="H215" s="17">
        <f>$O$88/(($F$88-2)*$P$88)*100</f>
        <v>33.83742911</v>
      </c>
      <c r="I215" s="17">
        <f>$O$92/(($F$92-2)*$P$92)*100</f>
        <v>31.37254902</v>
      </c>
      <c r="J215" s="18">
        <f>$O$96/(($F$96-2)*$P$96)*100</f>
        <v>47.88732394</v>
      </c>
      <c r="L215" s="12">
        <f>$O$85/(($F$85-2)*$P$85)*100</f>
        <v>4.268292683</v>
      </c>
      <c r="M215" s="12">
        <f>$O$89/(($F$89-2)*$P$89)*100</f>
        <v>8.745247148</v>
      </c>
      <c r="N215" s="14">
        <f>$O$93/(($F$93-2)*$P$93)*100</f>
        <v>16</v>
      </c>
      <c r="O215" s="14">
        <f>$O$97/(($F$97-2)*$P$97)*100</f>
        <v>30.37974684</v>
      </c>
    </row>
    <row r="216" ht="15.75" customHeight="1">
      <c r="A216" s="72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</row>
    <row r="217" ht="15.75" customHeight="1">
      <c r="A217" s="76" t="s">
        <v>277</v>
      </c>
      <c r="B217" s="9" t="s">
        <v>260</v>
      </c>
      <c r="G217" s="9" t="s">
        <v>261</v>
      </c>
      <c r="L217" s="9" t="s">
        <v>262</v>
      </c>
    </row>
    <row r="218" ht="15.75" customHeight="1">
      <c r="B218" s="32"/>
      <c r="C218" s="32"/>
      <c r="D218" s="32"/>
      <c r="E218" s="32"/>
      <c r="F218" s="8"/>
      <c r="G218" s="32"/>
      <c r="H218" s="32"/>
      <c r="I218" s="32"/>
      <c r="J218" s="32"/>
      <c r="L218" s="32"/>
      <c r="M218" s="32"/>
      <c r="N218" s="32"/>
      <c r="O218" s="32"/>
    </row>
    <row r="219" ht="15.75" customHeight="1">
      <c r="A219" s="32"/>
      <c r="B219" s="51" t="s">
        <v>63</v>
      </c>
      <c r="C219" s="51" t="s">
        <v>64</v>
      </c>
      <c r="D219" s="51" t="s">
        <v>65</v>
      </c>
      <c r="E219" s="51" t="s">
        <v>66</v>
      </c>
      <c r="F219" s="32"/>
      <c r="G219" s="51" t="s">
        <v>63</v>
      </c>
      <c r="H219" s="51" t="s">
        <v>64</v>
      </c>
      <c r="I219" s="51" t="s">
        <v>65</v>
      </c>
      <c r="J219" s="51" t="s">
        <v>66</v>
      </c>
      <c r="K219" s="59"/>
      <c r="L219" s="51" t="s">
        <v>63</v>
      </c>
      <c r="M219" s="51" t="s">
        <v>64</v>
      </c>
      <c r="N219" s="51" t="s">
        <v>65</v>
      </c>
      <c r="O219" s="51" t="s">
        <v>66</v>
      </c>
    </row>
    <row r="220" ht="15.75" customHeight="1">
      <c r="A220" s="10" t="s">
        <v>203</v>
      </c>
    </row>
    <row r="221" ht="15.75" customHeight="1">
      <c r="A221" s="11" t="s">
        <v>73</v>
      </c>
      <c r="B221" s="79">
        <f t="shared" ref="B221:E221" si="135">B198</f>
        <v>26.66666667</v>
      </c>
      <c r="C221" s="89">
        <f t="shared" si="135"/>
        <v>1.903695409</v>
      </c>
      <c r="D221" s="80">
        <f t="shared" si="135"/>
        <v>4.861111111</v>
      </c>
      <c r="E221" s="77">
        <f t="shared" si="135"/>
        <v>22.03389831</v>
      </c>
      <c r="F221" s="77">
        <f t="shared" ref="F221:F222" si="138">AVERAGE(B221,D221:E221)</f>
        <v>17.85389203</v>
      </c>
      <c r="G221" s="77">
        <f t="shared" ref="G221:J221" si="136">G198</f>
        <v>27.0212766</v>
      </c>
      <c r="H221" s="89">
        <f t="shared" si="136"/>
        <v>1.601830664</v>
      </c>
      <c r="I221" s="89">
        <f t="shared" si="136"/>
        <v>5.921052632</v>
      </c>
      <c r="J221" s="77">
        <f t="shared" si="136"/>
        <v>16.07142857</v>
      </c>
      <c r="K221" s="77">
        <f t="shared" ref="K221:K222" si="139">AVERAGE(G221,I221:J221)</f>
        <v>16.33791927</v>
      </c>
      <c r="L221" s="77">
        <f t="shared" ref="L221:O221" si="137">L198</f>
        <v>29.01785714</v>
      </c>
      <c r="M221" s="80">
        <f t="shared" si="137"/>
        <v>1.279069767</v>
      </c>
      <c r="N221" s="89">
        <f t="shared" si="137"/>
        <v>5.952380952</v>
      </c>
      <c r="O221" s="86">
        <f t="shared" si="137"/>
        <v>11.9047619</v>
      </c>
      <c r="P221" s="77">
        <f t="shared" ref="P221:P222" si="140">AVERAGE(L221,N221:O221)</f>
        <v>15.625</v>
      </c>
      <c r="Q221" s="109" t="s">
        <v>259</v>
      </c>
      <c r="R221" s="101" t="s">
        <v>260</v>
      </c>
      <c r="S221" s="101" t="s">
        <v>261</v>
      </c>
      <c r="T221" s="101" t="s">
        <v>262</v>
      </c>
      <c r="U221" s="9"/>
    </row>
    <row r="222" ht="15.75" customHeight="1">
      <c r="A222" s="11" t="s">
        <v>205</v>
      </c>
      <c r="B222" s="83">
        <f>$H$131/(($F$131-2)*$P$131)*100</f>
        <v>0</v>
      </c>
      <c r="C222" s="83">
        <f>$H$135/(($F$135-2)*$P$135)*100</f>
        <v>0</v>
      </c>
      <c r="D222" s="83">
        <f>$H$139/(($F$139-2)*$P$139)*100</f>
        <v>3.389830508</v>
      </c>
      <c r="E222" s="83">
        <f>$H$143/(($F$143-2)*$P$143)*100</f>
        <v>0</v>
      </c>
      <c r="F222" s="89">
        <f t="shared" si="138"/>
        <v>1.129943503</v>
      </c>
      <c r="G222" s="81">
        <f>$H$132/(($F$132-2)*$P$132)*100</f>
        <v>3.921568627</v>
      </c>
      <c r="H222" s="85">
        <f>$H$136/(($F$136-2)*$P$136)*100</f>
        <v>0.4566210046</v>
      </c>
      <c r="I222" s="81">
        <f>$H$140/(($F$140-2)*$P$140)*100</f>
        <v>4.464285714</v>
      </c>
      <c r="J222" s="81">
        <f>$H$144/(($F$144-2)*$P$144)*100</f>
        <v>4.651162791</v>
      </c>
      <c r="K222" s="89">
        <f t="shared" si="139"/>
        <v>4.345672377</v>
      </c>
      <c r="L222" s="83">
        <f>$H$133/(($F$133-2)*$P$133)*100</f>
        <v>0</v>
      </c>
      <c r="M222" s="83">
        <f>$H$137/(($F$137-2)*$P$137)*100</f>
        <v>0</v>
      </c>
      <c r="N222" s="81">
        <f>$H$141/(($F$141-2)*$P$141)*100</f>
        <v>5</v>
      </c>
      <c r="O222" s="77">
        <f>$H$145/(($F$145-2)*$P$145)*100</f>
        <v>20</v>
      </c>
      <c r="P222" s="89">
        <f t="shared" si="140"/>
        <v>8.333333333</v>
      </c>
      <c r="R222" s="32"/>
      <c r="S222" s="32"/>
      <c r="T222" s="32"/>
      <c r="U222" s="31"/>
    </row>
    <row r="223" ht="15.75" customHeight="1">
      <c r="A223" s="10" t="s">
        <v>210</v>
      </c>
      <c r="B223" s="87"/>
      <c r="C223" s="87"/>
      <c r="D223" s="87"/>
      <c r="E223" s="87"/>
      <c r="F223" s="88"/>
      <c r="G223" s="87"/>
      <c r="H223" s="87"/>
      <c r="I223" s="87"/>
      <c r="J223" s="87"/>
      <c r="K223" s="88"/>
      <c r="L223" s="87"/>
      <c r="M223" s="87"/>
      <c r="N223" s="87"/>
      <c r="O223" s="87"/>
      <c r="Q223" s="102" t="s">
        <v>239</v>
      </c>
      <c r="R223" s="103">
        <f t="shared" ref="R223:R224" si="144">SUM(F221,F224)</f>
        <v>43.05437853</v>
      </c>
      <c r="S223" s="103">
        <f t="shared" ref="S223:S224" si="145">SUM(K221,K224)</f>
        <v>42.82008212</v>
      </c>
      <c r="T223" s="103">
        <f t="shared" ref="T223:T224" si="146">SUM(P221,P224)</f>
        <v>45.14715608</v>
      </c>
      <c r="U223" s="51"/>
    </row>
    <row r="224" ht="15.75" customHeight="1">
      <c r="A224" s="11" t="s">
        <v>73</v>
      </c>
      <c r="B224" s="86">
        <f t="shared" ref="B224:E224" si="141">B202</f>
        <v>29.79166667</v>
      </c>
      <c r="C224" s="89">
        <f t="shared" si="141"/>
        <v>4.031354983</v>
      </c>
      <c r="D224" s="77">
        <f t="shared" si="141"/>
        <v>30.55555556</v>
      </c>
      <c r="E224" s="86">
        <f t="shared" si="141"/>
        <v>15.25423729</v>
      </c>
      <c r="F224" s="77">
        <f t="shared" ref="F224:F225" si="147">AVERAGE(B224,D224:E224)</f>
        <v>25.2004865</v>
      </c>
      <c r="G224" s="77">
        <f t="shared" ref="G224:J224" si="142">G202</f>
        <v>31.70212766</v>
      </c>
      <c r="H224" s="80">
        <f t="shared" si="142"/>
        <v>3.432494279</v>
      </c>
      <c r="I224" s="79">
        <f t="shared" si="142"/>
        <v>26.31578947</v>
      </c>
      <c r="J224" s="84">
        <f t="shared" si="142"/>
        <v>21.42857143</v>
      </c>
      <c r="K224" s="77">
        <f t="shared" ref="K224:K225" si="148">AVERAGE(G224,I224:J224)</f>
        <v>26.48216285</v>
      </c>
      <c r="L224" s="77">
        <f t="shared" ref="L224:O224" si="143">L202</f>
        <v>34.59821429</v>
      </c>
      <c r="M224" s="89">
        <f t="shared" si="143"/>
        <v>5.581395349</v>
      </c>
      <c r="N224" s="77">
        <f t="shared" si="143"/>
        <v>34.92063492</v>
      </c>
      <c r="O224" s="77">
        <f t="shared" si="143"/>
        <v>19.04761905</v>
      </c>
      <c r="P224" s="77">
        <f t="shared" ref="P224:P225" si="149">AVERAGE(L224,N224:O224)</f>
        <v>29.52215608</v>
      </c>
      <c r="Q224" s="102" t="s">
        <v>242</v>
      </c>
      <c r="R224" s="108">
        <f t="shared" si="144"/>
        <v>30.39956019</v>
      </c>
      <c r="S224" s="108">
        <f t="shared" si="145"/>
        <v>28.69628472</v>
      </c>
      <c r="T224" s="108">
        <f t="shared" si="146"/>
        <v>25.83333333</v>
      </c>
    </row>
    <row r="225" ht="15.75" customHeight="1">
      <c r="A225" s="11" t="s">
        <v>205</v>
      </c>
      <c r="B225" s="77">
        <f>$N$131/(($F$131-2)*$P$131)*100</f>
        <v>42.10526316</v>
      </c>
      <c r="C225" s="81">
        <f>$N$135/(($F$135-2)*$P$135)*100</f>
        <v>1.680672269</v>
      </c>
      <c r="D225" s="84">
        <f>$N$139/(($F$139-2)*$P$139)*100</f>
        <v>17.79661017</v>
      </c>
      <c r="E225" s="77">
        <f>$N$143/(($F$143-2)*$P$143)*100</f>
        <v>27.90697674</v>
      </c>
      <c r="F225" s="77">
        <f t="shared" si="147"/>
        <v>29.26961669</v>
      </c>
      <c r="G225" s="86">
        <f>$N$132/(($F$132-2)*$P$132)*100</f>
        <v>23.52941176</v>
      </c>
      <c r="H225" s="83">
        <f>$N$136/(($F$136-2)*$P$136)*100</f>
        <v>0.4566210046</v>
      </c>
      <c r="I225" s="86">
        <f>$N$140/(($F$140-2)*$P$140)*100</f>
        <v>16.96428571</v>
      </c>
      <c r="J225" s="77">
        <f>$N$144/(($F$144-2)*$P$144)*100</f>
        <v>32.55813953</v>
      </c>
      <c r="K225" s="77">
        <f t="shared" si="148"/>
        <v>24.35061234</v>
      </c>
      <c r="L225" s="84">
        <f>$N$133/(($F$133-2)*$P$133)*100</f>
        <v>25</v>
      </c>
      <c r="M225" s="81">
        <f>$N$137/(($F$137-2)*$P$137)*100</f>
        <v>1.408450704</v>
      </c>
      <c r="N225" s="84">
        <f>$N$141/(($F$141-2)*$P$141)*100</f>
        <v>22.5</v>
      </c>
      <c r="O225" s="83">
        <f>$N$145/(($F$145-2)*$P$145)*100</f>
        <v>5</v>
      </c>
      <c r="P225" s="77">
        <f t="shared" si="149"/>
        <v>17.5</v>
      </c>
      <c r="Q225" s="106" t="s">
        <v>247</v>
      </c>
    </row>
    <row r="226" ht="15.75" customHeight="1">
      <c r="A226" s="10" t="s">
        <v>213</v>
      </c>
      <c r="B226" s="87"/>
      <c r="C226" s="87"/>
      <c r="D226" s="87"/>
      <c r="E226" s="87"/>
      <c r="F226" s="88"/>
      <c r="G226" s="87"/>
      <c r="H226" s="87"/>
      <c r="I226" s="87"/>
      <c r="J226" s="87"/>
      <c r="K226" s="88"/>
      <c r="L226" s="87"/>
      <c r="M226" s="87"/>
      <c r="N226" s="87"/>
      <c r="O226" s="87"/>
      <c r="Q226" s="102" t="s">
        <v>239</v>
      </c>
      <c r="R226" s="103">
        <f t="shared" ref="R226:R227" si="150">F221</f>
        <v>17.85389203</v>
      </c>
      <c r="S226" s="103">
        <f t="shared" ref="S226:S227" si="151">K221</f>
        <v>16.33791927</v>
      </c>
      <c r="T226" s="103">
        <f t="shared" ref="T226:T227" si="152">P221</f>
        <v>15.625</v>
      </c>
    </row>
    <row r="227" ht="15.75" customHeight="1">
      <c r="A227" s="11" t="s">
        <v>73</v>
      </c>
      <c r="B227" s="86">
        <f t="array" ref="B227:E227">B206:E206</f>
        <v>35</v>
      </c>
      <c r="C227" s="77">
        <v>92.04927211646137</v>
      </c>
      <c r="D227" s="79">
        <v>46.875</v>
      </c>
      <c r="E227" s="84">
        <v>44.06779661016949</v>
      </c>
      <c r="F227" s="94"/>
      <c r="G227" s="84">
        <f t="array" ref="G227:J227">G206:J206</f>
        <v>32.55319149</v>
      </c>
      <c r="H227" s="79">
        <v>92.90617848970251</v>
      </c>
      <c r="I227" s="77">
        <v>44.73684210526316</v>
      </c>
      <c r="J227" s="84">
        <v>51.78571428571429</v>
      </c>
      <c r="K227" s="94"/>
      <c r="L227" s="77">
        <f t="array" ref="L227:O227">L206:O206</f>
        <v>30.80357143</v>
      </c>
      <c r="M227" s="77">
        <v>92.32558139534883</v>
      </c>
      <c r="N227" s="77">
        <v>44.84126984126984</v>
      </c>
      <c r="O227" s="86">
        <v>61.904761904761905</v>
      </c>
      <c r="Q227" s="102" t="s">
        <v>242</v>
      </c>
      <c r="R227" s="108">
        <f t="shared" si="150"/>
        <v>1.129943503</v>
      </c>
      <c r="S227" s="110">
        <f t="shared" si="151"/>
        <v>4.345672377</v>
      </c>
      <c r="T227" s="110">
        <f t="shared" si="152"/>
        <v>8.333333333</v>
      </c>
    </row>
    <row r="228" ht="15.75" customHeight="1">
      <c r="A228" s="11" t="s">
        <v>205</v>
      </c>
      <c r="B228" s="77">
        <f>($I$131+$J$131+$K$131)/(($F$131-2)*$P$131)*100</f>
        <v>24.56140351</v>
      </c>
      <c r="C228" s="84">
        <f>($I$135+$J$135+$K$135)/(($F$135-2)*$P$135)*100</f>
        <v>96.21848739</v>
      </c>
      <c r="D228" s="84">
        <f>($I$139+$J$139+$K$139)/(($F$139-2)*$P$139)*100</f>
        <v>52.54237288</v>
      </c>
      <c r="E228" s="77">
        <f>($I$143+$J$143+$K$143)/(($F$143-2)*$P$143)*100</f>
        <v>32.55813953</v>
      </c>
      <c r="F228" s="78">
        <f>AVERAGE(B228:E228)</f>
        <v>51.47010083</v>
      </c>
      <c r="G228" s="77">
        <f>($I$132+$J$132+$K$132)/(($F$132-2)*$P$132)*100</f>
        <v>29.41176471</v>
      </c>
      <c r="H228" s="86">
        <f>($I$136+$J$136+$K$136)/(($F$136-2)*$P$136)*100</f>
        <v>96.80365297</v>
      </c>
      <c r="I228" s="86">
        <f>($I$140+$J$140+$K$140)/(($F$140-2)*$P$140)*100</f>
        <v>56.25</v>
      </c>
      <c r="J228" s="77">
        <f>($I$144+$J$144+$K$144)/(($F$144-2)*$P$144)*100</f>
        <v>37.20930233</v>
      </c>
      <c r="K228" s="78">
        <f>AVERAGE(G228:J228)</f>
        <v>54.91868</v>
      </c>
      <c r="L228" s="86">
        <f>($I$133+$J$133+$K$133)/(($F$133-2)*$P$133)*100</f>
        <v>40.38461538</v>
      </c>
      <c r="M228" s="84">
        <f>($I$137+$J$137+$K$137)/(($F$137-2)*$P$137)*100</f>
        <v>96.47887324</v>
      </c>
      <c r="N228" s="84">
        <f>($I$141+$J$141+$K$141)/(($F$141-2)*$P$141)*100</f>
        <v>50</v>
      </c>
      <c r="O228" s="79">
        <f>($I$145+$J$145+$K$145)/(($F$145-2)*$P$145)*100</f>
        <v>40</v>
      </c>
      <c r="P228" s="54">
        <f>AVERAGE(L228:O228)</f>
        <v>56.71587216</v>
      </c>
      <c r="Q228" s="106" t="s">
        <v>251</v>
      </c>
    </row>
    <row r="229" ht="15.75" customHeight="1">
      <c r="A229" s="10" t="s">
        <v>221</v>
      </c>
      <c r="B229" s="87"/>
      <c r="C229" s="87"/>
      <c r="D229" s="87"/>
      <c r="E229" s="87"/>
      <c r="F229" s="88"/>
      <c r="G229" s="87"/>
      <c r="H229" s="87"/>
      <c r="I229" s="87"/>
      <c r="J229" s="87"/>
      <c r="K229" s="88"/>
      <c r="L229" s="87"/>
      <c r="M229" s="87"/>
      <c r="N229" s="87"/>
      <c r="O229" s="87"/>
      <c r="Q229" s="102" t="s">
        <v>239</v>
      </c>
      <c r="R229" s="111">
        <f t="shared" ref="R229:R230" si="156">F230</f>
        <v>14.96468927</v>
      </c>
      <c r="S229" s="111">
        <f t="shared" ref="S229:S230" si="157">K230</f>
        <v>14.15466859</v>
      </c>
      <c r="T229" s="111">
        <f t="shared" ref="T229:T230" si="158">P230</f>
        <v>9.00297619</v>
      </c>
    </row>
    <row r="230" ht="15.75" customHeight="1">
      <c r="A230" s="11" t="s">
        <v>73</v>
      </c>
      <c r="B230" s="89">
        <f t="shared" ref="B230:E230" si="153">B210</f>
        <v>8.541666667</v>
      </c>
      <c r="C230" s="89">
        <f t="shared" si="153"/>
        <v>2.015677492</v>
      </c>
      <c r="D230" s="77">
        <f t="shared" si="153"/>
        <v>17.70833333</v>
      </c>
      <c r="E230" s="79">
        <f t="shared" si="153"/>
        <v>18.6440678</v>
      </c>
      <c r="F230" s="89">
        <f t="shared" ref="F230:F231" si="159">AVERAGE(B230,D230:E230)</f>
        <v>14.96468927</v>
      </c>
      <c r="G230" s="80">
        <f t="shared" ref="G230:J230" si="154">G210</f>
        <v>8.723404255</v>
      </c>
      <c r="H230" s="80">
        <f t="shared" si="154"/>
        <v>2.059496568</v>
      </c>
      <c r="I230" s="86">
        <f t="shared" si="154"/>
        <v>23.02631579</v>
      </c>
      <c r="J230" s="77">
        <f t="shared" si="154"/>
        <v>10.71428571</v>
      </c>
      <c r="K230" s="89">
        <f t="shared" ref="K230:K231" si="160">AVERAGE(G230,I230:J230)</f>
        <v>14.15466859</v>
      </c>
      <c r="L230" s="89">
        <f t="shared" ref="L230:O230" si="155">L210</f>
        <v>5.580357143</v>
      </c>
      <c r="M230" s="99">
        <f t="shared" si="155"/>
        <v>0.8139534884</v>
      </c>
      <c r="N230" s="77">
        <f t="shared" si="155"/>
        <v>14.28571429</v>
      </c>
      <c r="O230" s="89">
        <f t="shared" si="155"/>
        <v>7.142857143</v>
      </c>
      <c r="P230" s="89">
        <f t="shared" ref="P230:P231" si="161">AVERAGE(L230,N230:O230)</f>
        <v>9.00297619</v>
      </c>
      <c r="Q230" s="102" t="s">
        <v>242</v>
      </c>
      <c r="R230" s="103">
        <f t="shared" si="156"/>
        <v>33.04646783</v>
      </c>
      <c r="S230" s="103">
        <f t="shared" si="157"/>
        <v>30.34669294</v>
      </c>
      <c r="T230" s="103">
        <f t="shared" si="158"/>
        <v>30.70512821</v>
      </c>
    </row>
    <row r="231" ht="15.75" customHeight="1">
      <c r="A231" s="11" t="s">
        <v>205</v>
      </c>
      <c r="B231" s="84">
        <f>($L$131+$M$131)/(($F$131-2)*$P$131)*100</f>
        <v>33.33333333</v>
      </c>
      <c r="C231" s="81">
        <f>($L$135+$M$135)/(($F$135-2)*$P$135)*100</f>
        <v>2.100840336</v>
      </c>
      <c r="D231" s="86">
        <f>($L$139+$M$139)/(($F$139-2)*$P$139)*100</f>
        <v>26.27118644</v>
      </c>
      <c r="E231" s="86">
        <f>($L$143+$M$143)/(($F$143-2)*$P$143)*100</f>
        <v>39.53488372</v>
      </c>
      <c r="F231" s="77">
        <f t="shared" si="159"/>
        <v>33.04646783</v>
      </c>
      <c r="G231" s="86">
        <f>($L$132+$M$132)/(($F$132-2)*$P$132)*100</f>
        <v>43.1372549</v>
      </c>
      <c r="H231" s="83">
        <f>($L$136+$M$136)/(($F$136-2)*$P$136)*100</f>
        <v>2.283105023</v>
      </c>
      <c r="I231" s="77">
        <f>($L$140+$M$140)/(($F$140-2)*$P$140)*100</f>
        <v>22.32142857</v>
      </c>
      <c r="J231" s="84">
        <f>($L$144+$M$144)/(($F$144-2)*$P$144)*100</f>
        <v>25.58139535</v>
      </c>
      <c r="K231" s="77">
        <f t="shared" si="160"/>
        <v>30.34669294</v>
      </c>
      <c r="L231" s="84">
        <f>($L$133+$M$133)/(($F$133-2)*$P$133)*100</f>
        <v>34.61538462</v>
      </c>
      <c r="M231" s="81">
        <f>($L$137+$M$137)/(($F$137-2)*$P$137)*100</f>
        <v>2.112676056</v>
      </c>
      <c r="N231" s="84">
        <f>($L$141+$M$141)/(($F$141-2)*$P$141)*100</f>
        <v>22.5</v>
      </c>
      <c r="O231" s="84">
        <f>($L$145+$M$145)/(($F$145-2)*$P$145)*100</f>
        <v>35</v>
      </c>
      <c r="P231" s="77">
        <f t="shared" si="161"/>
        <v>30.70512821</v>
      </c>
    </row>
    <row r="232" ht="15.75" customHeight="1">
      <c r="A232" s="105" t="s">
        <v>241</v>
      </c>
      <c r="B232" s="87"/>
      <c r="C232" s="87"/>
      <c r="D232" s="87"/>
      <c r="E232" s="87"/>
      <c r="F232" s="88"/>
      <c r="G232" s="87"/>
      <c r="H232" s="87"/>
      <c r="I232" s="87"/>
      <c r="J232" s="87"/>
      <c r="K232" s="88"/>
      <c r="L232" s="87"/>
      <c r="M232" s="87"/>
      <c r="N232" s="87"/>
      <c r="O232" s="87"/>
    </row>
    <row r="233" ht="15.75" customHeight="1">
      <c r="A233" s="11" t="s">
        <v>73</v>
      </c>
      <c r="B233" s="79">
        <f t="shared" ref="B233:O233" si="162">B214</f>
        <v>23.33333333</v>
      </c>
      <c r="C233" s="79">
        <f t="shared" si="162"/>
        <v>39.75363942</v>
      </c>
      <c r="D233" s="79">
        <f t="shared" si="162"/>
        <v>35.76388889</v>
      </c>
      <c r="E233" s="79">
        <f t="shared" si="162"/>
        <v>42.37288136</v>
      </c>
      <c r="F233" s="89" t="str">
        <f t="shared" si="162"/>
        <v/>
      </c>
      <c r="G233" s="77">
        <f t="shared" si="162"/>
        <v>21.70212766</v>
      </c>
      <c r="H233" s="77">
        <f t="shared" si="162"/>
        <v>39.01601831</v>
      </c>
      <c r="I233" s="77">
        <f t="shared" si="162"/>
        <v>31.25</v>
      </c>
      <c r="J233" s="77">
        <f t="shared" si="162"/>
        <v>39.28571429</v>
      </c>
      <c r="K233" s="89" t="str">
        <f t="shared" si="162"/>
        <v/>
      </c>
      <c r="L233" s="77">
        <f t="shared" si="162"/>
        <v>16.29464286</v>
      </c>
      <c r="M233" s="77">
        <f t="shared" si="162"/>
        <v>20.23255814</v>
      </c>
      <c r="N233" s="77">
        <f t="shared" si="162"/>
        <v>17.85714286</v>
      </c>
      <c r="O233" s="77">
        <f t="shared" si="162"/>
        <v>33.33333333</v>
      </c>
    </row>
    <row r="234" ht="15.75" customHeight="1">
      <c r="A234" s="11" t="s">
        <v>205</v>
      </c>
      <c r="B234" s="84">
        <f>$O$131/(($F$131-2)*$P$131)*100</f>
        <v>29.8245614</v>
      </c>
      <c r="C234" s="84">
        <f>$O$135/(($F$135-2)*$P$135)*100</f>
        <v>62.18487395</v>
      </c>
      <c r="D234" s="84">
        <f>$O$139/(($F$139-2)*$P$139)*100</f>
        <v>62.71186441</v>
      </c>
      <c r="E234" s="84">
        <f>$O$143/(($F$143-2)*$P$143)*100</f>
        <v>55.81395349</v>
      </c>
      <c r="F234" s="78">
        <f>AVERAGE(B234:E234)</f>
        <v>52.63381331</v>
      </c>
      <c r="G234" s="84">
        <f>$O$132/(($F$132-2)*$P$132)*100</f>
        <v>33.33333333</v>
      </c>
      <c r="H234" s="86">
        <f>$O$136/(($F$136-2)*$P$136)*100</f>
        <v>63.01369863</v>
      </c>
      <c r="I234" s="86">
        <f>$O$140/(($F$140-2)*$P$140)*100</f>
        <v>66.96428571</v>
      </c>
      <c r="J234" s="84">
        <f>$O$144/(($F$144-2)*$P$144)*100</f>
        <v>55.81395349</v>
      </c>
      <c r="K234" s="78">
        <f>AVERAGE(G234:J234)</f>
        <v>54.78131779</v>
      </c>
      <c r="L234" s="86">
        <f>$O$133/(($F$133-2)*$P$133)*100</f>
        <v>36.53846154</v>
      </c>
      <c r="M234" s="84">
        <f>$O$137/(($F$137-2)*$P$137)*100</f>
        <v>52.11267606</v>
      </c>
      <c r="N234" s="84">
        <f>$O$141/(($F$141-2)*$P$141)*100</f>
        <v>55</v>
      </c>
      <c r="O234" s="86">
        <f>$O$145/(($F$145-2)*$P$145)*100</f>
        <v>75</v>
      </c>
      <c r="P234" s="54">
        <f>AVERAGE(L234:O234)</f>
        <v>54.6627844</v>
      </c>
    </row>
    <row r="235" ht="15.75" customHeight="1">
      <c r="A235" s="72"/>
      <c r="B235" s="56">
        <f t="shared" ref="B235:E235" si="163">SUM(B221,B224,B227,B230)</f>
        <v>100</v>
      </c>
      <c r="C235" s="56">
        <f t="shared" si="163"/>
        <v>100</v>
      </c>
      <c r="D235" s="56">
        <f t="shared" si="163"/>
        <v>100</v>
      </c>
      <c r="E235" s="56">
        <f t="shared" si="163"/>
        <v>100</v>
      </c>
      <c r="F235" s="56"/>
      <c r="G235" s="56">
        <f t="shared" ref="G235:J235" si="164">SUM(G221,G224,G227,G230)</f>
        <v>100</v>
      </c>
      <c r="H235" s="56">
        <f t="shared" si="164"/>
        <v>100</v>
      </c>
      <c r="I235" s="56">
        <f t="shared" si="164"/>
        <v>100</v>
      </c>
      <c r="J235" s="56">
        <f t="shared" si="164"/>
        <v>100</v>
      </c>
      <c r="K235" s="56"/>
      <c r="L235" s="56">
        <f t="shared" ref="L235:O235" si="165">SUM(L221,L224,L227,L230)</f>
        <v>100</v>
      </c>
      <c r="M235" s="56">
        <f t="shared" si="165"/>
        <v>100</v>
      </c>
      <c r="N235" s="56">
        <f t="shared" si="165"/>
        <v>100</v>
      </c>
      <c r="O235" s="56">
        <f t="shared" si="165"/>
        <v>100</v>
      </c>
    </row>
    <row r="236" ht="15.75" customHeight="1">
      <c r="A236" s="11"/>
      <c r="B236" s="33">
        <f t="shared" ref="B236:E236" si="166">SUM(B222,B225,B228,B231)</f>
        <v>100</v>
      </c>
      <c r="C236" s="33">
        <f t="shared" si="166"/>
        <v>100</v>
      </c>
      <c r="D236" s="33">
        <f t="shared" si="166"/>
        <v>100</v>
      </c>
      <c r="E236" s="33">
        <f t="shared" si="166"/>
        <v>100</v>
      </c>
      <c r="F236" s="33"/>
      <c r="G236" s="33">
        <f t="shared" ref="G236:J236" si="167">SUM(G222,G225,G228,G231)</f>
        <v>100</v>
      </c>
      <c r="H236" s="33">
        <f t="shared" si="167"/>
        <v>100</v>
      </c>
      <c r="I236" s="33">
        <f t="shared" si="167"/>
        <v>100</v>
      </c>
      <c r="J236" s="33">
        <f t="shared" si="167"/>
        <v>100</v>
      </c>
      <c r="K236" s="33"/>
      <c r="L236" s="33">
        <f t="shared" ref="L236:O236" si="168">SUM(L222,L225,L228,L231)</f>
        <v>100</v>
      </c>
      <c r="M236" s="33">
        <f t="shared" si="168"/>
        <v>100</v>
      </c>
      <c r="N236" s="33">
        <f t="shared" si="168"/>
        <v>100</v>
      </c>
      <c r="O236" s="33">
        <f t="shared" si="168"/>
        <v>100</v>
      </c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>
      <c r="A247" s="10" t="s">
        <v>279</v>
      </c>
      <c r="B247" s="24"/>
      <c r="C247" s="24"/>
      <c r="D247" s="24"/>
      <c r="E247" s="24"/>
      <c r="F247" s="24"/>
      <c r="G247" s="24"/>
      <c r="H247" s="24"/>
      <c r="I247" s="24"/>
      <c r="J247" s="24"/>
      <c r="L247" s="24"/>
      <c r="M247" s="24"/>
      <c r="N247" s="24"/>
      <c r="O247" s="24"/>
    </row>
    <row r="248" ht="15.75" customHeight="1">
      <c r="A248" s="11" t="s">
        <v>68</v>
      </c>
      <c r="B248" s="15">
        <f>($L$51+$M$51)/(($F$51-2)*$P$51)*100</f>
        <v>7.356076759</v>
      </c>
      <c r="C248" s="22">
        <f>($L$55+$M$55)/(($F$55-2)*$P$55)*100</f>
        <v>2.777777778</v>
      </c>
      <c r="D248" s="21">
        <f>($L$59+$M$59)/(($F$59-2)*$P$59)*100</f>
        <v>13.94799054</v>
      </c>
      <c r="E248" s="15">
        <f>($L$63+$M$63)/(($F$63-2)*$P$63)*100</f>
        <v>18.03278689</v>
      </c>
      <c r="F248" s="8"/>
      <c r="G248" s="12">
        <f>$L$52/(($F$52-2)*$P$52)*100</f>
        <v>1.388888889</v>
      </c>
      <c r="H248" s="21">
        <f>$L$56/(($F$56-2)*$P$56)*100</f>
        <v>0.5393743258</v>
      </c>
      <c r="I248" s="15">
        <f>$L$60/(($F$60-2)*$P$60)*100</f>
        <v>2.07852194</v>
      </c>
      <c r="J248" s="15">
        <f>$L$64/(($F$64-2)*$P$64)*100</f>
        <v>0</v>
      </c>
      <c r="L248" s="12">
        <f>$L$53/(($F$53-2)*$P$53)*100</f>
        <v>1.874310915</v>
      </c>
      <c r="M248" s="21">
        <f>$L$57/(($F$57-2)*$P$57)*100</f>
        <v>0.441014333</v>
      </c>
      <c r="N248" s="14">
        <f>$L$61/(($F$61-2)*$P$61)*100</f>
        <v>1.507537688</v>
      </c>
      <c r="O248" s="15">
        <f>$L$65/(($F$65-2)*$P$65)*100</f>
        <v>0</v>
      </c>
    </row>
    <row r="249" ht="15.75" customHeight="1">
      <c r="A249" s="11" t="s">
        <v>73</v>
      </c>
      <c r="B249" s="15">
        <f>($L$67+$M$67)/(($F$67-2)*$P$67)*100</f>
        <v>8.541666667</v>
      </c>
      <c r="C249" s="21">
        <f>($L$71+$M$71)/(($F$71-2)*$P$71)*100</f>
        <v>2.015677492</v>
      </c>
      <c r="D249" s="16">
        <f>($L$75+$M$75)/(($F$75-2)*$P$75)*100</f>
        <v>17.70833333</v>
      </c>
      <c r="E249" s="12">
        <f>($L$79+$M$79)/(($F$79-2)*$P$79)*100</f>
        <v>18.6440678</v>
      </c>
      <c r="F249" s="8"/>
      <c r="G249" s="12">
        <f>$L$68/(($F$68-2)*$P$68)*100</f>
        <v>3.404255319</v>
      </c>
      <c r="H249" s="22">
        <f>$L$72/(($F$72-2)*$P$72)*100</f>
        <v>0.4576659039</v>
      </c>
      <c r="I249" s="20">
        <f>$L$76/(($F$76-2)*$P$76)*100</f>
        <v>9.210526316</v>
      </c>
      <c r="J249" s="12">
        <f>$L$80/(($F$80-2)*$P$80)*100</f>
        <v>1.785714286</v>
      </c>
      <c r="L249" s="12">
        <f>$L$69/(($F$69-2)*$P$69)*100</f>
        <v>2.678571429</v>
      </c>
      <c r="M249" s="21">
        <f>$L$73/(($F$73-2)*$P$73)*100</f>
        <v>0.3488372093</v>
      </c>
      <c r="N249" s="16">
        <f>$L$77/(($F$77-2)*$P$77)*100</f>
        <v>8.73015873</v>
      </c>
      <c r="O249" s="15">
        <f>$L$81/(($F$81-2)*$P$81)*100</f>
        <v>4.761904762</v>
      </c>
    </row>
    <row r="250" ht="15.75" customHeight="1">
      <c r="A250" s="11" t="s">
        <v>76</v>
      </c>
      <c r="B250" s="13">
        <f>($L$83+$M$83)/(($F$83-2)*$P$83)*100</f>
        <v>16.84210526</v>
      </c>
      <c r="C250" s="16">
        <f>($L$87+$M$87)/(($F$87-2)*$P$87)*100</f>
        <v>1.492537313</v>
      </c>
      <c r="D250" s="12">
        <f>($L$91+$M$91)/(($F$91-2)*$P$91)*100</f>
        <v>15.29051988</v>
      </c>
      <c r="E250" s="13">
        <f>($L$95+$M$95)/(($F$95-2)*$P$95)*100</f>
        <v>57.5</v>
      </c>
      <c r="F250" s="8"/>
      <c r="G250" s="13">
        <f>$L$84/(($F$84-2)*$P$84)*100</f>
        <v>14.32973806</v>
      </c>
      <c r="H250" s="28">
        <f>$L$88/(($F$88-2)*$P$88)*100</f>
        <v>0.7561436673</v>
      </c>
      <c r="I250" s="12">
        <f>$L$92/(($F$92-2)*$P$92)*100</f>
        <v>3.594771242</v>
      </c>
      <c r="J250" s="13">
        <f>$L$96/(($F$96-2)*$P$96)*100</f>
        <v>21.12676056</v>
      </c>
      <c r="L250" s="18">
        <f>$L$85/(($F$85-2)*$P$85)*100</f>
        <v>15.39634146</v>
      </c>
      <c r="M250" s="20">
        <f>$L$89/(($F$89-2)*$P$89)*100</f>
        <v>1.330798479</v>
      </c>
      <c r="N250" s="15">
        <f>$L$93/(($F$93-2)*$P$93)*100</f>
        <v>6.857142857</v>
      </c>
      <c r="O250" s="18">
        <f>$L$97/(($F$97-2)*$P$97)*100</f>
        <v>22.78481013</v>
      </c>
    </row>
    <row r="251" ht="15.75" customHeight="1">
      <c r="B251" s="15">
        <f>($L$51+$M$51)/(($F$51-2)*$P$51)*100</f>
        <v>7.356076759</v>
      </c>
      <c r="C251" s="22">
        <f>($L$55+$M$55)/(($F$55-2)*$P$55)*100</f>
        <v>2.777777778</v>
      </c>
      <c r="D251" s="21">
        <f>($L$59+$M$59)/(($F$59-2)*$P$59)*100</f>
        <v>13.94799054</v>
      </c>
      <c r="E251" s="15">
        <f>($L$63+$M$63)/(($F$63-2)*$P$63)*100</f>
        <v>18.03278689</v>
      </c>
      <c r="G251" s="15">
        <f>($L$52+$M$52)/(($F$52-2)*$P$52)*100</f>
        <v>5.982905983</v>
      </c>
      <c r="H251" s="22">
        <f>($L$56+$M$56)/(($F$56-2)*$P$56)*100</f>
        <v>1.941747573</v>
      </c>
      <c r="I251" s="21">
        <f>($L$60+$M$60)/(($F$60-2)*$P$60)*100</f>
        <v>13.62586605</v>
      </c>
      <c r="J251" s="15">
        <f>($L$64+$M$64)/(($F$64-2)*$P$64)*100</f>
        <v>10.66666667</v>
      </c>
      <c r="L251" s="15">
        <f>($L$53+$M$53)/(($F$53-2)*$P$53)*100</f>
        <v>3.528114664</v>
      </c>
      <c r="M251" s="22">
        <f>($L$57+$M$57)/(($F$57-2)*$P$57)*100</f>
        <v>0.8820286659</v>
      </c>
      <c r="N251" s="21">
        <f>($L$61+$M$61)/(($F$61-2)*$P$61)*100</f>
        <v>10.05025126</v>
      </c>
      <c r="O251" s="15">
        <f>($L$65+$M$65)/(($F$65-2)*$P$65)*100</f>
        <v>4.347826087</v>
      </c>
    </row>
    <row r="252" ht="15.75" customHeight="1">
      <c r="B252" s="15">
        <f>($L$67+$M$67)/(($F$67-2)*$P$67)*100</f>
        <v>8.541666667</v>
      </c>
      <c r="C252" s="21">
        <f>($L$71+$M$71)/(($F$71-2)*$P$71)*100</f>
        <v>2.015677492</v>
      </c>
      <c r="D252" s="16">
        <f>($L$75+$M$75)/(($F$75-2)*$P$75)*100</f>
        <v>17.70833333</v>
      </c>
      <c r="E252" s="12">
        <f>($L$79+$M$79)/(($F$79-2)*$P$79)*100</f>
        <v>18.6440678</v>
      </c>
      <c r="G252" s="15">
        <f>($L$68+$M$68)/(($F$68-2)*$P$68)*100</f>
        <v>8.723404255</v>
      </c>
      <c r="H252" s="21">
        <f>($L$72+$M$72)/(($F$72-2)*$P$72)*100</f>
        <v>2.059496568</v>
      </c>
      <c r="I252" s="16">
        <f>($L$76+$M$76)/(($F$76-2)*$P$76)*100</f>
        <v>23.02631579</v>
      </c>
      <c r="J252" s="12">
        <f>($L$80+$M$80)/(($F$80-2)*$P$80)*100</f>
        <v>10.71428571</v>
      </c>
      <c r="L252" s="15">
        <f>($L$69+$M$69)/(($F$69-2)*$P$69)*100</f>
        <v>5.580357143</v>
      </c>
      <c r="M252" s="21">
        <f>($L$73+$M$73)/(($F$73-2)*$P$73)*100</f>
        <v>0.8139534884</v>
      </c>
      <c r="N252" s="16">
        <f>($L$77+$M$77)/(($F$77-2)*$P$77)*100</f>
        <v>14.28571429</v>
      </c>
      <c r="O252" s="12">
        <f>($L$81+$M$81)/(($F$81-2)*$P$81)*100</f>
        <v>7.142857143</v>
      </c>
    </row>
    <row r="253" ht="15.75" customHeight="1">
      <c r="B253" s="13">
        <f>($L$83+$M$83)/(($F$83-2)*$P$83)*100</f>
        <v>16.84210526</v>
      </c>
      <c r="C253" s="16">
        <f>($L$87+$M$87)/(($F$87-2)*$P$87)*100</f>
        <v>1.492537313</v>
      </c>
      <c r="D253" s="12">
        <f>($L$91+$M$91)/(($F$91-2)*$P$91)*100</f>
        <v>15.29051988</v>
      </c>
      <c r="E253" s="13">
        <f>($L$95+$M$95)/(($F$95-2)*$P$95)*100</f>
        <v>57.5</v>
      </c>
      <c r="G253" s="13">
        <f>($L$84+$M$84)/(($F$84-2)*$P$84)*100</f>
        <v>20.18489985</v>
      </c>
      <c r="H253" s="16">
        <f>($L$88+$M$88)/(($F$88-2)*$P$88)*100</f>
        <v>0.7561436673</v>
      </c>
      <c r="I253" s="12">
        <f>($L$92+$M$92)/(($F$92-2)*$P$92)*100</f>
        <v>19.28104575</v>
      </c>
      <c r="J253" s="13">
        <f>($L$96+$M$96)/(($F$96-2)*$P$96)*100</f>
        <v>59.15492958</v>
      </c>
      <c r="L253" s="13">
        <f>($L$85+$M$85)/(($F$85-2)*$P$85)*100</f>
        <v>17.07317073</v>
      </c>
      <c r="M253" s="16">
        <f>($L$89+$M$89)/(($F$89-2)*$P$89)*100</f>
        <v>1.330798479</v>
      </c>
      <c r="N253" s="12">
        <f>($L$93+$M$93)/(($F$93-2)*$P$93)*100</f>
        <v>15.14285714</v>
      </c>
      <c r="O253" s="13">
        <f>($L$97+$M$97)/(($F$97-2)*$P$97)*100</f>
        <v>50.63291139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>
      <c r="A259" s="30" t="s">
        <v>285</v>
      </c>
      <c r="B259" s="43" t="s">
        <v>216</v>
      </c>
      <c r="C259" s="32"/>
      <c r="D259" s="32"/>
      <c r="E259" s="32"/>
      <c r="G259" s="43" t="s">
        <v>244</v>
      </c>
      <c r="H259" s="32"/>
      <c r="I259" s="32"/>
      <c r="J259" s="32"/>
      <c r="L259" s="132" t="s">
        <v>275</v>
      </c>
      <c r="M259" s="133"/>
      <c r="N259" s="133"/>
      <c r="O259" s="133"/>
    </row>
    <row r="260" ht="15.75" customHeight="1">
      <c r="B260" s="44" t="s">
        <v>63</v>
      </c>
      <c r="C260" s="44" t="s">
        <v>64</v>
      </c>
      <c r="D260" s="44" t="s">
        <v>65</v>
      </c>
      <c r="E260" s="44" t="s">
        <v>66</v>
      </c>
      <c r="G260" s="44" t="s">
        <v>63</v>
      </c>
      <c r="H260" s="44" t="s">
        <v>64</v>
      </c>
      <c r="I260" s="44" t="s">
        <v>65</v>
      </c>
      <c r="J260" s="44" t="s">
        <v>66</v>
      </c>
      <c r="L260" s="44" t="s">
        <v>63</v>
      </c>
      <c r="M260" s="44" t="s">
        <v>64</v>
      </c>
      <c r="N260" s="44" t="s">
        <v>65</v>
      </c>
      <c r="O260" s="44" t="s">
        <v>66</v>
      </c>
    </row>
    <row r="261" ht="15.75" customHeight="1">
      <c r="A261" s="10" t="s">
        <v>203</v>
      </c>
      <c r="B261" s="114"/>
      <c r="C261" s="114"/>
      <c r="D261" s="114"/>
      <c r="E261" s="114"/>
      <c r="G261" s="114"/>
      <c r="H261" s="114"/>
      <c r="I261" s="114"/>
      <c r="J261" s="114"/>
      <c r="L261" s="114"/>
      <c r="M261" s="114"/>
      <c r="N261" s="114"/>
      <c r="O261" s="114"/>
    </row>
    <row r="262" ht="15.75" customHeight="1">
      <c r="A262" s="11" t="s">
        <v>68</v>
      </c>
      <c r="B262" s="53">
        <v>12.7</v>
      </c>
      <c r="C262" s="119">
        <v>1.91</v>
      </c>
      <c r="D262" s="53">
        <v>12.5</v>
      </c>
      <c r="E262" s="136">
        <v>6.03</v>
      </c>
      <c r="G262" s="120">
        <v>10.5</v>
      </c>
      <c r="H262" s="54">
        <v>2.35</v>
      </c>
      <c r="I262" s="135">
        <v>8.01</v>
      </c>
      <c r="J262" s="144">
        <v>10.6</v>
      </c>
      <c r="L262" s="54">
        <v>8.73</v>
      </c>
      <c r="M262" s="54">
        <v>1.54</v>
      </c>
      <c r="N262" s="53">
        <v>12.3</v>
      </c>
      <c r="O262" s="53">
        <v>13.8</v>
      </c>
    </row>
    <row r="263" ht="15.75" customHeight="1">
      <c r="A263" s="11" t="s">
        <v>73</v>
      </c>
      <c r="B263" s="53">
        <v>31.2</v>
      </c>
      <c r="C263" s="119">
        <v>2.45</v>
      </c>
      <c r="D263" s="116">
        <v>6.15</v>
      </c>
      <c r="E263" s="53">
        <v>20.4</v>
      </c>
      <c r="G263" s="137">
        <v>24.1</v>
      </c>
      <c r="H263" s="54">
        <v>2.5</v>
      </c>
      <c r="I263" s="119">
        <v>4.67</v>
      </c>
      <c r="J263" s="137">
        <v>17.5</v>
      </c>
      <c r="L263" s="53">
        <v>29.4</v>
      </c>
      <c r="M263" s="54">
        <v>2.01</v>
      </c>
      <c r="N263" s="116">
        <v>4.36</v>
      </c>
      <c r="O263" s="53">
        <v>18.5</v>
      </c>
    </row>
    <row r="264" ht="15.75" customHeight="1">
      <c r="A264" s="11" t="s">
        <v>76</v>
      </c>
      <c r="B264" s="116">
        <v>7.2</v>
      </c>
      <c r="C264" s="116">
        <v>1.64</v>
      </c>
      <c r="D264" s="53">
        <v>14.8</v>
      </c>
      <c r="E264" s="53">
        <v>14.0</v>
      </c>
      <c r="G264" s="136">
        <v>5.69</v>
      </c>
      <c r="H264" s="123">
        <v>0.851</v>
      </c>
      <c r="I264" s="136">
        <v>2.9</v>
      </c>
      <c r="J264" s="120">
        <v>12.9</v>
      </c>
      <c r="L264" s="142">
        <v>6.21</v>
      </c>
      <c r="M264" s="143">
        <v>0.731</v>
      </c>
      <c r="N264" s="54">
        <v>5.69</v>
      </c>
      <c r="O264" s="116">
        <v>8.74</v>
      </c>
    </row>
    <row r="265" ht="15.75" customHeight="1">
      <c r="A265" s="10" t="s">
        <v>210</v>
      </c>
      <c r="B265" s="95"/>
      <c r="C265" s="95"/>
      <c r="D265" s="95"/>
      <c r="E265" s="95"/>
      <c r="G265" s="95"/>
      <c r="H265" s="95"/>
      <c r="I265" s="95"/>
      <c r="J265" s="95"/>
      <c r="L265" s="45"/>
      <c r="M265" s="114"/>
      <c r="N265" s="114"/>
      <c r="O265" s="114"/>
    </row>
    <row r="266" ht="15.75" customHeight="1">
      <c r="A266" s="11" t="s">
        <v>68</v>
      </c>
      <c r="B266" s="134">
        <v>61.1</v>
      </c>
      <c r="C266" s="138">
        <v>5.1</v>
      </c>
      <c r="D266" s="144">
        <v>25.3</v>
      </c>
      <c r="E266" s="53">
        <v>63.4</v>
      </c>
      <c r="G266" s="137">
        <v>41.1</v>
      </c>
      <c r="H266" s="136">
        <v>4.29</v>
      </c>
      <c r="I266" s="145">
        <v>20.5</v>
      </c>
      <c r="J266" s="120">
        <v>43.6</v>
      </c>
      <c r="L266" s="53">
        <v>63.9</v>
      </c>
      <c r="M266" s="54">
        <v>7.03</v>
      </c>
      <c r="N266" s="117">
        <v>28.3</v>
      </c>
      <c r="O266" s="53">
        <v>43.2</v>
      </c>
    </row>
    <row r="267" ht="15.75" customHeight="1">
      <c r="A267" s="11" t="s">
        <v>73</v>
      </c>
      <c r="B267" s="145">
        <v>36.3</v>
      </c>
      <c r="C267" s="136">
        <v>4.35</v>
      </c>
      <c r="D267" s="134">
        <v>43.2</v>
      </c>
      <c r="E267" s="115">
        <v>26.2</v>
      </c>
      <c r="G267" s="134">
        <v>39.1</v>
      </c>
      <c r="H267" s="138">
        <v>5.21</v>
      </c>
      <c r="I267" s="137">
        <v>41.4</v>
      </c>
      <c r="J267" s="115">
        <v>26.2</v>
      </c>
      <c r="L267" s="117">
        <v>45.7</v>
      </c>
      <c r="M267" s="54">
        <v>7.21</v>
      </c>
      <c r="N267" s="53">
        <v>43.8</v>
      </c>
      <c r="O267" s="117">
        <v>25.3</v>
      </c>
    </row>
    <row r="268" ht="15.75" customHeight="1">
      <c r="A268" s="11" t="s">
        <v>76</v>
      </c>
      <c r="B268" s="134">
        <v>53.4</v>
      </c>
      <c r="C268" s="135">
        <v>4.64</v>
      </c>
      <c r="D268" s="134">
        <v>30.7</v>
      </c>
      <c r="E268" s="137">
        <v>27.5</v>
      </c>
      <c r="G268" s="145">
        <v>38.1</v>
      </c>
      <c r="H268" s="138">
        <v>5.32</v>
      </c>
      <c r="I268" s="137">
        <v>27.0</v>
      </c>
      <c r="J268" s="134">
        <v>31.7</v>
      </c>
      <c r="L268" s="129">
        <v>56.9</v>
      </c>
      <c r="M268" s="142">
        <v>6.3</v>
      </c>
      <c r="N268" s="129">
        <v>35.0</v>
      </c>
      <c r="O268" s="129">
        <v>60.5</v>
      </c>
    </row>
    <row r="269" ht="15.75" customHeight="1">
      <c r="A269" s="10" t="s">
        <v>213</v>
      </c>
      <c r="B269" s="95"/>
      <c r="C269" s="95"/>
      <c r="D269" s="95"/>
      <c r="E269" s="95"/>
      <c r="G269" s="95"/>
      <c r="H269" s="95"/>
      <c r="I269" s="95"/>
      <c r="J269" s="95"/>
      <c r="L269" s="44"/>
      <c r="M269" s="44"/>
      <c r="N269" s="44"/>
      <c r="O269" s="44"/>
    </row>
    <row r="270" ht="15.75" customHeight="1">
      <c r="A270" s="11" t="s">
        <v>68</v>
      </c>
      <c r="B270" s="53">
        <v>19.2</v>
      </c>
      <c r="C270" s="120">
        <v>90.6</v>
      </c>
      <c r="D270" s="144">
        <v>47.6</v>
      </c>
      <c r="E270" s="120">
        <v>22.4</v>
      </c>
      <c r="G270" s="120">
        <v>22.1</v>
      </c>
      <c r="H270" s="53">
        <v>90.1</v>
      </c>
      <c r="I270" s="145">
        <v>50.2</v>
      </c>
      <c r="J270" s="53">
        <v>18.2</v>
      </c>
      <c r="L270" s="53">
        <v>24.1</v>
      </c>
      <c r="M270" s="53">
        <v>90.8</v>
      </c>
      <c r="N270" s="53">
        <v>46.1</v>
      </c>
      <c r="O270" s="53">
        <v>34.7</v>
      </c>
    </row>
    <row r="271" ht="15.75" customHeight="1">
      <c r="A271" s="11" t="s">
        <v>73</v>
      </c>
      <c r="B271" s="144">
        <v>26.5</v>
      </c>
      <c r="C271" s="137">
        <v>91.2</v>
      </c>
      <c r="D271" s="53">
        <v>34.5</v>
      </c>
      <c r="E271" s="117">
        <v>41.7</v>
      </c>
      <c r="G271" s="137">
        <v>27.4</v>
      </c>
      <c r="H271" s="134">
        <v>90.5</v>
      </c>
      <c r="I271" s="120">
        <v>36.2</v>
      </c>
      <c r="J271" s="115">
        <v>46.7</v>
      </c>
      <c r="L271" s="53">
        <v>22.2</v>
      </c>
      <c r="M271" s="53">
        <v>90.1</v>
      </c>
      <c r="N271" s="53">
        <v>43.2</v>
      </c>
      <c r="O271" s="117">
        <v>50.3</v>
      </c>
    </row>
    <row r="272" ht="15.75" customHeight="1">
      <c r="A272" s="11" t="s">
        <v>76</v>
      </c>
      <c r="B272" s="53">
        <v>26.0</v>
      </c>
      <c r="C272" s="144">
        <v>92.0</v>
      </c>
      <c r="D272" s="53">
        <v>37.4</v>
      </c>
      <c r="E272" s="53">
        <v>11.8</v>
      </c>
      <c r="G272" s="145">
        <v>30.7</v>
      </c>
      <c r="H272" s="145">
        <v>92.8</v>
      </c>
      <c r="I272" s="120">
        <v>49.5</v>
      </c>
      <c r="J272" s="120">
        <v>16.1</v>
      </c>
      <c r="L272" s="131">
        <v>28.9</v>
      </c>
      <c r="M272" s="131">
        <v>91.7</v>
      </c>
      <c r="N272" s="131">
        <v>50.9</v>
      </c>
      <c r="O272" s="129">
        <v>21.6</v>
      </c>
    </row>
    <row r="273" ht="15.75" customHeight="1">
      <c r="A273" s="10" t="s">
        <v>221</v>
      </c>
      <c r="B273" s="95"/>
      <c r="C273" s="95"/>
      <c r="D273" s="95"/>
      <c r="E273" s="95"/>
      <c r="G273" s="95"/>
      <c r="H273" s="95"/>
      <c r="I273" s="95"/>
      <c r="J273" s="95"/>
      <c r="L273" s="44"/>
      <c r="M273" s="44"/>
      <c r="N273" s="44"/>
      <c r="O273" s="44"/>
    </row>
    <row r="274" ht="15.75" customHeight="1">
      <c r="A274" s="11" t="s">
        <v>68</v>
      </c>
      <c r="B274" s="138">
        <v>6.88</v>
      </c>
      <c r="C274" s="139">
        <v>2.42</v>
      </c>
      <c r="D274" s="134">
        <v>14.6</v>
      </c>
      <c r="E274" s="54">
        <v>8.19</v>
      </c>
      <c r="G274" s="145">
        <v>26.3</v>
      </c>
      <c r="H274" s="136">
        <v>3.27</v>
      </c>
      <c r="I274" s="145">
        <v>21.3</v>
      </c>
      <c r="J274" s="137">
        <v>27.5</v>
      </c>
      <c r="L274" s="54">
        <v>3.28</v>
      </c>
      <c r="M274" s="118">
        <v>0.602</v>
      </c>
      <c r="N274" s="117">
        <v>13.3</v>
      </c>
      <c r="O274" s="54">
        <v>8.33</v>
      </c>
    </row>
    <row r="275" ht="15.75" customHeight="1">
      <c r="A275" s="11" t="s">
        <v>73</v>
      </c>
      <c r="B275" s="138">
        <v>5.98</v>
      </c>
      <c r="C275" s="135">
        <v>1.96</v>
      </c>
      <c r="D275" s="134">
        <v>16.2</v>
      </c>
      <c r="E275" s="137">
        <v>11.7</v>
      </c>
      <c r="G275" s="135">
        <v>9.37</v>
      </c>
      <c r="H275" s="138">
        <v>1.81</v>
      </c>
      <c r="I275" s="137">
        <v>17.8</v>
      </c>
      <c r="J275" s="138">
        <v>9.6</v>
      </c>
      <c r="L275" s="54">
        <v>2.65</v>
      </c>
      <c r="M275" s="118">
        <v>0.637</v>
      </c>
      <c r="N275" s="54">
        <v>8.66</v>
      </c>
      <c r="O275" s="54">
        <v>5.78</v>
      </c>
    </row>
    <row r="276" ht="15.75" customHeight="1">
      <c r="A276" s="11" t="s">
        <v>76</v>
      </c>
      <c r="B276" s="144">
        <v>13.3</v>
      </c>
      <c r="C276" s="135">
        <v>1.73</v>
      </c>
      <c r="D276" s="144">
        <v>17.2</v>
      </c>
      <c r="E276" s="145">
        <v>46.6</v>
      </c>
      <c r="G276" s="137">
        <v>25.4</v>
      </c>
      <c r="H276" s="54">
        <v>1.06</v>
      </c>
      <c r="I276" s="137">
        <v>20.6</v>
      </c>
      <c r="J276" s="144">
        <v>39.2</v>
      </c>
      <c r="L276" s="116">
        <v>8.02</v>
      </c>
      <c r="M276" s="116">
        <v>1.23</v>
      </c>
      <c r="N276" s="54">
        <v>8.37</v>
      </c>
      <c r="O276" s="116">
        <v>9.2</v>
      </c>
    </row>
    <row r="277" ht="15.75" customHeight="1">
      <c r="A277" s="72" t="s">
        <v>308</v>
      </c>
      <c r="B277" s="95"/>
      <c r="C277" s="95"/>
      <c r="D277" s="95"/>
      <c r="E277" s="95"/>
      <c r="G277" s="95"/>
      <c r="H277" s="95"/>
      <c r="I277" s="95"/>
      <c r="J277" s="95"/>
    </row>
    <row r="278" ht="15.75" customHeight="1">
      <c r="A278" s="11" t="s">
        <v>68</v>
      </c>
      <c r="B278" s="53">
        <v>11.2</v>
      </c>
      <c r="C278" s="115">
        <v>37.2</v>
      </c>
      <c r="D278" s="115">
        <v>36.7</v>
      </c>
      <c r="E278" s="53">
        <v>29.7</v>
      </c>
      <c r="G278" s="115">
        <v>12.9</v>
      </c>
      <c r="H278" s="53">
        <v>13.8</v>
      </c>
      <c r="I278" s="117">
        <v>20.9</v>
      </c>
      <c r="J278" s="115">
        <v>37.7</v>
      </c>
      <c r="L278" s="8" t="s">
        <v>152</v>
      </c>
      <c r="M278" s="8" t="s">
        <v>152</v>
      </c>
      <c r="N278" s="8" t="s">
        <v>152</v>
      </c>
      <c r="O278" s="8" t="s">
        <v>152</v>
      </c>
    </row>
    <row r="279" ht="15.75" customHeight="1">
      <c r="A279" s="11" t="s">
        <v>73</v>
      </c>
      <c r="B279" s="115">
        <v>12.7</v>
      </c>
      <c r="C279" s="120">
        <v>30.8</v>
      </c>
      <c r="D279" s="120">
        <v>19.2</v>
      </c>
      <c r="E279" s="120">
        <v>33.0</v>
      </c>
      <c r="G279" s="54">
        <v>8.98</v>
      </c>
      <c r="H279" s="117">
        <v>18.5</v>
      </c>
      <c r="I279" s="53">
        <v>18.8</v>
      </c>
      <c r="J279" s="53">
        <v>15.9</v>
      </c>
      <c r="L279" s="8" t="s">
        <v>152</v>
      </c>
      <c r="M279" s="8" t="s">
        <v>152</v>
      </c>
      <c r="N279" s="8" t="s">
        <v>152</v>
      </c>
      <c r="O279" s="8" t="s">
        <v>152</v>
      </c>
    </row>
    <row r="280" ht="15.75" customHeight="1">
      <c r="A280" s="25" t="s">
        <v>76</v>
      </c>
      <c r="B280" s="119">
        <v>8.06</v>
      </c>
      <c r="C280" s="120">
        <v>30.5</v>
      </c>
      <c r="D280" s="120">
        <v>28.7</v>
      </c>
      <c r="E280" s="115">
        <v>46.1</v>
      </c>
      <c r="G280" s="165">
        <v>7.48</v>
      </c>
      <c r="H280" s="129">
        <v>13.3</v>
      </c>
      <c r="I280" s="129">
        <v>18.6</v>
      </c>
      <c r="J280" s="129">
        <v>11.3</v>
      </c>
      <c r="L280" s="51" t="s">
        <v>152</v>
      </c>
      <c r="M280" s="51" t="s">
        <v>152</v>
      </c>
      <c r="N280" s="51" t="s">
        <v>152</v>
      </c>
      <c r="O280" s="51" t="s">
        <v>152</v>
      </c>
    </row>
    <row r="281" ht="15.75" customHeight="1"/>
    <row r="282" ht="15.75" customHeight="1"/>
    <row r="283" ht="15.75" customHeight="1">
      <c r="A283" s="30" t="s">
        <v>311</v>
      </c>
      <c r="B283" s="31" t="s">
        <v>260</v>
      </c>
      <c r="C283" s="32"/>
      <c r="D283" s="32"/>
      <c r="E283" s="32"/>
      <c r="G283" s="43" t="s">
        <v>282</v>
      </c>
      <c r="H283" s="32"/>
      <c r="I283" s="32"/>
      <c r="J283" s="32"/>
      <c r="L283" s="132" t="s">
        <v>275</v>
      </c>
      <c r="M283" s="133"/>
      <c r="N283" s="133"/>
      <c r="O283" s="133"/>
    </row>
    <row r="284" ht="15.75" customHeight="1">
      <c r="B284" s="8" t="s">
        <v>63</v>
      </c>
      <c r="C284" s="8" t="s">
        <v>64</v>
      </c>
      <c r="D284" s="8" t="s">
        <v>65</v>
      </c>
      <c r="E284" s="8" t="s">
        <v>66</v>
      </c>
      <c r="G284" s="44" t="s">
        <v>63</v>
      </c>
      <c r="H284" s="44" t="s">
        <v>64</v>
      </c>
      <c r="I284" s="44" t="s">
        <v>65</v>
      </c>
      <c r="J284" s="44" t="s">
        <v>66</v>
      </c>
      <c r="L284" s="44" t="s">
        <v>63</v>
      </c>
      <c r="M284" s="44" t="s">
        <v>64</v>
      </c>
      <c r="N284" s="44" t="s">
        <v>65</v>
      </c>
      <c r="O284" s="44" t="s">
        <v>66</v>
      </c>
    </row>
    <row r="285" ht="15.75" customHeight="1">
      <c r="A285" s="10" t="s">
        <v>203</v>
      </c>
      <c r="B285" s="10"/>
      <c r="C285" s="10"/>
      <c r="D285" s="10"/>
      <c r="E285" s="10"/>
      <c r="G285" s="166"/>
      <c r="H285" s="166"/>
      <c r="I285" s="166"/>
      <c r="J285" s="166"/>
      <c r="L285" s="114"/>
      <c r="M285" s="114"/>
      <c r="N285" s="114"/>
      <c r="O285" s="114"/>
    </row>
    <row r="286" ht="15.75" customHeight="1">
      <c r="A286" s="11" t="s">
        <v>68</v>
      </c>
      <c r="B286" s="14">
        <f>$H$51/(($F$51-2)*$P$51)*100</f>
        <v>14.60554371</v>
      </c>
      <c r="C286" s="15">
        <f>$H$55/(($F$55-2)*$P$55)*100</f>
        <v>2.136752137</v>
      </c>
      <c r="D286" s="155">
        <f>$H$59/(($F$59-2)*$P$59)*100</f>
        <v>7.80141844</v>
      </c>
      <c r="E286" s="155">
        <f>$H$63/(($F$63-2)*$P$63)*100</f>
        <v>8.196721311</v>
      </c>
      <c r="G286" s="120">
        <v>11.4</v>
      </c>
      <c r="H286" s="54">
        <v>2.32</v>
      </c>
      <c r="I286" s="135">
        <v>5.75</v>
      </c>
      <c r="J286" s="136">
        <v>7.22</v>
      </c>
      <c r="L286" s="54">
        <v>8.73</v>
      </c>
      <c r="M286" s="54">
        <v>1.54</v>
      </c>
      <c r="N286" s="53">
        <v>12.3</v>
      </c>
      <c r="O286" s="53">
        <v>13.8</v>
      </c>
    </row>
    <row r="287" ht="15.75" customHeight="1">
      <c r="A287" s="11" t="s">
        <v>73</v>
      </c>
      <c r="B287" s="150">
        <f>$H$67/(($F$67-2)*$P$67)*100</f>
        <v>26.66666667</v>
      </c>
      <c r="C287" s="158">
        <f>$H$71/(($F$71-2)*$P$71)*100</f>
        <v>1.903695409</v>
      </c>
      <c r="D287" s="16">
        <f>$H$75/(($F$75-2)*$P$75)*100</f>
        <v>4.861111111</v>
      </c>
      <c r="E287" s="14">
        <f>$H$79/(($F$79-2)*$P$79)*100</f>
        <v>22.03389831</v>
      </c>
      <c r="G287" s="137">
        <v>19.0</v>
      </c>
      <c r="H287" s="54">
        <v>2.07</v>
      </c>
      <c r="I287" s="135">
        <v>4.02</v>
      </c>
      <c r="J287" s="137">
        <v>14.0</v>
      </c>
      <c r="L287" s="53">
        <v>29.4</v>
      </c>
      <c r="M287" s="54">
        <v>2.01</v>
      </c>
      <c r="N287" s="116">
        <v>4.36</v>
      </c>
      <c r="O287" s="53">
        <v>18.5</v>
      </c>
    </row>
    <row r="288" ht="15.75" customHeight="1">
      <c r="A288" s="11" t="s">
        <v>76</v>
      </c>
      <c r="B288" s="16">
        <f>$H$83/(($F$83-2)*$P$83)*100</f>
        <v>6.766917293</v>
      </c>
      <c r="C288" s="167">
        <f>$H$87/(($F$87-2)*$P$87)*100</f>
        <v>0.5597014925</v>
      </c>
      <c r="D288" s="12">
        <f>$H$91/(($F$91-2)*$P$91)*100</f>
        <v>8.868501529</v>
      </c>
      <c r="E288" s="151">
        <f>$H$95/(($F$95-2)*$P$95)*100</f>
        <v>7.5</v>
      </c>
      <c r="G288" s="136">
        <v>4.11</v>
      </c>
      <c r="H288" s="142">
        <v>1.1</v>
      </c>
      <c r="I288" s="168">
        <v>1.69</v>
      </c>
      <c r="J288" s="53">
        <v>19.3</v>
      </c>
      <c r="L288" s="142">
        <v>6.21</v>
      </c>
      <c r="M288" s="143">
        <v>0.731</v>
      </c>
      <c r="N288" s="54">
        <v>5.69</v>
      </c>
      <c r="O288" s="116">
        <v>8.74</v>
      </c>
    </row>
    <row r="289" ht="15.75" customHeight="1">
      <c r="A289" s="10" t="s">
        <v>210</v>
      </c>
      <c r="B289" s="24"/>
      <c r="C289" s="24"/>
      <c r="D289" s="24"/>
      <c r="E289" s="24"/>
      <c r="G289" s="166"/>
      <c r="H289" s="54"/>
      <c r="I289" s="54"/>
      <c r="J289" s="166"/>
      <c r="L289" s="45"/>
      <c r="M289" s="114"/>
      <c r="N289" s="114"/>
      <c r="O289" s="114"/>
    </row>
    <row r="290" ht="15.75" customHeight="1">
      <c r="A290" s="11" t="s">
        <v>68</v>
      </c>
      <c r="B290" s="150">
        <f>$N$51/(($F$51-2)*$P$51)*100</f>
        <v>60.34115139</v>
      </c>
      <c r="C290" s="155">
        <f>$N$55/(($F$55-2)*$P$55)*100</f>
        <v>4.38034188</v>
      </c>
      <c r="D290" s="159">
        <f>$N$59/(($F$59-2)*$P$59)*100</f>
        <v>18.20330969</v>
      </c>
      <c r="E290" s="17">
        <f>$N$63/(($F$63-2)*$P$63)*100</f>
        <v>44.26229508</v>
      </c>
      <c r="G290" s="137">
        <v>48.4</v>
      </c>
      <c r="H290" s="136">
        <v>3.68</v>
      </c>
      <c r="I290" s="145">
        <v>15.7</v>
      </c>
      <c r="J290" s="53">
        <v>62.9</v>
      </c>
      <c r="L290" s="53">
        <v>63.9</v>
      </c>
      <c r="M290" s="54">
        <v>7.03</v>
      </c>
      <c r="N290" s="117">
        <v>28.3</v>
      </c>
      <c r="O290" s="53">
        <v>43.2</v>
      </c>
    </row>
    <row r="291" ht="15.75" customHeight="1">
      <c r="A291" s="11" t="s">
        <v>73</v>
      </c>
      <c r="B291" s="149">
        <f>$N$67/(($F$67-2)*$P$67)*100</f>
        <v>29.79166667</v>
      </c>
      <c r="C291" s="151">
        <f>$N$71/(($F$71-2)*$P$71)*100</f>
        <v>4.031354983</v>
      </c>
      <c r="D291" s="154">
        <f>$N$75/(($F$75-2)*$P$75)*100</f>
        <v>30.55555556</v>
      </c>
      <c r="E291" s="149">
        <f>$N$79/(($F$79-2)*$P$79)*100</f>
        <v>15.25423729</v>
      </c>
      <c r="G291" s="144">
        <v>30.2</v>
      </c>
      <c r="H291" s="138">
        <v>4.46</v>
      </c>
      <c r="I291" s="134">
        <v>33.1</v>
      </c>
      <c r="J291" s="144">
        <v>16.8</v>
      </c>
      <c r="L291" s="117">
        <v>45.7</v>
      </c>
      <c r="M291" s="54">
        <v>7.21</v>
      </c>
      <c r="N291" s="53">
        <v>43.8</v>
      </c>
      <c r="O291" s="117">
        <v>25.3</v>
      </c>
    </row>
    <row r="292" ht="15.75" customHeight="1">
      <c r="A292" s="11" t="s">
        <v>76</v>
      </c>
      <c r="B292" s="150">
        <f>$N$83/(($F$83-2)*$P$83)*100</f>
        <v>48.72180451</v>
      </c>
      <c r="C292" s="12">
        <f>$N$87/(($F$87-2)*$P$87)*100</f>
        <v>6.343283582</v>
      </c>
      <c r="D292" s="150">
        <f>$N$91/(($F$91-2)*$P$91)*100</f>
        <v>33.02752294</v>
      </c>
      <c r="E292" s="150">
        <f>$N$95/(($F$95-2)*$P$95)*100</f>
        <v>23.75</v>
      </c>
      <c r="G292" s="169">
        <v>31.2</v>
      </c>
      <c r="H292" s="170">
        <v>4.41</v>
      </c>
      <c r="I292" s="169">
        <v>26.7</v>
      </c>
      <c r="J292" s="169">
        <v>22.9</v>
      </c>
      <c r="L292" s="129">
        <v>56.9</v>
      </c>
      <c r="M292" s="142">
        <v>6.3</v>
      </c>
      <c r="N292" s="129">
        <v>35.0</v>
      </c>
      <c r="O292" s="129">
        <v>60.5</v>
      </c>
    </row>
    <row r="293" ht="15.75" customHeight="1">
      <c r="A293" s="10" t="s">
        <v>213</v>
      </c>
      <c r="B293" s="24"/>
      <c r="C293" s="24"/>
      <c r="D293" s="24"/>
      <c r="E293" s="24"/>
      <c r="G293" s="54"/>
      <c r="H293" s="91"/>
      <c r="I293" s="91"/>
      <c r="J293" s="54"/>
      <c r="L293" s="44"/>
      <c r="M293" s="44"/>
      <c r="N293" s="44"/>
      <c r="O293" s="44"/>
    </row>
    <row r="294" ht="15.75" customHeight="1">
      <c r="A294" s="11" t="s">
        <v>68</v>
      </c>
      <c r="B294" s="14">
        <f>($I$51+$J$51+$K$51)/(($F$51-2)*$P$51)*100</f>
        <v>17.69722814</v>
      </c>
      <c r="C294" s="17">
        <f>($I$55+$J$55+$K$55)/(($F$55-2)*$P$55)*100</f>
        <v>90.70512821</v>
      </c>
      <c r="D294" s="149">
        <f>($I$59+$J$59+$K$59)/(($F$59-2)*$P$59)*100</f>
        <v>60.04728132</v>
      </c>
      <c r="E294" s="17">
        <f>($I$63+$J$63+$K$63)/(($F$63-2)*$P$63)*100</f>
        <v>29.50819672</v>
      </c>
      <c r="G294" s="120">
        <v>21.3</v>
      </c>
      <c r="H294" s="53">
        <v>90.4</v>
      </c>
      <c r="I294" s="144">
        <v>51.4</v>
      </c>
      <c r="J294" s="53">
        <v>15.5</v>
      </c>
      <c r="L294" s="53">
        <v>24.1</v>
      </c>
      <c r="M294" s="53">
        <v>90.8</v>
      </c>
      <c r="N294" s="53">
        <v>46.1</v>
      </c>
      <c r="O294" s="53">
        <v>34.7</v>
      </c>
    </row>
    <row r="295" ht="15.75" customHeight="1">
      <c r="A295" s="11" t="s">
        <v>73</v>
      </c>
      <c r="B295" s="149">
        <f>($I$67+$J$67+$K$67)/(($F$67-2)*$P$67)*100</f>
        <v>35</v>
      </c>
      <c r="C295" s="149">
        <f>($I$71+$J$71+$K$71)/(($F$71-2)*$P$71)*100</f>
        <v>92.04927212</v>
      </c>
      <c r="D295" s="154">
        <f>($I$75+$J$75+$K$75)/(($F$75-2)*$P$75)*100</f>
        <v>46.875</v>
      </c>
      <c r="E295" s="13">
        <f>($I$79+$J$79+$K$79)/(($F$79-2)*$P$79)*100</f>
        <v>44.06779661</v>
      </c>
      <c r="G295" s="144">
        <v>33.9</v>
      </c>
      <c r="H295" s="134">
        <v>90.8</v>
      </c>
      <c r="I295" s="53">
        <v>36.8</v>
      </c>
      <c r="J295" s="145">
        <v>51.0</v>
      </c>
      <c r="L295" s="53">
        <v>22.2</v>
      </c>
      <c r="M295" s="53">
        <v>90.1</v>
      </c>
      <c r="N295" s="53">
        <v>43.2</v>
      </c>
      <c r="O295" s="117">
        <v>50.3</v>
      </c>
    </row>
    <row r="296" ht="15.75" customHeight="1">
      <c r="A296" s="11" t="s">
        <v>76</v>
      </c>
      <c r="B296" s="14">
        <f>($I$83+$J$83+$K$83)/(($F$83-2)*$P$83)*100</f>
        <v>27.66917293</v>
      </c>
      <c r="C296" s="14">
        <f>($I$87+$J$87+$K$87)/(($F$87-2)*$P$87)*100</f>
        <v>91.60447761</v>
      </c>
      <c r="D296" s="14">
        <f>($I$91+$J$91+$K$91)/(($F$91-2)*$P$91)*100</f>
        <v>42.81345566</v>
      </c>
      <c r="E296" s="17">
        <f>($I$95+$J$95+$K$95)/(($F$95-2)*$P$95)*100</f>
        <v>11.25</v>
      </c>
      <c r="G296" s="137">
        <v>30.0</v>
      </c>
      <c r="H296" s="171">
        <v>92.1</v>
      </c>
      <c r="I296" s="130">
        <v>50.7</v>
      </c>
      <c r="J296" s="53">
        <v>10.8</v>
      </c>
      <c r="L296" s="131">
        <v>28.9</v>
      </c>
      <c r="M296" s="131">
        <v>91.7</v>
      </c>
      <c r="N296" s="131">
        <v>50.9</v>
      </c>
      <c r="O296" s="129">
        <v>21.6</v>
      </c>
    </row>
    <row r="297" ht="15.75" customHeight="1">
      <c r="A297" s="10" t="s">
        <v>221</v>
      </c>
      <c r="B297" s="24"/>
      <c r="C297" s="24"/>
      <c r="D297" s="24"/>
      <c r="E297" s="24"/>
      <c r="G297" s="166"/>
      <c r="H297" s="54"/>
      <c r="I297" s="54"/>
      <c r="J297" s="166"/>
      <c r="L297" s="44"/>
      <c r="M297" s="44"/>
      <c r="N297" s="44"/>
      <c r="O297" s="44"/>
    </row>
    <row r="298" ht="15.75" customHeight="1">
      <c r="A298" s="11" t="s">
        <v>68</v>
      </c>
      <c r="B298" s="155">
        <f>($L$51+$M$51)/(($F$51-2)*$P$51)*100</f>
        <v>7.356076759</v>
      </c>
      <c r="C298" s="153">
        <f>($L$55+$M$55)/(($F$55-2)*$P$55)*100</f>
        <v>2.777777778</v>
      </c>
      <c r="D298" s="150">
        <f>($L$59+$M$59)/(($F$59-2)*$P$59)*100</f>
        <v>13.94799054</v>
      </c>
      <c r="E298" s="154">
        <f>($L$63+$M$63)/(($F$63-2)*$P$63)*100</f>
        <v>18.03278689</v>
      </c>
      <c r="G298" s="137">
        <v>18.9</v>
      </c>
      <c r="H298" s="136">
        <v>3.58</v>
      </c>
      <c r="I298" s="145">
        <v>27.1</v>
      </c>
      <c r="J298" s="134">
        <v>14.4</v>
      </c>
      <c r="L298" s="54">
        <v>3.28</v>
      </c>
      <c r="M298" s="118">
        <v>0.602</v>
      </c>
      <c r="N298" s="117">
        <v>13.3</v>
      </c>
      <c r="O298" s="54">
        <v>8.33</v>
      </c>
    </row>
    <row r="299" ht="15.75" customHeight="1">
      <c r="A299" s="11" t="s">
        <v>73</v>
      </c>
      <c r="B299" s="155">
        <f>($L$67+$M$67)/(($F$67-2)*$P$67)*100</f>
        <v>8.541666667</v>
      </c>
      <c r="C299" s="155">
        <f>($L$71+$M$71)/(($F$71-2)*$P$71)*100</f>
        <v>2.015677492</v>
      </c>
      <c r="D299" s="159">
        <f>($L$75+$M$75)/(($F$75-2)*$P$75)*100</f>
        <v>17.70833333</v>
      </c>
      <c r="E299" s="154">
        <f>($L$79+$M$79)/(($F$79-2)*$P$79)*100</f>
        <v>18.6440678</v>
      </c>
      <c r="G299" s="137">
        <v>16.8</v>
      </c>
      <c r="H299" s="135">
        <v>2.72</v>
      </c>
      <c r="I299" s="137">
        <v>26.1</v>
      </c>
      <c r="J299" s="134">
        <v>18.2</v>
      </c>
      <c r="L299" s="54">
        <v>2.65</v>
      </c>
      <c r="M299" s="118">
        <v>0.637</v>
      </c>
      <c r="N299" s="54">
        <v>8.66</v>
      </c>
      <c r="O299" s="54">
        <v>5.78</v>
      </c>
    </row>
    <row r="300" ht="15.75" customHeight="1">
      <c r="A300" s="11" t="s">
        <v>76</v>
      </c>
      <c r="B300" s="159">
        <f>($L$83+$M$83)/(($F$83-2)*$P$83)*100</f>
        <v>16.84210526</v>
      </c>
      <c r="C300" s="155">
        <f>($L$87+$M$87)/(($F$87-2)*$P$87)*100</f>
        <v>1.492537313</v>
      </c>
      <c r="D300" s="150">
        <f>($L$91+$M$91)/(($F$91-2)*$P$91)*100</f>
        <v>15.29051988</v>
      </c>
      <c r="E300" s="149">
        <f>($L$95+$M$95)/(($F$95-2)*$P$95)*100</f>
        <v>57.5</v>
      </c>
      <c r="G300" s="171">
        <v>34.7</v>
      </c>
      <c r="H300" s="170">
        <v>2.42</v>
      </c>
      <c r="I300" s="169">
        <v>20.9</v>
      </c>
      <c r="J300" s="172">
        <v>47.0</v>
      </c>
      <c r="L300" s="116">
        <v>8.02</v>
      </c>
      <c r="M300" s="116">
        <v>1.23</v>
      </c>
      <c r="N300" s="54">
        <v>8.37</v>
      </c>
      <c r="O300" s="116">
        <v>9.2</v>
      </c>
    </row>
    <row r="301" ht="15.75" customHeight="1">
      <c r="A301" s="72" t="s">
        <v>308</v>
      </c>
      <c r="B301" s="24"/>
      <c r="C301" s="24"/>
      <c r="D301" s="24"/>
      <c r="E301" s="24"/>
      <c r="G301" s="54"/>
      <c r="H301" s="54"/>
      <c r="I301" s="54"/>
      <c r="J301" s="54"/>
    </row>
    <row r="302" ht="15.75" customHeight="1">
      <c r="A302" s="11" t="s">
        <v>68</v>
      </c>
      <c r="B302" s="14">
        <f>$O$51/(($F$51-2)*$P$51)*100</f>
        <v>12.36673774</v>
      </c>
      <c r="C302" s="18">
        <f>$O$55/(($F$55-2)*$P$55)*100</f>
        <v>49.03846154</v>
      </c>
      <c r="D302" s="18">
        <f>$O$59/(($F$59-2)*$P$59)*100</f>
        <v>52.95508274</v>
      </c>
      <c r="E302" s="18">
        <f>$O$63/(($F$63-2)*$P$63)*100</f>
        <v>47.54098361</v>
      </c>
      <c r="G302" s="120">
        <v>18.3</v>
      </c>
      <c r="H302" s="53">
        <v>29.6</v>
      </c>
      <c r="I302" s="117">
        <v>34.3</v>
      </c>
      <c r="J302" s="53">
        <v>19.6</v>
      </c>
      <c r="L302" s="8" t="s">
        <v>152</v>
      </c>
      <c r="M302" s="8" t="s">
        <v>152</v>
      </c>
      <c r="N302" s="8" t="s">
        <v>152</v>
      </c>
      <c r="O302" s="8" t="s">
        <v>152</v>
      </c>
    </row>
    <row r="303" ht="15.75" customHeight="1">
      <c r="A303" s="11" t="s">
        <v>73</v>
      </c>
      <c r="B303" s="18">
        <f>$O$67/(($F$67-2)*$P$67)*100</f>
        <v>23.33333333</v>
      </c>
      <c r="C303" s="17">
        <f>$O$71/(($F$71-2)*$P$71)*100</f>
        <v>39.75363942</v>
      </c>
      <c r="D303" s="17">
        <f>$O$75/(($F$75-2)*$P$75)*100</f>
        <v>35.76388889</v>
      </c>
      <c r="E303" s="17">
        <f>$O$79/(($F$79-2)*$P$79)*100</f>
        <v>42.37288136</v>
      </c>
      <c r="G303" s="117">
        <v>19.9</v>
      </c>
      <c r="H303" s="117">
        <v>29.7</v>
      </c>
      <c r="I303" s="53">
        <v>28.4</v>
      </c>
      <c r="J303" s="117">
        <v>39.9</v>
      </c>
      <c r="L303" s="8" t="s">
        <v>152</v>
      </c>
      <c r="M303" s="8" t="s">
        <v>152</v>
      </c>
      <c r="N303" s="8" t="s">
        <v>152</v>
      </c>
      <c r="O303" s="8" t="s">
        <v>152</v>
      </c>
    </row>
    <row r="304" ht="15.75" customHeight="1">
      <c r="A304" s="25" t="s">
        <v>76</v>
      </c>
      <c r="B304" s="14">
        <f>$O$83/(($F$83-2)*$P$83)*100</f>
        <v>10.52631579</v>
      </c>
      <c r="C304" s="17">
        <f>$O$87/(($F$87-2)*$P$87)*100</f>
        <v>32.08955224</v>
      </c>
      <c r="D304" s="17">
        <f>$O$91/(($F$91-2)*$P$91)*100</f>
        <v>31.19266055</v>
      </c>
      <c r="E304" s="18">
        <f>$O$95/(($F$95-2)*$P$95)*100</f>
        <v>47.5</v>
      </c>
      <c r="G304" s="120">
        <v>14.2</v>
      </c>
      <c r="H304" s="53">
        <v>17.4</v>
      </c>
      <c r="I304" s="53">
        <v>16.6</v>
      </c>
      <c r="J304" s="53">
        <v>10.8</v>
      </c>
      <c r="L304" s="51" t="s">
        <v>152</v>
      </c>
      <c r="M304" s="51" t="s">
        <v>152</v>
      </c>
      <c r="N304" s="51" t="s">
        <v>152</v>
      </c>
      <c r="O304" s="51" t="s">
        <v>152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A259:A260"/>
    <mergeCell ref="A217:A219"/>
    <mergeCell ref="Y53:Y54"/>
    <mergeCell ref="Z53:AC53"/>
    <mergeCell ref="AJ53:AM53"/>
    <mergeCell ref="AP53:AP54"/>
    <mergeCell ref="AQ53:AT53"/>
    <mergeCell ref="AV53:AY53"/>
    <mergeCell ref="BA53:BD53"/>
    <mergeCell ref="AE53:AH53"/>
    <mergeCell ref="AG96:AG97"/>
    <mergeCell ref="AK96:AL96"/>
    <mergeCell ref="AN96:AO96"/>
    <mergeCell ref="AH96:AI96"/>
    <mergeCell ref="AH104:AI104"/>
    <mergeCell ref="AK104:AL104"/>
    <mergeCell ref="AN104:AO104"/>
    <mergeCell ref="AQ104:AR104"/>
    <mergeCell ref="AT104:AU104"/>
    <mergeCell ref="AW104:AX104"/>
    <mergeCell ref="B150:E150"/>
    <mergeCell ref="A150:A151"/>
    <mergeCell ref="F150:F151"/>
    <mergeCell ref="L150:O150"/>
    <mergeCell ref="G150:J150"/>
    <mergeCell ref="AQ112:AR112"/>
    <mergeCell ref="AT112:AU112"/>
    <mergeCell ref="AW112:AX112"/>
    <mergeCell ref="AQ120:AR120"/>
    <mergeCell ref="AT120:AU120"/>
    <mergeCell ref="AW120:AX120"/>
    <mergeCell ref="R193:U193"/>
    <mergeCell ref="AB193:AE193"/>
    <mergeCell ref="W193:Z193"/>
    <mergeCell ref="G194:J194"/>
    <mergeCell ref="B194:E194"/>
    <mergeCell ref="AB207:AE207"/>
    <mergeCell ref="W207:Z207"/>
    <mergeCell ref="R207:U207"/>
    <mergeCell ref="Q207:Q208"/>
    <mergeCell ref="Q193:Q194"/>
    <mergeCell ref="V193:V194"/>
    <mergeCell ref="L194:O194"/>
    <mergeCell ref="G217:J218"/>
    <mergeCell ref="F218:F219"/>
    <mergeCell ref="T221:T222"/>
    <mergeCell ref="R221:R222"/>
    <mergeCell ref="S221:S222"/>
    <mergeCell ref="Q221:Q222"/>
    <mergeCell ref="G173:J174"/>
    <mergeCell ref="F174:F175"/>
    <mergeCell ref="L259:O259"/>
    <mergeCell ref="G259:J259"/>
    <mergeCell ref="B259:E259"/>
    <mergeCell ref="B217:E218"/>
    <mergeCell ref="L217:O218"/>
    <mergeCell ref="Q177:Q178"/>
    <mergeCell ref="R177:R178"/>
    <mergeCell ref="S177:S178"/>
    <mergeCell ref="T177:T178"/>
    <mergeCell ref="Q167:Q168"/>
    <mergeCell ref="R167:U167"/>
    <mergeCell ref="AB167:AE167"/>
    <mergeCell ref="W167:Z167"/>
    <mergeCell ref="V167:V168"/>
    <mergeCell ref="B173:E174"/>
    <mergeCell ref="L173:O174"/>
    <mergeCell ref="A173:A175"/>
    <mergeCell ref="A283:A284"/>
    <mergeCell ref="B283:E283"/>
    <mergeCell ref="G283:J283"/>
    <mergeCell ref="L283:O28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3" width="8.0"/>
    <col customWidth="1" min="4" max="4" width="12.0"/>
    <col customWidth="1" min="5" max="5" width="20.0"/>
    <col customWidth="1" min="6" max="6" width="12.0"/>
    <col customWidth="1" min="7" max="7" width="18.0"/>
    <col customWidth="1" min="8" max="8" width="15.0"/>
    <col customWidth="1" min="9" max="9" width="20.0"/>
    <col customWidth="1" min="10" max="10" width="18.0"/>
    <col customWidth="1" min="11" max="11" width="20.0"/>
    <col customWidth="1" min="12" max="12" width="15.0"/>
    <col customWidth="1" min="13" max="13" width="20.0"/>
    <col customWidth="1" min="14" max="14" width="17.0"/>
    <col customWidth="1" min="15" max="15" width="20.0"/>
    <col customWidth="1" min="16" max="16" width="11.0"/>
    <col customWidth="1" min="17" max="17" width="17.0"/>
    <col customWidth="1" min="18" max="20" width="20.0"/>
    <col customWidth="1" min="2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3.0</v>
      </c>
      <c r="G2" s="2" t="s">
        <v>25</v>
      </c>
      <c r="H2" s="2">
        <v>261.0</v>
      </c>
      <c r="I2" s="2">
        <v>234.0</v>
      </c>
      <c r="J2" s="2">
        <v>486.0</v>
      </c>
      <c r="K2" s="2">
        <v>0.0</v>
      </c>
      <c r="L2" s="2">
        <v>98.0</v>
      </c>
      <c r="M2" s="2">
        <v>0.0</v>
      </c>
      <c r="N2" s="2">
        <v>1912.0</v>
      </c>
      <c r="O2" s="2">
        <v>0.0</v>
      </c>
      <c r="P2" s="2">
        <v>997.0</v>
      </c>
      <c r="Q2" s="2">
        <v>0.0</v>
      </c>
      <c r="R2" s="2">
        <v>0.0</v>
      </c>
      <c r="S2" s="2">
        <v>0.0</v>
      </c>
      <c r="T2" s="2">
        <v>0.0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26</v>
      </c>
      <c r="F3" s="2">
        <v>3.0</v>
      </c>
      <c r="G3" s="2" t="s">
        <v>25</v>
      </c>
      <c r="H3" s="2">
        <v>46.0</v>
      </c>
      <c r="I3" s="2">
        <v>1505.0</v>
      </c>
      <c r="J3" s="2">
        <v>1209.0</v>
      </c>
      <c r="K3" s="2">
        <v>0.0</v>
      </c>
      <c r="L3" s="2">
        <v>18.0</v>
      </c>
      <c r="M3" s="2">
        <v>0.0</v>
      </c>
      <c r="N3" s="2">
        <v>210.0</v>
      </c>
      <c r="O3" s="2">
        <v>0.0</v>
      </c>
      <c r="P3" s="2">
        <v>996.0</v>
      </c>
      <c r="Q3" s="2">
        <v>0.0</v>
      </c>
      <c r="R3" s="2">
        <v>0.0</v>
      </c>
      <c r="S3" s="2">
        <v>0.0</v>
      </c>
      <c r="T3" s="2">
        <v>0.0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27</v>
      </c>
      <c r="F4" s="2">
        <v>3.0</v>
      </c>
      <c r="G4" s="2" t="s">
        <v>25</v>
      </c>
      <c r="H4" s="2">
        <v>253.0</v>
      </c>
      <c r="I4" s="2">
        <v>365.0</v>
      </c>
      <c r="J4" s="2">
        <v>582.0</v>
      </c>
      <c r="K4" s="2">
        <v>0.0</v>
      </c>
      <c r="L4" s="2">
        <v>273.0</v>
      </c>
      <c r="M4" s="2">
        <v>0.0</v>
      </c>
      <c r="N4" s="2">
        <v>582.0</v>
      </c>
      <c r="O4" s="2">
        <v>0.0</v>
      </c>
      <c r="P4" s="2">
        <v>685.0</v>
      </c>
      <c r="Q4" s="2">
        <v>0.0</v>
      </c>
      <c r="R4" s="2">
        <v>0.0</v>
      </c>
      <c r="S4" s="2">
        <v>0.0</v>
      </c>
      <c r="T4" s="2">
        <v>0.0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29</v>
      </c>
      <c r="F5" s="2">
        <v>3.0</v>
      </c>
      <c r="G5" s="2" t="s">
        <v>25</v>
      </c>
      <c r="H5" s="2">
        <v>81.0</v>
      </c>
      <c r="I5" s="2">
        <v>6.0</v>
      </c>
      <c r="J5" s="2">
        <v>198.0</v>
      </c>
      <c r="K5" s="2">
        <v>0.0</v>
      </c>
      <c r="L5" s="2">
        <v>49.0</v>
      </c>
      <c r="M5" s="2">
        <v>0.0</v>
      </c>
      <c r="N5" s="2">
        <v>254.0</v>
      </c>
      <c r="O5" s="2">
        <v>0.0</v>
      </c>
      <c r="P5" s="2">
        <v>196.0</v>
      </c>
      <c r="Q5" s="2">
        <v>0.0</v>
      </c>
      <c r="R5" s="2">
        <v>0.0</v>
      </c>
      <c r="S5" s="2">
        <v>0.0</v>
      </c>
      <c r="T5" s="2">
        <v>0.0</v>
      </c>
    </row>
    <row r="6">
      <c r="A6" s="2" t="s">
        <v>31</v>
      </c>
      <c r="B6" s="2" t="s">
        <v>32</v>
      </c>
      <c r="C6" s="2" t="s">
        <v>22</v>
      </c>
      <c r="D6" s="2" t="s">
        <v>23</v>
      </c>
      <c r="E6" s="2" t="s">
        <v>24</v>
      </c>
      <c r="F6" s="2">
        <v>3.0</v>
      </c>
      <c r="G6" s="2" t="s">
        <v>25</v>
      </c>
      <c r="H6" s="2">
        <v>879.0</v>
      </c>
      <c r="I6" s="2">
        <v>483.0</v>
      </c>
      <c r="J6" s="2">
        <v>180.0</v>
      </c>
      <c r="K6" s="2">
        <v>0.0</v>
      </c>
      <c r="L6" s="2">
        <v>79.0</v>
      </c>
      <c r="M6" s="2">
        <v>0.0</v>
      </c>
      <c r="N6" s="2">
        <v>1364.0</v>
      </c>
      <c r="O6" s="2">
        <v>0.0</v>
      </c>
      <c r="P6" s="2">
        <v>995.0</v>
      </c>
      <c r="Q6" s="2">
        <v>0.0</v>
      </c>
      <c r="R6" s="2">
        <v>0.0</v>
      </c>
      <c r="S6" s="2">
        <v>0.0</v>
      </c>
      <c r="T6" s="2">
        <v>0.0</v>
      </c>
    </row>
    <row r="7">
      <c r="A7" s="2" t="s">
        <v>31</v>
      </c>
      <c r="B7" s="2" t="s">
        <v>32</v>
      </c>
      <c r="C7" s="2" t="s">
        <v>22</v>
      </c>
      <c r="D7" s="2" t="s">
        <v>23</v>
      </c>
      <c r="E7" s="2" t="s">
        <v>26</v>
      </c>
      <c r="F7" s="2">
        <v>3.0</v>
      </c>
      <c r="G7" s="2" t="s">
        <v>25</v>
      </c>
      <c r="H7" s="2">
        <v>60.0</v>
      </c>
      <c r="I7" s="2">
        <v>1479.0</v>
      </c>
      <c r="J7" s="2">
        <v>1209.0</v>
      </c>
      <c r="K7" s="2">
        <v>0.0</v>
      </c>
      <c r="L7" s="2">
        <v>19.0</v>
      </c>
      <c r="M7" s="2">
        <v>0.0</v>
      </c>
      <c r="N7" s="2">
        <v>215.0</v>
      </c>
      <c r="O7" s="2">
        <v>0.0</v>
      </c>
      <c r="P7" s="2">
        <v>994.0</v>
      </c>
      <c r="Q7" s="2">
        <v>0.0</v>
      </c>
      <c r="R7" s="2">
        <v>0.0</v>
      </c>
      <c r="S7" s="2">
        <v>0.0</v>
      </c>
      <c r="T7" s="2">
        <v>0.0</v>
      </c>
    </row>
    <row r="8">
      <c r="A8" s="2" t="s">
        <v>31</v>
      </c>
      <c r="B8" s="2" t="s">
        <v>32</v>
      </c>
      <c r="C8" s="2" t="s">
        <v>22</v>
      </c>
      <c r="D8" s="2" t="s">
        <v>23</v>
      </c>
      <c r="E8" s="2" t="s">
        <v>27</v>
      </c>
      <c r="F8" s="2">
        <v>3.0</v>
      </c>
      <c r="G8" s="2" t="s">
        <v>25</v>
      </c>
      <c r="H8" s="2">
        <v>89.0</v>
      </c>
      <c r="I8" s="2">
        <v>325.0</v>
      </c>
      <c r="J8" s="2">
        <v>558.0</v>
      </c>
      <c r="K8" s="2">
        <v>0.0</v>
      </c>
      <c r="L8" s="2">
        <v>177.0</v>
      </c>
      <c r="M8" s="2">
        <v>0.0</v>
      </c>
      <c r="N8" s="2">
        <v>894.0</v>
      </c>
      <c r="O8" s="2">
        <v>0.0</v>
      </c>
      <c r="P8" s="2">
        <v>681.0</v>
      </c>
      <c r="Q8" s="2">
        <v>0.0</v>
      </c>
      <c r="R8" s="2">
        <v>0.0</v>
      </c>
      <c r="S8" s="2">
        <v>0.0</v>
      </c>
      <c r="T8" s="2">
        <v>0.0</v>
      </c>
    </row>
    <row r="9">
      <c r="A9" s="2" t="s">
        <v>31</v>
      </c>
      <c r="B9" s="2" t="s">
        <v>32</v>
      </c>
      <c r="C9" s="2" t="s">
        <v>22</v>
      </c>
      <c r="D9" s="2" t="s">
        <v>23</v>
      </c>
      <c r="E9" s="2" t="s">
        <v>29</v>
      </c>
      <c r="F9" s="2">
        <v>3.0</v>
      </c>
      <c r="G9" s="2" t="s">
        <v>25</v>
      </c>
      <c r="H9" s="2">
        <v>109.0</v>
      </c>
      <c r="I9" s="2">
        <v>155.0</v>
      </c>
      <c r="J9" s="2">
        <v>141.0</v>
      </c>
      <c r="K9" s="2">
        <v>0.0</v>
      </c>
      <c r="L9" s="2">
        <v>34.0</v>
      </c>
      <c r="M9" s="2">
        <v>0.0</v>
      </c>
      <c r="N9" s="2">
        <v>149.0</v>
      </c>
      <c r="O9" s="2">
        <v>0.0</v>
      </c>
      <c r="P9" s="2">
        <v>196.0</v>
      </c>
      <c r="Q9" s="2">
        <v>0.0</v>
      </c>
      <c r="R9" s="2">
        <v>0.0</v>
      </c>
      <c r="S9" s="2">
        <v>0.0</v>
      </c>
      <c r="T9" s="2">
        <v>0.0</v>
      </c>
    </row>
    <row r="10">
      <c r="A10" s="2" t="s">
        <v>42</v>
      </c>
      <c r="B10" s="2" t="s">
        <v>43</v>
      </c>
      <c r="C10" s="2" t="s">
        <v>22</v>
      </c>
      <c r="D10" s="2" t="s">
        <v>23</v>
      </c>
      <c r="E10" s="2" t="s">
        <v>24</v>
      </c>
      <c r="F10" s="2">
        <v>3.0</v>
      </c>
      <c r="G10" s="2" t="s">
        <v>25</v>
      </c>
      <c r="H10" s="2">
        <v>162.0</v>
      </c>
      <c r="I10" s="2">
        <v>312.0</v>
      </c>
      <c r="J10" s="2">
        <v>441.0</v>
      </c>
      <c r="K10" s="2">
        <v>0.0</v>
      </c>
      <c r="L10" s="2">
        <v>209.0</v>
      </c>
      <c r="M10" s="2">
        <v>0.0</v>
      </c>
      <c r="N10" s="2">
        <v>1483.0</v>
      </c>
      <c r="O10" s="2">
        <v>0.0</v>
      </c>
      <c r="P10" s="2">
        <v>869.0</v>
      </c>
      <c r="Q10" s="2">
        <v>0.0</v>
      </c>
      <c r="R10" s="2">
        <v>0.0</v>
      </c>
      <c r="S10" s="2">
        <v>0.0</v>
      </c>
      <c r="T10" s="2">
        <v>0.0</v>
      </c>
    </row>
    <row r="11">
      <c r="A11" s="2" t="s">
        <v>42</v>
      </c>
      <c r="B11" s="2" t="s">
        <v>43</v>
      </c>
      <c r="C11" s="2" t="s">
        <v>22</v>
      </c>
      <c r="D11" s="2" t="s">
        <v>23</v>
      </c>
      <c r="E11" s="2" t="s">
        <v>26</v>
      </c>
      <c r="F11" s="2">
        <v>3.0</v>
      </c>
      <c r="G11" s="2" t="s">
        <v>25</v>
      </c>
      <c r="H11" s="2">
        <v>16.0</v>
      </c>
      <c r="I11" s="2">
        <v>734.0</v>
      </c>
      <c r="J11" s="2">
        <v>1275.0</v>
      </c>
      <c r="K11" s="2">
        <v>0.0</v>
      </c>
      <c r="L11" s="2">
        <v>27.0</v>
      </c>
      <c r="M11" s="2">
        <v>0.0</v>
      </c>
      <c r="N11" s="2">
        <v>138.0</v>
      </c>
      <c r="O11" s="2">
        <v>0.0</v>
      </c>
      <c r="P11" s="2">
        <v>730.0</v>
      </c>
      <c r="Q11" s="2">
        <v>0.0</v>
      </c>
      <c r="R11" s="2">
        <v>0.0</v>
      </c>
      <c r="S11" s="2">
        <v>0.0</v>
      </c>
      <c r="T11" s="2">
        <v>0.0</v>
      </c>
    </row>
    <row r="12">
      <c r="A12" s="2" t="s">
        <v>42</v>
      </c>
      <c r="B12" s="2" t="s">
        <v>43</v>
      </c>
      <c r="C12" s="2" t="s">
        <v>22</v>
      </c>
      <c r="D12" s="2" t="s">
        <v>23</v>
      </c>
      <c r="E12" s="2" t="s">
        <v>27</v>
      </c>
      <c r="F12" s="2">
        <v>3.0</v>
      </c>
      <c r="G12" s="2" t="s">
        <v>25</v>
      </c>
      <c r="H12" s="2">
        <v>85.0</v>
      </c>
      <c r="I12" s="2">
        <v>188.0</v>
      </c>
      <c r="J12" s="2">
        <v>573.0</v>
      </c>
      <c r="K12" s="2">
        <v>0.0</v>
      </c>
      <c r="L12" s="2">
        <v>125.0</v>
      </c>
      <c r="M12" s="2">
        <v>0.0</v>
      </c>
      <c r="N12" s="2">
        <v>523.0</v>
      </c>
      <c r="O12" s="2">
        <v>0.0</v>
      </c>
      <c r="P12" s="2">
        <v>498.0</v>
      </c>
      <c r="Q12" s="2">
        <v>0.0</v>
      </c>
      <c r="R12" s="2">
        <v>0.0</v>
      </c>
      <c r="S12" s="2">
        <v>0.0</v>
      </c>
      <c r="T12" s="2">
        <v>0.0</v>
      </c>
    </row>
    <row r="13">
      <c r="A13" s="2" t="s">
        <v>42</v>
      </c>
      <c r="B13" s="2" t="s">
        <v>43</v>
      </c>
      <c r="C13" s="2" t="s">
        <v>22</v>
      </c>
      <c r="D13" s="2" t="s">
        <v>23</v>
      </c>
      <c r="E13" s="2" t="s">
        <v>29</v>
      </c>
      <c r="F13" s="2">
        <v>3.0</v>
      </c>
      <c r="G13" s="2" t="s">
        <v>25</v>
      </c>
      <c r="H13" s="2">
        <v>38.0</v>
      </c>
      <c r="I13" s="2">
        <v>7.0</v>
      </c>
      <c r="J13" s="2">
        <v>87.0</v>
      </c>
      <c r="K13" s="2">
        <v>0.0</v>
      </c>
      <c r="L13" s="2">
        <v>40.0</v>
      </c>
      <c r="M13" s="2">
        <v>0.0</v>
      </c>
      <c r="N13" s="2">
        <v>263.0</v>
      </c>
      <c r="O13" s="2">
        <v>0.0</v>
      </c>
      <c r="P13" s="2">
        <v>145.0</v>
      </c>
      <c r="Q13" s="2">
        <v>0.0</v>
      </c>
      <c r="R13" s="2">
        <v>0.0</v>
      </c>
      <c r="S13" s="2">
        <v>0.0</v>
      </c>
      <c r="T13" s="2">
        <v>0.0</v>
      </c>
    </row>
    <row r="14">
      <c r="A14" s="2" t="s">
        <v>48</v>
      </c>
      <c r="B14" s="2" t="s">
        <v>21</v>
      </c>
      <c r="C14" s="2" t="s">
        <v>49</v>
      </c>
      <c r="D14" s="2" t="s">
        <v>23</v>
      </c>
      <c r="E14" s="2" t="s">
        <v>24</v>
      </c>
      <c r="F14" s="2">
        <v>1.0</v>
      </c>
      <c r="G14" s="2" t="s">
        <v>25</v>
      </c>
      <c r="H14" s="2">
        <v>87.0</v>
      </c>
      <c r="I14" s="2">
        <v>76.0</v>
      </c>
      <c r="J14" s="2">
        <v>166.0</v>
      </c>
      <c r="K14" s="2">
        <v>0.0</v>
      </c>
      <c r="L14" s="2">
        <v>26.0</v>
      </c>
      <c r="M14" s="2">
        <v>0.0</v>
      </c>
      <c r="N14" s="2">
        <v>645.0</v>
      </c>
      <c r="O14" s="2">
        <v>0.0</v>
      </c>
      <c r="P14" s="2">
        <v>1000.0</v>
      </c>
      <c r="Q14" s="2">
        <v>0.0</v>
      </c>
      <c r="R14" s="2">
        <v>0.0</v>
      </c>
      <c r="S14" s="2">
        <v>0.0</v>
      </c>
      <c r="T14" s="2">
        <v>0.0</v>
      </c>
    </row>
    <row r="15">
      <c r="A15" s="2" t="s">
        <v>48</v>
      </c>
      <c r="B15" s="2" t="s">
        <v>21</v>
      </c>
      <c r="C15" s="2" t="s">
        <v>49</v>
      </c>
      <c r="D15" s="2" t="s">
        <v>23</v>
      </c>
      <c r="E15" s="2" t="s">
        <v>26</v>
      </c>
      <c r="F15" s="2">
        <v>1.0</v>
      </c>
      <c r="G15" s="2" t="s">
        <v>25</v>
      </c>
      <c r="H15" s="2">
        <v>15.0</v>
      </c>
      <c r="I15" s="2">
        <v>462.0</v>
      </c>
      <c r="J15" s="2">
        <v>442.0</v>
      </c>
      <c r="K15" s="2">
        <v>0.0</v>
      </c>
      <c r="L15" s="2">
        <v>8.0</v>
      </c>
      <c r="M15" s="2">
        <v>0.0</v>
      </c>
      <c r="N15" s="2">
        <v>68.0</v>
      </c>
      <c r="O15" s="2">
        <v>0.0</v>
      </c>
      <c r="P15" s="2">
        <v>995.0</v>
      </c>
      <c r="Q15" s="2">
        <v>0.0</v>
      </c>
      <c r="R15" s="2">
        <v>0.0</v>
      </c>
      <c r="S15" s="2">
        <v>0.0</v>
      </c>
      <c r="T15" s="2">
        <v>0.0</v>
      </c>
    </row>
    <row r="16">
      <c r="A16" s="2" t="s">
        <v>48</v>
      </c>
      <c r="B16" s="2" t="s">
        <v>21</v>
      </c>
      <c r="C16" s="2" t="s">
        <v>49</v>
      </c>
      <c r="D16" s="2" t="s">
        <v>23</v>
      </c>
      <c r="E16" s="2" t="s">
        <v>27</v>
      </c>
      <c r="F16" s="2">
        <v>1.0</v>
      </c>
      <c r="G16" s="2" t="s">
        <v>25</v>
      </c>
      <c r="H16" s="2">
        <v>81.0</v>
      </c>
      <c r="I16" s="2">
        <v>123.0</v>
      </c>
      <c r="J16" s="2">
        <v>193.0</v>
      </c>
      <c r="K16" s="2">
        <v>0.0</v>
      </c>
      <c r="L16" s="2">
        <v>85.0</v>
      </c>
      <c r="M16" s="2">
        <v>0.0</v>
      </c>
      <c r="N16" s="2">
        <v>202.0</v>
      </c>
      <c r="O16" s="2">
        <v>0.0</v>
      </c>
      <c r="P16" s="2">
        <v>684.0</v>
      </c>
      <c r="Q16" s="2">
        <v>0.0</v>
      </c>
      <c r="R16" s="2">
        <v>0.0</v>
      </c>
      <c r="S16" s="2">
        <v>0.0</v>
      </c>
      <c r="T16" s="2">
        <v>0.0</v>
      </c>
    </row>
    <row r="17">
      <c r="A17" s="2" t="s">
        <v>48</v>
      </c>
      <c r="B17" s="2" t="s">
        <v>21</v>
      </c>
      <c r="C17" s="2" t="s">
        <v>49</v>
      </c>
      <c r="D17" s="2" t="s">
        <v>23</v>
      </c>
      <c r="E17" s="2" t="s">
        <v>29</v>
      </c>
      <c r="F17" s="2">
        <v>1.0</v>
      </c>
      <c r="G17" s="2" t="s">
        <v>25</v>
      </c>
      <c r="H17" s="2">
        <v>29.0</v>
      </c>
      <c r="I17" s="2">
        <v>3.0</v>
      </c>
      <c r="J17" s="2">
        <v>64.0</v>
      </c>
      <c r="K17" s="2">
        <v>0.0</v>
      </c>
      <c r="L17" s="2">
        <v>16.0</v>
      </c>
      <c r="M17" s="2">
        <v>0.0</v>
      </c>
      <c r="N17" s="2">
        <v>84.0</v>
      </c>
      <c r="O17" s="2">
        <v>0.0</v>
      </c>
      <c r="P17" s="2">
        <v>196.0</v>
      </c>
      <c r="Q17" s="2">
        <v>0.0</v>
      </c>
      <c r="R17" s="2">
        <v>0.0</v>
      </c>
      <c r="S17" s="2">
        <v>0.0</v>
      </c>
      <c r="T17" s="2">
        <v>0.0</v>
      </c>
    </row>
    <row r="18">
      <c r="A18" s="2" t="s">
        <v>54</v>
      </c>
      <c r="B18" s="2" t="s">
        <v>32</v>
      </c>
      <c r="C18" s="2" t="s">
        <v>49</v>
      </c>
      <c r="D18" s="2" t="s">
        <v>23</v>
      </c>
      <c r="E18" s="2" t="s">
        <v>24</v>
      </c>
      <c r="F18" s="2">
        <v>1.0</v>
      </c>
      <c r="G18" s="2" t="s">
        <v>25</v>
      </c>
      <c r="H18" s="2">
        <v>273.0</v>
      </c>
      <c r="I18" s="2">
        <v>143.0</v>
      </c>
      <c r="J18" s="2">
        <v>102.0</v>
      </c>
      <c r="K18" s="2">
        <v>0.0</v>
      </c>
      <c r="L18" s="2">
        <v>33.0</v>
      </c>
      <c r="M18" s="2">
        <v>0.0</v>
      </c>
      <c r="N18" s="2">
        <v>448.0</v>
      </c>
      <c r="O18" s="2">
        <v>0.0</v>
      </c>
      <c r="P18" s="2">
        <v>999.0</v>
      </c>
      <c r="Q18" s="2">
        <v>0.0</v>
      </c>
      <c r="R18" s="2">
        <v>0.0</v>
      </c>
      <c r="S18" s="2">
        <v>0.0</v>
      </c>
      <c r="T18" s="2">
        <v>0.0</v>
      </c>
    </row>
    <row r="19">
      <c r="A19" s="2" t="s">
        <v>54</v>
      </c>
      <c r="B19" s="2" t="s">
        <v>32</v>
      </c>
      <c r="C19" s="2" t="s">
        <v>49</v>
      </c>
      <c r="D19" s="2" t="s">
        <v>23</v>
      </c>
      <c r="E19" s="2" t="s">
        <v>26</v>
      </c>
      <c r="F19" s="2">
        <v>1.0</v>
      </c>
      <c r="G19" s="2" t="s">
        <v>25</v>
      </c>
      <c r="H19" s="2">
        <v>19.0</v>
      </c>
      <c r="I19" s="2">
        <v>463.0</v>
      </c>
      <c r="J19" s="2">
        <v>440.0</v>
      </c>
      <c r="K19" s="2">
        <v>0.0</v>
      </c>
      <c r="L19" s="2">
        <v>7.0</v>
      </c>
      <c r="M19" s="2">
        <v>0.0</v>
      </c>
      <c r="N19" s="2">
        <v>70.0</v>
      </c>
      <c r="O19" s="2">
        <v>0.0</v>
      </c>
      <c r="P19" s="2">
        <v>999.0</v>
      </c>
      <c r="Q19" s="2">
        <v>0.0</v>
      </c>
      <c r="R19" s="2">
        <v>0.0</v>
      </c>
      <c r="S19" s="2">
        <v>0.0</v>
      </c>
      <c r="T19" s="2">
        <v>0.0</v>
      </c>
    </row>
    <row r="20">
      <c r="A20" s="2" t="s">
        <v>54</v>
      </c>
      <c r="B20" s="2" t="s">
        <v>32</v>
      </c>
      <c r="C20" s="2" t="s">
        <v>49</v>
      </c>
      <c r="D20" s="2" t="s">
        <v>23</v>
      </c>
      <c r="E20" s="2" t="s">
        <v>27</v>
      </c>
      <c r="F20" s="2">
        <v>1.0</v>
      </c>
      <c r="G20" s="2" t="s">
        <v>25</v>
      </c>
      <c r="H20" s="2">
        <v>29.0</v>
      </c>
      <c r="I20" s="2">
        <v>99.0</v>
      </c>
      <c r="J20" s="2">
        <v>197.0</v>
      </c>
      <c r="K20" s="2">
        <v>0.0</v>
      </c>
      <c r="L20" s="2">
        <v>70.0</v>
      </c>
      <c r="M20" s="2">
        <v>0.0</v>
      </c>
      <c r="N20" s="2">
        <v>287.0</v>
      </c>
      <c r="O20" s="2">
        <v>0.0</v>
      </c>
      <c r="P20" s="2">
        <v>682.0</v>
      </c>
      <c r="Q20" s="2">
        <v>0.0</v>
      </c>
      <c r="R20" s="2">
        <v>0.0</v>
      </c>
      <c r="S20" s="2">
        <v>0.0</v>
      </c>
      <c r="T20" s="2">
        <v>0.0</v>
      </c>
    </row>
    <row r="21" ht="15.75" customHeight="1">
      <c r="A21" s="2" t="s">
        <v>54</v>
      </c>
      <c r="B21" s="2" t="s">
        <v>32</v>
      </c>
      <c r="C21" s="2" t="s">
        <v>49</v>
      </c>
      <c r="D21" s="2" t="s">
        <v>23</v>
      </c>
      <c r="E21" s="2" t="s">
        <v>29</v>
      </c>
      <c r="F21" s="2">
        <v>1.0</v>
      </c>
      <c r="G21" s="2" t="s">
        <v>25</v>
      </c>
      <c r="H21" s="2">
        <v>36.0</v>
      </c>
      <c r="I21" s="2">
        <v>49.0</v>
      </c>
      <c r="J21" s="2">
        <v>51.0</v>
      </c>
      <c r="K21" s="2">
        <v>0.0</v>
      </c>
      <c r="L21" s="2">
        <v>17.0</v>
      </c>
      <c r="M21" s="2">
        <v>0.0</v>
      </c>
      <c r="N21" s="2">
        <v>44.0</v>
      </c>
      <c r="O21" s="2">
        <v>0.0</v>
      </c>
      <c r="P21" s="2">
        <v>197.0</v>
      </c>
      <c r="Q21" s="2">
        <v>0.0</v>
      </c>
      <c r="R21" s="2">
        <v>0.0</v>
      </c>
      <c r="S21" s="2">
        <v>0.0</v>
      </c>
      <c r="T21" s="2">
        <v>0.0</v>
      </c>
    </row>
    <row r="22" ht="15.75" customHeight="1">
      <c r="A22" s="2" t="s">
        <v>58</v>
      </c>
      <c r="B22" s="2" t="s">
        <v>43</v>
      </c>
      <c r="C22" s="2" t="s">
        <v>49</v>
      </c>
      <c r="D22" s="2" t="s">
        <v>23</v>
      </c>
      <c r="E22" s="2" t="s">
        <v>24</v>
      </c>
      <c r="F22" s="2">
        <v>1.0</v>
      </c>
      <c r="G22" s="2" t="s">
        <v>25</v>
      </c>
      <c r="H22" s="2">
        <v>56.0</v>
      </c>
      <c r="I22" s="2">
        <v>95.0</v>
      </c>
      <c r="J22" s="2">
        <v>186.0</v>
      </c>
      <c r="K22" s="2">
        <v>0.0</v>
      </c>
      <c r="L22" s="2">
        <v>56.0</v>
      </c>
      <c r="M22" s="2">
        <v>0.0</v>
      </c>
      <c r="N22" s="2">
        <v>554.0</v>
      </c>
      <c r="O22" s="2">
        <v>0.0</v>
      </c>
      <c r="P22" s="2">
        <v>947.0</v>
      </c>
      <c r="Q22" s="2">
        <v>0.0</v>
      </c>
      <c r="R22" s="2">
        <v>0.0</v>
      </c>
      <c r="S22" s="2">
        <v>0.0</v>
      </c>
      <c r="T22" s="2">
        <v>0.0</v>
      </c>
    </row>
    <row r="23" ht="15.75" customHeight="1">
      <c r="A23" s="2" t="s">
        <v>58</v>
      </c>
      <c r="B23" s="2" t="s">
        <v>43</v>
      </c>
      <c r="C23" s="2" t="s">
        <v>49</v>
      </c>
      <c r="D23" s="2" t="s">
        <v>23</v>
      </c>
      <c r="E23" s="2" t="s">
        <v>26</v>
      </c>
      <c r="F23" s="2">
        <v>1.0</v>
      </c>
      <c r="G23" s="2" t="s">
        <v>25</v>
      </c>
      <c r="H23" s="2">
        <v>5.0</v>
      </c>
      <c r="I23" s="2">
        <v>244.0</v>
      </c>
      <c r="J23" s="2">
        <v>518.0</v>
      </c>
      <c r="K23" s="2">
        <v>0.0</v>
      </c>
      <c r="L23" s="2">
        <v>4.0</v>
      </c>
      <c r="M23" s="2">
        <v>0.0</v>
      </c>
      <c r="N23" s="2">
        <v>58.0</v>
      </c>
      <c r="O23" s="2">
        <v>0.0</v>
      </c>
      <c r="P23" s="2">
        <v>829.0</v>
      </c>
      <c r="Q23" s="2">
        <v>0.0</v>
      </c>
      <c r="R23" s="2">
        <v>0.0</v>
      </c>
      <c r="S23" s="2">
        <v>0.0</v>
      </c>
      <c r="T23" s="2">
        <v>0.0</v>
      </c>
    </row>
    <row r="24" ht="15.75" customHeight="1">
      <c r="A24" s="2" t="s">
        <v>58</v>
      </c>
      <c r="B24" s="2" t="s">
        <v>43</v>
      </c>
      <c r="C24" s="2" t="s">
        <v>49</v>
      </c>
      <c r="D24" s="2" t="s">
        <v>23</v>
      </c>
      <c r="E24" s="2" t="s">
        <v>27</v>
      </c>
      <c r="F24" s="2">
        <v>1.0</v>
      </c>
      <c r="G24" s="2" t="s">
        <v>25</v>
      </c>
      <c r="H24" s="2">
        <v>39.0</v>
      </c>
      <c r="I24" s="2">
        <v>63.0</v>
      </c>
      <c r="J24" s="2">
        <v>233.0</v>
      </c>
      <c r="K24" s="2">
        <v>0.0</v>
      </c>
      <c r="L24" s="2">
        <v>32.0</v>
      </c>
      <c r="M24" s="2">
        <v>0.0</v>
      </c>
      <c r="N24" s="2">
        <v>234.0</v>
      </c>
      <c r="O24" s="2">
        <v>0.0</v>
      </c>
      <c r="P24" s="2">
        <v>601.0</v>
      </c>
      <c r="Q24" s="2">
        <v>0.0</v>
      </c>
      <c r="R24" s="2">
        <v>0.0</v>
      </c>
      <c r="S24" s="2">
        <v>0.0</v>
      </c>
      <c r="T24" s="2">
        <v>0.0</v>
      </c>
    </row>
    <row r="25" ht="15.75" customHeight="1">
      <c r="A25" s="2" t="s">
        <v>58</v>
      </c>
      <c r="B25" s="2" t="s">
        <v>43</v>
      </c>
      <c r="C25" s="2" t="s">
        <v>49</v>
      </c>
      <c r="D25" s="2" t="s">
        <v>23</v>
      </c>
      <c r="E25" s="2" t="s">
        <v>29</v>
      </c>
      <c r="F25" s="2">
        <v>1.0</v>
      </c>
      <c r="G25" s="2" t="s">
        <v>25</v>
      </c>
      <c r="H25" s="2">
        <v>25.0</v>
      </c>
      <c r="I25" s="2">
        <v>0.0</v>
      </c>
      <c r="J25" s="2">
        <v>32.0</v>
      </c>
      <c r="K25" s="2">
        <v>0.0</v>
      </c>
      <c r="L25" s="2">
        <v>42.0</v>
      </c>
      <c r="M25" s="2">
        <v>0.0</v>
      </c>
      <c r="N25" s="2">
        <v>74.0</v>
      </c>
      <c r="O25" s="2">
        <v>0.0</v>
      </c>
      <c r="P25" s="2">
        <v>173.0</v>
      </c>
      <c r="Q25" s="2">
        <v>0.0</v>
      </c>
      <c r="R25" s="2">
        <v>0.0</v>
      </c>
      <c r="S25" s="2">
        <v>0.0</v>
      </c>
      <c r="T25" s="2">
        <v>0.0</v>
      </c>
    </row>
    <row r="26" ht="15.75" customHeight="1"/>
    <row r="27" ht="15.75" customHeight="1"/>
    <row r="28" ht="15.0" customHeight="1">
      <c r="A28" s="6" t="s">
        <v>49</v>
      </c>
      <c r="B28" s="7"/>
      <c r="C28" s="7"/>
      <c r="D28" s="7"/>
      <c r="E28" s="7"/>
      <c r="F28" s="8"/>
      <c r="G28" s="9"/>
      <c r="K28" s="8"/>
      <c r="L28" s="9"/>
    </row>
    <row r="29" ht="15.75" customHeight="1">
      <c r="A29" s="6" t="s">
        <v>49</v>
      </c>
      <c r="B29" s="8" t="s">
        <v>63</v>
      </c>
      <c r="C29" s="8" t="s">
        <v>64</v>
      </c>
      <c r="D29" s="8" t="s">
        <v>65</v>
      </c>
      <c r="E29" s="8" t="s">
        <v>66</v>
      </c>
      <c r="G29" s="8"/>
      <c r="H29" s="8"/>
      <c r="I29" s="8"/>
      <c r="J29" s="8"/>
      <c r="L29" s="8"/>
      <c r="M29" s="8"/>
      <c r="N29" s="8"/>
      <c r="O29" s="8"/>
    </row>
    <row r="30" ht="15.75" customHeight="1">
      <c r="A30" s="10" t="s">
        <v>7</v>
      </c>
      <c r="B30" s="10"/>
      <c r="C30" s="10"/>
      <c r="D30" s="10"/>
      <c r="E30" s="10"/>
    </row>
    <row r="31" ht="15.75" customHeight="1">
      <c r="A31" s="11" t="s">
        <v>68</v>
      </c>
      <c r="B31" s="12">
        <f>$H$14/$P$14*100</f>
        <v>8.7</v>
      </c>
      <c r="C31" s="12">
        <f>$H$15/$P$15*100</f>
        <v>1.507537688</v>
      </c>
      <c r="D31" s="13">
        <f>$H$16/$P$16*100</f>
        <v>11.84210526</v>
      </c>
      <c r="E31" s="14">
        <f>$H$17/$P$17*100</f>
        <v>14.79591837</v>
      </c>
      <c r="F31" s="8"/>
      <c r="G31" s="15"/>
      <c r="H31" s="16"/>
      <c r="I31" s="13"/>
      <c r="J31" s="17"/>
      <c r="K31" s="8"/>
      <c r="L31" s="12"/>
      <c r="M31" s="12"/>
      <c r="N31" s="18"/>
      <c r="O31" s="14"/>
    </row>
    <row r="32" ht="15.75" customHeight="1">
      <c r="A32" s="11" t="s">
        <v>73</v>
      </c>
      <c r="B32" s="13">
        <f>$H$18/$P$18*100</f>
        <v>27.32732733</v>
      </c>
      <c r="C32" s="16">
        <f>$H$19/$P$19*100</f>
        <v>1.901901902</v>
      </c>
      <c r="D32" s="12">
        <f>$H$20/$P$20*100</f>
        <v>4.252199413</v>
      </c>
      <c r="E32" s="13">
        <f>$H$21/$P$21*100</f>
        <v>18.27411168</v>
      </c>
      <c r="F32" s="8"/>
      <c r="G32" s="18"/>
      <c r="H32" s="12"/>
      <c r="I32" s="12"/>
      <c r="J32" s="13"/>
      <c r="K32" s="8"/>
      <c r="L32" s="13"/>
      <c r="M32" s="20"/>
      <c r="N32" s="15"/>
      <c r="O32" s="13"/>
    </row>
    <row r="33" ht="15.75" customHeight="1">
      <c r="A33" s="11" t="s">
        <v>76</v>
      </c>
      <c r="B33" s="12">
        <f>$H$22/$P$22*100</f>
        <v>5.913410771</v>
      </c>
      <c r="C33" s="21">
        <f>$H$23/$P$23*100</f>
        <v>0.6031363088</v>
      </c>
      <c r="D33" s="12">
        <f>$H$24/$P$24*100</f>
        <v>6.489184692</v>
      </c>
      <c r="E33" s="14">
        <f>$H$25/$P$25*100</f>
        <v>14.45086705</v>
      </c>
      <c r="F33" s="8"/>
      <c r="G33" s="15"/>
      <c r="H33" s="22"/>
      <c r="I33" s="15"/>
      <c r="J33" s="12"/>
      <c r="K33" s="8"/>
      <c r="L33" s="12"/>
      <c r="M33" s="21"/>
      <c r="N33" s="12"/>
      <c r="O33" s="12"/>
    </row>
    <row r="34" ht="15.75" customHeight="1">
      <c r="A34" s="10" t="s">
        <v>13</v>
      </c>
      <c r="B34" s="10"/>
      <c r="C34" s="10"/>
      <c r="D34" s="10"/>
      <c r="E34" s="10"/>
    </row>
    <row r="35" ht="15.75" customHeight="1">
      <c r="A35" s="11" t="s">
        <v>68</v>
      </c>
      <c r="B35" s="13">
        <f>$N$14/$P$14*100</f>
        <v>64.5</v>
      </c>
      <c r="C35" s="12">
        <f>$N$15/$P$15*100</f>
        <v>6.834170854</v>
      </c>
      <c r="D35" s="14">
        <f>$N$16/$P$16*100</f>
        <v>29.53216374</v>
      </c>
      <c r="E35" s="13">
        <f>$N$17/$P$17*100</f>
        <v>42.85714286</v>
      </c>
      <c r="G35" s="13"/>
      <c r="H35" s="16"/>
      <c r="I35" s="14"/>
      <c r="J35" s="17"/>
      <c r="L35" s="13"/>
      <c r="M35" s="15"/>
      <c r="N35" s="14"/>
      <c r="O35" s="14"/>
    </row>
    <row r="36" ht="15.75" customHeight="1">
      <c r="A36" s="11" t="s">
        <v>73</v>
      </c>
      <c r="B36" s="14">
        <f>$N$18/$P$18*100</f>
        <v>44.84484484</v>
      </c>
      <c r="C36" s="16">
        <f>$N$19/$P$19*100</f>
        <v>7.007007007</v>
      </c>
      <c r="D36" s="13">
        <f>$N$20/$P$20*100</f>
        <v>42.08211144</v>
      </c>
      <c r="E36" s="14">
        <f>$N$21/$P$21*100</f>
        <v>22.33502538</v>
      </c>
      <c r="G36" s="14"/>
      <c r="H36" s="12"/>
      <c r="I36" s="13"/>
      <c r="J36" s="14"/>
      <c r="L36" s="17"/>
      <c r="M36" s="20"/>
      <c r="N36" s="13"/>
      <c r="O36" s="14"/>
    </row>
    <row r="37" ht="15.75" customHeight="1">
      <c r="A37" s="23" t="s">
        <v>76</v>
      </c>
      <c r="B37" s="14">
        <f>$N$22/$P$22*100</f>
        <v>58.50052798</v>
      </c>
      <c r="C37" s="12">
        <f>$N$23/$P$23*100</f>
        <v>6.996381182</v>
      </c>
      <c r="D37" s="14">
        <f>$N$24/$P$24*100</f>
        <v>38.93510815</v>
      </c>
      <c r="E37" s="14">
        <f>$N$25/$P$25*100</f>
        <v>42.77456647</v>
      </c>
      <c r="G37" s="14"/>
      <c r="H37" s="12"/>
      <c r="I37" s="14"/>
      <c r="J37" s="13"/>
      <c r="L37" s="14"/>
      <c r="M37" s="12"/>
      <c r="N37" s="14"/>
      <c r="O37" s="18"/>
    </row>
    <row r="38" ht="15.75" customHeight="1">
      <c r="A38" s="10" t="s">
        <v>79</v>
      </c>
      <c r="B38" s="24"/>
      <c r="C38" s="24"/>
      <c r="D38" s="24"/>
      <c r="E38" s="24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11" t="s">
        <v>68</v>
      </c>
      <c r="B39" s="13">
        <f>($I$14+$J$14)/$P$14*100</f>
        <v>24.2</v>
      </c>
      <c r="C39" s="14">
        <f>($I$15+$J$15)/$P$15*100</f>
        <v>90.85427136</v>
      </c>
      <c r="D39" s="14">
        <f>($I$16+$J$16)/$P$16*100</f>
        <v>46.19883041</v>
      </c>
      <c r="E39" s="14">
        <f>($I$17+$J$17)/$P$17*100</f>
        <v>34.18367347</v>
      </c>
      <c r="F39" s="8"/>
      <c r="G39" s="17"/>
      <c r="H39" s="18"/>
      <c r="I39" s="14"/>
      <c r="J39" s="17"/>
      <c r="K39" s="8"/>
      <c r="L39" s="14"/>
      <c r="M39" s="14"/>
      <c r="N39" s="17"/>
      <c r="O39" s="17"/>
    </row>
    <row r="40" ht="15.75" customHeight="1">
      <c r="A40" s="11" t="s">
        <v>73</v>
      </c>
      <c r="B40" s="14">
        <f>($I$18+$J$18)/$P$18*100</f>
        <v>24.52452452</v>
      </c>
      <c r="C40" s="13">
        <f>($I$19+$J$19)/$P$19*100</f>
        <v>90.39039039</v>
      </c>
      <c r="D40" s="13">
        <f>($I$20+$J$20)/$P$20*100</f>
        <v>43.40175953</v>
      </c>
      <c r="E40" s="14">
        <f>($I$21+$J$21)/$P$21*100</f>
        <v>50.76142132</v>
      </c>
      <c r="F40" s="8"/>
      <c r="G40" s="18"/>
      <c r="H40" s="14"/>
      <c r="I40" s="13"/>
      <c r="J40" s="17"/>
      <c r="K40" s="8"/>
      <c r="L40" s="13"/>
      <c r="M40" s="18"/>
      <c r="N40" s="18"/>
      <c r="O40" s="14"/>
    </row>
    <row r="41" ht="15.75" customHeight="1">
      <c r="A41" s="25" t="s">
        <v>76</v>
      </c>
      <c r="B41" s="14">
        <f>($I$22+$J$22)/$P$22*100</f>
        <v>29.67265048</v>
      </c>
      <c r="C41" s="14">
        <f>($I$23+$J$23)/$P$23*100</f>
        <v>91.91797346</v>
      </c>
      <c r="D41" s="14">
        <f>($I$24+$J$24)/$P$24*100</f>
        <v>49.25124792</v>
      </c>
      <c r="E41" s="13">
        <f>($I$25+$J$25)/$P$25*100</f>
        <v>18.49710983</v>
      </c>
      <c r="F41" s="8"/>
      <c r="G41" s="17"/>
      <c r="H41" s="14"/>
      <c r="I41" s="14"/>
      <c r="J41" s="13"/>
      <c r="K41" s="8"/>
      <c r="L41" s="14"/>
      <c r="M41" s="17"/>
      <c r="N41" s="14"/>
      <c r="O41" s="13"/>
    </row>
    <row r="42" ht="15.75" customHeight="1">
      <c r="A42" s="2" t="s">
        <v>11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11" t="s">
        <v>68</v>
      </c>
      <c r="B43" s="16">
        <f>$L$14/$P$14*100</f>
        <v>2.6</v>
      </c>
      <c r="C43" s="21">
        <f>$L$15/$P$15*100</f>
        <v>0.8040201005</v>
      </c>
      <c r="D43" s="14">
        <f>$L$16/$P$16*100</f>
        <v>12.42690058</v>
      </c>
      <c r="E43" s="16">
        <f>$L$17/$P$17*100</f>
        <v>8.163265306</v>
      </c>
      <c r="F43" s="8"/>
      <c r="G43" s="12"/>
      <c r="H43" s="21"/>
      <c r="I43" s="14"/>
      <c r="J43" s="15"/>
      <c r="K43" s="8"/>
      <c r="L43" s="12"/>
      <c r="M43" s="27"/>
      <c r="N43" s="14"/>
      <c r="O43" s="12"/>
    </row>
    <row r="44" ht="15.75" customHeight="1">
      <c r="A44" s="11" t="s">
        <v>73</v>
      </c>
      <c r="B44" s="12">
        <f>$L$18/$P$18*100</f>
        <v>3.303303303</v>
      </c>
      <c r="C44" s="21">
        <f>$L$19/$P$19*100</f>
        <v>0.7007007007</v>
      </c>
      <c r="D44" s="14">
        <f>$L$20/$P$20*100</f>
        <v>10.26392962</v>
      </c>
      <c r="E44" s="12">
        <f>$L$21/$P$21*100</f>
        <v>8.629441624</v>
      </c>
      <c r="F44" s="8"/>
      <c r="G44" s="20"/>
      <c r="H44" s="28"/>
      <c r="I44" s="14"/>
      <c r="J44" s="16"/>
      <c r="K44" s="8"/>
      <c r="L44" s="16"/>
      <c r="M44" s="21"/>
      <c r="N44" s="12"/>
      <c r="O44" s="16"/>
    </row>
    <row r="45" ht="15.75" customHeight="1">
      <c r="A45" s="11" t="s">
        <v>76</v>
      </c>
      <c r="B45" s="12">
        <f>$L$22/$P$22*100</f>
        <v>5.913410771</v>
      </c>
      <c r="C45" s="28">
        <f>$L$23/$P$23*100</f>
        <v>0.482509047</v>
      </c>
      <c r="D45" s="16">
        <f>$L$24/$P$24*100</f>
        <v>5.324459235</v>
      </c>
      <c r="E45" s="14">
        <f>$L$25/$P$25*100</f>
        <v>24.27745665</v>
      </c>
      <c r="F45" s="8"/>
      <c r="G45" s="12"/>
      <c r="H45" s="12"/>
      <c r="I45" s="16"/>
      <c r="J45" s="14"/>
      <c r="K45" s="8"/>
      <c r="L45" s="12"/>
      <c r="M45" s="12"/>
      <c r="N45" s="16"/>
      <c r="O45" s="15"/>
    </row>
    <row r="46" ht="15.75" customHeight="1">
      <c r="B46" s="29">
        <f t="shared" ref="B46:E46" si="1">SUM(B31+B39+B43+B35)</f>
        <v>100</v>
      </c>
      <c r="C46" s="29">
        <f t="shared" si="1"/>
        <v>100</v>
      </c>
      <c r="D46" s="29">
        <f t="shared" si="1"/>
        <v>100</v>
      </c>
      <c r="E46" s="29">
        <f t="shared" si="1"/>
        <v>100</v>
      </c>
      <c r="G46" s="29"/>
      <c r="H46" s="29"/>
      <c r="I46" s="29"/>
      <c r="J46" s="29"/>
      <c r="L46" s="29"/>
      <c r="M46" s="29"/>
      <c r="N46" s="29"/>
      <c r="O46" s="29"/>
    </row>
    <row r="47" ht="15.75" customHeight="1">
      <c r="B47" s="29">
        <f t="shared" ref="B47:E47" si="2">SUM(B32+B40+B44+B36)</f>
        <v>100</v>
      </c>
      <c r="C47" s="29">
        <f t="shared" si="2"/>
        <v>100</v>
      </c>
      <c r="D47" s="29">
        <f t="shared" si="2"/>
        <v>100</v>
      </c>
      <c r="E47" s="29">
        <f t="shared" si="2"/>
        <v>100</v>
      </c>
      <c r="G47" s="29"/>
      <c r="H47" s="29"/>
      <c r="I47" s="29"/>
      <c r="J47" s="29"/>
      <c r="L47" s="29"/>
      <c r="M47" s="29"/>
      <c r="N47" s="29"/>
      <c r="O47" s="29"/>
    </row>
    <row r="48" ht="15.75" customHeight="1">
      <c r="B48" s="29">
        <f t="shared" ref="B48:E48" si="3">SUM(B33+B41+B45+B37)</f>
        <v>100</v>
      </c>
      <c r="C48" s="29">
        <f t="shared" si="3"/>
        <v>100</v>
      </c>
      <c r="D48" s="29">
        <f t="shared" si="3"/>
        <v>100</v>
      </c>
      <c r="E48" s="29">
        <f t="shared" si="3"/>
        <v>100</v>
      </c>
      <c r="G48" s="29"/>
      <c r="H48" s="29"/>
      <c r="I48" s="29"/>
      <c r="J48" s="29"/>
      <c r="L48" s="29"/>
      <c r="M48" s="29"/>
      <c r="N48" s="29"/>
      <c r="O48" s="29"/>
    </row>
    <row r="49" ht="15.75" customHeight="1"/>
    <row r="50" ht="15.75" customHeight="1"/>
    <row r="51" ht="15.75" customHeight="1">
      <c r="A51" s="30" t="s">
        <v>90</v>
      </c>
      <c r="B51" s="31"/>
      <c r="C51" s="32"/>
      <c r="D51" s="32"/>
      <c r="E51" s="32"/>
      <c r="F51" s="8"/>
      <c r="G51" s="9"/>
      <c r="K51" s="8"/>
      <c r="L51" s="9"/>
      <c r="P51" s="8"/>
    </row>
    <row r="52" ht="15.75" customHeight="1">
      <c r="B52" s="8" t="s">
        <v>63</v>
      </c>
      <c r="C52" s="8" t="s">
        <v>64</v>
      </c>
      <c r="D52" s="8" t="s">
        <v>65</v>
      </c>
      <c r="E52" s="8" t="s">
        <v>66</v>
      </c>
      <c r="G52" s="8"/>
      <c r="H52" s="8"/>
      <c r="I52" s="8"/>
      <c r="J52" s="8"/>
      <c r="L52" s="8"/>
      <c r="M52" s="8"/>
      <c r="N52" s="8"/>
      <c r="O52" s="8"/>
    </row>
    <row r="53" ht="15.75" customHeight="1">
      <c r="A53" s="11" t="s">
        <v>68</v>
      </c>
      <c r="B53" s="33">
        <f t="shared" ref="B53:E53" si="4">B31+B35</f>
        <v>73.2</v>
      </c>
      <c r="C53" s="29">
        <f t="shared" si="4"/>
        <v>8.341708543</v>
      </c>
      <c r="D53" s="33">
        <f t="shared" si="4"/>
        <v>41.37426901</v>
      </c>
      <c r="E53" s="33">
        <f t="shared" si="4"/>
        <v>57.65306122</v>
      </c>
      <c r="F53" s="29"/>
      <c r="G53" s="33"/>
      <c r="H53" s="34"/>
      <c r="I53" s="35"/>
      <c r="J53" s="33"/>
      <c r="K53" s="29"/>
      <c r="L53" s="33"/>
      <c r="M53" s="29"/>
      <c r="N53" s="33"/>
      <c r="O53" s="33"/>
      <c r="P53" s="29"/>
    </row>
    <row r="54" ht="15.75" customHeight="1">
      <c r="A54" s="11" t="s">
        <v>73</v>
      </c>
      <c r="B54" s="33">
        <f t="shared" ref="B54:E54" si="5">B32+B36</f>
        <v>72.17217217</v>
      </c>
      <c r="C54" s="29">
        <f t="shared" si="5"/>
        <v>8.908908909</v>
      </c>
      <c r="D54" s="33">
        <f t="shared" si="5"/>
        <v>46.33431085</v>
      </c>
      <c r="E54" s="33">
        <f t="shared" si="5"/>
        <v>40.60913706</v>
      </c>
      <c r="F54" s="29"/>
      <c r="G54" s="33"/>
      <c r="H54" s="34"/>
      <c r="I54" s="35"/>
      <c r="J54" s="33"/>
      <c r="K54" s="29"/>
      <c r="L54" s="33"/>
      <c r="M54" s="29"/>
      <c r="N54" s="33"/>
      <c r="O54" s="35"/>
      <c r="P54" s="29"/>
    </row>
    <row r="55" ht="15.75" customHeight="1">
      <c r="A55" s="23" t="s">
        <v>76</v>
      </c>
      <c r="B55" s="33">
        <f t="shared" ref="B55:E55" si="6">B33+B37</f>
        <v>64.41393875</v>
      </c>
      <c r="C55" s="29">
        <f t="shared" si="6"/>
        <v>7.599517491</v>
      </c>
      <c r="D55" s="33">
        <f t="shared" si="6"/>
        <v>45.42429285</v>
      </c>
      <c r="E55" s="33">
        <f t="shared" si="6"/>
        <v>57.22543353</v>
      </c>
      <c r="F55" s="29"/>
      <c r="G55" s="33"/>
      <c r="H55" s="34"/>
      <c r="I55" s="33"/>
      <c r="J55" s="35"/>
      <c r="K55" s="29"/>
      <c r="L55" s="35"/>
      <c r="M55" s="29"/>
      <c r="N55" s="33"/>
      <c r="O55" s="33"/>
      <c r="P55" s="29"/>
    </row>
    <row r="56" ht="15.75" customHeight="1">
      <c r="A56" s="37" t="s">
        <v>92</v>
      </c>
      <c r="B56" s="38">
        <f t="shared" ref="B56:E56" si="7">AVERAGE(B53:B55)</f>
        <v>69.92870364</v>
      </c>
      <c r="C56" s="39">
        <f t="shared" si="7"/>
        <v>8.283378314</v>
      </c>
      <c r="D56" s="38">
        <f t="shared" si="7"/>
        <v>44.37762423</v>
      </c>
      <c r="E56" s="38">
        <f t="shared" si="7"/>
        <v>51.8292106</v>
      </c>
      <c r="F56" s="39"/>
      <c r="G56" s="38"/>
      <c r="H56" s="40"/>
      <c r="I56" s="41"/>
      <c r="J56" s="41"/>
      <c r="K56" s="39"/>
      <c r="L56" s="41"/>
      <c r="M56" s="39"/>
      <c r="N56" s="38"/>
      <c r="O56" s="38"/>
    </row>
    <row r="57" ht="15.75" customHeight="1">
      <c r="C57" s="33">
        <f>AVERAGE(B56:E56)</f>
        <v>43.6047292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51:J51"/>
    <mergeCell ref="K51:K52"/>
    <mergeCell ref="P51:P52"/>
    <mergeCell ref="F28:F29"/>
    <mergeCell ref="G28:J28"/>
    <mergeCell ref="K28:K29"/>
    <mergeCell ref="L28:O28"/>
    <mergeCell ref="A51:A52"/>
    <mergeCell ref="B51:E51"/>
    <mergeCell ref="F51:F52"/>
    <mergeCell ref="L51:O5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8.0"/>
    <col customWidth="1" min="4" max="4" width="12.0"/>
    <col customWidth="1" min="5" max="5" width="30.43"/>
    <col customWidth="1" min="6" max="6" width="12.0"/>
    <col customWidth="1" min="7" max="7" width="18.0"/>
    <col customWidth="1" min="8" max="8" width="15.0"/>
    <col customWidth="1" min="9" max="9" width="20.0"/>
    <col customWidth="1" min="10" max="10" width="18.0"/>
    <col customWidth="1" min="11" max="11" width="20.0"/>
    <col customWidth="1" min="12" max="12" width="15.0"/>
    <col customWidth="1" min="13" max="13" width="20.0"/>
    <col customWidth="1" min="14" max="14" width="17.0"/>
    <col customWidth="1" min="15" max="15" width="20.0"/>
    <col customWidth="1" min="16" max="16" width="11.0"/>
    <col customWidth="1" min="17" max="17" width="17.0"/>
    <col customWidth="1" min="18" max="20" width="20.0"/>
    <col customWidth="1" min="21" max="22" width="8.86"/>
    <col customWidth="1" min="23" max="23" width="16.71"/>
    <col customWidth="1" min="24" max="27" width="8.86"/>
    <col customWidth="1" min="28" max="28" width="16.71"/>
    <col customWidth="1" min="29" max="49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81</v>
      </c>
      <c r="H1" s="1" t="s">
        <v>7</v>
      </c>
      <c r="I1" s="1" t="s">
        <v>8</v>
      </c>
      <c r="J1" s="1" t="s">
        <v>9</v>
      </c>
      <c r="K1" s="1" t="s">
        <v>82</v>
      </c>
      <c r="L1" s="1" t="s">
        <v>11</v>
      </c>
      <c r="M1" s="1" t="s">
        <v>83</v>
      </c>
      <c r="N1" s="1" t="s">
        <v>13</v>
      </c>
      <c r="O1" s="1" t="s">
        <v>84</v>
      </c>
      <c r="P1" s="1" t="s">
        <v>15</v>
      </c>
      <c r="Q1" s="1" t="s">
        <v>16</v>
      </c>
      <c r="R1" s="1" t="s">
        <v>85</v>
      </c>
      <c r="S1" s="1" t="s">
        <v>18</v>
      </c>
      <c r="T1" s="1" t="s">
        <v>86</v>
      </c>
    </row>
    <row r="2">
      <c r="A2" s="2" t="s">
        <v>40</v>
      </c>
      <c r="B2" s="2" t="s">
        <v>21</v>
      </c>
      <c r="C2" s="2" t="s">
        <v>22</v>
      </c>
      <c r="D2" s="2" t="s">
        <v>23</v>
      </c>
      <c r="E2" s="2" t="s">
        <v>41</v>
      </c>
      <c r="F2" s="2">
        <v>3.0</v>
      </c>
      <c r="G2" s="2" t="s">
        <v>25</v>
      </c>
      <c r="H2" s="2">
        <v>261.0</v>
      </c>
      <c r="I2" s="2">
        <v>234.0</v>
      </c>
      <c r="J2" s="2">
        <v>486.0</v>
      </c>
      <c r="K2" s="2">
        <v>0.0</v>
      </c>
      <c r="L2" s="2">
        <v>98.0</v>
      </c>
      <c r="M2" s="2">
        <v>0.0</v>
      </c>
      <c r="N2" s="2">
        <v>1912.0</v>
      </c>
      <c r="O2" s="2">
        <v>0.0</v>
      </c>
      <c r="P2" s="2">
        <v>997.0</v>
      </c>
      <c r="Q2" s="2">
        <v>0.0</v>
      </c>
      <c r="R2" s="2">
        <v>0.0</v>
      </c>
      <c r="S2" s="2">
        <v>0.0</v>
      </c>
      <c r="T2" s="2">
        <v>0.0</v>
      </c>
      <c r="U2" s="3">
        <f>(N2+L2+M2)*2/3</f>
        <v>1340</v>
      </c>
    </row>
    <row r="3">
      <c r="A3" s="2" t="s">
        <v>40</v>
      </c>
      <c r="B3" s="2" t="s">
        <v>21</v>
      </c>
      <c r="C3" s="2" t="s">
        <v>22</v>
      </c>
      <c r="D3" s="2" t="s">
        <v>23</v>
      </c>
      <c r="E3" s="2" t="s">
        <v>44</v>
      </c>
      <c r="F3" s="2">
        <v>3.0</v>
      </c>
      <c r="G3" s="2" t="s">
        <v>45</v>
      </c>
      <c r="H3" s="2">
        <v>179.0</v>
      </c>
      <c r="I3" s="2">
        <v>189.0</v>
      </c>
      <c r="J3" s="2">
        <v>290.0</v>
      </c>
      <c r="K3" s="2">
        <v>0.0</v>
      </c>
      <c r="L3" s="2">
        <v>71.0</v>
      </c>
      <c r="M3" s="2">
        <v>0.0</v>
      </c>
      <c r="N3" s="2">
        <v>1271.0</v>
      </c>
      <c r="O3" s="2">
        <v>0.0</v>
      </c>
      <c r="P3" s="2">
        <v>1000.0</v>
      </c>
      <c r="Q3" s="2">
        <v>0.0</v>
      </c>
      <c r="R3" s="2">
        <v>0.0</v>
      </c>
      <c r="S3" s="2">
        <v>0.0</v>
      </c>
      <c r="T3" s="2">
        <v>0.0</v>
      </c>
      <c r="U3" s="2">
        <f t="shared" ref="U3:U5" si="1">(N3+L3+M3)</f>
        <v>1342</v>
      </c>
      <c r="V3" s="4">
        <f t="shared" ref="V3:V5" si="2">(U$2-U3)/U$2</f>
        <v>-0.001492537313</v>
      </c>
    </row>
    <row r="4">
      <c r="A4" s="2" t="s">
        <v>40</v>
      </c>
      <c r="B4" s="2" t="s">
        <v>21</v>
      </c>
      <c r="C4" s="2" t="s">
        <v>22</v>
      </c>
      <c r="D4" s="2" t="s">
        <v>23</v>
      </c>
      <c r="E4" s="2" t="s">
        <v>46</v>
      </c>
      <c r="F4" s="2">
        <v>3.0</v>
      </c>
      <c r="G4" s="2" t="s">
        <v>47</v>
      </c>
      <c r="H4" s="2">
        <v>188.0</v>
      </c>
      <c r="I4" s="2">
        <v>160.0</v>
      </c>
      <c r="J4" s="2">
        <v>310.0</v>
      </c>
      <c r="K4" s="2">
        <v>0.0</v>
      </c>
      <c r="L4" s="2">
        <v>61.0</v>
      </c>
      <c r="M4" s="2">
        <v>0.0</v>
      </c>
      <c r="N4" s="2">
        <v>1281.0</v>
      </c>
      <c r="O4" s="2">
        <v>0.0</v>
      </c>
      <c r="P4" s="2">
        <v>1000.0</v>
      </c>
      <c r="Q4" s="2">
        <v>0.0</v>
      </c>
      <c r="R4" s="2">
        <v>0.0</v>
      </c>
      <c r="S4" s="2">
        <v>0.0</v>
      </c>
      <c r="T4" s="2">
        <v>0.0</v>
      </c>
      <c r="U4" s="2">
        <f t="shared" si="1"/>
        <v>1342</v>
      </c>
      <c r="V4" s="4">
        <f t="shared" si="2"/>
        <v>-0.001492537313</v>
      </c>
    </row>
    <row r="5">
      <c r="A5" s="2" t="s">
        <v>40</v>
      </c>
      <c r="B5" s="2" t="s">
        <v>21</v>
      </c>
      <c r="C5" s="2" t="s">
        <v>22</v>
      </c>
      <c r="D5" s="2" t="s">
        <v>23</v>
      </c>
      <c r="E5" s="2" t="s">
        <v>50</v>
      </c>
      <c r="F5" s="2">
        <v>3.0</v>
      </c>
      <c r="G5" s="2" t="s">
        <v>51</v>
      </c>
      <c r="H5" s="2">
        <v>171.0</v>
      </c>
      <c r="I5" s="2">
        <v>187.0</v>
      </c>
      <c r="J5" s="2">
        <v>298.0</v>
      </c>
      <c r="K5" s="2">
        <v>0.0</v>
      </c>
      <c r="L5" s="2">
        <v>70.0</v>
      </c>
      <c r="M5" s="2">
        <v>0.0</v>
      </c>
      <c r="N5" s="2">
        <v>1272.0</v>
      </c>
      <c r="O5" s="2">
        <v>0.0</v>
      </c>
      <c r="P5" s="2">
        <v>999.0</v>
      </c>
      <c r="Q5" s="2">
        <v>0.0</v>
      </c>
      <c r="R5" s="2">
        <v>0.0</v>
      </c>
      <c r="S5" s="2">
        <v>0.0</v>
      </c>
      <c r="T5" s="2">
        <v>0.0</v>
      </c>
      <c r="U5" s="2">
        <f t="shared" si="1"/>
        <v>1342</v>
      </c>
      <c r="V5" s="4">
        <f t="shared" si="2"/>
        <v>-0.001492537313</v>
      </c>
    </row>
    <row r="6">
      <c r="A6" s="2" t="s">
        <v>52</v>
      </c>
      <c r="B6" s="2" t="s">
        <v>21</v>
      </c>
      <c r="C6" s="2" t="s">
        <v>22</v>
      </c>
      <c r="D6" s="2" t="s">
        <v>23</v>
      </c>
      <c r="E6" s="2" t="s">
        <v>53</v>
      </c>
      <c r="F6" s="2">
        <v>3.0</v>
      </c>
      <c r="G6" s="2" t="s">
        <v>25</v>
      </c>
      <c r="H6" s="2">
        <v>46.0</v>
      </c>
      <c r="I6" s="2">
        <v>1505.0</v>
      </c>
      <c r="J6" s="2">
        <v>1209.0</v>
      </c>
      <c r="K6" s="2">
        <v>0.0</v>
      </c>
      <c r="L6" s="2">
        <v>18.0</v>
      </c>
      <c r="M6" s="2">
        <v>0.0</v>
      </c>
      <c r="N6" s="2">
        <v>210.0</v>
      </c>
      <c r="O6" s="2">
        <v>0.0</v>
      </c>
      <c r="P6" s="2">
        <v>996.0</v>
      </c>
      <c r="Q6" s="2">
        <v>0.0</v>
      </c>
      <c r="R6" s="2">
        <v>0.0</v>
      </c>
      <c r="S6" s="2">
        <v>0.0</v>
      </c>
      <c r="T6" s="2">
        <v>0.0</v>
      </c>
      <c r="U6" s="3">
        <f>(N6+L6+M6)*2/3</f>
        <v>152</v>
      </c>
    </row>
    <row r="7">
      <c r="A7" s="2" t="s">
        <v>52</v>
      </c>
      <c r="B7" s="2" t="s">
        <v>21</v>
      </c>
      <c r="C7" s="2" t="s">
        <v>22</v>
      </c>
      <c r="D7" s="2" t="s">
        <v>23</v>
      </c>
      <c r="E7" s="2" t="s">
        <v>55</v>
      </c>
      <c r="F7" s="2">
        <v>3.0</v>
      </c>
      <c r="G7" s="2" t="s">
        <v>45</v>
      </c>
      <c r="H7" s="2">
        <v>32.0</v>
      </c>
      <c r="I7" s="2">
        <v>1078.0</v>
      </c>
      <c r="J7" s="2">
        <v>728.0</v>
      </c>
      <c r="K7" s="2">
        <v>0.0</v>
      </c>
      <c r="L7" s="2">
        <v>16.0</v>
      </c>
      <c r="M7" s="2">
        <v>0.0</v>
      </c>
      <c r="N7" s="2">
        <v>134.0</v>
      </c>
      <c r="O7" s="2">
        <v>0.0</v>
      </c>
      <c r="P7" s="2">
        <v>994.0</v>
      </c>
      <c r="Q7" s="2">
        <v>0.0</v>
      </c>
      <c r="R7" s="2">
        <v>0.0</v>
      </c>
      <c r="S7" s="2">
        <v>0.0</v>
      </c>
      <c r="T7" s="2">
        <v>0.0</v>
      </c>
      <c r="U7" s="2">
        <f t="shared" ref="U7:U9" si="3">(N7+L7+M7)</f>
        <v>150</v>
      </c>
      <c r="V7" s="4">
        <f t="shared" ref="V7:V9" si="4">(U$6-U7)/U$6</f>
        <v>0.01315789474</v>
      </c>
    </row>
    <row r="8">
      <c r="A8" s="2" t="s">
        <v>52</v>
      </c>
      <c r="B8" s="2" t="s">
        <v>21</v>
      </c>
      <c r="C8" s="2" t="s">
        <v>22</v>
      </c>
      <c r="D8" s="2" t="s">
        <v>23</v>
      </c>
      <c r="E8" s="2" t="s">
        <v>56</v>
      </c>
      <c r="F8" s="2">
        <v>3.0</v>
      </c>
      <c r="G8" s="2" t="s">
        <v>47</v>
      </c>
      <c r="H8" s="2">
        <v>29.0</v>
      </c>
      <c r="I8" s="2">
        <v>1047.0</v>
      </c>
      <c r="J8" s="2">
        <v>760.0</v>
      </c>
      <c r="K8" s="2">
        <v>0.0</v>
      </c>
      <c r="L8" s="2">
        <v>10.0</v>
      </c>
      <c r="M8" s="2">
        <v>0.0</v>
      </c>
      <c r="N8" s="2">
        <v>142.0</v>
      </c>
      <c r="O8" s="2">
        <v>0.0</v>
      </c>
      <c r="P8" s="2">
        <v>994.0</v>
      </c>
      <c r="Q8" s="2">
        <v>0.0</v>
      </c>
      <c r="R8" s="2">
        <v>0.0</v>
      </c>
      <c r="S8" s="2">
        <v>0.0</v>
      </c>
      <c r="T8" s="2">
        <v>0.0</v>
      </c>
      <c r="U8" s="2">
        <f t="shared" si="3"/>
        <v>152</v>
      </c>
      <c r="V8" s="4">
        <f t="shared" si="4"/>
        <v>0</v>
      </c>
    </row>
    <row r="9">
      <c r="A9" s="2" t="s">
        <v>52</v>
      </c>
      <c r="B9" s="2" t="s">
        <v>21</v>
      </c>
      <c r="C9" s="2" t="s">
        <v>22</v>
      </c>
      <c r="D9" s="2" t="s">
        <v>23</v>
      </c>
      <c r="E9" s="2" t="s">
        <v>57</v>
      </c>
      <c r="F9" s="2">
        <v>3.0</v>
      </c>
      <c r="G9" s="2" t="s">
        <v>51</v>
      </c>
      <c r="H9" s="2">
        <v>27.0</v>
      </c>
      <c r="I9" s="2">
        <v>1057.0</v>
      </c>
      <c r="J9" s="2">
        <v>756.0</v>
      </c>
      <c r="K9" s="2">
        <v>0.0</v>
      </c>
      <c r="L9" s="2">
        <v>11.0</v>
      </c>
      <c r="M9" s="2">
        <v>0.0</v>
      </c>
      <c r="N9" s="2">
        <v>141.0</v>
      </c>
      <c r="O9" s="2">
        <v>0.0</v>
      </c>
      <c r="P9" s="2">
        <v>996.0</v>
      </c>
      <c r="Q9" s="2">
        <v>0.0</v>
      </c>
      <c r="R9" s="2">
        <v>0.0</v>
      </c>
      <c r="S9" s="2">
        <v>0.0</v>
      </c>
      <c r="T9" s="2">
        <v>0.0</v>
      </c>
      <c r="U9" s="2">
        <f t="shared" si="3"/>
        <v>152</v>
      </c>
      <c r="V9" s="4">
        <f t="shared" si="4"/>
        <v>0</v>
      </c>
    </row>
    <row r="10">
      <c r="A10" s="2" t="s">
        <v>59</v>
      </c>
      <c r="B10" s="2" t="s">
        <v>21</v>
      </c>
      <c r="C10" s="2" t="s">
        <v>22</v>
      </c>
      <c r="D10" s="2" t="s">
        <v>23</v>
      </c>
      <c r="E10" s="2" t="s">
        <v>60</v>
      </c>
      <c r="F10" s="2">
        <v>3.0</v>
      </c>
      <c r="G10" s="2" t="s">
        <v>25</v>
      </c>
      <c r="H10" s="2">
        <v>253.0</v>
      </c>
      <c r="I10" s="2">
        <v>365.0</v>
      </c>
      <c r="J10" s="2">
        <v>582.0</v>
      </c>
      <c r="K10" s="2">
        <v>0.0</v>
      </c>
      <c r="L10" s="2">
        <v>273.0</v>
      </c>
      <c r="M10" s="2">
        <v>0.0</v>
      </c>
      <c r="N10" s="2">
        <v>582.0</v>
      </c>
      <c r="O10" s="2">
        <v>0.0</v>
      </c>
      <c r="P10" s="2">
        <v>685.0</v>
      </c>
      <c r="Q10" s="2">
        <v>0.0</v>
      </c>
      <c r="R10" s="2">
        <v>0.0</v>
      </c>
      <c r="S10" s="2">
        <v>0.0</v>
      </c>
      <c r="T10" s="2">
        <v>0.0</v>
      </c>
      <c r="U10" s="3">
        <f>(N10+L10+M10)*2/3</f>
        <v>570</v>
      </c>
    </row>
    <row r="11">
      <c r="A11" s="2" t="s">
        <v>59</v>
      </c>
      <c r="B11" s="2" t="s">
        <v>21</v>
      </c>
      <c r="C11" s="2" t="s">
        <v>22</v>
      </c>
      <c r="D11" s="2" t="s">
        <v>23</v>
      </c>
      <c r="E11" s="2" t="s">
        <v>61</v>
      </c>
      <c r="F11" s="2">
        <v>3.0</v>
      </c>
      <c r="G11" s="2" t="s">
        <v>45</v>
      </c>
      <c r="H11" s="2">
        <v>144.0</v>
      </c>
      <c r="I11" s="2">
        <v>276.0</v>
      </c>
      <c r="J11" s="2">
        <v>378.0</v>
      </c>
      <c r="K11" s="2">
        <v>0.0</v>
      </c>
      <c r="L11" s="2">
        <v>194.0</v>
      </c>
      <c r="M11" s="2">
        <v>0.0</v>
      </c>
      <c r="N11" s="2">
        <v>378.0</v>
      </c>
      <c r="O11" s="2">
        <v>0.0</v>
      </c>
      <c r="P11" s="2">
        <v>685.0</v>
      </c>
      <c r="Q11" s="2">
        <v>0.0</v>
      </c>
      <c r="R11" s="2">
        <v>0.0</v>
      </c>
      <c r="S11" s="2">
        <v>0.0</v>
      </c>
      <c r="T11" s="2">
        <v>0.0</v>
      </c>
      <c r="U11" s="2">
        <f t="shared" ref="U11:U13" si="5">(N11+L11+M11)</f>
        <v>572</v>
      </c>
      <c r="V11" s="4">
        <f t="shared" ref="V11:V13" si="6">(U$10-U11)/U$10</f>
        <v>-0.00350877193</v>
      </c>
    </row>
    <row r="12">
      <c r="A12" s="2" t="s">
        <v>59</v>
      </c>
      <c r="B12" s="2" t="s">
        <v>21</v>
      </c>
      <c r="C12" s="2" t="s">
        <v>22</v>
      </c>
      <c r="D12" s="2" t="s">
        <v>23</v>
      </c>
      <c r="E12" s="2" t="s">
        <v>62</v>
      </c>
      <c r="F12" s="2">
        <v>3.0</v>
      </c>
      <c r="G12" s="2" t="s">
        <v>47</v>
      </c>
      <c r="H12" s="2">
        <v>165.0</v>
      </c>
      <c r="I12" s="2">
        <v>237.0</v>
      </c>
      <c r="J12" s="2">
        <v>398.0</v>
      </c>
      <c r="K12" s="2">
        <v>0.0</v>
      </c>
      <c r="L12" s="2">
        <v>185.0</v>
      </c>
      <c r="M12" s="2">
        <v>0.0</v>
      </c>
      <c r="N12" s="2">
        <v>389.0</v>
      </c>
      <c r="O12" s="2">
        <v>0.0</v>
      </c>
      <c r="P12" s="2">
        <v>687.0</v>
      </c>
      <c r="Q12" s="2">
        <v>0.0</v>
      </c>
      <c r="R12" s="2">
        <v>0.0</v>
      </c>
      <c r="S12" s="2">
        <v>0.0</v>
      </c>
      <c r="T12" s="2">
        <v>0.0</v>
      </c>
      <c r="U12" s="2">
        <f t="shared" si="5"/>
        <v>574</v>
      </c>
      <c r="V12" s="4">
        <f t="shared" si="6"/>
        <v>-0.00701754386</v>
      </c>
    </row>
    <row r="13">
      <c r="A13" s="2" t="s">
        <v>59</v>
      </c>
      <c r="B13" s="2" t="s">
        <v>21</v>
      </c>
      <c r="C13" s="2" t="s">
        <v>22</v>
      </c>
      <c r="D13" s="2" t="s">
        <v>23</v>
      </c>
      <c r="E13" s="2" t="s">
        <v>67</v>
      </c>
      <c r="F13" s="2">
        <v>3.0</v>
      </c>
      <c r="G13" s="2" t="s">
        <v>51</v>
      </c>
      <c r="H13" s="2">
        <v>168.0</v>
      </c>
      <c r="I13" s="2">
        <v>242.0</v>
      </c>
      <c r="J13" s="2">
        <v>388.0</v>
      </c>
      <c r="K13" s="2">
        <v>0.0</v>
      </c>
      <c r="L13" s="2">
        <v>178.0</v>
      </c>
      <c r="M13" s="2">
        <v>0.0</v>
      </c>
      <c r="N13" s="2">
        <v>396.0</v>
      </c>
      <c r="O13" s="2">
        <v>0.0</v>
      </c>
      <c r="P13" s="2">
        <v>686.0</v>
      </c>
      <c r="Q13" s="2">
        <v>0.0</v>
      </c>
      <c r="R13" s="2">
        <v>0.0</v>
      </c>
      <c r="S13" s="2">
        <v>0.0</v>
      </c>
      <c r="T13" s="2">
        <v>0.0</v>
      </c>
      <c r="U13" s="2">
        <f t="shared" si="5"/>
        <v>574</v>
      </c>
      <c r="V13" s="4">
        <f t="shared" si="6"/>
        <v>-0.00701754386</v>
      </c>
    </row>
    <row r="14">
      <c r="A14" s="2" t="s">
        <v>69</v>
      </c>
      <c r="B14" s="2" t="s">
        <v>21</v>
      </c>
      <c r="C14" s="2" t="s">
        <v>22</v>
      </c>
      <c r="D14" s="2" t="s">
        <v>23</v>
      </c>
      <c r="E14" s="2" t="s">
        <v>70</v>
      </c>
      <c r="F14" s="2">
        <v>3.0</v>
      </c>
      <c r="G14" s="2" t="s">
        <v>25</v>
      </c>
      <c r="H14" s="2">
        <v>81.0</v>
      </c>
      <c r="I14" s="2">
        <v>6.0</v>
      </c>
      <c r="J14" s="2">
        <v>198.0</v>
      </c>
      <c r="K14" s="2">
        <v>0.0</v>
      </c>
      <c r="L14" s="2">
        <v>49.0</v>
      </c>
      <c r="M14" s="2">
        <v>0.0</v>
      </c>
      <c r="N14" s="2">
        <v>254.0</v>
      </c>
      <c r="O14" s="2">
        <v>0.0</v>
      </c>
      <c r="P14" s="2">
        <v>196.0</v>
      </c>
      <c r="Q14" s="2">
        <v>0.0</v>
      </c>
      <c r="R14" s="2">
        <v>0.0</v>
      </c>
      <c r="S14" s="2">
        <v>0.0</v>
      </c>
      <c r="T14" s="2">
        <v>0.0</v>
      </c>
      <c r="U14" s="3">
        <f>(N14+L14+M14)*2/3</f>
        <v>202</v>
      </c>
    </row>
    <row r="15">
      <c r="A15" s="2" t="s">
        <v>69</v>
      </c>
      <c r="B15" s="2" t="s">
        <v>21</v>
      </c>
      <c r="C15" s="2" t="s">
        <v>22</v>
      </c>
      <c r="D15" s="2" t="s">
        <v>23</v>
      </c>
      <c r="E15" s="2" t="s">
        <v>71</v>
      </c>
      <c r="F15" s="2">
        <v>3.0</v>
      </c>
      <c r="G15" s="2" t="s">
        <v>45</v>
      </c>
      <c r="H15" s="2">
        <v>60.0</v>
      </c>
      <c r="I15" s="2">
        <v>10.0</v>
      </c>
      <c r="J15" s="2">
        <v>118.0</v>
      </c>
      <c r="K15" s="2">
        <v>0.0</v>
      </c>
      <c r="L15" s="2">
        <v>35.0</v>
      </c>
      <c r="M15" s="2">
        <v>0.0</v>
      </c>
      <c r="N15" s="2">
        <v>165.0</v>
      </c>
      <c r="O15" s="2">
        <v>0.0</v>
      </c>
      <c r="P15" s="2">
        <v>194.0</v>
      </c>
      <c r="Q15" s="2">
        <v>0.0</v>
      </c>
      <c r="R15" s="2">
        <v>0.0</v>
      </c>
      <c r="S15" s="2">
        <v>0.0</v>
      </c>
      <c r="T15" s="2">
        <v>0.0</v>
      </c>
      <c r="U15" s="2">
        <f t="shared" ref="U15:U17" si="7">(N15+L15+M15)</f>
        <v>200</v>
      </c>
      <c r="V15" s="4">
        <f t="shared" ref="V15:V17" si="8">(U$14-U15)/U$14</f>
        <v>0.009900990099</v>
      </c>
    </row>
    <row r="16">
      <c r="A16" s="2" t="s">
        <v>69</v>
      </c>
      <c r="B16" s="2" t="s">
        <v>21</v>
      </c>
      <c r="C16" s="2" t="s">
        <v>22</v>
      </c>
      <c r="D16" s="2" t="s">
        <v>23</v>
      </c>
      <c r="E16" s="2" t="s">
        <v>72</v>
      </c>
      <c r="F16" s="2">
        <v>3.0</v>
      </c>
      <c r="G16" s="2" t="s">
        <v>47</v>
      </c>
      <c r="H16" s="2">
        <v>63.0</v>
      </c>
      <c r="I16" s="2">
        <v>7.0</v>
      </c>
      <c r="J16" s="2">
        <v>122.0</v>
      </c>
      <c r="K16" s="2">
        <v>0.0</v>
      </c>
      <c r="L16" s="2">
        <v>36.0</v>
      </c>
      <c r="M16" s="2">
        <v>0.0</v>
      </c>
      <c r="N16" s="2">
        <v>166.0</v>
      </c>
      <c r="O16" s="2">
        <v>0.0</v>
      </c>
      <c r="P16" s="2">
        <v>197.0</v>
      </c>
      <c r="Q16" s="2">
        <v>0.0</v>
      </c>
      <c r="R16" s="2">
        <v>0.0</v>
      </c>
      <c r="S16" s="2">
        <v>0.0</v>
      </c>
      <c r="T16" s="2">
        <v>0.0</v>
      </c>
      <c r="U16" s="2">
        <f t="shared" si="7"/>
        <v>202</v>
      </c>
      <c r="V16" s="4">
        <f t="shared" si="8"/>
        <v>0</v>
      </c>
    </row>
    <row r="17">
      <c r="A17" s="2" t="s">
        <v>69</v>
      </c>
      <c r="B17" s="2" t="s">
        <v>21</v>
      </c>
      <c r="C17" s="2" t="s">
        <v>22</v>
      </c>
      <c r="D17" s="2" t="s">
        <v>23</v>
      </c>
      <c r="E17" s="2" t="s">
        <v>74</v>
      </c>
      <c r="F17" s="2">
        <v>3.0</v>
      </c>
      <c r="G17" s="2" t="s">
        <v>51</v>
      </c>
      <c r="H17" s="2">
        <v>61.0</v>
      </c>
      <c r="I17" s="2">
        <v>5.0</v>
      </c>
      <c r="J17" s="2">
        <v>126.0</v>
      </c>
      <c r="K17" s="2">
        <v>0.0</v>
      </c>
      <c r="L17" s="2">
        <v>30.0</v>
      </c>
      <c r="M17" s="2">
        <v>0.0</v>
      </c>
      <c r="N17" s="2">
        <v>170.0</v>
      </c>
      <c r="O17" s="2">
        <v>0.0</v>
      </c>
      <c r="P17" s="2">
        <v>196.0</v>
      </c>
      <c r="Q17" s="2">
        <v>0.0</v>
      </c>
      <c r="R17" s="2">
        <v>0.0</v>
      </c>
      <c r="S17" s="2">
        <v>0.0</v>
      </c>
      <c r="T17" s="2">
        <v>0.0</v>
      </c>
      <c r="U17" s="2">
        <f t="shared" si="7"/>
        <v>200</v>
      </c>
      <c r="V17" s="4">
        <f t="shared" si="8"/>
        <v>0.009900990099</v>
      </c>
    </row>
    <row r="18">
      <c r="A18" s="2" t="s">
        <v>75</v>
      </c>
      <c r="B18" s="2" t="s">
        <v>32</v>
      </c>
      <c r="C18" s="2" t="s">
        <v>22</v>
      </c>
      <c r="D18" s="2" t="s">
        <v>23</v>
      </c>
      <c r="E18" s="2" t="s">
        <v>41</v>
      </c>
      <c r="F18" s="2">
        <v>3.0</v>
      </c>
      <c r="G18" s="2" t="s">
        <v>25</v>
      </c>
      <c r="H18" s="2">
        <v>879.0</v>
      </c>
      <c r="I18" s="2">
        <v>483.0</v>
      </c>
      <c r="J18" s="2">
        <v>180.0</v>
      </c>
      <c r="K18" s="2">
        <v>0.0</v>
      </c>
      <c r="L18" s="2">
        <v>79.0</v>
      </c>
      <c r="M18" s="2">
        <v>0.0</v>
      </c>
      <c r="N18" s="2">
        <v>1364.0</v>
      </c>
      <c r="O18" s="2">
        <v>0.0</v>
      </c>
      <c r="P18" s="2">
        <v>995.0</v>
      </c>
      <c r="Q18" s="2">
        <v>0.0</v>
      </c>
      <c r="R18" s="2">
        <v>0.0</v>
      </c>
      <c r="S18" s="2">
        <v>0.0</v>
      </c>
      <c r="T18" s="2">
        <v>0.0</v>
      </c>
      <c r="U18" s="3">
        <f>(N18+L18+M18)*2/3</f>
        <v>962</v>
      </c>
    </row>
    <row r="19">
      <c r="A19" s="2" t="s">
        <v>75</v>
      </c>
      <c r="B19" s="2" t="s">
        <v>32</v>
      </c>
      <c r="C19" s="2" t="s">
        <v>22</v>
      </c>
      <c r="D19" s="2" t="s">
        <v>23</v>
      </c>
      <c r="E19" s="2" t="s">
        <v>44</v>
      </c>
      <c r="F19" s="2">
        <v>3.0</v>
      </c>
      <c r="G19" s="2" t="s">
        <v>45</v>
      </c>
      <c r="H19" s="2">
        <v>600.0</v>
      </c>
      <c r="I19" s="2">
        <v>300.0</v>
      </c>
      <c r="J19" s="2">
        <v>130.0</v>
      </c>
      <c r="K19" s="2">
        <v>0.0</v>
      </c>
      <c r="L19" s="2">
        <v>50.0</v>
      </c>
      <c r="M19" s="2">
        <v>0.0</v>
      </c>
      <c r="N19" s="2">
        <v>910.0</v>
      </c>
      <c r="O19" s="2">
        <v>0.0</v>
      </c>
      <c r="P19" s="2">
        <v>995.0</v>
      </c>
      <c r="Q19" s="2">
        <v>0.0</v>
      </c>
      <c r="R19" s="2">
        <v>0.0</v>
      </c>
      <c r="S19" s="2">
        <v>0.0</v>
      </c>
      <c r="T19" s="2">
        <v>0.0</v>
      </c>
      <c r="U19" s="2">
        <f t="shared" ref="U19:U21" si="9">(N19+L19+M19)</f>
        <v>960</v>
      </c>
      <c r="V19" s="4">
        <f t="shared" ref="V19:V21" si="10">(U$18-U19)/U$18</f>
        <v>0.002079002079</v>
      </c>
    </row>
    <row r="20">
      <c r="A20" s="2" t="s">
        <v>75</v>
      </c>
      <c r="B20" s="2" t="s">
        <v>32</v>
      </c>
      <c r="C20" s="2" t="s">
        <v>22</v>
      </c>
      <c r="D20" s="2" t="s">
        <v>23</v>
      </c>
      <c r="E20" s="2" t="s">
        <v>46</v>
      </c>
      <c r="F20" s="2">
        <v>3.0</v>
      </c>
      <c r="G20" s="2" t="s">
        <v>47</v>
      </c>
      <c r="H20" s="2">
        <v>599.0</v>
      </c>
      <c r="I20" s="2">
        <v>303.0</v>
      </c>
      <c r="J20" s="2">
        <v>122.0</v>
      </c>
      <c r="K20" s="2">
        <v>0.0</v>
      </c>
      <c r="L20" s="2">
        <v>43.0</v>
      </c>
      <c r="M20" s="2">
        <v>0.0</v>
      </c>
      <c r="N20" s="2">
        <v>917.0</v>
      </c>
      <c r="O20" s="2">
        <v>0.0</v>
      </c>
      <c r="P20" s="2">
        <v>992.0</v>
      </c>
      <c r="Q20" s="2">
        <v>0.0</v>
      </c>
      <c r="R20" s="2">
        <v>0.0</v>
      </c>
      <c r="S20" s="2">
        <v>0.0</v>
      </c>
      <c r="T20" s="2">
        <v>0.0</v>
      </c>
      <c r="U20" s="2">
        <f t="shared" si="9"/>
        <v>960</v>
      </c>
      <c r="V20" s="4">
        <f t="shared" si="10"/>
        <v>0.002079002079</v>
      </c>
    </row>
    <row r="21" ht="15.75" customHeight="1">
      <c r="A21" s="2" t="s">
        <v>75</v>
      </c>
      <c r="B21" s="2" t="s">
        <v>32</v>
      </c>
      <c r="C21" s="2" t="s">
        <v>22</v>
      </c>
      <c r="D21" s="2" t="s">
        <v>23</v>
      </c>
      <c r="E21" s="2" t="s">
        <v>50</v>
      </c>
      <c r="F21" s="2">
        <v>3.0</v>
      </c>
      <c r="G21" s="2" t="s">
        <v>51</v>
      </c>
      <c r="H21" s="2">
        <v>593.0</v>
      </c>
      <c r="I21" s="2">
        <v>291.0</v>
      </c>
      <c r="J21" s="2">
        <v>144.0</v>
      </c>
      <c r="K21" s="2">
        <v>0.0</v>
      </c>
      <c r="L21" s="2">
        <v>62.0</v>
      </c>
      <c r="M21" s="2">
        <v>0.0</v>
      </c>
      <c r="N21" s="2">
        <v>900.0</v>
      </c>
      <c r="O21" s="2">
        <v>0.0</v>
      </c>
      <c r="P21" s="2">
        <v>995.0</v>
      </c>
      <c r="Q21" s="2">
        <v>0.0</v>
      </c>
      <c r="R21" s="2">
        <v>0.0</v>
      </c>
      <c r="S21" s="2">
        <v>0.0</v>
      </c>
      <c r="T21" s="2">
        <v>0.0</v>
      </c>
      <c r="U21" s="2">
        <f t="shared" si="9"/>
        <v>962</v>
      </c>
      <c r="V21" s="4">
        <f t="shared" si="10"/>
        <v>0</v>
      </c>
    </row>
    <row r="22" ht="15.75" customHeight="1">
      <c r="A22" s="2" t="s">
        <v>77</v>
      </c>
      <c r="B22" s="2" t="s">
        <v>32</v>
      </c>
      <c r="C22" s="2" t="s">
        <v>22</v>
      </c>
      <c r="D22" s="2" t="s">
        <v>23</v>
      </c>
      <c r="E22" s="2" t="s">
        <v>53</v>
      </c>
      <c r="F22" s="2">
        <v>3.0</v>
      </c>
      <c r="G22" s="2" t="s">
        <v>25</v>
      </c>
      <c r="H22" s="2">
        <v>60.0</v>
      </c>
      <c r="I22" s="2">
        <v>1479.0</v>
      </c>
      <c r="J22" s="2">
        <v>1209.0</v>
      </c>
      <c r="K22" s="2">
        <v>0.0</v>
      </c>
      <c r="L22" s="2">
        <v>19.0</v>
      </c>
      <c r="M22" s="2">
        <v>0.0</v>
      </c>
      <c r="N22" s="2">
        <v>215.0</v>
      </c>
      <c r="O22" s="2">
        <v>0.0</v>
      </c>
      <c r="P22" s="2">
        <v>994.0</v>
      </c>
      <c r="Q22" s="2">
        <v>0.0</v>
      </c>
      <c r="R22" s="2">
        <v>0.0</v>
      </c>
      <c r="S22" s="2">
        <v>0.0</v>
      </c>
      <c r="T22" s="2">
        <v>0.0</v>
      </c>
      <c r="U22" s="3">
        <f>(N22+L22+M22)*2/3</f>
        <v>156</v>
      </c>
    </row>
    <row r="23" ht="15.75" customHeight="1">
      <c r="A23" s="2" t="s">
        <v>77</v>
      </c>
      <c r="B23" s="2" t="s">
        <v>32</v>
      </c>
      <c r="C23" s="2" t="s">
        <v>22</v>
      </c>
      <c r="D23" s="2" t="s">
        <v>23</v>
      </c>
      <c r="E23" s="2" t="s">
        <v>55</v>
      </c>
      <c r="F23" s="2">
        <v>3.0</v>
      </c>
      <c r="G23" s="2" t="s">
        <v>45</v>
      </c>
      <c r="H23" s="2">
        <v>32.0</v>
      </c>
      <c r="I23" s="2">
        <v>934.0</v>
      </c>
      <c r="J23" s="2">
        <v>864.0</v>
      </c>
      <c r="K23" s="2">
        <v>0.0</v>
      </c>
      <c r="L23" s="2">
        <v>10.0</v>
      </c>
      <c r="M23" s="2">
        <v>0.0</v>
      </c>
      <c r="N23" s="2">
        <v>142.0</v>
      </c>
      <c r="O23" s="2">
        <v>0.0</v>
      </c>
      <c r="P23" s="2">
        <v>991.0</v>
      </c>
      <c r="Q23" s="2">
        <v>0.0</v>
      </c>
      <c r="R23" s="2">
        <v>0.0</v>
      </c>
      <c r="S23" s="2">
        <v>0.0</v>
      </c>
      <c r="T23" s="2">
        <v>0.0</v>
      </c>
      <c r="U23" s="2">
        <f t="shared" ref="U23:U25" si="11">(N23+L23+M23)</f>
        <v>152</v>
      </c>
      <c r="V23" s="4">
        <f t="shared" ref="V23:V25" si="12">(U$22-U23)/U$22</f>
        <v>0.02564102564</v>
      </c>
    </row>
    <row r="24" ht="15.75" customHeight="1">
      <c r="A24" s="2" t="s">
        <v>77</v>
      </c>
      <c r="B24" s="2" t="s">
        <v>32</v>
      </c>
      <c r="C24" s="2" t="s">
        <v>22</v>
      </c>
      <c r="D24" s="2" t="s">
        <v>23</v>
      </c>
      <c r="E24" s="2" t="s">
        <v>56</v>
      </c>
      <c r="F24" s="2">
        <v>3.0</v>
      </c>
      <c r="G24" s="2" t="s">
        <v>47</v>
      </c>
      <c r="H24" s="2">
        <v>37.0</v>
      </c>
      <c r="I24" s="2">
        <v>975.0</v>
      </c>
      <c r="J24" s="2">
        <v>824.0</v>
      </c>
      <c r="K24" s="2">
        <v>0.0</v>
      </c>
      <c r="L24" s="2">
        <v>11.0</v>
      </c>
      <c r="M24" s="2">
        <v>0.0</v>
      </c>
      <c r="N24" s="2">
        <v>143.0</v>
      </c>
      <c r="O24" s="2">
        <v>0.0</v>
      </c>
      <c r="P24" s="2">
        <v>995.0</v>
      </c>
      <c r="Q24" s="2">
        <v>0.0</v>
      </c>
      <c r="R24" s="2">
        <v>0.0</v>
      </c>
      <c r="S24" s="2">
        <v>0.0</v>
      </c>
      <c r="T24" s="2">
        <v>0.0</v>
      </c>
      <c r="U24" s="2">
        <f t="shared" si="11"/>
        <v>154</v>
      </c>
      <c r="V24" s="4">
        <f t="shared" si="12"/>
        <v>0.01282051282</v>
      </c>
    </row>
    <row r="25" ht="15.75" customHeight="1">
      <c r="A25" s="2" t="s">
        <v>77</v>
      </c>
      <c r="B25" s="2" t="s">
        <v>32</v>
      </c>
      <c r="C25" s="2" t="s">
        <v>22</v>
      </c>
      <c r="D25" s="2" t="s">
        <v>23</v>
      </c>
      <c r="E25" s="2" t="s">
        <v>57</v>
      </c>
      <c r="F25" s="2">
        <v>3.0</v>
      </c>
      <c r="G25" s="2" t="s">
        <v>51</v>
      </c>
      <c r="H25" s="2">
        <v>44.0</v>
      </c>
      <c r="I25" s="2">
        <v>956.0</v>
      </c>
      <c r="J25" s="2">
        <v>838.0</v>
      </c>
      <c r="K25" s="2">
        <v>0.0</v>
      </c>
      <c r="L25" s="2">
        <v>11.0</v>
      </c>
      <c r="M25" s="2">
        <v>0.0</v>
      </c>
      <c r="N25" s="2">
        <v>143.0</v>
      </c>
      <c r="O25" s="2">
        <v>0.0</v>
      </c>
      <c r="P25" s="2">
        <v>996.0</v>
      </c>
      <c r="Q25" s="2">
        <v>0.0</v>
      </c>
      <c r="R25" s="2">
        <v>0.0</v>
      </c>
      <c r="S25" s="2">
        <v>0.0</v>
      </c>
      <c r="T25" s="2">
        <v>0.0</v>
      </c>
      <c r="U25" s="2">
        <f t="shared" si="11"/>
        <v>154</v>
      </c>
      <c r="V25" s="4">
        <f t="shared" si="12"/>
        <v>0.01282051282</v>
      </c>
    </row>
    <row r="26" ht="15.75" customHeight="1">
      <c r="A26" s="2" t="s">
        <v>78</v>
      </c>
      <c r="B26" s="2" t="s">
        <v>32</v>
      </c>
      <c r="C26" s="2" t="s">
        <v>22</v>
      </c>
      <c r="D26" s="2" t="s">
        <v>23</v>
      </c>
      <c r="E26" s="2" t="s">
        <v>60</v>
      </c>
      <c r="F26" s="2">
        <v>3.0</v>
      </c>
      <c r="G26" s="2" t="s">
        <v>25</v>
      </c>
      <c r="H26" s="2">
        <v>89.0</v>
      </c>
      <c r="I26" s="2">
        <v>325.0</v>
      </c>
      <c r="J26" s="2">
        <v>558.0</v>
      </c>
      <c r="K26" s="2">
        <v>0.0</v>
      </c>
      <c r="L26" s="2">
        <v>177.0</v>
      </c>
      <c r="M26" s="2">
        <v>0.0</v>
      </c>
      <c r="N26" s="2">
        <v>894.0</v>
      </c>
      <c r="O26" s="2">
        <v>0.0</v>
      </c>
      <c r="P26" s="2">
        <v>681.0</v>
      </c>
      <c r="Q26" s="2">
        <v>0.0</v>
      </c>
      <c r="R26" s="2">
        <v>0.0</v>
      </c>
      <c r="S26" s="2">
        <v>0.0</v>
      </c>
      <c r="T26" s="2">
        <v>0.0</v>
      </c>
      <c r="U26" s="3">
        <f>(N26+L26+M26)*2/3</f>
        <v>714</v>
      </c>
    </row>
    <row r="27" ht="15.75" customHeight="1">
      <c r="A27" s="2" t="s">
        <v>78</v>
      </c>
      <c r="B27" s="2" t="s">
        <v>32</v>
      </c>
      <c r="C27" s="2" t="s">
        <v>22</v>
      </c>
      <c r="D27" s="2" t="s">
        <v>23</v>
      </c>
      <c r="E27" s="2" t="s">
        <v>61</v>
      </c>
      <c r="F27" s="2">
        <v>3.0</v>
      </c>
      <c r="G27" s="2" t="s">
        <v>45</v>
      </c>
      <c r="H27" s="2">
        <v>51.0</v>
      </c>
      <c r="I27" s="2">
        <v>221.0</v>
      </c>
      <c r="J27" s="2">
        <v>378.0</v>
      </c>
      <c r="K27" s="2">
        <v>0.0</v>
      </c>
      <c r="L27" s="2">
        <v>111.0</v>
      </c>
      <c r="M27" s="2">
        <v>0.0</v>
      </c>
      <c r="N27" s="2">
        <v>603.0</v>
      </c>
      <c r="O27" s="2">
        <v>0.0</v>
      </c>
      <c r="P27" s="2">
        <v>682.0</v>
      </c>
      <c r="Q27" s="2">
        <v>0.0</v>
      </c>
      <c r="R27" s="2">
        <v>0.0</v>
      </c>
      <c r="S27" s="2">
        <v>0.0</v>
      </c>
      <c r="T27" s="2">
        <v>0.0</v>
      </c>
      <c r="U27" s="2">
        <f t="shared" ref="U27:U29" si="13">(N27+L27+M27)</f>
        <v>714</v>
      </c>
      <c r="V27" s="4">
        <f t="shared" ref="V27:V29" si="14">(U$26-U27)/U$26</f>
        <v>0</v>
      </c>
    </row>
    <row r="28" ht="15.75" customHeight="1">
      <c r="A28" s="2" t="s">
        <v>78</v>
      </c>
      <c r="B28" s="2" t="s">
        <v>32</v>
      </c>
      <c r="C28" s="2" t="s">
        <v>22</v>
      </c>
      <c r="D28" s="2" t="s">
        <v>23</v>
      </c>
      <c r="E28" s="2" t="s">
        <v>62</v>
      </c>
      <c r="F28" s="2">
        <v>3.0</v>
      </c>
      <c r="G28" s="2" t="s">
        <v>47</v>
      </c>
      <c r="H28" s="2">
        <v>57.0</v>
      </c>
      <c r="I28" s="2">
        <v>213.0</v>
      </c>
      <c r="J28" s="2">
        <v>378.0</v>
      </c>
      <c r="K28" s="2">
        <v>0.0</v>
      </c>
      <c r="L28" s="2">
        <v>117.0</v>
      </c>
      <c r="M28" s="2">
        <v>0.0</v>
      </c>
      <c r="N28" s="2">
        <v>597.0</v>
      </c>
      <c r="O28" s="2">
        <v>0.0</v>
      </c>
      <c r="P28" s="2">
        <v>681.0</v>
      </c>
      <c r="Q28" s="2">
        <v>0.0</v>
      </c>
      <c r="R28" s="2">
        <v>0.0</v>
      </c>
      <c r="S28" s="2">
        <v>0.0</v>
      </c>
      <c r="T28" s="2">
        <v>0.0</v>
      </c>
      <c r="U28" s="2">
        <f t="shared" si="13"/>
        <v>714</v>
      </c>
      <c r="V28" s="4">
        <f t="shared" si="14"/>
        <v>0</v>
      </c>
    </row>
    <row r="29" ht="15.75" customHeight="1">
      <c r="A29" s="2" t="s">
        <v>78</v>
      </c>
      <c r="B29" s="2" t="s">
        <v>32</v>
      </c>
      <c r="C29" s="2" t="s">
        <v>22</v>
      </c>
      <c r="D29" s="2" t="s">
        <v>23</v>
      </c>
      <c r="E29" s="2" t="s">
        <v>67</v>
      </c>
      <c r="F29" s="2">
        <v>3.0</v>
      </c>
      <c r="G29" s="2" t="s">
        <v>51</v>
      </c>
      <c r="H29" s="2">
        <v>46.0</v>
      </c>
      <c r="I29" s="2">
        <v>208.0</v>
      </c>
      <c r="J29" s="2">
        <v>392.0</v>
      </c>
      <c r="K29" s="2">
        <v>0.0</v>
      </c>
      <c r="L29" s="2">
        <v>124.0</v>
      </c>
      <c r="M29" s="2">
        <v>0.0</v>
      </c>
      <c r="N29" s="2">
        <v>590.0</v>
      </c>
      <c r="O29" s="2">
        <v>0.0</v>
      </c>
      <c r="P29" s="2">
        <v>680.0</v>
      </c>
      <c r="Q29" s="2">
        <v>0.0</v>
      </c>
      <c r="R29" s="2">
        <v>0.0</v>
      </c>
      <c r="S29" s="2">
        <v>0.0</v>
      </c>
      <c r="T29" s="2">
        <v>0.0</v>
      </c>
      <c r="U29" s="2">
        <f t="shared" si="13"/>
        <v>714</v>
      </c>
      <c r="V29" s="4">
        <f t="shared" si="14"/>
        <v>0</v>
      </c>
    </row>
    <row r="30" ht="15.75" customHeight="1">
      <c r="A30" s="2" t="s">
        <v>80</v>
      </c>
      <c r="B30" s="2" t="s">
        <v>32</v>
      </c>
      <c r="C30" s="2" t="s">
        <v>22</v>
      </c>
      <c r="D30" s="2" t="s">
        <v>23</v>
      </c>
      <c r="E30" s="2" t="s">
        <v>70</v>
      </c>
      <c r="F30" s="2">
        <v>3.0</v>
      </c>
      <c r="G30" s="2" t="s">
        <v>25</v>
      </c>
      <c r="H30" s="2">
        <v>109.0</v>
      </c>
      <c r="I30" s="2">
        <v>155.0</v>
      </c>
      <c r="J30" s="2">
        <v>141.0</v>
      </c>
      <c r="K30" s="2">
        <v>0.0</v>
      </c>
      <c r="L30" s="2">
        <v>34.0</v>
      </c>
      <c r="M30" s="2">
        <v>0.0</v>
      </c>
      <c r="N30" s="2">
        <v>149.0</v>
      </c>
      <c r="O30" s="2">
        <v>0.0</v>
      </c>
      <c r="P30" s="2">
        <v>196.0</v>
      </c>
      <c r="Q30" s="2">
        <v>0.0</v>
      </c>
      <c r="R30" s="2">
        <v>0.0</v>
      </c>
      <c r="S30" s="2">
        <v>0.0</v>
      </c>
      <c r="T30" s="2">
        <v>0.0</v>
      </c>
      <c r="U30" s="3">
        <f>(N30+L30+M30)*2/3</f>
        <v>122</v>
      </c>
    </row>
    <row r="31" ht="15.75" customHeight="1">
      <c r="A31" s="2" t="s">
        <v>80</v>
      </c>
      <c r="B31" s="2" t="s">
        <v>32</v>
      </c>
      <c r="C31" s="2" t="s">
        <v>22</v>
      </c>
      <c r="D31" s="2" t="s">
        <v>23</v>
      </c>
      <c r="E31" s="2" t="s">
        <v>71</v>
      </c>
      <c r="F31" s="2">
        <v>3.0</v>
      </c>
      <c r="G31" s="2" t="s">
        <v>45</v>
      </c>
      <c r="H31" s="2">
        <v>76.0</v>
      </c>
      <c r="I31" s="2">
        <v>104.0</v>
      </c>
      <c r="J31" s="2">
        <v>86.0</v>
      </c>
      <c r="K31" s="2">
        <v>0.0</v>
      </c>
      <c r="L31" s="2">
        <v>20.0</v>
      </c>
      <c r="M31" s="2">
        <v>0.0</v>
      </c>
      <c r="N31" s="2">
        <v>102.0</v>
      </c>
      <c r="O31" s="2">
        <v>0.0</v>
      </c>
      <c r="P31" s="2">
        <v>194.0</v>
      </c>
      <c r="Q31" s="2">
        <v>0.0</v>
      </c>
      <c r="R31" s="2">
        <v>0.0</v>
      </c>
      <c r="S31" s="2">
        <v>0.0</v>
      </c>
      <c r="T31" s="2">
        <v>0.0</v>
      </c>
      <c r="U31" s="2">
        <f t="shared" ref="U31:U33" si="15">(N31+L31+M31)</f>
        <v>122</v>
      </c>
      <c r="V31" s="4">
        <f t="shared" ref="V31:V33" si="16">(U$30-U31)/U$30</f>
        <v>0</v>
      </c>
    </row>
    <row r="32" ht="15.75" customHeight="1">
      <c r="A32" s="2" t="s">
        <v>80</v>
      </c>
      <c r="B32" s="2" t="s">
        <v>32</v>
      </c>
      <c r="C32" s="2" t="s">
        <v>22</v>
      </c>
      <c r="D32" s="2" t="s">
        <v>23</v>
      </c>
      <c r="E32" s="2" t="s">
        <v>72</v>
      </c>
      <c r="F32" s="2">
        <v>3.0</v>
      </c>
      <c r="G32" s="2" t="s">
        <v>47</v>
      </c>
      <c r="H32" s="2">
        <v>82.0</v>
      </c>
      <c r="I32" s="2">
        <v>98.0</v>
      </c>
      <c r="J32" s="2">
        <v>88.0</v>
      </c>
      <c r="K32" s="2">
        <v>0.0</v>
      </c>
      <c r="L32" s="2">
        <v>14.0</v>
      </c>
      <c r="M32" s="2">
        <v>0.0</v>
      </c>
      <c r="N32" s="2">
        <v>108.0</v>
      </c>
      <c r="O32" s="2">
        <v>0.0</v>
      </c>
      <c r="P32" s="2">
        <v>195.0</v>
      </c>
      <c r="Q32" s="2">
        <v>0.0</v>
      </c>
      <c r="R32" s="2">
        <v>0.0</v>
      </c>
      <c r="S32" s="2">
        <v>0.0</v>
      </c>
      <c r="T32" s="2">
        <v>0.0</v>
      </c>
      <c r="U32" s="2">
        <f t="shared" si="15"/>
        <v>122</v>
      </c>
      <c r="V32" s="4">
        <f t="shared" si="16"/>
        <v>0</v>
      </c>
    </row>
    <row r="33" ht="15.75" customHeight="1">
      <c r="A33" s="2" t="s">
        <v>80</v>
      </c>
      <c r="B33" s="2" t="s">
        <v>32</v>
      </c>
      <c r="C33" s="2" t="s">
        <v>22</v>
      </c>
      <c r="D33" s="2" t="s">
        <v>23</v>
      </c>
      <c r="E33" s="2" t="s">
        <v>74</v>
      </c>
      <c r="F33" s="2">
        <v>3.0</v>
      </c>
      <c r="G33" s="2" t="s">
        <v>51</v>
      </c>
      <c r="H33" s="2">
        <v>82.0</v>
      </c>
      <c r="I33" s="2">
        <v>106.0</v>
      </c>
      <c r="J33" s="2">
        <v>84.0</v>
      </c>
      <c r="K33" s="2">
        <v>0.0</v>
      </c>
      <c r="L33" s="2">
        <v>22.0</v>
      </c>
      <c r="M33" s="2">
        <v>0.0</v>
      </c>
      <c r="N33" s="2">
        <v>98.0</v>
      </c>
      <c r="O33" s="2">
        <v>0.0</v>
      </c>
      <c r="P33" s="2">
        <v>196.0</v>
      </c>
      <c r="Q33" s="2">
        <v>0.0</v>
      </c>
      <c r="R33" s="2">
        <v>0.0</v>
      </c>
      <c r="S33" s="2">
        <v>0.0</v>
      </c>
      <c r="T33" s="2">
        <v>0.0</v>
      </c>
      <c r="U33" s="2">
        <f t="shared" si="15"/>
        <v>120</v>
      </c>
      <c r="V33" s="4">
        <f t="shared" si="16"/>
        <v>0.01639344262</v>
      </c>
    </row>
    <row r="34" ht="15.75" customHeight="1">
      <c r="A34" s="2" t="s">
        <v>112</v>
      </c>
      <c r="B34" s="2" t="s">
        <v>113</v>
      </c>
      <c r="C34" s="2" t="s">
        <v>22</v>
      </c>
      <c r="D34" s="2" t="s">
        <v>23</v>
      </c>
      <c r="E34" s="2" t="s">
        <v>41</v>
      </c>
      <c r="F34" s="2">
        <v>3.0</v>
      </c>
      <c r="G34" s="2" t="s">
        <v>25</v>
      </c>
      <c r="H34" s="2">
        <v>41.0</v>
      </c>
      <c r="I34" s="2">
        <v>106.0</v>
      </c>
      <c r="J34" s="2">
        <v>57.0</v>
      </c>
      <c r="K34" s="2">
        <v>0.0</v>
      </c>
      <c r="L34" s="2">
        <v>133.0</v>
      </c>
      <c r="M34" s="2">
        <v>0.0</v>
      </c>
      <c r="N34" s="2">
        <v>1514.0</v>
      </c>
      <c r="O34" s="2">
        <v>0.0</v>
      </c>
      <c r="P34" s="2">
        <v>617.0</v>
      </c>
      <c r="Q34" s="2">
        <v>0.0</v>
      </c>
      <c r="R34" s="2">
        <v>0.0</v>
      </c>
      <c r="S34" s="2">
        <v>0.0</v>
      </c>
      <c r="T34" s="2">
        <v>0.0</v>
      </c>
      <c r="U34" s="3">
        <f>(N34+L34+M34)*2/3</f>
        <v>1098</v>
      </c>
    </row>
    <row r="35" ht="15.75" customHeight="1">
      <c r="A35" s="2" t="s">
        <v>112</v>
      </c>
      <c r="B35" s="2" t="s">
        <v>113</v>
      </c>
      <c r="C35" s="2" t="s">
        <v>22</v>
      </c>
      <c r="D35" s="2" t="s">
        <v>23</v>
      </c>
      <c r="E35" s="2" t="s">
        <v>44</v>
      </c>
      <c r="F35" s="2">
        <v>3.0</v>
      </c>
      <c r="G35" s="2" t="s">
        <v>45</v>
      </c>
      <c r="H35" s="2">
        <v>45.0</v>
      </c>
      <c r="I35" s="2">
        <v>67.0</v>
      </c>
      <c r="J35" s="2">
        <v>58.0</v>
      </c>
      <c r="K35" s="2">
        <v>0.0</v>
      </c>
      <c r="L35" s="2">
        <v>86.0</v>
      </c>
      <c r="M35" s="2">
        <v>0.0</v>
      </c>
      <c r="N35" s="2">
        <v>1138.0</v>
      </c>
      <c r="O35" s="2">
        <v>0.0</v>
      </c>
      <c r="P35" s="2">
        <v>697.0</v>
      </c>
      <c r="Q35" s="2">
        <v>0.0</v>
      </c>
      <c r="R35" s="2">
        <v>0.0</v>
      </c>
      <c r="S35" s="2">
        <v>0.0</v>
      </c>
      <c r="T35" s="2">
        <v>0.0</v>
      </c>
      <c r="U35" s="2">
        <f t="shared" ref="U35:U37" si="17">(N35+L35+M35)</f>
        <v>1224</v>
      </c>
      <c r="V35" s="26">
        <f t="shared" ref="V35:V37" si="18">(U$34-U35)/U$34</f>
        <v>-0.1147540984</v>
      </c>
    </row>
    <row r="36" ht="15.75" customHeight="1">
      <c r="A36" s="2" t="s">
        <v>114</v>
      </c>
      <c r="B36" s="2" t="s">
        <v>113</v>
      </c>
      <c r="C36" s="2" t="s">
        <v>22</v>
      </c>
      <c r="D36" s="2" t="s">
        <v>23</v>
      </c>
      <c r="E36" s="2" t="s">
        <v>53</v>
      </c>
      <c r="F36" s="2">
        <v>3.0</v>
      </c>
      <c r="G36" s="2" t="s">
        <v>25</v>
      </c>
      <c r="H36" s="2">
        <v>9.0</v>
      </c>
      <c r="I36" s="2">
        <v>510.0</v>
      </c>
      <c r="J36" s="2">
        <v>975.0</v>
      </c>
      <c r="K36" s="2">
        <v>0.0</v>
      </c>
      <c r="L36" s="2">
        <v>5.0</v>
      </c>
      <c r="M36" s="2">
        <v>0.0</v>
      </c>
      <c r="N36" s="2">
        <v>124.0</v>
      </c>
      <c r="O36" s="2">
        <v>0.0</v>
      </c>
      <c r="P36" s="2">
        <v>541.0</v>
      </c>
      <c r="Q36" s="2">
        <v>0.0</v>
      </c>
      <c r="R36" s="2">
        <v>0.0</v>
      </c>
      <c r="S36" s="2">
        <v>0.0</v>
      </c>
      <c r="T36" s="2">
        <v>0.0</v>
      </c>
      <c r="U36" s="2">
        <f t="shared" si="17"/>
        <v>129</v>
      </c>
      <c r="V36" s="26">
        <f t="shared" si="18"/>
        <v>0.8825136612</v>
      </c>
    </row>
    <row r="37" ht="15.75" customHeight="1">
      <c r="A37" s="2" t="s">
        <v>114</v>
      </c>
      <c r="B37" s="2" t="s">
        <v>113</v>
      </c>
      <c r="C37" s="2" t="s">
        <v>22</v>
      </c>
      <c r="D37" s="2" t="s">
        <v>23</v>
      </c>
      <c r="E37" s="2" t="s">
        <v>55</v>
      </c>
      <c r="F37" s="2">
        <v>3.0</v>
      </c>
      <c r="G37" s="2" t="s">
        <v>45</v>
      </c>
      <c r="H37" s="2">
        <v>7.0</v>
      </c>
      <c r="I37" s="2">
        <v>415.0</v>
      </c>
      <c r="J37" s="2">
        <v>746.0</v>
      </c>
      <c r="K37" s="2">
        <v>0.0</v>
      </c>
      <c r="L37" s="2">
        <v>12.0</v>
      </c>
      <c r="M37" s="2">
        <v>0.0</v>
      </c>
      <c r="N37" s="2">
        <v>100.0</v>
      </c>
      <c r="O37" s="2">
        <v>0.0</v>
      </c>
      <c r="P37" s="2">
        <v>640.0</v>
      </c>
      <c r="Q37" s="2">
        <v>0.0</v>
      </c>
      <c r="R37" s="2">
        <v>0.0</v>
      </c>
      <c r="S37" s="2">
        <v>0.0</v>
      </c>
      <c r="T37" s="2">
        <v>0.0</v>
      </c>
      <c r="U37" s="2">
        <f t="shared" si="17"/>
        <v>112</v>
      </c>
      <c r="V37" s="26">
        <f t="shared" si="18"/>
        <v>0.897996357</v>
      </c>
    </row>
    <row r="38" ht="15.75" customHeight="1">
      <c r="A38" s="2" t="s">
        <v>116</v>
      </c>
      <c r="B38" s="2" t="s">
        <v>113</v>
      </c>
      <c r="C38" s="2" t="s">
        <v>22</v>
      </c>
      <c r="D38" s="2" t="s">
        <v>23</v>
      </c>
      <c r="E38" s="2" t="s">
        <v>60</v>
      </c>
      <c r="F38" s="2">
        <v>3.0</v>
      </c>
      <c r="G38" s="2" t="s">
        <v>25</v>
      </c>
      <c r="H38" s="2">
        <v>81.0</v>
      </c>
      <c r="I38" s="2">
        <v>129.0</v>
      </c>
      <c r="J38" s="2">
        <v>537.0</v>
      </c>
      <c r="K38" s="2">
        <v>0.0</v>
      </c>
      <c r="L38" s="2">
        <v>39.0</v>
      </c>
      <c r="M38" s="2">
        <v>0.0</v>
      </c>
      <c r="N38" s="2">
        <v>711.0</v>
      </c>
      <c r="O38" s="2">
        <v>0.0</v>
      </c>
      <c r="P38" s="2">
        <v>499.0</v>
      </c>
      <c r="Q38" s="2">
        <v>0.0</v>
      </c>
      <c r="R38" s="2">
        <v>0.0</v>
      </c>
      <c r="S38" s="2">
        <v>0.0</v>
      </c>
      <c r="T38" s="2">
        <v>0.0</v>
      </c>
      <c r="U38" s="3">
        <f>(N38+L38+M38)*2/3</f>
        <v>500</v>
      </c>
    </row>
    <row r="39" ht="15.75" customHeight="1">
      <c r="A39" s="2" t="s">
        <v>116</v>
      </c>
      <c r="B39" s="2" t="s">
        <v>113</v>
      </c>
      <c r="C39" s="2" t="s">
        <v>22</v>
      </c>
      <c r="D39" s="2" t="s">
        <v>23</v>
      </c>
      <c r="E39" s="2" t="s">
        <v>61</v>
      </c>
      <c r="F39" s="2">
        <v>3.0</v>
      </c>
      <c r="G39" s="2" t="s">
        <v>45</v>
      </c>
      <c r="H39" s="2">
        <v>55.0</v>
      </c>
      <c r="I39" s="2">
        <v>91.0</v>
      </c>
      <c r="J39" s="2">
        <v>406.0</v>
      </c>
      <c r="K39" s="2">
        <v>0.0</v>
      </c>
      <c r="L39" s="2">
        <v>16.0</v>
      </c>
      <c r="M39" s="2">
        <v>0.0</v>
      </c>
      <c r="N39" s="2">
        <v>532.0</v>
      </c>
      <c r="O39" s="2">
        <v>0.0</v>
      </c>
      <c r="P39" s="2">
        <v>550.0</v>
      </c>
      <c r="Q39" s="2">
        <v>0.0</v>
      </c>
      <c r="R39" s="2">
        <v>0.0</v>
      </c>
      <c r="S39" s="2">
        <v>0.0</v>
      </c>
      <c r="T39" s="2">
        <v>0.0</v>
      </c>
      <c r="U39" s="2">
        <f t="shared" ref="U39:U41" si="19">(N39+L39+M39)</f>
        <v>548</v>
      </c>
      <c r="V39" s="26">
        <f t="shared" ref="V39:V41" si="20">(U$38-U39)/U$38</f>
        <v>-0.096</v>
      </c>
    </row>
    <row r="40" ht="15.75" customHeight="1">
      <c r="A40" s="2" t="s">
        <v>119</v>
      </c>
      <c r="B40" s="2" t="s">
        <v>113</v>
      </c>
      <c r="C40" s="2" t="s">
        <v>22</v>
      </c>
      <c r="D40" s="2" t="s">
        <v>23</v>
      </c>
      <c r="E40" s="2" t="s">
        <v>70</v>
      </c>
      <c r="F40" s="2">
        <v>3.0</v>
      </c>
      <c r="G40" s="2" t="s">
        <v>25</v>
      </c>
      <c r="H40" s="2">
        <v>46.0</v>
      </c>
      <c r="I40" s="2">
        <v>20.0</v>
      </c>
      <c r="J40" s="2">
        <v>156.0</v>
      </c>
      <c r="K40" s="2">
        <v>0.0</v>
      </c>
      <c r="L40" s="2">
        <v>41.0</v>
      </c>
      <c r="M40" s="2">
        <v>0.0</v>
      </c>
      <c r="N40" s="2">
        <v>235.0</v>
      </c>
      <c r="O40" s="2">
        <v>0.0</v>
      </c>
      <c r="P40" s="2">
        <v>166.0</v>
      </c>
      <c r="Q40" s="2">
        <v>0.0</v>
      </c>
      <c r="R40" s="2">
        <v>0.0</v>
      </c>
      <c r="S40" s="2">
        <v>0.0</v>
      </c>
      <c r="T40" s="2">
        <v>0.0</v>
      </c>
      <c r="U40" s="2">
        <f t="shared" si="19"/>
        <v>276</v>
      </c>
      <c r="V40" s="26">
        <f t="shared" si="20"/>
        <v>0.448</v>
      </c>
    </row>
    <row r="41" ht="15.75" customHeight="1">
      <c r="A41" s="2" t="s">
        <v>119</v>
      </c>
      <c r="B41" s="2" t="s">
        <v>113</v>
      </c>
      <c r="C41" s="2" t="s">
        <v>22</v>
      </c>
      <c r="D41" s="2" t="s">
        <v>23</v>
      </c>
      <c r="E41" s="2" t="s">
        <v>71</v>
      </c>
      <c r="F41" s="2">
        <v>3.0</v>
      </c>
      <c r="G41" s="2" t="s">
        <v>45</v>
      </c>
      <c r="H41" s="2">
        <v>31.0</v>
      </c>
      <c r="I41" s="2">
        <v>13.0</v>
      </c>
      <c r="J41" s="2">
        <v>120.0</v>
      </c>
      <c r="K41" s="2">
        <v>0.0</v>
      </c>
      <c r="L41" s="2">
        <v>22.0</v>
      </c>
      <c r="M41" s="2">
        <v>0.0</v>
      </c>
      <c r="N41" s="2">
        <v>158.0</v>
      </c>
      <c r="O41" s="2">
        <v>0.0</v>
      </c>
      <c r="P41" s="2">
        <v>172.0</v>
      </c>
      <c r="Q41" s="2">
        <v>0.0</v>
      </c>
      <c r="R41" s="2">
        <v>0.0</v>
      </c>
      <c r="S41" s="2">
        <v>0.0</v>
      </c>
      <c r="T41" s="2">
        <v>0.0</v>
      </c>
      <c r="U41" s="2">
        <f t="shared" si="19"/>
        <v>180</v>
      </c>
      <c r="V41" s="26">
        <f t="shared" si="20"/>
        <v>0.64</v>
      </c>
    </row>
    <row r="42" ht="15.75" customHeight="1">
      <c r="A42" s="2" t="s">
        <v>87</v>
      </c>
      <c r="B42" s="2" t="s">
        <v>43</v>
      </c>
      <c r="C42" s="2" t="s">
        <v>22</v>
      </c>
      <c r="D42" s="2" t="s">
        <v>23</v>
      </c>
      <c r="E42" s="2" t="s">
        <v>41</v>
      </c>
      <c r="F42" s="2">
        <v>3.0</v>
      </c>
      <c r="G42" s="2" t="s">
        <v>25</v>
      </c>
      <c r="H42" s="2">
        <v>162.0</v>
      </c>
      <c r="I42" s="2">
        <v>312.0</v>
      </c>
      <c r="J42" s="2">
        <v>441.0</v>
      </c>
      <c r="K42" s="2">
        <v>0.0</v>
      </c>
      <c r="L42" s="2">
        <v>209.0</v>
      </c>
      <c r="M42" s="2">
        <v>0.0</v>
      </c>
      <c r="N42" s="2">
        <v>1483.0</v>
      </c>
      <c r="O42" s="2">
        <v>0.0</v>
      </c>
      <c r="P42" s="2">
        <v>869.0</v>
      </c>
      <c r="Q42" s="2">
        <v>0.0</v>
      </c>
      <c r="R42" s="2">
        <v>0.0</v>
      </c>
      <c r="S42" s="2">
        <v>0.0</v>
      </c>
      <c r="T42" s="2">
        <v>0.0</v>
      </c>
      <c r="U42" s="3">
        <f>(N42+L42+M42)*2/3</f>
        <v>1128</v>
      </c>
    </row>
    <row r="43" ht="15.75" customHeight="1">
      <c r="A43" s="2" t="s">
        <v>87</v>
      </c>
      <c r="B43" s="2" t="s">
        <v>43</v>
      </c>
      <c r="C43" s="2" t="s">
        <v>22</v>
      </c>
      <c r="D43" s="2" t="s">
        <v>23</v>
      </c>
      <c r="E43" s="2" t="s">
        <v>44</v>
      </c>
      <c r="F43" s="2">
        <v>3.0</v>
      </c>
      <c r="G43" s="2" t="s">
        <v>45</v>
      </c>
      <c r="H43" s="2">
        <v>97.0</v>
      </c>
      <c r="I43" s="2">
        <v>233.0</v>
      </c>
      <c r="J43" s="2">
        <v>254.0</v>
      </c>
      <c r="K43" s="2">
        <v>0.0</v>
      </c>
      <c r="L43" s="2">
        <v>147.0</v>
      </c>
      <c r="M43" s="2">
        <v>0.0</v>
      </c>
      <c r="N43" s="2">
        <v>975.0</v>
      </c>
      <c r="O43" s="2">
        <v>0.0</v>
      </c>
      <c r="P43" s="2">
        <v>853.0</v>
      </c>
      <c r="Q43" s="2">
        <v>0.0</v>
      </c>
      <c r="R43" s="2">
        <v>0.0</v>
      </c>
      <c r="S43" s="2">
        <v>0.0</v>
      </c>
      <c r="T43" s="2">
        <v>0.0</v>
      </c>
      <c r="U43" s="2">
        <f t="shared" ref="U43:U45" si="21">(N43+L43+M43)</f>
        <v>1122</v>
      </c>
      <c r="V43" s="26">
        <f t="shared" ref="V43:V45" si="22">(U$42-U43)/U$42</f>
        <v>0.005319148936</v>
      </c>
    </row>
    <row r="44" ht="15.75" customHeight="1">
      <c r="A44" s="2" t="s">
        <v>87</v>
      </c>
      <c r="B44" s="2" t="s">
        <v>43</v>
      </c>
      <c r="C44" s="2" t="s">
        <v>22</v>
      </c>
      <c r="D44" s="2" t="s">
        <v>23</v>
      </c>
      <c r="E44" s="2" t="s">
        <v>46</v>
      </c>
      <c r="F44" s="2">
        <v>3.0</v>
      </c>
      <c r="G44" s="2" t="s">
        <v>47</v>
      </c>
      <c r="H44" s="2">
        <v>99.0</v>
      </c>
      <c r="I44" s="2">
        <v>225.0</v>
      </c>
      <c r="J44" s="2">
        <v>242.0</v>
      </c>
      <c r="K44" s="2">
        <v>0.0</v>
      </c>
      <c r="L44" s="2">
        <v>136.0</v>
      </c>
      <c r="M44" s="2">
        <v>0.0</v>
      </c>
      <c r="N44" s="2">
        <v>1000.0</v>
      </c>
      <c r="O44" s="2">
        <v>0.0</v>
      </c>
      <c r="P44" s="2">
        <v>851.0</v>
      </c>
      <c r="Q44" s="2">
        <v>0.0</v>
      </c>
      <c r="R44" s="2">
        <v>0.0</v>
      </c>
      <c r="S44" s="2">
        <v>0.0</v>
      </c>
      <c r="T44" s="2">
        <v>0.0</v>
      </c>
      <c r="U44" s="2">
        <f t="shared" si="21"/>
        <v>1136</v>
      </c>
      <c r="V44" s="4">
        <f t="shared" si="22"/>
        <v>-0.007092198582</v>
      </c>
    </row>
    <row r="45" ht="15.75" customHeight="1">
      <c r="A45" s="2" t="s">
        <v>87</v>
      </c>
      <c r="B45" s="2" t="s">
        <v>43</v>
      </c>
      <c r="C45" s="2" t="s">
        <v>22</v>
      </c>
      <c r="D45" s="2" t="s">
        <v>23</v>
      </c>
      <c r="E45" s="2" t="s">
        <v>50</v>
      </c>
      <c r="F45" s="2">
        <v>3.0</v>
      </c>
      <c r="G45" s="2" t="s">
        <v>51</v>
      </c>
      <c r="H45" s="2">
        <v>100.0</v>
      </c>
      <c r="I45" s="2">
        <v>198.0</v>
      </c>
      <c r="J45" s="2">
        <v>276.0</v>
      </c>
      <c r="K45" s="2">
        <v>0.0</v>
      </c>
      <c r="L45" s="2">
        <v>118.0</v>
      </c>
      <c r="M45" s="2">
        <v>0.0</v>
      </c>
      <c r="N45" s="2">
        <v>984.0</v>
      </c>
      <c r="O45" s="2">
        <v>0.0</v>
      </c>
      <c r="P45" s="2">
        <v>838.0</v>
      </c>
      <c r="Q45" s="2">
        <v>0.0</v>
      </c>
      <c r="R45" s="2">
        <v>0.0</v>
      </c>
      <c r="S45" s="2">
        <v>0.0</v>
      </c>
      <c r="T45" s="2">
        <v>0.0</v>
      </c>
      <c r="U45" s="2">
        <f t="shared" si="21"/>
        <v>1102</v>
      </c>
      <c r="V45" s="26">
        <f t="shared" si="22"/>
        <v>0.02304964539</v>
      </c>
    </row>
    <row r="46" ht="15.75" customHeight="1">
      <c r="A46" s="2" t="s">
        <v>88</v>
      </c>
      <c r="B46" s="2" t="s">
        <v>43</v>
      </c>
      <c r="C46" s="2" t="s">
        <v>22</v>
      </c>
      <c r="D46" s="2" t="s">
        <v>23</v>
      </c>
      <c r="E46" s="2" t="s">
        <v>53</v>
      </c>
      <c r="F46" s="2">
        <v>3.0</v>
      </c>
      <c r="G46" s="2" t="s">
        <v>25</v>
      </c>
      <c r="H46" s="2">
        <v>16.0</v>
      </c>
      <c r="I46" s="2">
        <v>734.0</v>
      </c>
      <c r="J46" s="2">
        <v>1275.0</v>
      </c>
      <c r="K46" s="2">
        <v>0.0</v>
      </c>
      <c r="L46" s="2">
        <v>27.0</v>
      </c>
      <c r="M46" s="2">
        <v>0.0</v>
      </c>
      <c r="N46" s="2">
        <v>138.0</v>
      </c>
      <c r="O46" s="2">
        <v>0.0</v>
      </c>
      <c r="P46" s="2">
        <v>730.0</v>
      </c>
      <c r="Q46" s="2">
        <v>0.0</v>
      </c>
      <c r="R46" s="2">
        <v>0.0</v>
      </c>
      <c r="S46" s="2">
        <v>0.0</v>
      </c>
      <c r="T46" s="2">
        <v>0.0</v>
      </c>
      <c r="U46" s="3">
        <f>(N46+L46+M46)*2/3</f>
        <v>110</v>
      </c>
    </row>
    <row r="47" ht="15.75" customHeight="1">
      <c r="A47" s="2" t="s">
        <v>88</v>
      </c>
      <c r="B47" s="2" t="s">
        <v>43</v>
      </c>
      <c r="C47" s="2" t="s">
        <v>22</v>
      </c>
      <c r="D47" s="2" t="s">
        <v>23</v>
      </c>
      <c r="E47" s="2" t="s">
        <v>55</v>
      </c>
      <c r="F47" s="2">
        <v>3.0</v>
      </c>
      <c r="G47" s="2" t="s">
        <v>45</v>
      </c>
      <c r="H47" s="2">
        <v>8.0</v>
      </c>
      <c r="I47" s="2">
        <v>442.0</v>
      </c>
      <c r="J47" s="2">
        <v>892.0</v>
      </c>
      <c r="K47" s="2">
        <v>0.0</v>
      </c>
      <c r="L47" s="2">
        <v>18.0</v>
      </c>
      <c r="M47" s="2">
        <v>0.0</v>
      </c>
      <c r="N47" s="2">
        <v>88.0</v>
      </c>
      <c r="O47" s="2">
        <v>0.0</v>
      </c>
      <c r="P47" s="2">
        <v>724.0</v>
      </c>
      <c r="Q47" s="2">
        <v>0.0</v>
      </c>
      <c r="R47" s="2">
        <v>0.0</v>
      </c>
      <c r="S47" s="2">
        <v>0.0</v>
      </c>
      <c r="T47" s="2">
        <v>0.0</v>
      </c>
      <c r="U47" s="2">
        <f t="shared" ref="U47:U49" si="23">(N47+L47+M47)</f>
        <v>106</v>
      </c>
      <c r="V47" s="26">
        <f t="shared" ref="V47:V49" si="24">(U$46-U47)/U$46</f>
        <v>0.03636363636</v>
      </c>
    </row>
    <row r="48" ht="15.75" customHeight="1">
      <c r="A48" s="2" t="s">
        <v>88</v>
      </c>
      <c r="B48" s="2" t="s">
        <v>43</v>
      </c>
      <c r="C48" s="2" t="s">
        <v>22</v>
      </c>
      <c r="D48" s="2" t="s">
        <v>23</v>
      </c>
      <c r="E48" s="2" t="s">
        <v>56</v>
      </c>
      <c r="F48" s="2">
        <v>3.0</v>
      </c>
      <c r="G48" s="2" t="s">
        <v>47</v>
      </c>
      <c r="H48" s="2">
        <v>14.0</v>
      </c>
      <c r="I48" s="2">
        <v>496.0</v>
      </c>
      <c r="J48" s="2">
        <v>866.0</v>
      </c>
      <c r="K48" s="2">
        <v>0.0</v>
      </c>
      <c r="L48" s="2">
        <v>14.0</v>
      </c>
      <c r="M48" s="2">
        <v>0.0</v>
      </c>
      <c r="N48" s="2">
        <v>88.0</v>
      </c>
      <c r="O48" s="2">
        <v>0.0</v>
      </c>
      <c r="P48" s="2">
        <v>739.0</v>
      </c>
      <c r="Q48" s="2">
        <v>0.0</v>
      </c>
      <c r="R48" s="2">
        <v>0.0</v>
      </c>
      <c r="S48" s="2">
        <v>0.0</v>
      </c>
      <c r="T48" s="2">
        <v>0.0</v>
      </c>
      <c r="U48" s="2">
        <f t="shared" si="23"/>
        <v>102</v>
      </c>
      <c r="V48" s="4">
        <f t="shared" si="24"/>
        <v>0.07272727273</v>
      </c>
    </row>
    <row r="49" ht="15.75" customHeight="1">
      <c r="A49" s="2" t="s">
        <v>88</v>
      </c>
      <c r="B49" s="2" t="s">
        <v>43</v>
      </c>
      <c r="C49" s="2" t="s">
        <v>22</v>
      </c>
      <c r="D49" s="2" t="s">
        <v>23</v>
      </c>
      <c r="E49" s="2" t="s">
        <v>57</v>
      </c>
      <c r="F49" s="2">
        <v>3.0</v>
      </c>
      <c r="G49" s="2" t="s">
        <v>51</v>
      </c>
      <c r="H49" s="2">
        <v>17.0</v>
      </c>
      <c r="I49" s="2">
        <v>453.0</v>
      </c>
      <c r="J49" s="2">
        <v>840.0</v>
      </c>
      <c r="K49" s="2">
        <v>0.0</v>
      </c>
      <c r="L49" s="2">
        <v>23.0</v>
      </c>
      <c r="M49" s="2">
        <v>0.0</v>
      </c>
      <c r="N49" s="2">
        <v>91.0</v>
      </c>
      <c r="O49" s="2">
        <v>0.0</v>
      </c>
      <c r="P49" s="2">
        <v>712.0</v>
      </c>
      <c r="Q49" s="2">
        <v>0.0</v>
      </c>
      <c r="R49" s="2">
        <v>0.0</v>
      </c>
      <c r="S49" s="2">
        <v>0.0</v>
      </c>
      <c r="T49" s="2">
        <v>0.0</v>
      </c>
      <c r="U49" s="2">
        <f t="shared" si="23"/>
        <v>114</v>
      </c>
      <c r="V49" s="4">
        <f t="shared" si="24"/>
        <v>-0.03636363636</v>
      </c>
    </row>
    <row r="50" ht="15.75" customHeight="1">
      <c r="A50" s="2" t="s">
        <v>89</v>
      </c>
      <c r="B50" s="2" t="s">
        <v>43</v>
      </c>
      <c r="C50" s="2" t="s">
        <v>22</v>
      </c>
      <c r="D50" s="2" t="s">
        <v>23</v>
      </c>
      <c r="E50" s="2" t="s">
        <v>60</v>
      </c>
      <c r="F50" s="2">
        <v>3.0</v>
      </c>
      <c r="G50" s="2" t="s">
        <v>25</v>
      </c>
      <c r="H50" s="2">
        <v>85.0</v>
      </c>
      <c r="I50" s="2">
        <v>188.0</v>
      </c>
      <c r="J50" s="2">
        <v>573.0</v>
      </c>
      <c r="K50" s="2">
        <v>0.0</v>
      </c>
      <c r="L50" s="2">
        <v>125.0</v>
      </c>
      <c r="M50" s="2">
        <v>0.0</v>
      </c>
      <c r="N50" s="2">
        <v>523.0</v>
      </c>
      <c r="O50" s="2">
        <v>0.0</v>
      </c>
      <c r="P50" s="2">
        <v>498.0</v>
      </c>
      <c r="Q50" s="2">
        <v>0.0</v>
      </c>
      <c r="R50" s="2">
        <v>0.0</v>
      </c>
      <c r="S50" s="2">
        <v>0.0</v>
      </c>
      <c r="T50" s="2">
        <v>0.0</v>
      </c>
      <c r="U50" s="3">
        <f>(N50+L50+M50)*1/3</f>
        <v>216</v>
      </c>
    </row>
    <row r="51" ht="15.75" customHeight="1">
      <c r="A51" s="2" t="s">
        <v>89</v>
      </c>
      <c r="B51" s="2" t="s">
        <v>43</v>
      </c>
      <c r="C51" s="2" t="s">
        <v>22</v>
      </c>
      <c r="D51" s="2" t="s">
        <v>23</v>
      </c>
      <c r="E51" s="2" t="s">
        <v>61</v>
      </c>
      <c r="F51" s="2">
        <v>3.0</v>
      </c>
      <c r="G51" s="2" t="s">
        <v>45</v>
      </c>
      <c r="H51" s="2">
        <v>51.0</v>
      </c>
      <c r="I51" s="2">
        <v>105.0</v>
      </c>
      <c r="J51" s="2">
        <v>352.0</v>
      </c>
      <c r="K51" s="2">
        <v>0.0</v>
      </c>
      <c r="L51" s="2">
        <v>77.0</v>
      </c>
      <c r="M51" s="2">
        <v>0.0</v>
      </c>
      <c r="N51" s="2">
        <v>359.0</v>
      </c>
      <c r="O51" s="2">
        <v>0.0</v>
      </c>
      <c r="P51" s="2">
        <v>472.0</v>
      </c>
      <c r="Q51" s="2">
        <v>0.0</v>
      </c>
      <c r="R51" s="2">
        <v>0.0</v>
      </c>
      <c r="S51" s="2">
        <v>0.0</v>
      </c>
      <c r="T51" s="2">
        <v>0.0</v>
      </c>
      <c r="U51" s="2">
        <f t="shared" ref="U51:U53" si="25">(N51+L51+M51)</f>
        <v>436</v>
      </c>
      <c r="V51" s="4">
        <f t="shared" ref="V51:V53" si="26">(U$50-U51)/U$50</f>
        <v>-1.018518519</v>
      </c>
    </row>
    <row r="52" ht="15.75" customHeight="1">
      <c r="A52" s="2" t="s">
        <v>89</v>
      </c>
      <c r="B52" s="2" t="s">
        <v>43</v>
      </c>
      <c r="C52" s="2" t="s">
        <v>22</v>
      </c>
      <c r="D52" s="2" t="s">
        <v>23</v>
      </c>
      <c r="E52" s="2" t="s">
        <v>62</v>
      </c>
      <c r="F52" s="2">
        <v>3.0</v>
      </c>
      <c r="G52" s="2" t="s">
        <v>47</v>
      </c>
      <c r="H52" s="2">
        <v>75.0</v>
      </c>
      <c r="I52" s="2">
        <v>125.0</v>
      </c>
      <c r="J52" s="2">
        <v>330.0</v>
      </c>
      <c r="K52" s="2">
        <v>0.0</v>
      </c>
      <c r="L52" s="2">
        <v>82.0</v>
      </c>
      <c r="M52" s="2">
        <v>0.0</v>
      </c>
      <c r="N52" s="2">
        <v>348.0</v>
      </c>
      <c r="O52" s="2">
        <v>0.0</v>
      </c>
      <c r="P52" s="2">
        <v>480.0</v>
      </c>
      <c r="Q52" s="2">
        <v>0.0</v>
      </c>
      <c r="R52" s="2">
        <v>0.0</v>
      </c>
      <c r="S52" s="2">
        <v>0.0</v>
      </c>
      <c r="T52" s="2">
        <v>0.0</v>
      </c>
      <c r="U52" s="2">
        <f t="shared" si="25"/>
        <v>430</v>
      </c>
      <c r="V52" s="4">
        <f t="shared" si="26"/>
        <v>-0.9907407407</v>
      </c>
    </row>
    <row r="53" ht="15.75" customHeight="1">
      <c r="A53" s="2" t="s">
        <v>89</v>
      </c>
      <c r="B53" s="2" t="s">
        <v>43</v>
      </c>
      <c r="C53" s="2" t="s">
        <v>22</v>
      </c>
      <c r="D53" s="2" t="s">
        <v>23</v>
      </c>
      <c r="E53" s="2" t="s">
        <v>67</v>
      </c>
      <c r="F53" s="2">
        <v>3.0</v>
      </c>
      <c r="G53" s="2" t="s">
        <v>51</v>
      </c>
      <c r="H53" s="2">
        <v>60.0</v>
      </c>
      <c r="I53" s="2">
        <v>132.0</v>
      </c>
      <c r="J53" s="2">
        <v>346.0</v>
      </c>
      <c r="K53" s="2">
        <v>0.0</v>
      </c>
      <c r="L53" s="2">
        <v>61.0</v>
      </c>
      <c r="M53" s="2">
        <v>0.0</v>
      </c>
      <c r="N53" s="2">
        <v>355.0</v>
      </c>
      <c r="O53" s="2">
        <v>0.0</v>
      </c>
      <c r="P53" s="2">
        <v>477.0</v>
      </c>
      <c r="Q53" s="2">
        <v>0.0</v>
      </c>
      <c r="R53" s="2">
        <v>0.0</v>
      </c>
      <c r="S53" s="2">
        <v>0.0</v>
      </c>
      <c r="T53" s="2">
        <v>0.0</v>
      </c>
      <c r="U53" s="2">
        <f t="shared" si="25"/>
        <v>416</v>
      </c>
      <c r="V53" s="4">
        <f t="shared" si="26"/>
        <v>-0.9259259259</v>
      </c>
    </row>
    <row r="54" ht="15.75" customHeight="1">
      <c r="A54" s="2" t="s">
        <v>69</v>
      </c>
      <c r="B54" s="2" t="s">
        <v>43</v>
      </c>
      <c r="C54" s="2" t="s">
        <v>22</v>
      </c>
      <c r="D54" s="2" t="s">
        <v>23</v>
      </c>
      <c r="E54" s="2" t="s">
        <v>70</v>
      </c>
      <c r="F54" s="2">
        <v>3.0</v>
      </c>
      <c r="G54" s="2" t="s">
        <v>25</v>
      </c>
      <c r="H54" s="2">
        <v>38.0</v>
      </c>
      <c r="I54" s="2">
        <v>7.0</v>
      </c>
      <c r="J54" s="2">
        <v>87.0</v>
      </c>
      <c r="K54" s="2">
        <v>0.0</v>
      </c>
      <c r="L54" s="2">
        <v>40.0</v>
      </c>
      <c r="M54" s="2">
        <v>0.0</v>
      </c>
      <c r="N54" s="2">
        <v>263.0</v>
      </c>
      <c r="O54" s="2">
        <v>0.0</v>
      </c>
      <c r="P54" s="2">
        <v>145.0</v>
      </c>
      <c r="Q54" s="2">
        <v>0.0</v>
      </c>
      <c r="R54" s="2">
        <v>0.0</v>
      </c>
      <c r="S54" s="2">
        <v>0.0</v>
      </c>
      <c r="T54" s="2">
        <v>0.0</v>
      </c>
      <c r="U54" s="3">
        <f>(N54+L54+M54)*1/3</f>
        <v>101</v>
      </c>
    </row>
    <row r="55" ht="15.75" customHeight="1">
      <c r="A55" s="2" t="s">
        <v>69</v>
      </c>
      <c r="B55" s="2" t="s">
        <v>43</v>
      </c>
      <c r="C55" s="2" t="s">
        <v>22</v>
      </c>
      <c r="D55" s="2" t="s">
        <v>23</v>
      </c>
      <c r="E55" s="2" t="s">
        <v>71</v>
      </c>
      <c r="F55" s="2">
        <v>3.0</v>
      </c>
      <c r="G55" s="2" t="s">
        <v>45</v>
      </c>
      <c r="H55" s="2">
        <v>27.0</v>
      </c>
      <c r="I55" s="2">
        <v>3.0</v>
      </c>
      <c r="J55" s="2">
        <v>58.0</v>
      </c>
      <c r="K55" s="2">
        <v>0.0</v>
      </c>
      <c r="L55" s="2">
        <v>31.0</v>
      </c>
      <c r="M55" s="2">
        <v>0.0</v>
      </c>
      <c r="N55" s="2">
        <v>161.0</v>
      </c>
      <c r="O55" s="2">
        <v>0.0</v>
      </c>
      <c r="P55" s="2">
        <v>140.0</v>
      </c>
      <c r="Q55" s="2">
        <v>0.0</v>
      </c>
      <c r="R55" s="2">
        <v>0.0</v>
      </c>
      <c r="S55" s="2">
        <v>0.0</v>
      </c>
      <c r="T55" s="2">
        <v>0.0</v>
      </c>
      <c r="U55" s="2">
        <f t="shared" ref="U55:U57" si="27">(N55+L55+M55)</f>
        <v>192</v>
      </c>
      <c r="V55" s="4">
        <f t="shared" ref="V55:V57" si="28">(U$54-U55)/U$54</f>
        <v>-0.900990099</v>
      </c>
    </row>
    <row r="56" ht="15.75" customHeight="1">
      <c r="A56" s="2" t="s">
        <v>69</v>
      </c>
      <c r="B56" s="2" t="s">
        <v>43</v>
      </c>
      <c r="C56" s="2" t="s">
        <v>22</v>
      </c>
      <c r="D56" s="2" t="s">
        <v>23</v>
      </c>
      <c r="E56" s="2" t="s">
        <v>72</v>
      </c>
      <c r="F56" s="2">
        <v>3.0</v>
      </c>
      <c r="G56" s="2" t="s">
        <v>47</v>
      </c>
      <c r="H56" s="2">
        <v>30.0</v>
      </c>
      <c r="I56" s="2">
        <v>2.0</v>
      </c>
      <c r="J56" s="2">
        <v>72.0</v>
      </c>
      <c r="K56" s="2">
        <v>0.0</v>
      </c>
      <c r="L56" s="2">
        <v>25.0</v>
      </c>
      <c r="M56" s="2">
        <v>0.0</v>
      </c>
      <c r="N56" s="2">
        <v>131.0</v>
      </c>
      <c r="O56" s="2">
        <v>0.0</v>
      </c>
      <c r="P56" s="2">
        <v>130.0</v>
      </c>
      <c r="Q56" s="2">
        <v>0.0</v>
      </c>
      <c r="R56" s="2">
        <v>0.0</v>
      </c>
      <c r="S56" s="2">
        <v>0.0</v>
      </c>
      <c r="T56" s="2">
        <v>0.0</v>
      </c>
      <c r="U56" s="2">
        <f t="shared" si="27"/>
        <v>156</v>
      </c>
      <c r="V56" s="4">
        <f t="shared" si="28"/>
        <v>-0.5445544554</v>
      </c>
    </row>
    <row r="57" ht="15.75" customHeight="1">
      <c r="A57" s="2" t="s">
        <v>69</v>
      </c>
      <c r="B57" s="2" t="s">
        <v>43</v>
      </c>
      <c r="C57" s="2" t="s">
        <v>22</v>
      </c>
      <c r="D57" s="2" t="s">
        <v>23</v>
      </c>
      <c r="E57" s="2" t="s">
        <v>74</v>
      </c>
      <c r="F57" s="2">
        <v>3.0</v>
      </c>
      <c r="G57" s="2" t="s">
        <v>51</v>
      </c>
      <c r="H57" s="2">
        <v>26.0</v>
      </c>
      <c r="I57" s="2">
        <v>0.0</v>
      </c>
      <c r="J57" s="2">
        <v>58.0</v>
      </c>
      <c r="K57" s="2">
        <v>0.0</v>
      </c>
      <c r="L57" s="2">
        <v>30.0</v>
      </c>
      <c r="M57" s="2">
        <v>0.0</v>
      </c>
      <c r="N57" s="2">
        <v>130.0</v>
      </c>
      <c r="O57" s="2">
        <v>0.0</v>
      </c>
      <c r="P57" s="2">
        <v>122.0</v>
      </c>
      <c r="Q57" s="2">
        <v>0.0</v>
      </c>
      <c r="R57" s="2">
        <v>0.0</v>
      </c>
      <c r="S57" s="2">
        <v>0.0</v>
      </c>
      <c r="T57" s="2">
        <v>0.0</v>
      </c>
      <c r="U57" s="2">
        <f t="shared" si="27"/>
        <v>160</v>
      </c>
      <c r="V57" s="4">
        <f t="shared" si="28"/>
        <v>-0.5841584158</v>
      </c>
    </row>
    <row r="58" ht="15.75" customHeight="1">
      <c r="A58" s="2" t="s">
        <v>40</v>
      </c>
      <c r="B58" s="2" t="s">
        <v>21</v>
      </c>
      <c r="C58" s="2" t="s">
        <v>22</v>
      </c>
      <c r="D58" s="2" t="s">
        <v>23</v>
      </c>
      <c r="E58" s="2" t="s">
        <v>41</v>
      </c>
      <c r="F58" s="2">
        <v>3.0</v>
      </c>
      <c r="G58" s="2" t="s">
        <v>25</v>
      </c>
      <c r="H58" s="2">
        <v>261.0</v>
      </c>
      <c r="I58" s="2">
        <v>234.0</v>
      </c>
      <c r="J58" s="2">
        <v>486.0</v>
      </c>
      <c r="K58" s="2">
        <v>0.0</v>
      </c>
      <c r="L58" s="2">
        <v>98.0</v>
      </c>
      <c r="M58" s="2">
        <v>0.0</v>
      </c>
      <c r="N58" s="2">
        <v>1912.0</v>
      </c>
      <c r="O58" s="2">
        <v>0.0</v>
      </c>
      <c r="P58" s="2">
        <v>997.0</v>
      </c>
      <c r="Q58" s="2">
        <v>0.0</v>
      </c>
      <c r="R58" s="2">
        <v>0.0</v>
      </c>
      <c r="S58" s="2">
        <v>0.0</v>
      </c>
      <c r="T58" s="2">
        <v>0.0</v>
      </c>
      <c r="U58" s="3">
        <f>(N58+L58+M58)*1/3</f>
        <v>670</v>
      </c>
    </row>
    <row r="59" ht="15.75" customHeight="1">
      <c r="A59" s="2" t="s">
        <v>40</v>
      </c>
      <c r="B59" s="2" t="s">
        <v>21</v>
      </c>
      <c r="C59" s="2" t="s">
        <v>22</v>
      </c>
      <c r="D59" s="2" t="s">
        <v>23</v>
      </c>
      <c r="E59" s="2" t="s">
        <v>93</v>
      </c>
      <c r="F59" s="2">
        <v>3.0</v>
      </c>
      <c r="G59" s="2" t="s">
        <v>94</v>
      </c>
      <c r="H59" s="2">
        <v>86.0</v>
      </c>
      <c r="I59" s="2">
        <v>105.0</v>
      </c>
      <c r="J59" s="2">
        <v>137.0</v>
      </c>
      <c r="K59" s="2">
        <v>0.0</v>
      </c>
      <c r="L59" s="2">
        <v>46.0</v>
      </c>
      <c r="M59" s="2">
        <v>0.0</v>
      </c>
      <c r="N59" s="2">
        <v>625.0</v>
      </c>
      <c r="O59" s="2">
        <v>0.0</v>
      </c>
      <c r="P59" s="2">
        <v>999.0</v>
      </c>
      <c r="Q59" s="2">
        <v>0.0</v>
      </c>
      <c r="R59" s="2">
        <v>0.0</v>
      </c>
      <c r="S59" s="2">
        <v>0.0</v>
      </c>
      <c r="T59" s="2">
        <v>0.0</v>
      </c>
      <c r="U59" s="2">
        <f t="shared" ref="U59:U61" si="29">(N59+L59+M59)</f>
        <v>671</v>
      </c>
      <c r="V59" s="4">
        <f t="shared" ref="V59:V61" si="30">(U$58-U59)/U$58</f>
        <v>-0.001492537313</v>
      </c>
    </row>
    <row r="60" ht="15.75" customHeight="1">
      <c r="A60" s="2" t="s">
        <v>40</v>
      </c>
      <c r="B60" s="2" t="s">
        <v>21</v>
      </c>
      <c r="C60" s="2" t="s">
        <v>22</v>
      </c>
      <c r="D60" s="2" t="s">
        <v>23</v>
      </c>
      <c r="E60" s="2" t="s">
        <v>95</v>
      </c>
      <c r="F60" s="2">
        <v>3.0</v>
      </c>
      <c r="G60" s="2" t="s">
        <v>96</v>
      </c>
      <c r="H60" s="2">
        <v>86.0</v>
      </c>
      <c r="I60" s="2">
        <v>91.0</v>
      </c>
      <c r="J60" s="2">
        <v>150.0</v>
      </c>
      <c r="K60" s="2">
        <v>0.0</v>
      </c>
      <c r="L60" s="2">
        <v>43.0</v>
      </c>
      <c r="M60" s="2">
        <v>0.0</v>
      </c>
      <c r="N60" s="2">
        <v>628.0</v>
      </c>
      <c r="O60" s="2">
        <v>0.0</v>
      </c>
      <c r="P60" s="2">
        <v>998.0</v>
      </c>
      <c r="Q60" s="2">
        <v>0.0</v>
      </c>
      <c r="R60" s="2">
        <v>0.0</v>
      </c>
      <c r="S60" s="2">
        <v>0.0</v>
      </c>
      <c r="T60" s="2">
        <v>0.0</v>
      </c>
      <c r="U60" s="2">
        <f t="shared" si="29"/>
        <v>671</v>
      </c>
      <c r="V60" s="4">
        <f t="shared" si="30"/>
        <v>-0.001492537313</v>
      </c>
    </row>
    <row r="61" ht="15.75" customHeight="1">
      <c r="A61" s="2" t="s">
        <v>40</v>
      </c>
      <c r="B61" s="2" t="s">
        <v>21</v>
      </c>
      <c r="C61" s="2" t="s">
        <v>22</v>
      </c>
      <c r="D61" s="2" t="s">
        <v>23</v>
      </c>
      <c r="E61" s="2" t="s">
        <v>97</v>
      </c>
      <c r="F61" s="2">
        <v>3.0</v>
      </c>
      <c r="G61" s="2" t="s">
        <v>98</v>
      </c>
      <c r="H61" s="2">
        <v>87.0</v>
      </c>
      <c r="I61" s="2">
        <v>94.0</v>
      </c>
      <c r="J61" s="2">
        <v>148.0</v>
      </c>
      <c r="K61" s="2">
        <v>0.0</v>
      </c>
      <c r="L61" s="2">
        <v>35.0</v>
      </c>
      <c r="M61" s="2">
        <v>0.0</v>
      </c>
      <c r="N61" s="2">
        <v>636.0</v>
      </c>
      <c r="O61" s="2">
        <v>0.0</v>
      </c>
      <c r="P61" s="2">
        <v>1000.0</v>
      </c>
      <c r="Q61" s="2">
        <v>0.0</v>
      </c>
      <c r="R61" s="2">
        <v>0.0</v>
      </c>
      <c r="S61" s="2">
        <v>0.0</v>
      </c>
      <c r="T61" s="2">
        <v>0.0</v>
      </c>
      <c r="U61" s="2">
        <f t="shared" si="29"/>
        <v>671</v>
      </c>
      <c r="V61" s="4">
        <f t="shared" si="30"/>
        <v>-0.001492537313</v>
      </c>
    </row>
    <row r="62" ht="15.75" customHeight="1">
      <c r="A62" s="2" t="s">
        <v>52</v>
      </c>
      <c r="B62" s="2" t="s">
        <v>21</v>
      </c>
      <c r="C62" s="2" t="s">
        <v>22</v>
      </c>
      <c r="D62" s="2" t="s">
        <v>23</v>
      </c>
      <c r="E62" s="2" t="s">
        <v>53</v>
      </c>
      <c r="F62" s="2">
        <v>3.0</v>
      </c>
      <c r="G62" s="2" t="s">
        <v>25</v>
      </c>
      <c r="H62" s="2">
        <v>46.0</v>
      </c>
      <c r="I62" s="2">
        <v>1505.0</v>
      </c>
      <c r="J62" s="2">
        <v>1209.0</v>
      </c>
      <c r="K62" s="2">
        <v>0.0</v>
      </c>
      <c r="L62" s="2">
        <v>18.0</v>
      </c>
      <c r="M62" s="2">
        <v>0.0</v>
      </c>
      <c r="N62" s="2">
        <v>210.0</v>
      </c>
      <c r="O62" s="2">
        <v>0.0</v>
      </c>
      <c r="P62" s="2">
        <v>996.0</v>
      </c>
      <c r="Q62" s="2">
        <v>0.0</v>
      </c>
      <c r="R62" s="2">
        <v>0.0</v>
      </c>
      <c r="S62" s="2">
        <v>0.0</v>
      </c>
      <c r="T62" s="2">
        <v>0.0</v>
      </c>
      <c r="U62" s="3">
        <f>(N62+L62+M62)*1/3</f>
        <v>76</v>
      </c>
    </row>
    <row r="63" ht="15.75" customHeight="1">
      <c r="A63" s="2" t="s">
        <v>52</v>
      </c>
      <c r="B63" s="2" t="s">
        <v>21</v>
      </c>
      <c r="C63" s="2" t="s">
        <v>22</v>
      </c>
      <c r="D63" s="2" t="s">
        <v>23</v>
      </c>
      <c r="E63" s="2" t="s">
        <v>104</v>
      </c>
      <c r="F63" s="2">
        <v>3.0</v>
      </c>
      <c r="G63" s="2" t="s">
        <v>94</v>
      </c>
      <c r="H63" s="2">
        <v>17.0</v>
      </c>
      <c r="I63" s="2">
        <v>527.0</v>
      </c>
      <c r="J63" s="2">
        <v>375.0</v>
      </c>
      <c r="K63" s="2">
        <v>0.0</v>
      </c>
      <c r="L63" s="2">
        <v>8.0</v>
      </c>
      <c r="M63" s="2">
        <v>0.0</v>
      </c>
      <c r="N63" s="2">
        <v>68.0</v>
      </c>
      <c r="O63" s="2">
        <v>0.0</v>
      </c>
      <c r="P63" s="2">
        <v>995.0</v>
      </c>
      <c r="Q63" s="2">
        <v>0.0</v>
      </c>
      <c r="R63" s="2">
        <v>0.0</v>
      </c>
      <c r="S63" s="2">
        <v>0.0</v>
      </c>
      <c r="T63" s="2">
        <v>0.0</v>
      </c>
      <c r="U63" s="2">
        <f t="shared" ref="U63:U65" si="31">(N63+L63+M63)</f>
        <v>76</v>
      </c>
      <c r="V63" s="4">
        <f t="shared" ref="V63:V65" si="32">(U$62-U63)/U$62</f>
        <v>0</v>
      </c>
    </row>
    <row r="64" ht="15.75" customHeight="1">
      <c r="A64" s="2" t="s">
        <v>52</v>
      </c>
      <c r="B64" s="2" t="s">
        <v>21</v>
      </c>
      <c r="C64" s="2" t="s">
        <v>22</v>
      </c>
      <c r="D64" s="2" t="s">
        <v>23</v>
      </c>
      <c r="E64" s="2" t="s">
        <v>106</v>
      </c>
      <c r="F64" s="2">
        <v>3.0</v>
      </c>
      <c r="G64" s="2" t="s">
        <v>96</v>
      </c>
      <c r="H64" s="2">
        <v>16.0</v>
      </c>
      <c r="I64" s="2">
        <v>525.0</v>
      </c>
      <c r="J64" s="2">
        <v>376.0</v>
      </c>
      <c r="K64" s="2">
        <v>0.0</v>
      </c>
      <c r="L64" s="2">
        <v>9.0</v>
      </c>
      <c r="M64" s="2">
        <v>0.0</v>
      </c>
      <c r="N64" s="2">
        <v>67.0</v>
      </c>
      <c r="O64" s="2">
        <v>0.0</v>
      </c>
      <c r="P64" s="2">
        <v>993.0</v>
      </c>
      <c r="Q64" s="2">
        <v>0.0</v>
      </c>
      <c r="R64" s="2">
        <v>0.0</v>
      </c>
      <c r="S64" s="2">
        <v>0.0</v>
      </c>
      <c r="T64" s="2">
        <v>0.0</v>
      </c>
      <c r="U64" s="2">
        <f t="shared" si="31"/>
        <v>76</v>
      </c>
      <c r="V64" s="4">
        <f t="shared" si="32"/>
        <v>0</v>
      </c>
    </row>
    <row r="65" ht="15.75" customHeight="1">
      <c r="A65" s="2" t="s">
        <v>52</v>
      </c>
      <c r="B65" s="2" t="s">
        <v>21</v>
      </c>
      <c r="C65" s="2" t="s">
        <v>22</v>
      </c>
      <c r="D65" s="2" t="s">
        <v>23</v>
      </c>
      <c r="E65" s="2" t="s">
        <v>107</v>
      </c>
      <c r="F65" s="2">
        <v>3.0</v>
      </c>
      <c r="G65" s="2" t="s">
        <v>98</v>
      </c>
      <c r="H65" s="2">
        <v>12.0</v>
      </c>
      <c r="I65" s="2">
        <v>537.0</v>
      </c>
      <c r="J65" s="2">
        <v>372.0</v>
      </c>
      <c r="K65" s="2">
        <v>0.0</v>
      </c>
      <c r="L65" s="2">
        <v>5.0</v>
      </c>
      <c r="M65" s="2">
        <v>0.0</v>
      </c>
      <c r="N65" s="2">
        <v>71.0</v>
      </c>
      <c r="O65" s="2">
        <v>0.0</v>
      </c>
      <c r="P65" s="2">
        <v>997.0</v>
      </c>
      <c r="Q65" s="2">
        <v>0.0</v>
      </c>
      <c r="R65" s="2">
        <v>0.0</v>
      </c>
      <c r="S65" s="2">
        <v>0.0</v>
      </c>
      <c r="T65" s="2">
        <v>0.0</v>
      </c>
      <c r="U65" s="2">
        <f t="shared" si="31"/>
        <v>76</v>
      </c>
      <c r="V65" s="4">
        <f t="shared" si="32"/>
        <v>0</v>
      </c>
    </row>
    <row r="66" ht="15.75" customHeight="1">
      <c r="A66" s="2" t="s">
        <v>59</v>
      </c>
      <c r="B66" s="2" t="s">
        <v>21</v>
      </c>
      <c r="C66" s="2" t="s">
        <v>22</v>
      </c>
      <c r="D66" s="2" t="s">
        <v>23</v>
      </c>
      <c r="E66" s="2" t="s">
        <v>60</v>
      </c>
      <c r="F66" s="2">
        <v>3.0</v>
      </c>
      <c r="G66" s="2" t="s">
        <v>25</v>
      </c>
      <c r="H66" s="2">
        <v>253.0</v>
      </c>
      <c r="I66" s="2">
        <v>365.0</v>
      </c>
      <c r="J66" s="2">
        <v>582.0</v>
      </c>
      <c r="K66" s="2">
        <v>0.0</v>
      </c>
      <c r="L66" s="2">
        <v>273.0</v>
      </c>
      <c r="M66" s="2">
        <v>0.0</v>
      </c>
      <c r="N66" s="2">
        <v>582.0</v>
      </c>
      <c r="O66" s="2">
        <v>0.0</v>
      </c>
      <c r="P66" s="2">
        <v>685.0</v>
      </c>
      <c r="Q66" s="2">
        <v>0.0</v>
      </c>
      <c r="R66" s="2">
        <v>0.0</v>
      </c>
      <c r="S66" s="2">
        <v>0.0</v>
      </c>
      <c r="T66" s="2">
        <v>0.0</v>
      </c>
      <c r="U66" s="3">
        <f>(N66+L66+M66)*1/3</f>
        <v>285</v>
      </c>
    </row>
    <row r="67" ht="15.75" customHeight="1">
      <c r="A67" s="2" t="s">
        <v>59</v>
      </c>
      <c r="B67" s="2" t="s">
        <v>21</v>
      </c>
      <c r="C67" s="2" t="s">
        <v>22</v>
      </c>
      <c r="D67" s="2" t="s">
        <v>23</v>
      </c>
      <c r="E67" s="2" t="s">
        <v>108</v>
      </c>
      <c r="F67" s="2">
        <v>3.0</v>
      </c>
      <c r="G67" s="2" t="s">
        <v>94</v>
      </c>
      <c r="H67" s="2">
        <v>66.0</v>
      </c>
      <c r="I67" s="2">
        <v>144.0</v>
      </c>
      <c r="J67" s="2">
        <v>189.0</v>
      </c>
      <c r="K67" s="2">
        <v>0.0</v>
      </c>
      <c r="L67" s="2">
        <v>101.0</v>
      </c>
      <c r="M67" s="2">
        <v>0.0</v>
      </c>
      <c r="N67" s="2">
        <v>186.0</v>
      </c>
      <c r="O67" s="2">
        <v>0.0</v>
      </c>
      <c r="P67" s="2">
        <v>686.0</v>
      </c>
      <c r="Q67" s="2">
        <v>0.0</v>
      </c>
      <c r="R67" s="2">
        <v>0.0</v>
      </c>
      <c r="S67" s="2">
        <v>0.0</v>
      </c>
      <c r="T67" s="2">
        <v>0.0</v>
      </c>
      <c r="U67" s="2">
        <f t="shared" ref="U67:U69" si="33">(N67+L67+M67)</f>
        <v>287</v>
      </c>
      <c r="V67" s="26">
        <f t="shared" ref="V67:V69" si="34">(U$66-U67)/U$66</f>
        <v>-0.00701754386</v>
      </c>
    </row>
    <row r="68" ht="15.75" customHeight="1">
      <c r="A68" s="2" t="s">
        <v>59</v>
      </c>
      <c r="B68" s="2" t="s">
        <v>21</v>
      </c>
      <c r="C68" s="2" t="s">
        <v>22</v>
      </c>
      <c r="D68" s="2" t="s">
        <v>23</v>
      </c>
      <c r="E68" s="2" t="s">
        <v>110</v>
      </c>
      <c r="F68" s="2">
        <v>3.0</v>
      </c>
      <c r="G68" s="2" t="s">
        <v>96</v>
      </c>
      <c r="H68" s="2">
        <v>71.0</v>
      </c>
      <c r="I68" s="2">
        <v>137.0</v>
      </c>
      <c r="J68" s="2">
        <v>189.0</v>
      </c>
      <c r="K68" s="2">
        <v>0.0</v>
      </c>
      <c r="L68" s="2">
        <v>92.0</v>
      </c>
      <c r="M68" s="2">
        <v>0.0</v>
      </c>
      <c r="N68" s="2">
        <v>193.0</v>
      </c>
      <c r="O68" s="2">
        <v>0.0</v>
      </c>
      <c r="P68" s="2">
        <v>682.0</v>
      </c>
      <c r="Q68" s="2">
        <v>0.0</v>
      </c>
      <c r="R68" s="2">
        <v>0.0</v>
      </c>
      <c r="S68" s="2">
        <v>0.0</v>
      </c>
      <c r="T68" s="2">
        <v>0.0</v>
      </c>
      <c r="U68" s="2">
        <f t="shared" si="33"/>
        <v>285</v>
      </c>
      <c r="V68" s="4">
        <f t="shared" si="34"/>
        <v>0</v>
      </c>
    </row>
    <row r="69" ht="15.75" customHeight="1">
      <c r="A69" s="2" t="s">
        <v>59</v>
      </c>
      <c r="B69" s="2" t="s">
        <v>21</v>
      </c>
      <c r="C69" s="2" t="s">
        <v>22</v>
      </c>
      <c r="D69" s="2" t="s">
        <v>23</v>
      </c>
      <c r="E69" s="2" t="s">
        <v>111</v>
      </c>
      <c r="F69" s="2">
        <v>3.0</v>
      </c>
      <c r="G69" s="2" t="s">
        <v>98</v>
      </c>
      <c r="H69" s="2">
        <v>83.0</v>
      </c>
      <c r="I69" s="2">
        <v>116.0</v>
      </c>
      <c r="J69" s="2">
        <v>197.0</v>
      </c>
      <c r="K69" s="2">
        <v>0.0</v>
      </c>
      <c r="L69" s="2">
        <v>88.0</v>
      </c>
      <c r="M69" s="2">
        <v>0.0</v>
      </c>
      <c r="N69" s="2">
        <v>198.0</v>
      </c>
      <c r="O69" s="2">
        <v>0.0</v>
      </c>
      <c r="P69" s="2">
        <v>682.0</v>
      </c>
      <c r="Q69" s="2">
        <v>0.0</v>
      </c>
      <c r="R69" s="2">
        <v>0.0</v>
      </c>
      <c r="S69" s="2">
        <v>0.0</v>
      </c>
      <c r="T69" s="2">
        <v>0.0</v>
      </c>
      <c r="U69" s="2">
        <f t="shared" si="33"/>
        <v>286</v>
      </c>
      <c r="V69" s="4">
        <f t="shared" si="34"/>
        <v>-0.00350877193</v>
      </c>
    </row>
    <row r="70" ht="15.75" customHeight="1">
      <c r="A70" s="2" t="s">
        <v>69</v>
      </c>
      <c r="B70" s="2" t="s">
        <v>21</v>
      </c>
      <c r="C70" s="2" t="s">
        <v>22</v>
      </c>
      <c r="D70" s="2" t="s">
        <v>23</v>
      </c>
      <c r="E70" s="2" t="s">
        <v>70</v>
      </c>
      <c r="F70" s="2">
        <v>3.0</v>
      </c>
      <c r="G70" s="2" t="s">
        <v>25</v>
      </c>
      <c r="H70" s="2">
        <v>81.0</v>
      </c>
      <c r="I70" s="2">
        <v>6.0</v>
      </c>
      <c r="J70" s="2">
        <v>198.0</v>
      </c>
      <c r="K70" s="2">
        <v>0.0</v>
      </c>
      <c r="L70" s="2">
        <v>49.0</v>
      </c>
      <c r="M70" s="2">
        <v>0.0</v>
      </c>
      <c r="N70" s="2">
        <v>254.0</v>
      </c>
      <c r="O70" s="2">
        <v>0.0</v>
      </c>
      <c r="P70" s="2">
        <v>196.0</v>
      </c>
      <c r="Q70" s="2">
        <v>0.0</v>
      </c>
      <c r="R70" s="2">
        <v>0.0</v>
      </c>
      <c r="S70" s="2">
        <v>0.0</v>
      </c>
      <c r="T70" s="2">
        <v>0.0</v>
      </c>
      <c r="U70" s="3">
        <f>(N70+L70+M70)*1/3</f>
        <v>101</v>
      </c>
    </row>
    <row r="71" ht="15.75" customHeight="1">
      <c r="A71" s="2" t="s">
        <v>69</v>
      </c>
      <c r="B71" s="2" t="s">
        <v>21</v>
      </c>
      <c r="C71" s="2" t="s">
        <v>22</v>
      </c>
      <c r="D71" s="2" t="s">
        <v>23</v>
      </c>
      <c r="E71" s="2" t="s">
        <v>115</v>
      </c>
      <c r="F71" s="2">
        <v>3.0</v>
      </c>
      <c r="G71" s="2" t="s">
        <v>94</v>
      </c>
      <c r="H71" s="2">
        <v>30.0</v>
      </c>
      <c r="I71" s="2">
        <v>10.0</v>
      </c>
      <c r="J71" s="2">
        <v>56.0</v>
      </c>
      <c r="K71" s="2">
        <v>0.0</v>
      </c>
      <c r="L71" s="2">
        <v>19.0</v>
      </c>
      <c r="M71" s="2">
        <v>0.0</v>
      </c>
      <c r="N71" s="2">
        <v>82.0</v>
      </c>
      <c r="O71" s="2">
        <v>0.0</v>
      </c>
      <c r="P71" s="2">
        <v>197.0</v>
      </c>
      <c r="Q71" s="2">
        <v>0.0</v>
      </c>
      <c r="R71" s="2">
        <v>0.0</v>
      </c>
      <c r="S71" s="2">
        <v>0.0</v>
      </c>
      <c r="T71" s="2">
        <v>0.0</v>
      </c>
      <c r="U71" s="2">
        <f t="shared" ref="U71:U73" si="35">(N71+L71+M71)</f>
        <v>101</v>
      </c>
      <c r="V71" s="4">
        <f t="shared" ref="V71:V73" si="36">(U$70-U71)/U$70</f>
        <v>0</v>
      </c>
    </row>
    <row r="72" ht="15.75" customHeight="1">
      <c r="A72" s="2" t="s">
        <v>69</v>
      </c>
      <c r="B72" s="2" t="s">
        <v>21</v>
      </c>
      <c r="C72" s="2" t="s">
        <v>22</v>
      </c>
      <c r="D72" s="2" t="s">
        <v>23</v>
      </c>
      <c r="E72" s="2" t="s">
        <v>118</v>
      </c>
      <c r="F72" s="2">
        <v>3.0</v>
      </c>
      <c r="G72" s="2" t="s">
        <v>96</v>
      </c>
      <c r="H72" s="2">
        <v>32.0</v>
      </c>
      <c r="I72" s="2">
        <v>6.0</v>
      </c>
      <c r="J72" s="2">
        <v>58.0</v>
      </c>
      <c r="K72" s="2">
        <v>0.0</v>
      </c>
      <c r="L72" s="2">
        <v>19.0</v>
      </c>
      <c r="M72" s="2">
        <v>0.0</v>
      </c>
      <c r="N72" s="2">
        <v>82.0</v>
      </c>
      <c r="O72" s="2">
        <v>0.0</v>
      </c>
      <c r="P72" s="2">
        <v>197.0</v>
      </c>
      <c r="Q72" s="2">
        <v>0.0</v>
      </c>
      <c r="R72" s="2">
        <v>0.0</v>
      </c>
      <c r="S72" s="2">
        <v>0.0</v>
      </c>
      <c r="T72" s="2">
        <v>0.0</v>
      </c>
      <c r="U72" s="2">
        <f t="shared" si="35"/>
        <v>101</v>
      </c>
      <c r="V72" s="4">
        <f t="shared" si="36"/>
        <v>0</v>
      </c>
    </row>
    <row r="73" ht="15.75" customHeight="1">
      <c r="A73" s="2" t="s">
        <v>69</v>
      </c>
      <c r="B73" s="2" t="s">
        <v>21</v>
      </c>
      <c r="C73" s="2" t="s">
        <v>22</v>
      </c>
      <c r="D73" s="2" t="s">
        <v>23</v>
      </c>
      <c r="E73" s="2" t="s">
        <v>120</v>
      </c>
      <c r="F73" s="2">
        <v>3.0</v>
      </c>
      <c r="G73" s="2" t="s">
        <v>98</v>
      </c>
      <c r="H73" s="2">
        <v>34.0</v>
      </c>
      <c r="I73" s="2">
        <v>1.0</v>
      </c>
      <c r="J73" s="2">
        <v>61.0</v>
      </c>
      <c r="K73" s="2">
        <v>0.0</v>
      </c>
      <c r="L73" s="2">
        <v>18.0</v>
      </c>
      <c r="M73" s="2">
        <v>0.0</v>
      </c>
      <c r="N73" s="2">
        <v>83.0</v>
      </c>
      <c r="O73" s="2">
        <v>0.0</v>
      </c>
      <c r="P73" s="2">
        <v>197.0</v>
      </c>
      <c r="Q73" s="2">
        <v>0.0</v>
      </c>
      <c r="R73" s="2">
        <v>0.0</v>
      </c>
      <c r="S73" s="2">
        <v>0.0</v>
      </c>
      <c r="T73" s="2">
        <v>0.0</v>
      </c>
      <c r="U73" s="2">
        <f t="shared" si="35"/>
        <v>101</v>
      </c>
      <c r="V73" s="4">
        <f t="shared" si="36"/>
        <v>0</v>
      </c>
    </row>
    <row r="74" ht="15.75" customHeight="1">
      <c r="A74" s="2" t="s">
        <v>75</v>
      </c>
      <c r="B74" s="2" t="s">
        <v>32</v>
      </c>
      <c r="C74" s="2" t="s">
        <v>22</v>
      </c>
      <c r="D74" s="2" t="s">
        <v>23</v>
      </c>
      <c r="E74" s="2" t="s">
        <v>41</v>
      </c>
      <c r="F74" s="2">
        <v>3.0</v>
      </c>
      <c r="G74" s="2" t="s">
        <v>25</v>
      </c>
      <c r="H74" s="2">
        <v>879.0</v>
      </c>
      <c r="I74" s="2">
        <v>483.0</v>
      </c>
      <c r="J74" s="2">
        <v>180.0</v>
      </c>
      <c r="K74" s="2">
        <v>0.0</v>
      </c>
      <c r="L74" s="2">
        <v>79.0</v>
      </c>
      <c r="M74" s="2">
        <v>0.0</v>
      </c>
      <c r="N74" s="2">
        <v>1364.0</v>
      </c>
      <c r="O74" s="2">
        <v>0.0</v>
      </c>
      <c r="P74" s="2">
        <v>995.0</v>
      </c>
      <c r="Q74" s="2">
        <v>0.0</v>
      </c>
      <c r="R74" s="2">
        <v>0.0</v>
      </c>
      <c r="S74" s="2">
        <v>0.0</v>
      </c>
      <c r="T74" s="2">
        <v>0.0</v>
      </c>
      <c r="U74" s="3">
        <f>(N74+L74+M74)*1/3</f>
        <v>481</v>
      </c>
    </row>
    <row r="75" ht="15.75" customHeight="1">
      <c r="A75" s="2" t="s">
        <v>75</v>
      </c>
      <c r="B75" s="2" t="s">
        <v>32</v>
      </c>
      <c r="C75" s="2" t="s">
        <v>22</v>
      </c>
      <c r="D75" s="2" t="s">
        <v>23</v>
      </c>
      <c r="E75" s="2" t="s">
        <v>93</v>
      </c>
      <c r="F75" s="2">
        <v>3.0</v>
      </c>
      <c r="G75" s="2" t="s">
        <v>94</v>
      </c>
      <c r="H75" s="2">
        <v>285.0</v>
      </c>
      <c r="I75" s="2">
        <v>153.0</v>
      </c>
      <c r="J75" s="2">
        <v>76.0</v>
      </c>
      <c r="K75" s="2">
        <v>0.0</v>
      </c>
      <c r="L75" s="2">
        <v>30.0</v>
      </c>
      <c r="M75" s="2">
        <v>0.0</v>
      </c>
      <c r="N75" s="2">
        <v>451.0</v>
      </c>
      <c r="O75" s="2">
        <v>0.0</v>
      </c>
      <c r="P75" s="2">
        <v>995.0</v>
      </c>
      <c r="Q75" s="2">
        <v>0.0</v>
      </c>
      <c r="R75" s="2">
        <v>0.0</v>
      </c>
      <c r="S75" s="2">
        <v>0.0</v>
      </c>
      <c r="T75" s="2">
        <v>0.0</v>
      </c>
      <c r="U75" s="2">
        <f t="shared" ref="U75:U77" si="37">(N75+L75+M75)</f>
        <v>481</v>
      </c>
      <c r="V75" s="4">
        <f t="shared" ref="V75:V77" si="38">(U$74-U75)/U$74</f>
        <v>0</v>
      </c>
    </row>
    <row r="76" ht="15.75" customHeight="1">
      <c r="A76" s="2" t="s">
        <v>75</v>
      </c>
      <c r="B76" s="2" t="s">
        <v>32</v>
      </c>
      <c r="C76" s="2" t="s">
        <v>22</v>
      </c>
      <c r="D76" s="2" t="s">
        <v>23</v>
      </c>
      <c r="E76" s="2" t="s">
        <v>95</v>
      </c>
      <c r="F76" s="2">
        <v>3.0</v>
      </c>
      <c r="G76" s="2" t="s">
        <v>96</v>
      </c>
      <c r="H76" s="2">
        <v>287.0</v>
      </c>
      <c r="I76" s="2">
        <v>161.0</v>
      </c>
      <c r="J76" s="2">
        <v>69.0</v>
      </c>
      <c r="K76" s="2">
        <v>0.0</v>
      </c>
      <c r="L76" s="2">
        <v>25.0</v>
      </c>
      <c r="M76" s="2">
        <v>0.0</v>
      </c>
      <c r="N76" s="2">
        <v>456.0</v>
      </c>
      <c r="O76" s="2">
        <v>0.0</v>
      </c>
      <c r="P76" s="2">
        <v>998.0</v>
      </c>
      <c r="Q76" s="2">
        <v>0.0</v>
      </c>
      <c r="R76" s="2">
        <v>0.0</v>
      </c>
      <c r="S76" s="2">
        <v>0.0</v>
      </c>
      <c r="T76" s="2">
        <v>0.0</v>
      </c>
      <c r="U76" s="2">
        <f t="shared" si="37"/>
        <v>481</v>
      </c>
      <c r="V76" s="4">
        <f t="shared" si="38"/>
        <v>0</v>
      </c>
    </row>
    <row r="77" ht="15.75" customHeight="1">
      <c r="A77" s="2" t="s">
        <v>75</v>
      </c>
      <c r="B77" s="2" t="s">
        <v>32</v>
      </c>
      <c r="C77" s="2" t="s">
        <v>22</v>
      </c>
      <c r="D77" s="2" t="s">
        <v>23</v>
      </c>
      <c r="E77" s="2" t="s">
        <v>97</v>
      </c>
      <c r="F77" s="2">
        <v>3.0</v>
      </c>
      <c r="G77" s="2" t="s">
        <v>98</v>
      </c>
      <c r="H77" s="2">
        <v>277.0</v>
      </c>
      <c r="I77" s="2">
        <v>162.0</v>
      </c>
      <c r="J77" s="2">
        <v>76.0</v>
      </c>
      <c r="K77" s="2">
        <v>0.0</v>
      </c>
      <c r="L77" s="2">
        <v>29.0</v>
      </c>
      <c r="M77" s="2">
        <v>0.0</v>
      </c>
      <c r="N77" s="2">
        <v>452.0</v>
      </c>
      <c r="O77" s="2">
        <v>0.0</v>
      </c>
      <c r="P77" s="2">
        <v>996.0</v>
      </c>
      <c r="Q77" s="2">
        <v>0.0</v>
      </c>
      <c r="R77" s="2">
        <v>0.0</v>
      </c>
      <c r="S77" s="2">
        <v>0.0</v>
      </c>
      <c r="T77" s="2">
        <v>0.0</v>
      </c>
      <c r="U77" s="2">
        <f t="shared" si="37"/>
        <v>481</v>
      </c>
      <c r="V77" s="4">
        <f t="shared" si="38"/>
        <v>0</v>
      </c>
    </row>
    <row r="78" ht="15.75" customHeight="1">
      <c r="A78" s="2" t="s">
        <v>77</v>
      </c>
      <c r="B78" s="2" t="s">
        <v>32</v>
      </c>
      <c r="C78" s="2" t="s">
        <v>22</v>
      </c>
      <c r="D78" s="2" t="s">
        <v>23</v>
      </c>
      <c r="E78" s="2" t="s">
        <v>53</v>
      </c>
      <c r="F78" s="2">
        <v>3.0</v>
      </c>
      <c r="G78" s="2" t="s">
        <v>25</v>
      </c>
      <c r="H78" s="2">
        <v>60.0</v>
      </c>
      <c r="I78" s="2">
        <v>1479.0</v>
      </c>
      <c r="J78" s="2">
        <v>1209.0</v>
      </c>
      <c r="K78" s="2">
        <v>0.0</v>
      </c>
      <c r="L78" s="2">
        <v>19.0</v>
      </c>
      <c r="M78" s="2">
        <v>0.0</v>
      </c>
      <c r="N78" s="2">
        <v>215.0</v>
      </c>
      <c r="O78" s="2">
        <v>0.0</v>
      </c>
      <c r="P78" s="2">
        <v>994.0</v>
      </c>
      <c r="Q78" s="2">
        <v>0.0</v>
      </c>
      <c r="R78" s="2">
        <v>0.0</v>
      </c>
      <c r="S78" s="2">
        <v>0.0</v>
      </c>
      <c r="T78" s="2">
        <v>0.0</v>
      </c>
      <c r="U78" s="3">
        <f>(N78+L78+M78)*1/3</f>
        <v>78</v>
      </c>
    </row>
    <row r="79" ht="15.75" customHeight="1">
      <c r="A79" s="2" t="s">
        <v>77</v>
      </c>
      <c r="B79" s="2" t="s">
        <v>32</v>
      </c>
      <c r="C79" s="2" t="s">
        <v>22</v>
      </c>
      <c r="D79" s="2" t="s">
        <v>23</v>
      </c>
      <c r="E79" s="2" t="s">
        <v>104</v>
      </c>
      <c r="F79" s="2">
        <v>3.0</v>
      </c>
      <c r="G79" s="2" t="s">
        <v>94</v>
      </c>
      <c r="H79" s="2">
        <v>17.0</v>
      </c>
      <c r="I79" s="2">
        <v>499.0</v>
      </c>
      <c r="J79" s="2">
        <v>405.0</v>
      </c>
      <c r="K79" s="2">
        <v>0.0</v>
      </c>
      <c r="L79" s="2">
        <v>6.0</v>
      </c>
      <c r="M79" s="2">
        <v>0.0</v>
      </c>
      <c r="N79" s="2">
        <v>70.0</v>
      </c>
      <c r="O79" s="2">
        <v>0.0</v>
      </c>
      <c r="P79" s="2">
        <v>997.0</v>
      </c>
      <c r="Q79" s="2">
        <v>0.0</v>
      </c>
      <c r="R79" s="2">
        <v>0.0</v>
      </c>
      <c r="S79" s="2">
        <v>0.0</v>
      </c>
      <c r="T79" s="2">
        <v>0.0</v>
      </c>
      <c r="U79" s="2">
        <f t="shared" ref="U79:U81" si="39">(N79+L79+M79)</f>
        <v>76</v>
      </c>
      <c r="V79" s="4">
        <f t="shared" ref="V79:V81" si="40">(U$78-U79)/U$78</f>
        <v>0.02564102564</v>
      </c>
    </row>
    <row r="80" ht="15.75" customHeight="1">
      <c r="A80" s="2" t="s">
        <v>77</v>
      </c>
      <c r="B80" s="2" t="s">
        <v>32</v>
      </c>
      <c r="C80" s="2" t="s">
        <v>22</v>
      </c>
      <c r="D80" s="2" t="s">
        <v>23</v>
      </c>
      <c r="E80" s="2" t="s">
        <v>106</v>
      </c>
      <c r="F80" s="2">
        <v>3.0</v>
      </c>
      <c r="G80" s="2" t="s">
        <v>96</v>
      </c>
      <c r="H80" s="2">
        <v>15.0</v>
      </c>
      <c r="I80" s="2">
        <v>494.0</v>
      </c>
      <c r="J80" s="2">
        <v>410.0</v>
      </c>
      <c r="K80" s="2">
        <v>0.0</v>
      </c>
      <c r="L80" s="2">
        <v>7.0</v>
      </c>
      <c r="M80" s="2">
        <v>0.0</v>
      </c>
      <c r="N80" s="2">
        <v>69.0</v>
      </c>
      <c r="O80" s="2">
        <v>0.0</v>
      </c>
      <c r="P80" s="2">
        <v>995.0</v>
      </c>
      <c r="Q80" s="2">
        <v>0.0</v>
      </c>
      <c r="R80" s="2">
        <v>0.0</v>
      </c>
      <c r="S80" s="2">
        <v>0.0</v>
      </c>
      <c r="T80" s="2">
        <v>0.0</v>
      </c>
      <c r="U80" s="2">
        <f t="shared" si="39"/>
        <v>76</v>
      </c>
      <c r="V80" s="4">
        <f t="shared" si="40"/>
        <v>0.02564102564</v>
      </c>
    </row>
    <row r="81" ht="15.75" customHeight="1">
      <c r="A81" s="2" t="s">
        <v>77</v>
      </c>
      <c r="B81" s="2" t="s">
        <v>32</v>
      </c>
      <c r="C81" s="2" t="s">
        <v>22</v>
      </c>
      <c r="D81" s="2" t="s">
        <v>23</v>
      </c>
      <c r="E81" s="2" t="s">
        <v>107</v>
      </c>
      <c r="F81" s="2">
        <v>3.0</v>
      </c>
      <c r="G81" s="2" t="s">
        <v>98</v>
      </c>
      <c r="H81" s="2">
        <v>20.0</v>
      </c>
      <c r="I81" s="2">
        <v>490.0</v>
      </c>
      <c r="J81" s="2">
        <v>409.0</v>
      </c>
      <c r="K81" s="2">
        <v>0.0</v>
      </c>
      <c r="L81" s="2">
        <v>6.0</v>
      </c>
      <c r="M81" s="2">
        <v>0.0</v>
      </c>
      <c r="N81" s="2">
        <v>71.0</v>
      </c>
      <c r="O81" s="2">
        <v>0.0</v>
      </c>
      <c r="P81" s="2">
        <v>996.0</v>
      </c>
      <c r="Q81" s="2">
        <v>0.0</v>
      </c>
      <c r="R81" s="2">
        <v>0.0</v>
      </c>
      <c r="S81" s="2">
        <v>0.0</v>
      </c>
      <c r="T81" s="2">
        <v>0.0</v>
      </c>
      <c r="U81" s="2">
        <f t="shared" si="39"/>
        <v>77</v>
      </c>
      <c r="V81" s="4">
        <f t="shared" si="40"/>
        <v>0.01282051282</v>
      </c>
    </row>
    <row r="82" ht="15.75" customHeight="1">
      <c r="A82" s="2" t="s">
        <v>78</v>
      </c>
      <c r="B82" s="2" t="s">
        <v>32</v>
      </c>
      <c r="C82" s="2" t="s">
        <v>22</v>
      </c>
      <c r="D82" s="2" t="s">
        <v>23</v>
      </c>
      <c r="E82" s="2" t="s">
        <v>60</v>
      </c>
      <c r="F82" s="2">
        <v>3.0</v>
      </c>
      <c r="G82" s="2" t="s">
        <v>25</v>
      </c>
      <c r="H82" s="2">
        <v>89.0</v>
      </c>
      <c r="I82" s="2">
        <v>325.0</v>
      </c>
      <c r="J82" s="2">
        <v>558.0</v>
      </c>
      <c r="K82" s="2">
        <v>0.0</v>
      </c>
      <c r="L82" s="2">
        <v>177.0</v>
      </c>
      <c r="M82" s="2">
        <v>0.0</v>
      </c>
      <c r="N82" s="2">
        <v>894.0</v>
      </c>
      <c r="O82" s="2">
        <v>0.0</v>
      </c>
      <c r="P82" s="2">
        <v>681.0</v>
      </c>
      <c r="Q82" s="2">
        <v>0.0</v>
      </c>
      <c r="R82" s="2">
        <v>0.0</v>
      </c>
      <c r="S82" s="2">
        <v>0.0</v>
      </c>
      <c r="T82" s="2">
        <v>0.0</v>
      </c>
      <c r="U82" s="3">
        <f>(N82+L82+M82)*1/3</f>
        <v>357</v>
      </c>
    </row>
    <row r="83" ht="15.75" customHeight="1">
      <c r="A83" s="2" t="s">
        <v>78</v>
      </c>
      <c r="B83" s="2" t="s">
        <v>32</v>
      </c>
      <c r="C83" s="2" t="s">
        <v>22</v>
      </c>
      <c r="D83" s="2" t="s">
        <v>23</v>
      </c>
      <c r="E83" s="2" t="s">
        <v>108</v>
      </c>
      <c r="F83" s="2">
        <v>3.0</v>
      </c>
      <c r="G83" s="2" t="s">
        <v>94</v>
      </c>
      <c r="H83" s="2">
        <v>29.0</v>
      </c>
      <c r="I83" s="2">
        <v>111.0</v>
      </c>
      <c r="J83" s="2">
        <v>184.0</v>
      </c>
      <c r="K83" s="2">
        <v>0.0</v>
      </c>
      <c r="L83" s="2">
        <v>57.0</v>
      </c>
      <c r="M83" s="2">
        <v>0.0</v>
      </c>
      <c r="N83" s="2">
        <v>299.0</v>
      </c>
      <c r="O83" s="2">
        <v>0.0</v>
      </c>
      <c r="P83" s="2">
        <v>680.0</v>
      </c>
      <c r="Q83" s="2">
        <v>0.0</v>
      </c>
      <c r="R83" s="2">
        <v>0.0</v>
      </c>
      <c r="S83" s="2">
        <v>0.0</v>
      </c>
      <c r="T83" s="2">
        <v>0.0</v>
      </c>
      <c r="U83" s="2">
        <f t="shared" ref="U83:U85" si="41">(N83+L83+M83)</f>
        <v>356</v>
      </c>
      <c r="V83" s="26">
        <f t="shared" ref="V83:V85" si="42">(U$82-U83)/U$82</f>
        <v>0.002801120448</v>
      </c>
    </row>
    <row r="84" ht="15.75" customHeight="1">
      <c r="A84" s="2" t="s">
        <v>78</v>
      </c>
      <c r="B84" s="2" t="s">
        <v>32</v>
      </c>
      <c r="C84" s="2" t="s">
        <v>22</v>
      </c>
      <c r="D84" s="2" t="s">
        <v>23</v>
      </c>
      <c r="E84" s="2" t="s">
        <v>110</v>
      </c>
      <c r="F84" s="2">
        <v>3.0</v>
      </c>
      <c r="G84" s="2" t="s">
        <v>96</v>
      </c>
      <c r="H84" s="2">
        <v>28.0</v>
      </c>
      <c r="I84" s="2">
        <v>109.0</v>
      </c>
      <c r="J84" s="2">
        <v>188.0</v>
      </c>
      <c r="K84" s="2">
        <v>0.0</v>
      </c>
      <c r="L84" s="2">
        <v>64.0</v>
      </c>
      <c r="M84" s="2">
        <v>0.0</v>
      </c>
      <c r="N84" s="2">
        <v>293.0</v>
      </c>
      <c r="O84" s="2">
        <v>0.0</v>
      </c>
      <c r="P84" s="2">
        <v>682.0</v>
      </c>
      <c r="Q84" s="2">
        <v>0.0</v>
      </c>
      <c r="R84" s="2">
        <v>0.0</v>
      </c>
      <c r="S84" s="2">
        <v>0.0</v>
      </c>
      <c r="T84" s="2">
        <v>0.0</v>
      </c>
      <c r="U84" s="2">
        <f t="shared" si="41"/>
        <v>357</v>
      </c>
      <c r="V84" s="26">
        <f t="shared" si="42"/>
        <v>0</v>
      </c>
    </row>
    <row r="85" ht="15.75" customHeight="1">
      <c r="A85" s="2" t="s">
        <v>78</v>
      </c>
      <c r="B85" s="2" t="s">
        <v>32</v>
      </c>
      <c r="C85" s="2" t="s">
        <v>22</v>
      </c>
      <c r="D85" s="2" t="s">
        <v>23</v>
      </c>
      <c r="E85" s="2" t="s">
        <v>111</v>
      </c>
      <c r="F85" s="2">
        <v>3.0</v>
      </c>
      <c r="G85" s="2" t="s">
        <v>98</v>
      </c>
      <c r="H85" s="2">
        <v>25.0</v>
      </c>
      <c r="I85" s="2">
        <v>107.0</v>
      </c>
      <c r="J85" s="2">
        <v>192.0</v>
      </c>
      <c r="K85" s="2">
        <v>0.0</v>
      </c>
      <c r="L85" s="2">
        <v>60.0</v>
      </c>
      <c r="M85" s="2">
        <v>0.0</v>
      </c>
      <c r="N85" s="2">
        <v>296.0</v>
      </c>
      <c r="O85" s="2">
        <v>0.0</v>
      </c>
      <c r="P85" s="2">
        <v>680.0</v>
      </c>
      <c r="Q85" s="2">
        <v>0.0</v>
      </c>
      <c r="R85" s="2">
        <v>0.0</v>
      </c>
      <c r="S85" s="2">
        <v>0.0</v>
      </c>
      <c r="T85" s="2">
        <v>0.0</v>
      </c>
      <c r="U85" s="2">
        <f t="shared" si="41"/>
        <v>356</v>
      </c>
      <c r="V85" s="26">
        <f t="shared" si="42"/>
        <v>0.002801120448</v>
      </c>
    </row>
    <row r="86" ht="15.75" customHeight="1">
      <c r="A86" s="2" t="s">
        <v>80</v>
      </c>
      <c r="B86" s="2" t="s">
        <v>32</v>
      </c>
      <c r="C86" s="2" t="s">
        <v>22</v>
      </c>
      <c r="D86" s="2" t="s">
        <v>23</v>
      </c>
      <c r="E86" s="2" t="s">
        <v>70</v>
      </c>
      <c r="F86" s="2">
        <v>3.0</v>
      </c>
      <c r="G86" s="2" t="s">
        <v>25</v>
      </c>
      <c r="H86" s="2">
        <v>109.0</v>
      </c>
      <c r="I86" s="2">
        <v>155.0</v>
      </c>
      <c r="J86" s="2">
        <v>141.0</v>
      </c>
      <c r="K86" s="2">
        <v>0.0</v>
      </c>
      <c r="L86" s="2">
        <v>34.0</v>
      </c>
      <c r="M86" s="2">
        <v>0.0</v>
      </c>
      <c r="N86" s="2">
        <v>149.0</v>
      </c>
      <c r="O86" s="2">
        <v>0.0</v>
      </c>
      <c r="P86" s="2">
        <v>196.0</v>
      </c>
      <c r="Q86" s="2">
        <v>0.0</v>
      </c>
      <c r="R86" s="2">
        <v>0.0</v>
      </c>
      <c r="S86" s="2">
        <v>0.0</v>
      </c>
      <c r="T86" s="2">
        <v>0.0</v>
      </c>
      <c r="U86" s="3">
        <f>(N86+L86+M86)*1/3</f>
        <v>61</v>
      </c>
    </row>
    <row r="87" ht="15.75" customHeight="1">
      <c r="A87" s="2" t="s">
        <v>80</v>
      </c>
      <c r="B87" s="2" t="s">
        <v>32</v>
      </c>
      <c r="C87" s="2" t="s">
        <v>22</v>
      </c>
      <c r="D87" s="2" t="s">
        <v>23</v>
      </c>
      <c r="E87" s="2" t="s">
        <v>115</v>
      </c>
      <c r="F87" s="2">
        <v>3.0</v>
      </c>
      <c r="G87" s="2" t="s">
        <v>94</v>
      </c>
      <c r="H87" s="2">
        <v>46.0</v>
      </c>
      <c r="I87" s="2">
        <v>47.0</v>
      </c>
      <c r="J87" s="2">
        <v>43.0</v>
      </c>
      <c r="K87" s="2">
        <v>0.0</v>
      </c>
      <c r="L87" s="2">
        <v>11.0</v>
      </c>
      <c r="M87" s="2">
        <v>0.0</v>
      </c>
      <c r="N87" s="2">
        <v>50.0</v>
      </c>
      <c r="O87" s="2">
        <v>0.0</v>
      </c>
      <c r="P87" s="2">
        <v>197.0</v>
      </c>
      <c r="Q87" s="2">
        <v>0.0</v>
      </c>
      <c r="R87" s="2">
        <v>0.0</v>
      </c>
      <c r="S87" s="2">
        <v>0.0</v>
      </c>
      <c r="T87" s="2">
        <v>0.0</v>
      </c>
      <c r="U87" s="2">
        <f t="shared" ref="U87:U89" si="43">(N87+L87+M87)</f>
        <v>61</v>
      </c>
      <c r="V87" s="26">
        <f t="shared" ref="V87:V89" si="44">(U$86-U87)/U$86</f>
        <v>0</v>
      </c>
    </row>
    <row r="88" ht="15.75" customHeight="1">
      <c r="A88" s="2" t="s">
        <v>80</v>
      </c>
      <c r="B88" s="2" t="s">
        <v>32</v>
      </c>
      <c r="C88" s="2" t="s">
        <v>22</v>
      </c>
      <c r="D88" s="2" t="s">
        <v>23</v>
      </c>
      <c r="E88" s="2" t="s">
        <v>118</v>
      </c>
      <c r="F88" s="2">
        <v>3.0</v>
      </c>
      <c r="G88" s="2" t="s">
        <v>96</v>
      </c>
      <c r="H88" s="2">
        <v>31.0</v>
      </c>
      <c r="I88" s="2">
        <v>57.0</v>
      </c>
      <c r="J88" s="2">
        <v>47.0</v>
      </c>
      <c r="K88" s="2">
        <v>0.0</v>
      </c>
      <c r="L88" s="2">
        <v>5.0</v>
      </c>
      <c r="M88" s="2">
        <v>0.0</v>
      </c>
      <c r="N88" s="2">
        <v>56.0</v>
      </c>
      <c r="O88" s="2">
        <v>0.0</v>
      </c>
      <c r="P88" s="2">
        <v>196.0</v>
      </c>
      <c r="Q88" s="2">
        <v>0.0</v>
      </c>
      <c r="R88" s="2">
        <v>0.0</v>
      </c>
      <c r="S88" s="2">
        <v>0.0</v>
      </c>
      <c r="T88" s="2">
        <v>0.0</v>
      </c>
      <c r="U88" s="2">
        <f t="shared" si="43"/>
        <v>61</v>
      </c>
      <c r="V88" s="26">
        <f t="shared" si="44"/>
        <v>0</v>
      </c>
    </row>
    <row r="89" ht="15.75" customHeight="1">
      <c r="A89" s="2" t="s">
        <v>80</v>
      </c>
      <c r="B89" s="2" t="s">
        <v>32</v>
      </c>
      <c r="C89" s="2" t="s">
        <v>22</v>
      </c>
      <c r="D89" s="2" t="s">
        <v>23</v>
      </c>
      <c r="E89" s="2" t="s">
        <v>120</v>
      </c>
      <c r="F89" s="2">
        <v>3.0</v>
      </c>
      <c r="G89" s="2" t="s">
        <v>98</v>
      </c>
      <c r="H89" s="2">
        <v>37.0</v>
      </c>
      <c r="I89" s="2">
        <v>53.0</v>
      </c>
      <c r="J89" s="2">
        <v>46.0</v>
      </c>
      <c r="K89" s="2">
        <v>0.0</v>
      </c>
      <c r="L89" s="2">
        <v>7.0</v>
      </c>
      <c r="M89" s="2">
        <v>0.0</v>
      </c>
      <c r="N89" s="2">
        <v>54.0</v>
      </c>
      <c r="O89" s="2">
        <v>0.0</v>
      </c>
      <c r="P89" s="2">
        <v>197.0</v>
      </c>
      <c r="Q89" s="2">
        <v>0.0</v>
      </c>
      <c r="R89" s="2">
        <v>0.0</v>
      </c>
      <c r="S89" s="2">
        <v>0.0</v>
      </c>
      <c r="T89" s="2">
        <v>0.0</v>
      </c>
      <c r="U89" s="2">
        <f t="shared" si="43"/>
        <v>61</v>
      </c>
      <c r="V89" s="26">
        <f t="shared" si="44"/>
        <v>0</v>
      </c>
    </row>
    <row r="90" ht="15.75" customHeight="1">
      <c r="A90" s="2" t="s">
        <v>112</v>
      </c>
      <c r="B90" s="2" t="s">
        <v>113</v>
      </c>
      <c r="C90" s="2" t="s">
        <v>22</v>
      </c>
      <c r="D90" s="2" t="s">
        <v>23</v>
      </c>
      <c r="E90" s="2" t="s">
        <v>41</v>
      </c>
      <c r="F90" s="2">
        <v>3.0</v>
      </c>
      <c r="G90" s="2" t="s">
        <v>25</v>
      </c>
      <c r="H90" s="2">
        <v>41.0</v>
      </c>
      <c r="I90" s="2">
        <v>106.0</v>
      </c>
      <c r="J90" s="2">
        <v>57.0</v>
      </c>
      <c r="K90" s="2">
        <v>0.0</v>
      </c>
      <c r="L90" s="2">
        <v>133.0</v>
      </c>
      <c r="M90" s="2">
        <v>0.0</v>
      </c>
      <c r="N90" s="2">
        <v>1514.0</v>
      </c>
      <c r="O90" s="2">
        <v>0.0</v>
      </c>
      <c r="P90" s="2">
        <v>617.0</v>
      </c>
      <c r="Q90" s="2">
        <v>0.0</v>
      </c>
      <c r="R90" s="2">
        <v>0.0</v>
      </c>
      <c r="S90" s="2">
        <v>0.0</v>
      </c>
      <c r="T90" s="2">
        <v>0.0</v>
      </c>
      <c r="U90" s="3">
        <f>(N90+L90)*1/3</f>
        <v>549</v>
      </c>
    </row>
    <row r="91" ht="15.75" customHeight="1">
      <c r="A91" s="2" t="s">
        <v>112</v>
      </c>
      <c r="B91" s="2" t="s">
        <v>113</v>
      </c>
      <c r="C91" s="2" t="s">
        <v>22</v>
      </c>
      <c r="D91" s="2" t="s">
        <v>23</v>
      </c>
      <c r="E91" s="2" t="s">
        <v>93</v>
      </c>
      <c r="F91" s="2">
        <v>3.0</v>
      </c>
      <c r="G91" s="2" t="s">
        <v>94</v>
      </c>
      <c r="H91" s="2">
        <v>23.0</v>
      </c>
      <c r="I91" s="2">
        <v>35.0</v>
      </c>
      <c r="J91" s="2">
        <v>25.0</v>
      </c>
      <c r="K91" s="2">
        <v>0.0</v>
      </c>
      <c r="L91" s="2">
        <v>42.0</v>
      </c>
      <c r="M91" s="2">
        <v>0.0</v>
      </c>
      <c r="N91" s="2">
        <v>614.0</v>
      </c>
      <c r="O91" s="2">
        <v>0.0</v>
      </c>
      <c r="P91" s="2">
        <v>739.0</v>
      </c>
      <c r="Q91" s="2">
        <v>0.0</v>
      </c>
      <c r="R91" s="2">
        <v>0.0</v>
      </c>
      <c r="S91" s="2">
        <v>0.0</v>
      </c>
      <c r="T91" s="2">
        <v>0.0</v>
      </c>
      <c r="U91" s="2">
        <f t="shared" ref="U91:U93" si="45">(N91+L91)</f>
        <v>656</v>
      </c>
      <c r="V91" s="4">
        <f t="shared" ref="V91:V93" si="46">(U$90-U91)/U$90</f>
        <v>-0.1948998179</v>
      </c>
    </row>
    <row r="92" ht="15.75" customHeight="1">
      <c r="A92" s="2" t="s">
        <v>114</v>
      </c>
      <c r="B92" s="2" t="s">
        <v>113</v>
      </c>
      <c r="C92" s="2" t="s">
        <v>22</v>
      </c>
      <c r="D92" s="2" t="s">
        <v>23</v>
      </c>
      <c r="E92" s="2" t="s">
        <v>53</v>
      </c>
      <c r="F92" s="2">
        <v>3.0</v>
      </c>
      <c r="G92" s="2" t="s">
        <v>25</v>
      </c>
      <c r="H92" s="2">
        <v>9.0</v>
      </c>
      <c r="I92" s="2">
        <v>510.0</v>
      </c>
      <c r="J92" s="2">
        <v>975.0</v>
      </c>
      <c r="K92" s="2">
        <v>0.0</v>
      </c>
      <c r="L92" s="2">
        <v>5.0</v>
      </c>
      <c r="M92" s="2">
        <v>0.0</v>
      </c>
      <c r="N92" s="2">
        <v>124.0</v>
      </c>
      <c r="O92" s="2">
        <v>0.0</v>
      </c>
      <c r="P92" s="2">
        <v>541.0</v>
      </c>
      <c r="Q92" s="2">
        <v>0.0</v>
      </c>
      <c r="R92" s="2">
        <v>0.0</v>
      </c>
      <c r="S92" s="2">
        <v>0.0</v>
      </c>
      <c r="T92" s="2">
        <v>0.0</v>
      </c>
      <c r="U92" s="2">
        <f t="shared" si="45"/>
        <v>129</v>
      </c>
      <c r="V92" s="4">
        <f t="shared" si="46"/>
        <v>0.7650273224</v>
      </c>
    </row>
    <row r="93" ht="15.75" customHeight="1">
      <c r="A93" s="2" t="s">
        <v>114</v>
      </c>
      <c r="B93" s="2" t="s">
        <v>113</v>
      </c>
      <c r="C93" s="2" t="s">
        <v>22</v>
      </c>
      <c r="D93" s="2" t="s">
        <v>23</v>
      </c>
      <c r="E93" s="2" t="s">
        <v>104</v>
      </c>
      <c r="F93" s="2">
        <v>3.0</v>
      </c>
      <c r="G93" s="2" t="s">
        <v>94</v>
      </c>
      <c r="H93" s="2">
        <v>6.0</v>
      </c>
      <c r="I93" s="2">
        <v>193.0</v>
      </c>
      <c r="J93" s="2">
        <v>430.0</v>
      </c>
      <c r="K93" s="2">
        <v>0.0</v>
      </c>
      <c r="L93" s="2">
        <v>4.0</v>
      </c>
      <c r="M93" s="2">
        <v>0.0</v>
      </c>
      <c r="N93" s="2">
        <v>53.0</v>
      </c>
      <c r="O93" s="2">
        <v>0.0</v>
      </c>
      <c r="P93" s="2">
        <v>686.0</v>
      </c>
      <c r="Q93" s="2">
        <v>0.0</v>
      </c>
      <c r="R93" s="2">
        <v>0.0</v>
      </c>
      <c r="S93" s="2">
        <v>0.0</v>
      </c>
      <c r="T93" s="2">
        <v>0.0</v>
      </c>
      <c r="U93" s="2">
        <f t="shared" si="45"/>
        <v>57</v>
      </c>
      <c r="V93" s="26">
        <f t="shared" si="46"/>
        <v>0.8961748634</v>
      </c>
    </row>
    <row r="94" ht="15.75" customHeight="1">
      <c r="A94" s="2" t="s">
        <v>116</v>
      </c>
      <c r="B94" s="2" t="s">
        <v>113</v>
      </c>
      <c r="C94" s="2" t="s">
        <v>22</v>
      </c>
      <c r="D94" s="2" t="s">
        <v>23</v>
      </c>
      <c r="E94" s="2" t="s">
        <v>60</v>
      </c>
      <c r="F94" s="2">
        <v>3.0</v>
      </c>
      <c r="G94" s="2" t="s">
        <v>25</v>
      </c>
      <c r="H94" s="2">
        <v>81.0</v>
      </c>
      <c r="I94" s="2">
        <v>129.0</v>
      </c>
      <c r="J94" s="2">
        <v>537.0</v>
      </c>
      <c r="K94" s="2">
        <v>0.0</v>
      </c>
      <c r="L94" s="2">
        <v>39.0</v>
      </c>
      <c r="M94" s="2">
        <v>0.0</v>
      </c>
      <c r="N94" s="2">
        <v>711.0</v>
      </c>
      <c r="O94" s="2">
        <v>0.0</v>
      </c>
      <c r="P94" s="2">
        <v>499.0</v>
      </c>
      <c r="Q94" s="2">
        <v>0.0</v>
      </c>
      <c r="R94" s="2">
        <v>0.0</v>
      </c>
      <c r="S94" s="2">
        <v>0.0</v>
      </c>
      <c r="T94" s="2">
        <v>0.0</v>
      </c>
      <c r="U94" s="3">
        <f>(N94+L94)*1/3</f>
        <v>250</v>
      </c>
    </row>
    <row r="95" ht="15.75" customHeight="1">
      <c r="A95" s="2" t="s">
        <v>116</v>
      </c>
      <c r="B95" s="2" t="s">
        <v>113</v>
      </c>
      <c r="C95" s="2" t="s">
        <v>22</v>
      </c>
      <c r="D95" s="2" t="s">
        <v>23</v>
      </c>
      <c r="E95" s="2" t="s">
        <v>108</v>
      </c>
      <c r="F95" s="2">
        <v>3.0</v>
      </c>
      <c r="G95" s="2" t="s">
        <v>94</v>
      </c>
      <c r="H95" s="2">
        <v>26.0</v>
      </c>
      <c r="I95" s="2">
        <v>52.0</v>
      </c>
      <c r="J95" s="2">
        <v>211.0</v>
      </c>
      <c r="K95" s="2">
        <v>0.0</v>
      </c>
      <c r="L95" s="2">
        <v>12.0</v>
      </c>
      <c r="M95" s="2">
        <v>0.0</v>
      </c>
      <c r="N95" s="2">
        <v>274.0</v>
      </c>
      <c r="O95" s="2">
        <v>0.0</v>
      </c>
      <c r="P95" s="2">
        <v>575.0</v>
      </c>
      <c r="Q95" s="2">
        <v>0.0</v>
      </c>
      <c r="R95" s="2">
        <v>0.0</v>
      </c>
      <c r="S95" s="2">
        <v>0.0</v>
      </c>
      <c r="T95" s="2">
        <v>0.0</v>
      </c>
    </row>
    <row r="96" ht="15.75" customHeight="1">
      <c r="A96" s="2" t="s">
        <v>119</v>
      </c>
      <c r="B96" s="2" t="s">
        <v>113</v>
      </c>
      <c r="C96" s="2" t="s">
        <v>22</v>
      </c>
      <c r="D96" s="2" t="s">
        <v>23</v>
      </c>
      <c r="E96" s="2" t="s">
        <v>70</v>
      </c>
      <c r="F96" s="2">
        <v>3.0</v>
      </c>
      <c r="G96" s="2" t="s">
        <v>25</v>
      </c>
      <c r="H96" s="2">
        <v>46.0</v>
      </c>
      <c r="I96" s="2">
        <v>20.0</v>
      </c>
      <c r="J96" s="2">
        <v>156.0</v>
      </c>
      <c r="K96" s="2">
        <v>0.0</v>
      </c>
      <c r="L96" s="2">
        <v>41.0</v>
      </c>
      <c r="M96" s="2">
        <v>0.0</v>
      </c>
      <c r="N96" s="2">
        <v>235.0</v>
      </c>
      <c r="O96" s="2">
        <v>0.0</v>
      </c>
      <c r="P96" s="2">
        <v>166.0</v>
      </c>
      <c r="Q96" s="2">
        <v>0.0</v>
      </c>
      <c r="R96" s="2">
        <v>0.0</v>
      </c>
      <c r="S96" s="2">
        <v>0.0</v>
      </c>
      <c r="T96" s="2">
        <v>0.0</v>
      </c>
    </row>
    <row r="97" ht="15.75" customHeight="1">
      <c r="A97" s="2" t="s">
        <v>119</v>
      </c>
      <c r="B97" s="2" t="s">
        <v>113</v>
      </c>
      <c r="C97" s="2" t="s">
        <v>22</v>
      </c>
      <c r="D97" s="2" t="s">
        <v>23</v>
      </c>
      <c r="E97" s="2" t="s">
        <v>115</v>
      </c>
      <c r="F97" s="2">
        <v>3.0</v>
      </c>
      <c r="G97" s="2" t="s">
        <v>94</v>
      </c>
      <c r="H97" s="2">
        <v>13.0</v>
      </c>
      <c r="I97" s="2">
        <v>9.0</v>
      </c>
      <c r="J97" s="2">
        <v>63.0</v>
      </c>
      <c r="K97" s="2">
        <v>0.0</v>
      </c>
      <c r="L97" s="2">
        <v>10.0</v>
      </c>
      <c r="M97" s="2">
        <v>0.0</v>
      </c>
      <c r="N97" s="2">
        <v>85.0</v>
      </c>
      <c r="O97" s="2">
        <v>0.0</v>
      </c>
      <c r="P97" s="2">
        <v>180.0</v>
      </c>
      <c r="Q97" s="2">
        <v>0.0</v>
      </c>
      <c r="R97" s="2">
        <v>0.0</v>
      </c>
      <c r="S97" s="2">
        <v>0.0</v>
      </c>
      <c r="T97" s="2">
        <v>0.0</v>
      </c>
    </row>
    <row r="98" ht="15.75" customHeight="1">
      <c r="A98" s="2" t="s">
        <v>87</v>
      </c>
      <c r="B98" s="2" t="s">
        <v>43</v>
      </c>
      <c r="C98" s="2" t="s">
        <v>22</v>
      </c>
      <c r="D98" s="2" t="s">
        <v>23</v>
      </c>
      <c r="E98" s="2" t="s">
        <v>41</v>
      </c>
      <c r="F98" s="2">
        <v>3.0</v>
      </c>
      <c r="G98" s="2" t="s">
        <v>25</v>
      </c>
      <c r="H98" s="2">
        <v>162.0</v>
      </c>
      <c r="I98" s="2">
        <v>312.0</v>
      </c>
      <c r="J98" s="2">
        <v>441.0</v>
      </c>
      <c r="K98" s="2">
        <v>0.0</v>
      </c>
      <c r="L98" s="2">
        <v>209.0</v>
      </c>
      <c r="M98" s="2">
        <v>0.0</v>
      </c>
      <c r="N98" s="2">
        <v>1483.0</v>
      </c>
      <c r="O98" s="2">
        <v>0.0</v>
      </c>
      <c r="P98" s="2">
        <v>869.0</v>
      </c>
      <c r="Q98" s="2">
        <v>0.0</v>
      </c>
      <c r="R98" s="2">
        <v>0.0</v>
      </c>
      <c r="S98" s="2">
        <v>0.0</v>
      </c>
      <c r="T98" s="2">
        <v>0.0</v>
      </c>
    </row>
    <row r="99" ht="15.75" customHeight="1">
      <c r="A99" s="2" t="s">
        <v>87</v>
      </c>
      <c r="B99" s="2" t="s">
        <v>43</v>
      </c>
      <c r="C99" s="2" t="s">
        <v>22</v>
      </c>
      <c r="D99" s="2" t="s">
        <v>23</v>
      </c>
      <c r="E99" s="2" t="s">
        <v>93</v>
      </c>
      <c r="F99" s="2">
        <v>3.0</v>
      </c>
      <c r="G99" s="2" t="s">
        <v>94</v>
      </c>
      <c r="H99" s="2">
        <v>54.0</v>
      </c>
      <c r="I99" s="2">
        <v>108.0</v>
      </c>
      <c r="J99" s="2">
        <v>134.0</v>
      </c>
      <c r="K99" s="2">
        <v>0.0</v>
      </c>
      <c r="L99" s="2">
        <v>54.0</v>
      </c>
      <c r="M99" s="2">
        <v>0.0</v>
      </c>
      <c r="N99" s="2">
        <v>505.0</v>
      </c>
      <c r="O99" s="2">
        <v>0.0</v>
      </c>
      <c r="P99" s="2">
        <v>855.0</v>
      </c>
      <c r="Q99" s="2">
        <v>0.0</v>
      </c>
      <c r="R99" s="2">
        <v>0.0</v>
      </c>
      <c r="S99" s="2">
        <v>0.0</v>
      </c>
      <c r="T99" s="2">
        <v>0.0</v>
      </c>
    </row>
    <row r="100" ht="15.75" customHeight="1">
      <c r="A100" s="2" t="s">
        <v>87</v>
      </c>
      <c r="B100" s="2" t="s">
        <v>43</v>
      </c>
      <c r="C100" s="2" t="s">
        <v>22</v>
      </c>
      <c r="D100" s="2" t="s">
        <v>23</v>
      </c>
      <c r="E100" s="2" t="s">
        <v>95</v>
      </c>
      <c r="F100" s="2">
        <v>3.0</v>
      </c>
      <c r="G100" s="2" t="s">
        <v>96</v>
      </c>
      <c r="H100" s="2">
        <v>40.0</v>
      </c>
      <c r="I100" s="2">
        <v>119.0</v>
      </c>
      <c r="J100" s="2">
        <v>129.0</v>
      </c>
      <c r="K100" s="2">
        <v>0.0</v>
      </c>
      <c r="L100" s="2">
        <v>55.0</v>
      </c>
      <c r="M100" s="2">
        <v>0.0</v>
      </c>
      <c r="N100" s="2">
        <v>500.0</v>
      </c>
      <c r="O100" s="2">
        <v>0.0</v>
      </c>
      <c r="P100" s="2">
        <v>843.0</v>
      </c>
      <c r="Q100" s="2">
        <v>0.0</v>
      </c>
      <c r="R100" s="2">
        <v>0.0</v>
      </c>
      <c r="S100" s="2">
        <v>0.0</v>
      </c>
      <c r="T100" s="2">
        <v>0.0</v>
      </c>
    </row>
    <row r="101" ht="15.75" customHeight="1">
      <c r="A101" s="2" t="s">
        <v>87</v>
      </c>
      <c r="B101" s="2" t="s">
        <v>43</v>
      </c>
      <c r="C101" s="2" t="s">
        <v>22</v>
      </c>
      <c r="D101" s="2" t="s">
        <v>23</v>
      </c>
      <c r="E101" s="2" t="s">
        <v>97</v>
      </c>
      <c r="F101" s="2">
        <v>3.0</v>
      </c>
      <c r="G101" s="2" t="s">
        <v>98</v>
      </c>
      <c r="H101" s="2">
        <v>51.0</v>
      </c>
      <c r="I101" s="2">
        <v>109.0</v>
      </c>
      <c r="J101" s="2">
        <v>125.0</v>
      </c>
      <c r="K101" s="2">
        <v>0.0</v>
      </c>
      <c r="L101" s="2">
        <v>59.0</v>
      </c>
      <c r="M101" s="2">
        <v>0.0</v>
      </c>
      <c r="N101" s="2">
        <v>485.0</v>
      </c>
      <c r="O101" s="2">
        <v>0.0</v>
      </c>
      <c r="P101" s="2">
        <v>829.0</v>
      </c>
      <c r="Q101" s="2">
        <v>0.0</v>
      </c>
      <c r="R101" s="2">
        <v>0.0</v>
      </c>
      <c r="S101" s="2">
        <v>0.0</v>
      </c>
      <c r="T101" s="2">
        <v>0.0</v>
      </c>
    </row>
    <row r="102" ht="15.75" customHeight="1">
      <c r="A102" s="2" t="s">
        <v>88</v>
      </c>
      <c r="B102" s="2" t="s">
        <v>43</v>
      </c>
      <c r="C102" s="2" t="s">
        <v>22</v>
      </c>
      <c r="D102" s="2" t="s">
        <v>23</v>
      </c>
      <c r="E102" s="2" t="s">
        <v>53</v>
      </c>
      <c r="F102" s="2">
        <v>3.0</v>
      </c>
      <c r="G102" s="2" t="s">
        <v>25</v>
      </c>
      <c r="H102" s="2">
        <v>16.0</v>
      </c>
      <c r="I102" s="2">
        <v>734.0</v>
      </c>
      <c r="J102" s="2">
        <v>1275.0</v>
      </c>
      <c r="K102" s="2">
        <v>0.0</v>
      </c>
      <c r="L102" s="2">
        <v>27.0</v>
      </c>
      <c r="M102" s="2">
        <v>0.0</v>
      </c>
      <c r="N102" s="2">
        <v>138.0</v>
      </c>
      <c r="O102" s="2">
        <v>0.0</v>
      </c>
      <c r="P102" s="2">
        <v>730.0</v>
      </c>
      <c r="Q102" s="2">
        <v>0.0</v>
      </c>
      <c r="R102" s="2">
        <v>0.0</v>
      </c>
      <c r="S102" s="2">
        <v>0.0</v>
      </c>
      <c r="T102" s="2">
        <v>0.0</v>
      </c>
    </row>
    <row r="103" ht="15.75" customHeight="1">
      <c r="A103" s="2" t="s">
        <v>88</v>
      </c>
      <c r="B103" s="2" t="s">
        <v>43</v>
      </c>
      <c r="C103" s="2" t="s">
        <v>22</v>
      </c>
      <c r="D103" s="2" t="s">
        <v>23</v>
      </c>
      <c r="E103" s="2" t="s">
        <v>104</v>
      </c>
      <c r="F103" s="2">
        <v>3.0</v>
      </c>
      <c r="G103" s="2" t="s">
        <v>94</v>
      </c>
      <c r="H103" s="2">
        <v>2.0</v>
      </c>
      <c r="I103" s="2">
        <v>221.0</v>
      </c>
      <c r="J103" s="2">
        <v>439.0</v>
      </c>
      <c r="K103" s="2">
        <v>0.0</v>
      </c>
      <c r="L103" s="2">
        <v>6.0</v>
      </c>
      <c r="M103" s="2">
        <v>0.0</v>
      </c>
      <c r="N103" s="2">
        <v>44.0</v>
      </c>
      <c r="O103" s="2">
        <v>0.0</v>
      </c>
      <c r="P103" s="2">
        <v>712.0</v>
      </c>
      <c r="Q103" s="2">
        <v>0.0</v>
      </c>
      <c r="R103" s="2">
        <v>0.0</v>
      </c>
      <c r="S103" s="2">
        <v>0.0</v>
      </c>
      <c r="T103" s="2">
        <v>0.0</v>
      </c>
    </row>
    <row r="104" ht="15.75" customHeight="1">
      <c r="A104" s="2" t="s">
        <v>88</v>
      </c>
      <c r="B104" s="2" t="s">
        <v>43</v>
      </c>
      <c r="C104" s="2" t="s">
        <v>22</v>
      </c>
      <c r="D104" s="2" t="s">
        <v>23</v>
      </c>
      <c r="E104" s="2" t="s">
        <v>106</v>
      </c>
      <c r="F104" s="2">
        <v>3.0</v>
      </c>
      <c r="G104" s="2" t="s">
        <v>96</v>
      </c>
      <c r="H104" s="2">
        <v>6.0</v>
      </c>
      <c r="I104" s="2">
        <v>238.0</v>
      </c>
      <c r="J104" s="2">
        <v>391.0</v>
      </c>
      <c r="K104" s="2">
        <v>0.0</v>
      </c>
      <c r="L104" s="2">
        <v>5.0</v>
      </c>
      <c r="M104" s="2">
        <v>0.0</v>
      </c>
      <c r="N104" s="2">
        <v>44.0</v>
      </c>
      <c r="O104" s="2">
        <v>0.0</v>
      </c>
      <c r="P104" s="2">
        <v>684.0</v>
      </c>
      <c r="Q104" s="2">
        <v>0.0</v>
      </c>
      <c r="R104" s="2">
        <v>0.0</v>
      </c>
      <c r="S104" s="2">
        <v>0.0</v>
      </c>
      <c r="T104" s="2">
        <v>0.0</v>
      </c>
    </row>
    <row r="105" ht="15.75" customHeight="1">
      <c r="A105" s="2" t="s">
        <v>88</v>
      </c>
      <c r="B105" s="2" t="s">
        <v>43</v>
      </c>
      <c r="C105" s="2" t="s">
        <v>22</v>
      </c>
      <c r="D105" s="2" t="s">
        <v>23</v>
      </c>
      <c r="E105" s="2" t="s">
        <v>107</v>
      </c>
      <c r="F105" s="2">
        <v>3.0</v>
      </c>
      <c r="G105" s="2" t="s">
        <v>98</v>
      </c>
      <c r="H105" s="2">
        <v>5.0</v>
      </c>
      <c r="I105" s="2">
        <v>207.0</v>
      </c>
      <c r="J105" s="2">
        <v>402.0</v>
      </c>
      <c r="K105" s="2">
        <v>0.0</v>
      </c>
      <c r="L105" s="2">
        <v>4.0</v>
      </c>
      <c r="M105" s="2">
        <v>0.0</v>
      </c>
      <c r="N105" s="2">
        <v>44.0</v>
      </c>
      <c r="O105" s="2">
        <v>0.0</v>
      </c>
      <c r="P105" s="2">
        <v>662.0</v>
      </c>
      <c r="Q105" s="2">
        <v>0.0</v>
      </c>
      <c r="R105" s="2">
        <v>0.0</v>
      </c>
      <c r="S105" s="2">
        <v>0.0</v>
      </c>
      <c r="T105" s="2">
        <v>0.0</v>
      </c>
    </row>
    <row r="106" ht="15.75" customHeight="1">
      <c r="A106" s="2" t="s">
        <v>89</v>
      </c>
      <c r="B106" s="2" t="s">
        <v>43</v>
      </c>
      <c r="C106" s="2" t="s">
        <v>22</v>
      </c>
      <c r="D106" s="2" t="s">
        <v>23</v>
      </c>
      <c r="E106" s="2" t="s">
        <v>60</v>
      </c>
      <c r="F106" s="2">
        <v>3.0</v>
      </c>
      <c r="G106" s="2" t="s">
        <v>25</v>
      </c>
      <c r="H106" s="2">
        <v>85.0</v>
      </c>
      <c r="I106" s="2">
        <v>188.0</v>
      </c>
      <c r="J106" s="2">
        <v>573.0</v>
      </c>
      <c r="K106" s="2">
        <v>0.0</v>
      </c>
      <c r="L106" s="2">
        <v>125.0</v>
      </c>
      <c r="M106" s="2">
        <v>0.0</v>
      </c>
      <c r="N106" s="2">
        <v>523.0</v>
      </c>
      <c r="O106" s="2">
        <v>0.0</v>
      </c>
      <c r="P106" s="2">
        <v>498.0</v>
      </c>
      <c r="Q106" s="2">
        <v>0.0</v>
      </c>
      <c r="R106" s="2">
        <v>0.0</v>
      </c>
      <c r="S106" s="2">
        <v>0.0</v>
      </c>
      <c r="T106" s="2">
        <v>0.0</v>
      </c>
    </row>
    <row r="107" ht="15.75" customHeight="1">
      <c r="A107" s="2" t="s">
        <v>89</v>
      </c>
      <c r="B107" s="2" t="s">
        <v>43</v>
      </c>
      <c r="C107" s="2" t="s">
        <v>22</v>
      </c>
      <c r="D107" s="2" t="s">
        <v>23</v>
      </c>
      <c r="E107" s="2" t="s">
        <v>108</v>
      </c>
      <c r="F107" s="2">
        <v>3.0</v>
      </c>
      <c r="G107" s="2" t="s">
        <v>94</v>
      </c>
      <c r="H107" s="2">
        <v>23.0</v>
      </c>
      <c r="I107" s="2">
        <v>59.0</v>
      </c>
      <c r="J107" s="2">
        <v>174.0</v>
      </c>
      <c r="K107" s="2">
        <v>0.0</v>
      </c>
      <c r="L107" s="2">
        <v>35.0</v>
      </c>
      <c r="M107" s="2">
        <v>0.0</v>
      </c>
      <c r="N107" s="2">
        <v>173.0</v>
      </c>
      <c r="O107" s="2">
        <v>0.0</v>
      </c>
      <c r="P107" s="2">
        <v>464.0</v>
      </c>
      <c r="Q107" s="2">
        <v>0.0</v>
      </c>
      <c r="R107" s="2">
        <v>0.0</v>
      </c>
      <c r="S107" s="2">
        <v>0.0</v>
      </c>
      <c r="T107" s="2">
        <v>0.0</v>
      </c>
    </row>
    <row r="108" ht="15.75" customHeight="1">
      <c r="A108" s="2" t="s">
        <v>89</v>
      </c>
      <c r="B108" s="2" t="s">
        <v>43</v>
      </c>
      <c r="C108" s="2" t="s">
        <v>22</v>
      </c>
      <c r="D108" s="2" t="s">
        <v>23</v>
      </c>
      <c r="E108" s="2" t="s">
        <v>110</v>
      </c>
      <c r="F108" s="2">
        <v>3.0</v>
      </c>
      <c r="G108" s="2" t="s">
        <v>96</v>
      </c>
      <c r="H108" s="2">
        <v>32.0</v>
      </c>
      <c r="I108" s="2">
        <v>52.0</v>
      </c>
      <c r="J108" s="2">
        <v>145.0</v>
      </c>
      <c r="K108" s="2">
        <v>0.0</v>
      </c>
      <c r="L108" s="2">
        <v>34.0</v>
      </c>
      <c r="M108" s="2">
        <v>0.0</v>
      </c>
      <c r="N108" s="2">
        <v>166.0</v>
      </c>
      <c r="O108" s="2">
        <v>0.0</v>
      </c>
      <c r="P108" s="2">
        <v>429.0</v>
      </c>
      <c r="Q108" s="2">
        <v>0.0</v>
      </c>
      <c r="R108" s="2">
        <v>0.0</v>
      </c>
      <c r="S108" s="2">
        <v>0.0</v>
      </c>
      <c r="T108" s="2">
        <v>0.0</v>
      </c>
    </row>
    <row r="109" ht="15.75" customHeight="1">
      <c r="A109" s="2" t="s">
        <v>89</v>
      </c>
      <c r="B109" s="2" t="s">
        <v>43</v>
      </c>
      <c r="C109" s="2" t="s">
        <v>22</v>
      </c>
      <c r="D109" s="2" t="s">
        <v>23</v>
      </c>
      <c r="E109" s="2" t="s">
        <v>111</v>
      </c>
      <c r="F109" s="2">
        <v>3.0</v>
      </c>
      <c r="G109" s="2" t="s">
        <v>98</v>
      </c>
      <c r="H109" s="2">
        <v>32.0</v>
      </c>
      <c r="I109" s="2">
        <v>56.0</v>
      </c>
      <c r="J109" s="2">
        <v>150.0</v>
      </c>
      <c r="K109" s="2">
        <v>0.0</v>
      </c>
      <c r="L109" s="2">
        <v>35.0</v>
      </c>
      <c r="M109" s="2">
        <v>0.0</v>
      </c>
      <c r="N109" s="2">
        <v>167.0</v>
      </c>
      <c r="O109" s="2">
        <v>0.0</v>
      </c>
      <c r="P109" s="2">
        <v>440.0</v>
      </c>
      <c r="Q109" s="2">
        <v>0.0</v>
      </c>
      <c r="R109" s="2">
        <v>0.0</v>
      </c>
      <c r="S109" s="2">
        <v>0.0</v>
      </c>
      <c r="T109" s="2">
        <v>0.0</v>
      </c>
    </row>
    <row r="110" ht="15.75" customHeight="1">
      <c r="A110" s="2" t="s">
        <v>91</v>
      </c>
      <c r="B110" s="2" t="s">
        <v>43</v>
      </c>
      <c r="C110" s="2" t="s">
        <v>22</v>
      </c>
      <c r="D110" s="2" t="s">
        <v>23</v>
      </c>
      <c r="E110" s="2" t="s">
        <v>70</v>
      </c>
      <c r="F110" s="2">
        <v>3.0</v>
      </c>
      <c r="G110" s="2" t="s">
        <v>25</v>
      </c>
      <c r="H110" s="2">
        <v>38.0</v>
      </c>
      <c r="I110" s="2">
        <v>7.0</v>
      </c>
      <c r="J110" s="2">
        <v>87.0</v>
      </c>
      <c r="K110" s="2">
        <v>0.0</v>
      </c>
      <c r="L110" s="2">
        <v>40.0</v>
      </c>
      <c r="M110" s="2">
        <v>0.0</v>
      </c>
      <c r="N110" s="2">
        <v>263.0</v>
      </c>
      <c r="O110" s="2">
        <v>0.0</v>
      </c>
      <c r="P110" s="2">
        <v>145.0</v>
      </c>
      <c r="Q110" s="2">
        <v>0.0</v>
      </c>
      <c r="R110" s="2">
        <v>0.0</v>
      </c>
      <c r="S110" s="2">
        <v>0.0</v>
      </c>
      <c r="T110" s="2">
        <v>0.0</v>
      </c>
    </row>
    <row r="111" ht="15.75" customHeight="1">
      <c r="A111" s="2" t="s">
        <v>91</v>
      </c>
      <c r="B111" s="2" t="s">
        <v>43</v>
      </c>
      <c r="C111" s="2" t="s">
        <v>22</v>
      </c>
      <c r="D111" s="2" t="s">
        <v>23</v>
      </c>
      <c r="E111" s="2" t="s">
        <v>115</v>
      </c>
      <c r="F111" s="2">
        <v>3.0</v>
      </c>
      <c r="G111" s="2" t="s">
        <v>94</v>
      </c>
      <c r="H111" s="2">
        <v>17.0</v>
      </c>
      <c r="I111" s="2">
        <v>0.0</v>
      </c>
      <c r="J111" s="2">
        <v>25.0</v>
      </c>
      <c r="K111" s="2">
        <v>0.0</v>
      </c>
      <c r="L111" s="2">
        <v>22.0</v>
      </c>
      <c r="M111" s="2">
        <v>0.0</v>
      </c>
      <c r="N111" s="2">
        <v>62.0</v>
      </c>
      <c r="O111" s="2">
        <v>0.0</v>
      </c>
      <c r="P111" s="2">
        <v>126.0</v>
      </c>
      <c r="Q111" s="2">
        <v>0.0</v>
      </c>
      <c r="R111" s="2">
        <v>0.0</v>
      </c>
      <c r="S111" s="2">
        <v>0.0</v>
      </c>
      <c r="T111" s="2">
        <v>0.0</v>
      </c>
    </row>
    <row r="112" ht="15.75" customHeight="1">
      <c r="A112" s="2" t="s">
        <v>91</v>
      </c>
      <c r="B112" s="2" t="s">
        <v>43</v>
      </c>
      <c r="C112" s="2" t="s">
        <v>22</v>
      </c>
      <c r="D112" s="2" t="s">
        <v>23</v>
      </c>
      <c r="E112" s="2" t="s">
        <v>118</v>
      </c>
      <c r="F112" s="2">
        <v>3.0</v>
      </c>
      <c r="G112" s="2" t="s">
        <v>96</v>
      </c>
      <c r="H112" s="2">
        <v>16.0</v>
      </c>
      <c r="I112" s="2">
        <v>1.0</v>
      </c>
      <c r="J112" s="2">
        <v>26.0</v>
      </c>
      <c r="K112" s="2">
        <v>0.0</v>
      </c>
      <c r="L112" s="2">
        <v>15.0</v>
      </c>
      <c r="M112" s="2">
        <v>0.0</v>
      </c>
      <c r="N112" s="2">
        <v>64.0</v>
      </c>
      <c r="O112" s="2">
        <v>0.0</v>
      </c>
      <c r="P112" s="2">
        <v>122.0</v>
      </c>
      <c r="Q112" s="2">
        <v>0.0</v>
      </c>
      <c r="R112" s="2">
        <v>0.0</v>
      </c>
      <c r="S112" s="2">
        <v>0.0</v>
      </c>
      <c r="T112" s="2">
        <v>0.0</v>
      </c>
    </row>
    <row r="113" ht="15.75" customHeight="1">
      <c r="A113" s="2" t="s">
        <v>91</v>
      </c>
      <c r="B113" s="2" t="s">
        <v>43</v>
      </c>
      <c r="C113" s="2" t="s">
        <v>22</v>
      </c>
      <c r="D113" s="2" t="s">
        <v>23</v>
      </c>
      <c r="E113" s="2" t="s">
        <v>120</v>
      </c>
      <c r="F113" s="2">
        <v>3.0</v>
      </c>
      <c r="G113" s="2" t="s">
        <v>98</v>
      </c>
      <c r="H113" s="2">
        <v>16.0</v>
      </c>
      <c r="I113" s="2">
        <v>4.0</v>
      </c>
      <c r="J113" s="2">
        <v>23.0</v>
      </c>
      <c r="K113" s="2">
        <v>0.0</v>
      </c>
      <c r="L113" s="2">
        <v>14.0</v>
      </c>
      <c r="M113" s="2">
        <v>0.0</v>
      </c>
      <c r="N113" s="2">
        <v>58.0</v>
      </c>
      <c r="O113" s="2">
        <v>0.0</v>
      </c>
      <c r="P113" s="2">
        <v>115.0</v>
      </c>
      <c r="Q113" s="2">
        <v>0.0</v>
      </c>
      <c r="R113" s="2">
        <v>0.0</v>
      </c>
      <c r="S113" s="2">
        <v>0.0</v>
      </c>
      <c r="T113" s="2">
        <v>0.0</v>
      </c>
    </row>
    <row r="114" ht="15.75" customHeight="1">
      <c r="A114" s="10" t="s">
        <v>112</v>
      </c>
      <c r="B114" s="10" t="s">
        <v>113</v>
      </c>
      <c r="C114" s="10" t="s">
        <v>22</v>
      </c>
      <c r="D114" s="10" t="s">
        <v>23</v>
      </c>
      <c r="E114" s="10" t="s">
        <v>41</v>
      </c>
      <c r="F114" s="10">
        <v>3.0</v>
      </c>
      <c r="G114" s="10" t="s">
        <v>25</v>
      </c>
      <c r="H114" s="10">
        <v>41.0</v>
      </c>
      <c r="I114" s="10">
        <v>106.0</v>
      </c>
      <c r="J114" s="10">
        <v>57.0</v>
      </c>
      <c r="K114" s="10">
        <v>0.0</v>
      </c>
      <c r="L114" s="10">
        <v>133.0</v>
      </c>
      <c r="M114" s="10">
        <v>0.0</v>
      </c>
      <c r="N114" s="10">
        <v>1514.0</v>
      </c>
      <c r="O114" s="10">
        <v>0.0</v>
      </c>
      <c r="P114" s="10">
        <v>617.0</v>
      </c>
      <c r="Q114" s="10">
        <v>0.0</v>
      </c>
      <c r="R114" s="10">
        <v>0.0</v>
      </c>
      <c r="S114" s="10">
        <v>0.0</v>
      </c>
      <c r="T114" s="10">
        <v>0.0</v>
      </c>
    </row>
    <row r="115" ht="15.75" customHeight="1">
      <c r="A115" s="2" t="s">
        <v>112</v>
      </c>
      <c r="B115" s="2" t="s">
        <v>113</v>
      </c>
      <c r="C115" s="2" t="s">
        <v>22</v>
      </c>
      <c r="D115" s="2" t="s">
        <v>23</v>
      </c>
      <c r="E115" s="2" t="s">
        <v>44</v>
      </c>
      <c r="F115" s="2">
        <v>3.0</v>
      </c>
      <c r="G115" s="2" t="s">
        <v>45</v>
      </c>
      <c r="H115" s="2">
        <v>45.0</v>
      </c>
      <c r="I115" s="2">
        <v>67.0</v>
      </c>
      <c r="J115" s="2">
        <v>58.0</v>
      </c>
      <c r="K115" s="2">
        <v>0.0</v>
      </c>
      <c r="L115" s="2">
        <v>86.0</v>
      </c>
      <c r="M115" s="2">
        <v>0.0</v>
      </c>
      <c r="N115" s="2">
        <v>1138.0</v>
      </c>
      <c r="O115" s="2">
        <v>0.0</v>
      </c>
      <c r="P115" s="2">
        <v>697.0</v>
      </c>
      <c r="Q115" s="2">
        <v>0.0</v>
      </c>
      <c r="R115" s="2">
        <v>0.0</v>
      </c>
      <c r="S115" s="2">
        <v>0.0</v>
      </c>
      <c r="T115" s="2">
        <v>0.0</v>
      </c>
    </row>
    <row r="116" ht="15.75" customHeight="1">
      <c r="A116" s="2" t="s">
        <v>112</v>
      </c>
      <c r="B116" s="2" t="s">
        <v>113</v>
      </c>
      <c r="C116" s="2" t="s">
        <v>22</v>
      </c>
      <c r="D116" s="2" t="s">
        <v>23</v>
      </c>
      <c r="E116" s="2" t="s">
        <v>46</v>
      </c>
      <c r="F116" s="2">
        <v>3.0</v>
      </c>
      <c r="G116" s="2" t="s">
        <v>47</v>
      </c>
      <c r="H116" s="2">
        <v>29.0</v>
      </c>
      <c r="I116" s="2">
        <v>81.0</v>
      </c>
      <c r="J116" s="2">
        <v>40.0</v>
      </c>
      <c r="K116" s="2">
        <v>0.0</v>
      </c>
      <c r="L116" s="2">
        <v>65.0</v>
      </c>
      <c r="M116" s="2">
        <v>0.0</v>
      </c>
      <c r="N116" s="2">
        <v>1089.0</v>
      </c>
      <c r="O116" s="2">
        <v>0.0</v>
      </c>
      <c r="P116" s="2">
        <v>652.0</v>
      </c>
      <c r="Q116" s="2">
        <v>0.0</v>
      </c>
      <c r="R116" s="2">
        <v>0.0</v>
      </c>
      <c r="S116" s="2">
        <v>0.0</v>
      </c>
      <c r="T116" s="2">
        <v>0.0</v>
      </c>
    </row>
    <row r="117" ht="15.75" customHeight="1">
      <c r="A117" s="2" t="s">
        <v>112</v>
      </c>
      <c r="B117" s="2" t="s">
        <v>113</v>
      </c>
      <c r="C117" s="2" t="s">
        <v>22</v>
      </c>
      <c r="D117" s="2" t="s">
        <v>23</v>
      </c>
      <c r="E117" s="2" t="s">
        <v>50</v>
      </c>
      <c r="F117" s="2">
        <v>3.0</v>
      </c>
      <c r="G117" s="2" t="s">
        <v>51</v>
      </c>
      <c r="H117" s="2">
        <v>29.0</v>
      </c>
      <c r="I117" s="2">
        <v>55.0</v>
      </c>
      <c r="J117" s="2">
        <v>46.0</v>
      </c>
      <c r="K117" s="2">
        <v>0.0</v>
      </c>
      <c r="L117" s="2">
        <v>68.0</v>
      </c>
      <c r="M117" s="2">
        <v>0.0</v>
      </c>
      <c r="N117" s="2">
        <v>1050.0</v>
      </c>
      <c r="O117" s="2">
        <v>0.0</v>
      </c>
      <c r="P117" s="2">
        <v>624.0</v>
      </c>
      <c r="Q117" s="2">
        <v>0.0</v>
      </c>
      <c r="R117" s="2">
        <v>0.0</v>
      </c>
      <c r="S117" s="2">
        <v>0.0</v>
      </c>
      <c r="T117" s="2">
        <v>0.0</v>
      </c>
    </row>
    <row r="118" ht="15.75" customHeight="1">
      <c r="A118" s="2" t="s">
        <v>114</v>
      </c>
      <c r="B118" s="2" t="s">
        <v>113</v>
      </c>
      <c r="C118" s="2" t="s">
        <v>22</v>
      </c>
      <c r="D118" s="2" t="s">
        <v>23</v>
      </c>
      <c r="E118" s="2" t="s">
        <v>53</v>
      </c>
      <c r="F118" s="2">
        <v>3.0</v>
      </c>
      <c r="G118" s="2" t="s">
        <v>25</v>
      </c>
      <c r="H118" s="2">
        <v>9.0</v>
      </c>
      <c r="I118" s="2">
        <v>510.0</v>
      </c>
      <c r="J118" s="2">
        <v>975.0</v>
      </c>
      <c r="K118" s="2">
        <v>0.0</v>
      </c>
      <c r="L118" s="2">
        <v>5.0</v>
      </c>
      <c r="M118" s="2">
        <v>0.0</v>
      </c>
      <c r="N118" s="2">
        <v>124.0</v>
      </c>
      <c r="O118" s="2">
        <v>0.0</v>
      </c>
      <c r="P118" s="2">
        <v>541.0</v>
      </c>
      <c r="Q118" s="2">
        <v>0.0</v>
      </c>
      <c r="R118" s="2">
        <v>0.0</v>
      </c>
      <c r="S118" s="2">
        <v>0.0</v>
      </c>
      <c r="T118" s="2">
        <v>0.0</v>
      </c>
    </row>
    <row r="119" ht="15.75" customHeight="1">
      <c r="A119" s="2" t="s">
        <v>114</v>
      </c>
      <c r="B119" s="2" t="s">
        <v>113</v>
      </c>
      <c r="C119" s="2" t="s">
        <v>22</v>
      </c>
      <c r="D119" s="2" t="s">
        <v>23</v>
      </c>
      <c r="E119" s="2" t="s">
        <v>55</v>
      </c>
      <c r="F119" s="2">
        <v>3.0</v>
      </c>
      <c r="G119" s="2" t="s">
        <v>45</v>
      </c>
      <c r="H119" s="2">
        <v>7.0</v>
      </c>
      <c r="I119" s="2">
        <v>415.0</v>
      </c>
      <c r="J119" s="2">
        <v>746.0</v>
      </c>
      <c r="K119" s="2">
        <v>0.0</v>
      </c>
      <c r="L119" s="2">
        <v>12.0</v>
      </c>
      <c r="M119" s="2">
        <v>0.0</v>
      </c>
      <c r="N119" s="2">
        <v>100.0</v>
      </c>
      <c r="O119" s="2">
        <v>0.0</v>
      </c>
      <c r="P119" s="2">
        <v>640.0</v>
      </c>
      <c r="Q119" s="2">
        <v>0.0</v>
      </c>
      <c r="R119" s="2">
        <v>0.0</v>
      </c>
      <c r="S119" s="2">
        <v>0.0</v>
      </c>
      <c r="T119" s="2">
        <v>0.0</v>
      </c>
    </row>
    <row r="120" ht="15.75" customHeight="1">
      <c r="A120" s="2" t="s">
        <v>114</v>
      </c>
      <c r="B120" s="2" t="s">
        <v>113</v>
      </c>
      <c r="C120" s="2" t="s">
        <v>22</v>
      </c>
      <c r="D120" s="2" t="s">
        <v>23</v>
      </c>
      <c r="E120" s="2" t="s">
        <v>56</v>
      </c>
      <c r="F120" s="2">
        <v>3.0</v>
      </c>
      <c r="G120" s="2" t="s">
        <v>47</v>
      </c>
      <c r="H120" s="2">
        <v>4.0</v>
      </c>
      <c r="I120" s="2">
        <v>322.0</v>
      </c>
      <c r="J120" s="2">
        <v>770.0</v>
      </c>
      <c r="K120" s="2">
        <v>0.0</v>
      </c>
      <c r="L120" s="2">
        <v>7.0</v>
      </c>
      <c r="M120" s="2">
        <v>0.0</v>
      </c>
      <c r="N120" s="2">
        <v>95.0</v>
      </c>
      <c r="O120" s="2">
        <v>0.0</v>
      </c>
      <c r="P120" s="2">
        <v>599.0</v>
      </c>
      <c r="Q120" s="2">
        <v>0.0</v>
      </c>
      <c r="R120" s="2">
        <v>0.0</v>
      </c>
      <c r="S120" s="2">
        <v>0.0</v>
      </c>
      <c r="T120" s="2">
        <v>0.0</v>
      </c>
    </row>
    <row r="121" ht="15.75" customHeight="1">
      <c r="A121" s="2" t="s">
        <v>114</v>
      </c>
      <c r="B121" s="2" t="s">
        <v>113</v>
      </c>
      <c r="C121" s="2" t="s">
        <v>22</v>
      </c>
      <c r="D121" s="2" t="s">
        <v>23</v>
      </c>
      <c r="E121" s="2" t="s">
        <v>57</v>
      </c>
      <c r="F121" s="2">
        <v>3.0</v>
      </c>
      <c r="G121" s="2" t="s">
        <v>51</v>
      </c>
      <c r="H121" s="2">
        <v>8.0</v>
      </c>
      <c r="I121" s="2">
        <v>356.0</v>
      </c>
      <c r="J121" s="2">
        <v>742.0</v>
      </c>
      <c r="K121" s="2">
        <v>0.0</v>
      </c>
      <c r="L121" s="2">
        <v>3.0</v>
      </c>
      <c r="M121" s="2">
        <v>0.0</v>
      </c>
      <c r="N121" s="2">
        <v>97.0</v>
      </c>
      <c r="O121" s="2">
        <v>0.0</v>
      </c>
      <c r="P121" s="2">
        <v>603.0</v>
      </c>
      <c r="Q121" s="2">
        <v>0.0</v>
      </c>
      <c r="R121" s="2">
        <v>0.0</v>
      </c>
      <c r="S121" s="2">
        <v>0.0</v>
      </c>
      <c r="T121" s="2">
        <v>0.0</v>
      </c>
    </row>
    <row r="122" ht="15.75" customHeight="1">
      <c r="A122" s="2" t="s">
        <v>116</v>
      </c>
      <c r="B122" s="2" t="s">
        <v>113</v>
      </c>
      <c r="C122" s="2" t="s">
        <v>22</v>
      </c>
      <c r="D122" s="2" t="s">
        <v>23</v>
      </c>
      <c r="E122" s="2" t="s">
        <v>60</v>
      </c>
      <c r="F122" s="2">
        <v>3.0</v>
      </c>
      <c r="G122" s="2" t="s">
        <v>25</v>
      </c>
      <c r="H122" s="2">
        <v>81.0</v>
      </c>
      <c r="I122" s="2">
        <v>129.0</v>
      </c>
      <c r="J122" s="2">
        <v>537.0</v>
      </c>
      <c r="K122" s="2">
        <v>0.0</v>
      </c>
      <c r="L122" s="2">
        <v>39.0</v>
      </c>
      <c r="M122" s="2">
        <v>0.0</v>
      </c>
      <c r="N122" s="2">
        <v>711.0</v>
      </c>
      <c r="O122" s="2">
        <v>0.0</v>
      </c>
      <c r="P122" s="2">
        <v>499.0</v>
      </c>
      <c r="Q122" s="2">
        <v>0.0</v>
      </c>
      <c r="R122" s="2">
        <v>0.0</v>
      </c>
      <c r="S122" s="2">
        <v>0.0</v>
      </c>
      <c r="T122" s="2">
        <v>0.0</v>
      </c>
    </row>
    <row r="123" ht="15.75" customHeight="1">
      <c r="A123" s="2" t="s">
        <v>116</v>
      </c>
      <c r="B123" s="2" t="s">
        <v>113</v>
      </c>
      <c r="C123" s="2" t="s">
        <v>22</v>
      </c>
      <c r="D123" s="2" t="s">
        <v>23</v>
      </c>
      <c r="E123" s="2" t="s">
        <v>61</v>
      </c>
      <c r="F123" s="2">
        <v>3.0</v>
      </c>
      <c r="G123" s="2" t="s">
        <v>45</v>
      </c>
      <c r="H123" s="2">
        <v>55.0</v>
      </c>
      <c r="I123" s="2">
        <v>91.0</v>
      </c>
      <c r="J123" s="2">
        <v>406.0</v>
      </c>
      <c r="K123" s="2">
        <v>0.0</v>
      </c>
      <c r="L123" s="2">
        <v>16.0</v>
      </c>
      <c r="M123" s="2">
        <v>0.0</v>
      </c>
      <c r="N123" s="2">
        <v>532.0</v>
      </c>
      <c r="O123" s="2">
        <v>0.0</v>
      </c>
      <c r="P123" s="2">
        <v>550.0</v>
      </c>
      <c r="Q123" s="2">
        <v>0.0</v>
      </c>
      <c r="R123" s="2">
        <v>0.0</v>
      </c>
      <c r="S123" s="2">
        <v>0.0</v>
      </c>
      <c r="T123" s="2">
        <v>0.0</v>
      </c>
    </row>
    <row r="124" ht="15.75" customHeight="1">
      <c r="A124" s="2" t="s">
        <v>116</v>
      </c>
      <c r="B124" s="2" t="s">
        <v>113</v>
      </c>
      <c r="C124" s="2" t="s">
        <v>22</v>
      </c>
      <c r="D124" s="2" t="s">
        <v>23</v>
      </c>
      <c r="E124" s="2" t="s">
        <v>62</v>
      </c>
      <c r="F124" s="2">
        <v>3.0</v>
      </c>
      <c r="G124" s="2" t="s">
        <v>47</v>
      </c>
      <c r="H124" s="2">
        <v>56.0</v>
      </c>
      <c r="I124" s="2">
        <v>112.0</v>
      </c>
      <c r="J124" s="2">
        <v>372.0</v>
      </c>
      <c r="K124" s="2">
        <v>0.0</v>
      </c>
      <c r="L124" s="2">
        <v>26.0</v>
      </c>
      <c r="M124" s="2">
        <v>0.0</v>
      </c>
      <c r="N124" s="2">
        <v>508.0</v>
      </c>
      <c r="O124" s="2">
        <v>0.0</v>
      </c>
      <c r="P124" s="2">
        <v>537.0</v>
      </c>
      <c r="Q124" s="2">
        <v>0.0</v>
      </c>
      <c r="R124" s="2">
        <v>0.0</v>
      </c>
      <c r="S124" s="2">
        <v>0.0</v>
      </c>
      <c r="T124" s="2">
        <v>0.0</v>
      </c>
    </row>
    <row r="125" ht="15.75" customHeight="1">
      <c r="A125" s="2" t="s">
        <v>116</v>
      </c>
      <c r="B125" s="2" t="s">
        <v>113</v>
      </c>
      <c r="C125" s="2" t="s">
        <v>22</v>
      </c>
      <c r="D125" s="2" t="s">
        <v>23</v>
      </c>
      <c r="E125" s="2" t="s">
        <v>67</v>
      </c>
      <c r="F125" s="2">
        <v>3.0</v>
      </c>
      <c r="G125" s="2" t="s">
        <v>51</v>
      </c>
      <c r="H125" s="2">
        <v>53.0</v>
      </c>
      <c r="I125" s="2">
        <v>101.0</v>
      </c>
      <c r="J125" s="2">
        <v>374.0</v>
      </c>
      <c r="K125" s="2">
        <v>0.0</v>
      </c>
      <c r="L125" s="2">
        <v>21.0</v>
      </c>
      <c r="M125" s="2">
        <v>0.0</v>
      </c>
      <c r="N125" s="2">
        <v>513.0</v>
      </c>
      <c r="O125" s="2">
        <v>0.0</v>
      </c>
      <c r="P125" s="2">
        <v>531.0</v>
      </c>
      <c r="Q125" s="2">
        <v>0.0</v>
      </c>
      <c r="R125" s="2">
        <v>0.0</v>
      </c>
      <c r="S125" s="2">
        <v>0.0</v>
      </c>
      <c r="T125" s="2">
        <v>0.0</v>
      </c>
    </row>
    <row r="126" ht="15.75" customHeight="1">
      <c r="A126" s="2" t="s">
        <v>119</v>
      </c>
      <c r="B126" s="2" t="s">
        <v>113</v>
      </c>
      <c r="C126" s="2" t="s">
        <v>22</v>
      </c>
      <c r="D126" s="2" t="s">
        <v>23</v>
      </c>
      <c r="E126" s="2" t="s">
        <v>70</v>
      </c>
      <c r="F126" s="2">
        <v>3.0</v>
      </c>
      <c r="G126" s="2" t="s">
        <v>25</v>
      </c>
      <c r="H126" s="2">
        <v>46.0</v>
      </c>
      <c r="I126" s="2">
        <v>20.0</v>
      </c>
      <c r="J126" s="2">
        <v>156.0</v>
      </c>
      <c r="K126" s="2">
        <v>0.0</v>
      </c>
      <c r="L126" s="2">
        <v>41.0</v>
      </c>
      <c r="M126" s="2">
        <v>0.0</v>
      </c>
      <c r="N126" s="2">
        <v>235.0</v>
      </c>
      <c r="O126" s="2">
        <v>0.0</v>
      </c>
      <c r="P126" s="2">
        <v>166.0</v>
      </c>
      <c r="Q126" s="2">
        <v>0.0</v>
      </c>
      <c r="R126" s="2">
        <v>0.0</v>
      </c>
      <c r="S126" s="2">
        <v>0.0</v>
      </c>
      <c r="T126" s="2">
        <v>0.0</v>
      </c>
    </row>
    <row r="127" ht="15.75" customHeight="1">
      <c r="A127" s="2" t="s">
        <v>119</v>
      </c>
      <c r="B127" s="2" t="s">
        <v>113</v>
      </c>
      <c r="C127" s="2" t="s">
        <v>22</v>
      </c>
      <c r="D127" s="2" t="s">
        <v>23</v>
      </c>
      <c r="E127" s="2" t="s">
        <v>71</v>
      </c>
      <c r="F127" s="2">
        <v>3.0</v>
      </c>
      <c r="G127" s="2" t="s">
        <v>45</v>
      </c>
      <c r="H127" s="2">
        <v>31.0</v>
      </c>
      <c r="I127" s="2">
        <v>13.0</v>
      </c>
      <c r="J127" s="2">
        <v>120.0</v>
      </c>
      <c r="K127" s="2">
        <v>0.0</v>
      </c>
      <c r="L127" s="2">
        <v>22.0</v>
      </c>
      <c r="M127" s="2">
        <v>0.0</v>
      </c>
      <c r="N127" s="2">
        <v>158.0</v>
      </c>
      <c r="O127" s="2">
        <v>0.0</v>
      </c>
      <c r="P127" s="2">
        <v>172.0</v>
      </c>
      <c r="Q127" s="2">
        <v>0.0</v>
      </c>
      <c r="R127" s="2">
        <v>0.0</v>
      </c>
      <c r="S127" s="2">
        <v>0.0</v>
      </c>
      <c r="T127" s="2">
        <v>0.0</v>
      </c>
    </row>
    <row r="128" ht="15.75" customHeight="1">
      <c r="A128" s="2" t="s">
        <v>119</v>
      </c>
      <c r="B128" s="2" t="s">
        <v>113</v>
      </c>
      <c r="C128" s="2" t="s">
        <v>22</v>
      </c>
      <c r="D128" s="2" t="s">
        <v>23</v>
      </c>
      <c r="E128" s="2" t="s">
        <v>72</v>
      </c>
      <c r="F128" s="2">
        <v>3.0</v>
      </c>
      <c r="G128" s="2" t="s">
        <v>47</v>
      </c>
      <c r="H128" s="2">
        <v>34.0</v>
      </c>
      <c r="I128" s="2">
        <v>12.0</v>
      </c>
      <c r="J128" s="2">
        <v>120.0</v>
      </c>
      <c r="K128" s="2">
        <v>0.0</v>
      </c>
      <c r="L128" s="2">
        <v>21.0</v>
      </c>
      <c r="M128" s="2">
        <v>0.0</v>
      </c>
      <c r="N128" s="2">
        <v>163.0</v>
      </c>
      <c r="O128" s="2">
        <v>0.0</v>
      </c>
      <c r="P128" s="2">
        <v>175.0</v>
      </c>
      <c r="Q128" s="2">
        <v>0.0</v>
      </c>
      <c r="R128" s="2">
        <v>0.0</v>
      </c>
      <c r="S128" s="2">
        <v>0.0</v>
      </c>
      <c r="T128" s="2">
        <v>0.0</v>
      </c>
    </row>
    <row r="129" ht="15.75" customHeight="1">
      <c r="A129" s="2" t="s">
        <v>119</v>
      </c>
      <c r="B129" s="2" t="s">
        <v>113</v>
      </c>
      <c r="C129" s="2" t="s">
        <v>22</v>
      </c>
      <c r="D129" s="2" t="s">
        <v>23</v>
      </c>
      <c r="E129" s="2" t="s">
        <v>74</v>
      </c>
      <c r="F129" s="2">
        <v>3.0</v>
      </c>
      <c r="G129" s="2" t="s">
        <v>51</v>
      </c>
      <c r="H129" s="2">
        <v>31.0</v>
      </c>
      <c r="I129" s="2">
        <v>9.0</v>
      </c>
      <c r="J129" s="2">
        <v>130.0</v>
      </c>
      <c r="K129" s="2">
        <v>0.0</v>
      </c>
      <c r="L129" s="2">
        <v>23.0</v>
      </c>
      <c r="M129" s="2">
        <v>0.0</v>
      </c>
      <c r="N129" s="2">
        <v>159.0</v>
      </c>
      <c r="O129" s="2">
        <v>0.0</v>
      </c>
      <c r="P129" s="2">
        <v>176.0</v>
      </c>
      <c r="Q129" s="2">
        <v>0.0</v>
      </c>
      <c r="R129" s="2">
        <v>0.0</v>
      </c>
      <c r="S129" s="2">
        <v>0.0</v>
      </c>
      <c r="T129" s="2">
        <v>0.0</v>
      </c>
    </row>
    <row r="130" ht="15.75" customHeight="1">
      <c r="A130" s="2" t="s">
        <v>112</v>
      </c>
      <c r="B130" s="2" t="s">
        <v>113</v>
      </c>
      <c r="C130" s="2" t="s">
        <v>22</v>
      </c>
      <c r="D130" s="2" t="s">
        <v>23</v>
      </c>
      <c r="E130" s="2" t="s">
        <v>41</v>
      </c>
      <c r="F130" s="2">
        <v>3.0</v>
      </c>
      <c r="G130" s="2" t="s">
        <v>25</v>
      </c>
      <c r="H130" s="2">
        <v>41.0</v>
      </c>
      <c r="I130" s="2">
        <v>106.0</v>
      </c>
      <c r="J130" s="2">
        <v>57.0</v>
      </c>
      <c r="K130" s="2">
        <v>0.0</v>
      </c>
      <c r="L130" s="2">
        <v>133.0</v>
      </c>
      <c r="M130" s="2">
        <v>0.0</v>
      </c>
      <c r="N130" s="2">
        <v>1514.0</v>
      </c>
      <c r="O130" s="2">
        <v>0.0</v>
      </c>
      <c r="P130" s="2">
        <v>617.0</v>
      </c>
      <c r="Q130" s="2">
        <v>0.0</v>
      </c>
      <c r="R130" s="2">
        <v>0.0</v>
      </c>
      <c r="S130" s="2">
        <v>0.0</v>
      </c>
      <c r="T130" s="2">
        <v>0.0</v>
      </c>
    </row>
    <row r="131" ht="15.75" customHeight="1">
      <c r="A131" s="2" t="s">
        <v>112</v>
      </c>
      <c r="B131" s="2" t="s">
        <v>113</v>
      </c>
      <c r="C131" s="2" t="s">
        <v>22</v>
      </c>
      <c r="D131" s="2" t="s">
        <v>23</v>
      </c>
      <c r="E131" s="2" t="s">
        <v>93</v>
      </c>
      <c r="F131" s="2">
        <v>3.0</v>
      </c>
      <c r="G131" s="2" t="s">
        <v>94</v>
      </c>
      <c r="H131" s="2">
        <v>23.0</v>
      </c>
      <c r="I131" s="2">
        <v>35.0</v>
      </c>
      <c r="J131" s="2">
        <v>25.0</v>
      </c>
      <c r="K131" s="2">
        <v>0.0</v>
      </c>
      <c r="L131" s="2">
        <v>42.0</v>
      </c>
      <c r="M131" s="2">
        <v>0.0</v>
      </c>
      <c r="N131" s="2">
        <v>614.0</v>
      </c>
      <c r="O131" s="2">
        <v>0.0</v>
      </c>
      <c r="P131" s="2">
        <v>739.0</v>
      </c>
      <c r="Q131" s="2">
        <v>0.0</v>
      </c>
      <c r="R131" s="2">
        <v>0.0</v>
      </c>
      <c r="S131" s="2">
        <v>0.0</v>
      </c>
      <c r="T131" s="2">
        <v>0.0</v>
      </c>
    </row>
    <row r="132" ht="15.75" customHeight="1">
      <c r="A132" s="2" t="s">
        <v>112</v>
      </c>
      <c r="B132" s="2" t="s">
        <v>113</v>
      </c>
      <c r="C132" s="2" t="s">
        <v>22</v>
      </c>
      <c r="D132" s="2" t="s">
        <v>23</v>
      </c>
      <c r="E132" s="2" t="s">
        <v>95</v>
      </c>
      <c r="F132" s="2">
        <v>3.0</v>
      </c>
      <c r="G132" s="2" t="s">
        <v>96</v>
      </c>
      <c r="H132" s="2">
        <v>20.0</v>
      </c>
      <c r="I132" s="2">
        <v>29.0</v>
      </c>
      <c r="J132" s="2">
        <v>30.0</v>
      </c>
      <c r="K132" s="2">
        <v>0.0</v>
      </c>
      <c r="L132" s="2">
        <v>35.0</v>
      </c>
      <c r="M132" s="2">
        <v>0.0</v>
      </c>
      <c r="N132" s="2">
        <v>617.0</v>
      </c>
      <c r="O132" s="2">
        <v>0.0</v>
      </c>
      <c r="P132" s="2">
        <v>731.0</v>
      </c>
      <c r="Q132" s="2">
        <v>0.0</v>
      </c>
      <c r="R132" s="2">
        <v>0.0</v>
      </c>
      <c r="S132" s="2">
        <v>0.0</v>
      </c>
      <c r="T132" s="2">
        <v>0.0</v>
      </c>
    </row>
    <row r="133" ht="15.75" customHeight="1">
      <c r="A133" s="2" t="s">
        <v>112</v>
      </c>
      <c r="B133" s="2" t="s">
        <v>113</v>
      </c>
      <c r="C133" s="2" t="s">
        <v>22</v>
      </c>
      <c r="D133" s="2" t="s">
        <v>23</v>
      </c>
      <c r="E133" s="2" t="s">
        <v>97</v>
      </c>
      <c r="F133" s="2">
        <v>3.0</v>
      </c>
      <c r="G133" s="2" t="s">
        <v>98</v>
      </c>
      <c r="H133" s="2">
        <v>19.0</v>
      </c>
      <c r="I133" s="2">
        <v>37.0</v>
      </c>
      <c r="J133" s="2">
        <v>22.0</v>
      </c>
      <c r="K133" s="2">
        <v>0.0</v>
      </c>
      <c r="L133" s="2">
        <v>32.0</v>
      </c>
      <c r="M133" s="2">
        <v>0.0</v>
      </c>
      <c r="N133" s="2">
        <v>598.0</v>
      </c>
      <c r="O133" s="2">
        <v>0.0</v>
      </c>
      <c r="P133" s="2">
        <v>708.0</v>
      </c>
      <c r="Q133" s="2">
        <v>0.0</v>
      </c>
      <c r="R133" s="2">
        <v>0.0</v>
      </c>
      <c r="S133" s="2">
        <v>0.0</v>
      </c>
      <c r="T133" s="2">
        <v>0.0</v>
      </c>
    </row>
    <row r="134" ht="15.75" customHeight="1">
      <c r="A134" s="2" t="s">
        <v>114</v>
      </c>
      <c r="B134" s="2" t="s">
        <v>113</v>
      </c>
      <c r="C134" s="2" t="s">
        <v>22</v>
      </c>
      <c r="D134" s="2" t="s">
        <v>23</v>
      </c>
      <c r="E134" s="2" t="s">
        <v>53</v>
      </c>
      <c r="F134" s="2">
        <v>3.0</v>
      </c>
      <c r="G134" s="2" t="s">
        <v>25</v>
      </c>
      <c r="H134" s="2">
        <v>9.0</v>
      </c>
      <c r="I134" s="2">
        <v>510.0</v>
      </c>
      <c r="J134" s="2">
        <v>975.0</v>
      </c>
      <c r="K134" s="2">
        <v>0.0</v>
      </c>
      <c r="L134" s="2">
        <v>5.0</v>
      </c>
      <c r="M134" s="2">
        <v>0.0</v>
      </c>
      <c r="N134" s="2">
        <v>124.0</v>
      </c>
      <c r="O134" s="2">
        <v>0.0</v>
      </c>
      <c r="P134" s="2">
        <v>541.0</v>
      </c>
      <c r="Q134" s="2">
        <v>0.0</v>
      </c>
      <c r="R134" s="2">
        <v>0.0</v>
      </c>
      <c r="S134" s="2">
        <v>0.0</v>
      </c>
      <c r="T134" s="2">
        <v>0.0</v>
      </c>
    </row>
    <row r="135" ht="15.75" customHeight="1">
      <c r="A135" s="2" t="s">
        <v>114</v>
      </c>
      <c r="B135" s="2" t="s">
        <v>113</v>
      </c>
      <c r="C135" s="2" t="s">
        <v>22</v>
      </c>
      <c r="D135" s="2" t="s">
        <v>23</v>
      </c>
      <c r="E135" s="2" t="s">
        <v>104</v>
      </c>
      <c r="F135" s="2">
        <v>3.0</v>
      </c>
      <c r="G135" s="2" t="s">
        <v>94</v>
      </c>
      <c r="H135" s="2">
        <v>6.0</v>
      </c>
      <c r="I135" s="2">
        <v>193.0</v>
      </c>
      <c r="J135" s="2">
        <v>430.0</v>
      </c>
      <c r="K135" s="2">
        <v>0.0</v>
      </c>
      <c r="L135" s="2">
        <v>4.0</v>
      </c>
      <c r="M135" s="2">
        <v>0.0</v>
      </c>
      <c r="N135" s="2">
        <v>53.0</v>
      </c>
      <c r="O135" s="2">
        <v>0.0</v>
      </c>
      <c r="P135" s="2">
        <v>686.0</v>
      </c>
      <c r="Q135" s="2">
        <v>0.0</v>
      </c>
      <c r="R135" s="2">
        <v>0.0</v>
      </c>
      <c r="S135" s="2">
        <v>0.0</v>
      </c>
      <c r="T135" s="2">
        <v>0.0</v>
      </c>
    </row>
    <row r="136" ht="15.75" customHeight="1">
      <c r="A136" s="2" t="s">
        <v>114</v>
      </c>
      <c r="B136" s="2" t="s">
        <v>113</v>
      </c>
      <c r="C136" s="2" t="s">
        <v>22</v>
      </c>
      <c r="D136" s="2" t="s">
        <v>23</v>
      </c>
      <c r="E136" s="2" t="s">
        <v>106</v>
      </c>
      <c r="F136" s="2">
        <v>3.0</v>
      </c>
      <c r="G136" s="2" t="s">
        <v>96</v>
      </c>
      <c r="H136" s="2">
        <v>4.0</v>
      </c>
      <c r="I136" s="2">
        <v>191.0</v>
      </c>
      <c r="J136" s="2">
        <v>417.0</v>
      </c>
      <c r="K136" s="2">
        <v>0.0</v>
      </c>
      <c r="L136" s="2">
        <v>3.0</v>
      </c>
      <c r="M136" s="2">
        <v>0.0</v>
      </c>
      <c r="N136" s="2">
        <v>56.0</v>
      </c>
      <c r="O136" s="2">
        <v>0.0</v>
      </c>
      <c r="P136" s="2">
        <v>671.0</v>
      </c>
      <c r="Q136" s="2">
        <v>0.0</v>
      </c>
      <c r="R136" s="2">
        <v>0.0</v>
      </c>
      <c r="S136" s="2">
        <v>0.0</v>
      </c>
      <c r="T136" s="2">
        <v>0.0</v>
      </c>
    </row>
    <row r="137" ht="15.75" customHeight="1">
      <c r="A137" s="2" t="s">
        <v>114</v>
      </c>
      <c r="B137" s="2" t="s">
        <v>113</v>
      </c>
      <c r="C137" s="2" t="s">
        <v>22</v>
      </c>
      <c r="D137" s="2" t="s">
        <v>23</v>
      </c>
      <c r="E137" s="2" t="s">
        <v>107</v>
      </c>
      <c r="F137" s="2">
        <v>3.0</v>
      </c>
      <c r="G137" s="2" t="s">
        <v>98</v>
      </c>
      <c r="H137" s="2">
        <v>6.0</v>
      </c>
      <c r="I137" s="2">
        <v>185.0</v>
      </c>
      <c r="J137" s="2">
        <v>404.0</v>
      </c>
      <c r="K137" s="2">
        <v>0.0</v>
      </c>
      <c r="L137" s="2">
        <v>0.0</v>
      </c>
      <c r="M137" s="2">
        <v>0.0</v>
      </c>
      <c r="N137" s="2">
        <v>59.0</v>
      </c>
      <c r="O137" s="2">
        <v>0.0</v>
      </c>
      <c r="P137" s="2">
        <v>654.0</v>
      </c>
      <c r="Q137" s="2">
        <v>0.0</v>
      </c>
      <c r="R137" s="2">
        <v>0.0</v>
      </c>
      <c r="S137" s="2">
        <v>0.0</v>
      </c>
      <c r="T137" s="2">
        <v>0.0</v>
      </c>
    </row>
    <row r="138" ht="15.75" customHeight="1">
      <c r="A138" s="2" t="s">
        <v>116</v>
      </c>
      <c r="B138" s="2" t="s">
        <v>113</v>
      </c>
      <c r="C138" s="2" t="s">
        <v>22</v>
      </c>
      <c r="D138" s="2" t="s">
        <v>23</v>
      </c>
      <c r="E138" s="2" t="s">
        <v>60</v>
      </c>
      <c r="F138" s="2">
        <v>3.0</v>
      </c>
      <c r="G138" s="2" t="s">
        <v>25</v>
      </c>
      <c r="H138" s="2">
        <v>81.0</v>
      </c>
      <c r="I138" s="2">
        <v>129.0</v>
      </c>
      <c r="J138" s="2">
        <v>537.0</v>
      </c>
      <c r="K138" s="2">
        <v>0.0</v>
      </c>
      <c r="L138" s="2">
        <v>39.0</v>
      </c>
      <c r="M138" s="2">
        <v>0.0</v>
      </c>
      <c r="N138" s="2">
        <v>711.0</v>
      </c>
      <c r="O138" s="2">
        <v>0.0</v>
      </c>
      <c r="P138" s="2">
        <v>499.0</v>
      </c>
      <c r="Q138" s="2">
        <v>0.0</v>
      </c>
      <c r="R138" s="2">
        <v>0.0</v>
      </c>
      <c r="S138" s="2">
        <v>0.0</v>
      </c>
      <c r="T138" s="2">
        <v>0.0</v>
      </c>
    </row>
    <row r="139" ht="15.75" customHeight="1">
      <c r="A139" s="2" t="s">
        <v>116</v>
      </c>
      <c r="B139" s="2" t="s">
        <v>113</v>
      </c>
      <c r="C139" s="2" t="s">
        <v>22</v>
      </c>
      <c r="D139" s="2" t="s">
        <v>23</v>
      </c>
      <c r="E139" s="2" t="s">
        <v>108</v>
      </c>
      <c r="F139" s="2">
        <v>3.0</v>
      </c>
      <c r="G139" s="2" t="s">
        <v>94</v>
      </c>
      <c r="H139" s="2">
        <v>26.0</v>
      </c>
      <c r="I139" s="2">
        <v>52.0</v>
      </c>
      <c r="J139" s="2">
        <v>211.0</v>
      </c>
      <c r="K139" s="2">
        <v>0.0</v>
      </c>
      <c r="L139" s="2">
        <v>12.0</v>
      </c>
      <c r="M139" s="2">
        <v>0.0</v>
      </c>
      <c r="N139" s="2">
        <v>274.0</v>
      </c>
      <c r="O139" s="2">
        <v>0.0</v>
      </c>
      <c r="P139" s="2">
        <v>575.0</v>
      </c>
      <c r="Q139" s="2">
        <v>0.0</v>
      </c>
      <c r="R139" s="2">
        <v>0.0</v>
      </c>
      <c r="S139" s="2">
        <v>0.0</v>
      </c>
      <c r="T139" s="2">
        <v>0.0</v>
      </c>
    </row>
    <row r="140" ht="15.75" customHeight="1">
      <c r="A140" s="2" t="s">
        <v>116</v>
      </c>
      <c r="B140" s="2" t="s">
        <v>113</v>
      </c>
      <c r="C140" s="2" t="s">
        <v>22</v>
      </c>
      <c r="D140" s="2" t="s">
        <v>23</v>
      </c>
      <c r="E140" s="2" t="s">
        <v>110</v>
      </c>
      <c r="F140" s="2">
        <v>3.0</v>
      </c>
      <c r="G140" s="2" t="s">
        <v>96</v>
      </c>
      <c r="H140" s="2">
        <v>26.0</v>
      </c>
      <c r="I140" s="2">
        <v>41.0</v>
      </c>
      <c r="J140" s="2">
        <v>219.0</v>
      </c>
      <c r="K140" s="2">
        <v>0.0</v>
      </c>
      <c r="L140" s="2">
        <v>11.0</v>
      </c>
      <c r="M140" s="2">
        <v>0.0</v>
      </c>
      <c r="N140" s="2">
        <v>276.0</v>
      </c>
      <c r="O140" s="2">
        <v>0.0</v>
      </c>
      <c r="P140" s="2">
        <v>573.0</v>
      </c>
      <c r="Q140" s="2">
        <v>0.0</v>
      </c>
      <c r="R140" s="2">
        <v>0.0</v>
      </c>
      <c r="S140" s="2">
        <v>0.0</v>
      </c>
      <c r="T140" s="2">
        <v>0.0</v>
      </c>
    </row>
    <row r="141" ht="15.75" customHeight="1">
      <c r="A141" s="2" t="s">
        <v>116</v>
      </c>
      <c r="B141" s="2" t="s">
        <v>113</v>
      </c>
      <c r="C141" s="2" t="s">
        <v>22</v>
      </c>
      <c r="D141" s="2" t="s">
        <v>23</v>
      </c>
      <c r="E141" s="2" t="s">
        <v>111</v>
      </c>
      <c r="F141" s="2">
        <v>3.0</v>
      </c>
      <c r="G141" s="2" t="s">
        <v>98</v>
      </c>
      <c r="H141" s="2">
        <v>26.0</v>
      </c>
      <c r="I141" s="2">
        <v>53.0</v>
      </c>
      <c r="J141" s="2">
        <v>205.0</v>
      </c>
      <c r="K141" s="2">
        <v>0.0</v>
      </c>
      <c r="L141" s="2">
        <v>12.0</v>
      </c>
      <c r="M141" s="2">
        <v>0.0</v>
      </c>
      <c r="N141" s="2">
        <v>269.0</v>
      </c>
      <c r="O141" s="2">
        <v>0.0</v>
      </c>
      <c r="P141" s="2">
        <v>565.0</v>
      </c>
      <c r="Q141" s="2">
        <v>0.0</v>
      </c>
      <c r="R141" s="2">
        <v>0.0</v>
      </c>
      <c r="S141" s="2">
        <v>0.0</v>
      </c>
      <c r="T141" s="2">
        <v>0.0</v>
      </c>
    </row>
    <row r="142" ht="15.75" customHeight="1">
      <c r="A142" s="2" t="s">
        <v>119</v>
      </c>
      <c r="B142" s="2" t="s">
        <v>113</v>
      </c>
      <c r="C142" s="2" t="s">
        <v>22</v>
      </c>
      <c r="D142" s="2" t="s">
        <v>23</v>
      </c>
      <c r="E142" s="2" t="s">
        <v>70</v>
      </c>
      <c r="F142" s="2">
        <v>3.0</v>
      </c>
      <c r="G142" s="2" t="s">
        <v>25</v>
      </c>
      <c r="H142" s="2">
        <v>46.0</v>
      </c>
      <c r="I142" s="2">
        <v>20.0</v>
      </c>
      <c r="J142" s="2">
        <v>156.0</v>
      </c>
      <c r="K142" s="2">
        <v>0.0</v>
      </c>
      <c r="L142" s="2">
        <v>41.0</v>
      </c>
      <c r="M142" s="2">
        <v>0.0</v>
      </c>
      <c r="N142" s="2">
        <v>235.0</v>
      </c>
      <c r="O142" s="2">
        <v>0.0</v>
      </c>
      <c r="P142" s="2">
        <v>166.0</v>
      </c>
      <c r="Q142" s="2">
        <v>0.0</v>
      </c>
      <c r="R142" s="2">
        <v>0.0</v>
      </c>
      <c r="S142" s="2">
        <v>0.0</v>
      </c>
      <c r="T142" s="2">
        <v>0.0</v>
      </c>
    </row>
    <row r="143" ht="15.75" customHeight="1">
      <c r="A143" s="2" t="s">
        <v>119</v>
      </c>
      <c r="B143" s="2" t="s">
        <v>113</v>
      </c>
      <c r="C143" s="2" t="s">
        <v>22</v>
      </c>
      <c r="D143" s="2" t="s">
        <v>23</v>
      </c>
      <c r="E143" s="2" t="s">
        <v>115</v>
      </c>
      <c r="F143" s="2">
        <v>3.0</v>
      </c>
      <c r="G143" s="2" t="s">
        <v>94</v>
      </c>
      <c r="H143" s="2">
        <v>13.0</v>
      </c>
      <c r="I143" s="2">
        <v>9.0</v>
      </c>
      <c r="J143" s="2">
        <v>63.0</v>
      </c>
      <c r="K143" s="2">
        <v>0.0</v>
      </c>
      <c r="L143" s="2">
        <v>10.0</v>
      </c>
      <c r="M143" s="2">
        <v>0.0</v>
      </c>
      <c r="N143" s="2">
        <v>85.0</v>
      </c>
      <c r="O143" s="2">
        <v>0.0</v>
      </c>
      <c r="P143" s="2">
        <v>180.0</v>
      </c>
      <c r="Q143" s="2">
        <v>0.0</v>
      </c>
      <c r="R143" s="2">
        <v>0.0</v>
      </c>
      <c r="S143" s="2">
        <v>0.0</v>
      </c>
      <c r="T143" s="2">
        <v>0.0</v>
      </c>
    </row>
    <row r="144" ht="15.75" customHeight="1">
      <c r="A144" s="2" t="s">
        <v>119</v>
      </c>
      <c r="B144" s="2" t="s">
        <v>113</v>
      </c>
      <c r="C144" s="2" t="s">
        <v>22</v>
      </c>
      <c r="D144" s="2" t="s">
        <v>23</v>
      </c>
      <c r="E144" s="2" t="s">
        <v>118</v>
      </c>
      <c r="F144" s="2">
        <v>3.0</v>
      </c>
      <c r="G144" s="2" t="s">
        <v>96</v>
      </c>
      <c r="H144" s="2">
        <v>15.0</v>
      </c>
      <c r="I144" s="2">
        <v>10.0</v>
      </c>
      <c r="J144" s="2">
        <v>64.0</v>
      </c>
      <c r="K144" s="2">
        <v>0.0</v>
      </c>
      <c r="L144" s="2">
        <v>11.0</v>
      </c>
      <c r="M144" s="2">
        <v>0.0</v>
      </c>
      <c r="N144" s="2">
        <v>84.0</v>
      </c>
      <c r="O144" s="2">
        <v>0.0</v>
      </c>
      <c r="P144" s="2">
        <v>184.0</v>
      </c>
      <c r="Q144" s="2">
        <v>0.0</v>
      </c>
      <c r="R144" s="2">
        <v>0.0</v>
      </c>
      <c r="S144" s="2">
        <v>0.0</v>
      </c>
      <c r="T144" s="2">
        <v>0.0</v>
      </c>
    </row>
    <row r="145" ht="15.75" customHeight="1">
      <c r="A145" s="2" t="s">
        <v>119</v>
      </c>
      <c r="B145" s="2" t="s">
        <v>113</v>
      </c>
      <c r="C145" s="2" t="s">
        <v>22</v>
      </c>
      <c r="D145" s="2" t="s">
        <v>23</v>
      </c>
      <c r="E145" s="2" t="s">
        <v>120</v>
      </c>
      <c r="F145" s="2">
        <v>3.0</v>
      </c>
      <c r="G145" s="2" t="s">
        <v>98</v>
      </c>
      <c r="H145" s="2">
        <v>17.0</v>
      </c>
      <c r="I145" s="2">
        <v>5.0</v>
      </c>
      <c r="J145" s="2">
        <v>64.0</v>
      </c>
      <c r="K145" s="2">
        <v>0.0</v>
      </c>
      <c r="L145" s="2">
        <v>14.0</v>
      </c>
      <c r="M145" s="2">
        <v>0.0</v>
      </c>
      <c r="N145" s="2">
        <v>81.0</v>
      </c>
      <c r="O145" s="2">
        <v>0.0</v>
      </c>
      <c r="P145" s="2">
        <v>181.0</v>
      </c>
      <c r="Q145" s="2">
        <v>0.0</v>
      </c>
      <c r="R145" s="2">
        <v>0.0</v>
      </c>
      <c r="S145" s="2">
        <v>0.0</v>
      </c>
      <c r="T145" s="2">
        <v>0.0</v>
      </c>
    </row>
    <row r="146" ht="15.75" customHeight="1"/>
    <row r="147" ht="15.75" customHeight="1"/>
    <row r="148" ht="15.75" customHeight="1"/>
    <row r="149" ht="15.75" customHeight="1"/>
    <row r="150" ht="15.0" customHeight="1">
      <c r="A150" s="30" t="s">
        <v>168</v>
      </c>
      <c r="B150" s="31" t="s">
        <v>169</v>
      </c>
      <c r="C150" s="32"/>
      <c r="D150" s="32"/>
      <c r="E150" s="32"/>
      <c r="F150" s="8"/>
      <c r="G150" s="31" t="s">
        <v>170</v>
      </c>
      <c r="H150" s="32"/>
      <c r="I150" s="32"/>
      <c r="J150" s="32"/>
      <c r="L150" s="31" t="s">
        <v>171</v>
      </c>
      <c r="M150" s="32"/>
      <c r="N150" s="32"/>
      <c r="O150" s="32"/>
    </row>
    <row r="151" ht="15.75" customHeight="1">
      <c r="B151" s="8" t="s">
        <v>63</v>
      </c>
      <c r="C151" s="8" t="s">
        <v>64</v>
      </c>
      <c r="D151" s="8" t="s">
        <v>65</v>
      </c>
      <c r="E151" s="8" t="s">
        <v>66</v>
      </c>
      <c r="F151" s="8"/>
      <c r="G151" s="8" t="s">
        <v>63</v>
      </c>
      <c r="H151" s="8" t="s">
        <v>64</v>
      </c>
      <c r="I151" s="8" t="s">
        <v>65</v>
      </c>
      <c r="J151" s="8" t="s">
        <v>66</v>
      </c>
      <c r="K151" s="59"/>
      <c r="L151" s="8" t="s">
        <v>63</v>
      </c>
      <c r="M151" s="8" t="s">
        <v>64</v>
      </c>
      <c r="N151" s="8" t="s">
        <v>65</v>
      </c>
      <c r="O151" s="8" t="s">
        <v>66</v>
      </c>
    </row>
    <row r="152" ht="15.75" customHeight="1">
      <c r="A152" s="10" t="s">
        <v>7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1" t="s">
        <v>68</v>
      </c>
      <c r="B153" s="12">
        <f>$H$3/(($F$3-1)*$P$3)*100</f>
        <v>8.95</v>
      </c>
      <c r="C153" s="12">
        <f>$H$7/(($F$7-1)*$P$7)*100</f>
        <v>1.609657948</v>
      </c>
      <c r="D153" s="17">
        <f>$H$11/(($F$11-1)*$P$11)*100</f>
        <v>10.51094891</v>
      </c>
      <c r="E153" s="17">
        <f>$H$15/(($F$15-1)*$P$15)*100</f>
        <v>15.46391753</v>
      </c>
      <c r="F153" s="29">
        <f>AVERAGE(B153:E155)</f>
        <v>9.409178433</v>
      </c>
      <c r="G153" s="12">
        <f>$H$4/(($F$4-1)*$P$4)*100</f>
        <v>9.4</v>
      </c>
      <c r="H153" s="12">
        <f>$H$8/(($F$8-1)*$P$8)*100</f>
        <v>1.458752515</v>
      </c>
      <c r="I153" s="14">
        <f>$H$12/(($F$12-1)*$P$12)*100</f>
        <v>12.00873362</v>
      </c>
      <c r="J153" s="14">
        <f>$H$16/(($F$16-1)*$P$16)*100</f>
        <v>15.98984772</v>
      </c>
      <c r="K153" s="29">
        <f>AVERAGE(G153:J155)</f>
        <v>10.18614162</v>
      </c>
      <c r="L153" s="15">
        <f>$H$5/(($F$5-1)*$P$5)*100</f>
        <v>8.558558559</v>
      </c>
      <c r="M153" s="15">
        <f>$H$9/(($F$9-1)*$P$9)*100</f>
        <v>1.355421687</v>
      </c>
      <c r="N153" s="14">
        <f>$H$13/(($F$13-1)*$P$13)*100</f>
        <v>12.24489796</v>
      </c>
      <c r="O153" s="14">
        <f>$H$17/(($F$17-1)*$P$17)*100</f>
        <v>15.56122449</v>
      </c>
      <c r="P153" s="29">
        <f>AVERAGE(L153:O155)</f>
        <v>9.844508876</v>
      </c>
      <c r="Q153" s="30" t="s">
        <v>174</v>
      </c>
      <c r="R153" s="31" t="s">
        <v>169</v>
      </c>
      <c r="S153" s="32"/>
      <c r="T153" s="32"/>
      <c r="U153" s="32"/>
      <c r="V153" s="8"/>
      <c r="W153" s="31" t="s">
        <v>170</v>
      </c>
      <c r="X153" s="32"/>
      <c r="Y153" s="32"/>
      <c r="Z153" s="32"/>
      <c r="AB153" s="31" t="s">
        <v>171</v>
      </c>
      <c r="AC153" s="32"/>
      <c r="AD153" s="32"/>
      <c r="AE153" s="32"/>
    </row>
    <row r="154" ht="15.75" customHeight="1">
      <c r="A154" s="11" t="s">
        <v>73</v>
      </c>
      <c r="B154" s="14">
        <f>$H$19/(($F$19-1)*$P$19)*100</f>
        <v>30.15075377</v>
      </c>
      <c r="C154" s="15">
        <f>$H$23/(($F$23-1)*$P$23)*100</f>
        <v>1.614530777</v>
      </c>
      <c r="D154" s="16">
        <f>$H$27/(($F$27-1)*$P$27)*100</f>
        <v>3.739002933</v>
      </c>
      <c r="E154" s="17">
        <f>$H$31/(($F$31-1)*$P$31)*100</f>
        <v>19.58762887</v>
      </c>
      <c r="F154" s="8"/>
      <c r="G154" s="14">
        <f>$H$20/(($F$20-1)*$P$20)*100</f>
        <v>30.19153226</v>
      </c>
      <c r="H154" s="12">
        <f>$H$24/(($F$24-1)*$P$24)*100</f>
        <v>1.859296482</v>
      </c>
      <c r="I154" s="16">
        <f>$H$28/(($F$28-1)*$P$28)*100</f>
        <v>4.185022026</v>
      </c>
      <c r="J154" s="14">
        <f>$H$32/(($F$32-1)*$P$32)*100</f>
        <v>21.02564103</v>
      </c>
      <c r="L154" s="17">
        <f>$H$21/(($F$21-1)*$P$21)*100</f>
        <v>29.79899497</v>
      </c>
      <c r="M154" s="12">
        <f>$H$25/(($F$25-1)*$P$25)*100</f>
        <v>2.208835341</v>
      </c>
      <c r="N154" s="20">
        <f>$H$29/(($F$29-1)*$P$29)*100</f>
        <v>3.382352941</v>
      </c>
      <c r="O154" s="14">
        <f>$H$33/(($F$33-1)*$P$33)*100</f>
        <v>20.91836735</v>
      </c>
      <c r="R154" s="8" t="s">
        <v>63</v>
      </c>
      <c r="S154" s="8" t="s">
        <v>64</v>
      </c>
      <c r="T154" s="8" t="s">
        <v>65</v>
      </c>
      <c r="U154" s="8" t="s">
        <v>66</v>
      </c>
      <c r="W154" s="8" t="s">
        <v>63</v>
      </c>
      <c r="X154" s="8" t="s">
        <v>64</v>
      </c>
      <c r="Y154" s="8" t="s">
        <v>65</v>
      </c>
      <c r="Z154" s="8" t="s">
        <v>66</v>
      </c>
      <c r="AA154" s="59"/>
      <c r="AB154" s="8" t="s">
        <v>63</v>
      </c>
      <c r="AC154" s="8" t="s">
        <v>64</v>
      </c>
      <c r="AD154" s="8" t="s">
        <v>65</v>
      </c>
      <c r="AE154" s="8" t="s">
        <v>66</v>
      </c>
    </row>
    <row r="155" ht="15.75" customHeight="1">
      <c r="A155" s="11" t="s">
        <v>76</v>
      </c>
      <c r="B155" s="20">
        <f>$H$43/(($F$43-1)*$P$43)*100</f>
        <v>5.685814771</v>
      </c>
      <c r="C155" s="27">
        <f>$H$47/(($F$47-1)*$P$47)*100</f>
        <v>0.5524861878</v>
      </c>
      <c r="D155" s="15">
        <f>$H$51/(($F$51-1)*$P$51)*100</f>
        <v>5.402542373</v>
      </c>
      <c r="E155" s="20">
        <f>$H$55/(($F$55-1)*$P$55)*100</f>
        <v>9.642857143</v>
      </c>
      <c r="F155" s="8"/>
      <c r="G155" s="16">
        <f>$H$44/(($F$44-1)*$P$44)*100</f>
        <v>5.816686251</v>
      </c>
      <c r="H155" s="28">
        <f>$H$48/(($F$48-1)*$P$48)*100</f>
        <v>0.9472259811</v>
      </c>
      <c r="I155" s="12">
        <f>$H$52/(($F$52-1)*$P$52)*100</f>
        <v>7.8125</v>
      </c>
      <c r="J155" s="13">
        <f>$H$56/(($F$56-1)*$P$56)*100</f>
        <v>11.53846154</v>
      </c>
      <c r="L155" s="16">
        <f>$H$45/(($F$45-1)*$P$45)*100</f>
        <v>5.966587112</v>
      </c>
      <c r="M155" s="16">
        <f>$H$49/(($F$49-1)*$P$49)*100</f>
        <v>1.193820225</v>
      </c>
      <c r="N155" s="12">
        <f>$H$53/(($F$53-1)*$P$53)*100</f>
        <v>6.289308176</v>
      </c>
      <c r="O155" s="13">
        <f>$H$57/(($F$57-1)*$P$57)*100</f>
        <v>10.6557377</v>
      </c>
      <c r="Q155" s="11" t="s">
        <v>68</v>
      </c>
      <c r="R155" s="33">
        <f t="shared" ref="R155:U155" si="47">B153+B157</f>
        <v>72.5</v>
      </c>
      <c r="S155" s="33">
        <f t="shared" si="47"/>
        <v>8.350100604</v>
      </c>
      <c r="T155" s="33">
        <f t="shared" si="47"/>
        <v>38.10218978</v>
      </c>
      <c r="U155" s="33">
        <f t="shared" si="47"/>
        <v>57.98969072</v>
      </c>
      <c r="V155" s="33"/>
      <c r="W155" s="33">
        <f t="shared" ref="W155:Z155" si="48">G153+G157</f>
        <v>73.45</v>
      </c>
      <c r="X155" s="33">
        <f t="shared" si="48"/>
        <v>8.601609658</v>
      </c>
      <c r="Y155" s="33">
        <f t="shared" si="48"/>
        <v>40.3202329</v>
      </c>
      <c r="Z155" s="33">
        <f t="shared" si="48"/>
        <v>58.12182741</v>
      </c>
      <c r="AA155" s="33"/>
      <c r="AB155" s="33">
        <f t="shared" ref="AB155:AE155" si="49">L153+L157</f>
        <v>72.22222222</v>
      </c>
      <c r="AC155" s="33">
        <f t="shared" si="49"/>
        <v>8.43373494</v>
      </c>
      <c r="AD155" s="33">
        <f t="shared" si="49"/>
        <v>41.10787172</v>
      </c>
      <c r="AE155" s="33">
        <f t="shared" si="49"/>
        <v>58.92857143</v>
      </c>
      <c r="AF155" s="33">
        <f t="shared" ref="AF155:AF157" si="53">AVERAGE(R155:U155,W155:Z155,AB155:AE155)</f>
        <v>44.84400428</v>
      </c>
    </row>
    <row r="156" ht="15.75" customHeight="1">
      <c r="A156" s="10" t="s">
        <v>13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10"/>
      <c r="L156" s="24"/>
      <c r="M156" s="24"/>
      <c r="N156" s="24"/>
      <c r="O156" s="24"/>
      <c r="Q156" s="11" t="s">
        <v>73</v>
      </c>
      <c r="R156" s="33">
        <f t="shared" ref="R156:U156" si="50">B154+B158</f>
        <v>75.87939698</v>
      </c>
      <c r="S156" s="33">
        <f t="shared" si="50"/>
        <v>8.7790111</v>
      </c>
      <c r="T156" s="33">
        <f t="shared" si="50"/>
        <v>47.94721408</v>
      </c>
      <c r="U156" s="33">
        <f t="shared" si="50"/>
        <v>45.87628866</v>
      </c>
      <c r="V156" s="33"/>
      <c r="W156" s="33">
        <f t="shared" ref="W156:Z156" si="51">G154+G158</f>
        <v>76.41129032</v>
      </c>
      <c r="X156" s="33">
        <f t="shared" si="51"/>
        <v>9.045226131</v>
      </c>
      <c r="Y156" s="33">
        <f t="shared" si="51"/>
        <v>48.01762115</v>
      </c>
      <c r="Z156" s="33">
        <f t="shared" si="51"/>
        <v>48.71794872</v>
      </c>
      <c r="AA156" s="29"/>
      <c r="AB156" s="33">
        <f t="shared" ref="AB156:AE156" si="52">L154+L158</f>
        <v>75.02512563</v>
      </c>
      <c r="AC156" s="33">
        <f t="shared" si="52"/>
        <v>9.387550201</v>
      </c>
      <c r="AD156" s="33">
        <f t="shared" si="52"/>
        <v>46.76470588</v>
      </c>
      <c r="AE156" s="33">
        <f t="shared" si="52"/>
        <v>45.91836735</v>
      </c>
      <c r="AF156" s="33">
        <f t="shared" si="53"/>
        <v>44.81414552</v>
      </c>
    </row>
    <row r="157" ht="15.75" customHeight="1">
      <c r="A157" s="11" t="s">
        <v>68</v>
      </c>
      <c r="B157" s="17">
        <f>$N$3/(($F$3-1)*$P$3)*100</f>
        <v>63.55</v>
      </c>
      <c r="C157" s="15">
        <f>$N$7/(($F$7-1)*$P$7)*100</f>
        <v>6.740442656</v>
      </c>
      <c r="D157" s="18">
        <f>$N$11/(($F$11-1)*$P$11)*100</f>
        <v>27.59124088</v>
      </c>
      <c r="E157" s="14">
        <f>$N$15/(($F$15-1)*$P$15)*100</f>
        <v>42.5257732</v>
      </c>
      <c r="F157" s="8"/>
      <c r="G157" s="14">
        <f>$N$4/(($F$4-1)*$P$4)*100</f>
        <v>64.05</v>
      </c>
      <c r="H157" s="12">
        <f>$N$8/(($F$8-1)*$P$8)*100</f>
        <v>7.142857143</v>
      </c>
      <c r="I157" s="13">
        <f>$N$12/(($F$12-1)*$P$12)*100</f>
        <v>28.31149927</v>
      </c>
      <c r="J157" s="17">
        <f>$N$16/(($F$16-1)*$P$16)*100</f>
        <v>42.1319797</v>
      </c>
      <c r="L157" s="14">
        <f>$N$5/(($F$5-1)*$P$5)*100</f>
        <v>63.66366366</v>
      </c>
      <c r="M157" s="12">
        <f>$N$9/(($F$9-1)*$P$9)*100</f>
        <v>7.078313253</v>
      </c>
      <c r="N157" s="13">
        <f>$N$13/(($F$13-1)*$P$13)*100</f>
        <v>28.86297376</v>
      </c>
      <c r="O157" s="14">
        <f>$N$17/(($F$17-1)*$P$17)*100</f>
        <v>43.36734694</v>
      </c>
      <c r="Q157" s="23" t="s">
        <v>76</v>
      </c>
      <c r="R157" s="33">
        <f t="shared" ref="R157:U157" si="54">B155+B159</f>
        <v>62.83704572</v>
      </c>
      <c r="S157" s="33">
        <f t="shared" si="54"/>
        <v>6.629834254</v>
      </c>
      <c r="T157" s="33">
        <f t="shared" si="54"/>
        <v>43.43220339</v>
      </c>
      <c r="U157" s="33">
        <f t="shared" si="54"/>
        <v>67.14285714</v>
      </c>
      <c r="V157" s="33"/>
      <c r="W157" s="33">
        <f t="shared" ref="W157:Z157" si="55">G155+G159</f>
        <v>64.57109283</v>
      </c>
      <c r="X157" s="33">
        <f t="shared" si="55"/>
        <v>6.901217862</v>
      </c>
      <c r="Y157" s="33">
        <f t="shared" si="55"/>
        <v>44.0625</v>
      </c>
      <c r="Z157" s="33">
        <f t="shared" si="55"/>
        <v>61.92307692</v>
      </c>
      <c r="AB157" s="33">
        <f t="shared" ref="AB157:AE157" si="56">L155+L159</f>
        <v>64.6778043</v>
      </c>
      <c r="AC157" s="33">
        <f t="shared" si="56"/>
        <v>7.584269663</v>
      </c>
      <c r="AD157" s="33">
        <f t="shared" si="56"/>
        <v>43.50104822</v>
      </c>
      <c r="AE157" s="33">
        <f t="shared" si="56"/>
        <v>63.93442623</v>
      </c>
      <c r="AF157" s="33">
        <f t="shared" si="53"/>
        <v>44.76644804</v>
      </c>
    </row>
    <row r="158" ht="15.75" customHeight="1">
      <c r="A158" s="11" t="s">
        <v>73</v>
      </c>
      <c r="B158" s="13">
        <f>$N$19/(($F$19-1)*$P$19)*100</f>
        <v>45.72864322</v>
      </c>
      <c r="C158" s="15">
        <f>$N$23/(($F$23-1)*$P$23)*100</f>
        <v>7.164480323</v>
      </c>
      <c r="D158" s="14">
        <f>$N$27/(($F$27-1)*$P$27)*100</f>
        <v>44.20821114</v>
      </c>
      <c r="E158" s="13">
        <f>$N$31/(($F$31-1)*$P$31)*100</f>
        <v>26.28865979</v>
      </c>
      <c r="F158" s="8"/>
      <c r="G158" s="13">
        <f>$N$20/(($F$20-1)*$P$20)*100</f>
        <v>46.21975806</v>
      </c>
      <c r="H158" s="12">
        <f>$N$24/(($F$24-1)*$P$24)*100</f>
        <v>7.185929648</v>
      </c>
      <c r="I158" s="14">
        <f>$N$28/(($F$28-1)*$P$28)*100</f>
        <v>43.83259912</v>
      </c>
      <c r="J158" s="13">
        <f>$N$32/(($F$32-1)*$P$32)*100</f>
        <v>27.69230769</v>
      </c>
      <c r="L158" s="18">
        <f>$N$21/(($F$21-1)*$P$21)*100</f>
        <v>45.22613065</v>
      </c>
      <c r="M158" s="12">
        <f>$N$25/(($F$25-1)*$P$25)*100</f>
        <v>7.178714859</v>
      </c>
      <c r="N158" s="17">
        <f>$N$29/(($F$29-1)*$P$29)*100</f>
        <v>43.38235294</v>
      </c>
      <c r="O158" s="18">
        <f>$N$33/(($F$33-1)*$P$33)*100</f>
        <v>25</v>
      </c>
      <c r="Q158" s="11" t="s">
        <v>92</v>
      </c>
      <c r="R158" s="33">
        <f t="shared" ref="R158:U158" si="57">AVERAGE(R155:R157)</f>
        <v>70.4054809</v>
      </c>
      <c r="S158" s="29">
        <f t="shared" si="57"/>
        <v>7.919648653</v>
      </c>
      <c r="T158" s="33">
        <f t="shared" si="57"/>
        <v>43.16053575</v>
      </c>
      <c r="U158" s="33">
        <f t="shared" si="57"/>
        <v>57.00294551</v>
      </c>
      <c r="V158" s="33"/>
      <c r="W158" s="33">
        <f t="shared" ref="W158:Z158" si="58">AVERAGE(W155:W157)</f>
        <v>71.47746105</v>
      </c>
      <c r="X158" s="29">
        <f t="shared" si="58"/>
        <v>8.18268455</v>
      </c>
      <c r="Y158" s="33">
        <f t="shared" si="58"/>
        <v>44.13345135</v>
      </c>
      <c r="Z158" s="33">
        <f t="shared" si="58"/>
        <v>56.25428435</v>
      </c>
      <c r="AA158" s="33"/>
      <c r="AB158" s="33">
        <f t="shared" ref="AB158:AE158" si="59">AVERAGE(AB155:AB157)</f>
        <v>70.64171738</v>
      </c>
      <c r="AC158" s="29">
        <f t="shared" si="59"/>
        <v>8.468518268</v>
      </c>
      <c r="AD158" s="33">
        <f t="shared" si="59"/>
        <v>43.79120861</v>
      </c>
      <c r="AE158" s="33">
        <f t="shared" si="59"/>
        <v>56.260455</v>
      </c>
    </row>
    <row r="159" ht="15.75" customHeight="1">
      <c r="A159" s="11" t="s">
        <v>76</v>
      </c>
      <c r="B159" s="17">
        <f>$N$43/(($F$43-1)*$P$43)*100</f>
        <v>57.15123095</v>
      </c>
      <c r="C159" s="16">
        <f>$N$47/(($F$47-1)*$P$47)*100</f>
        <v>6.077348066</v>
      </c>
      <c r="D159" s="14">
        <f>$N$51/(($F$51-1)*$P$51)*100</f>
        <v>38.02966102</v>
      </c>
      <c r="E159" s="14">
        <f>$N$55/(($F$55-1)*$P$55)*100</f>
        <v>57.5</v>
      </c>
      <c r="F159" s="8"/>
      <c r="G159" s="14">
        <f>$N$44/(($F$44-1)*$P$44)*100</f>
        <v>58.75440658</v>
      </c>
      <c r="H159" s="20">
        <f>$N$48/(($F$48-1)*$P$48)*100</f>
        <v>5.953991881</v>
      </c>
      <c r="I159" s="17">
        <f>$N$52/(($F$52-1)*$P$52)*100</f>
        <v>36.25</v>
      </c>
      <c r="J159" s="17">
        <f>$N$56/(($F$56-1)*$P$56)*100</f>
        <v>50.38461538</v>
      </c>
      <c r="L159" s="14">
        <f>$N$45/(($F$45-1)*$P$45)*100</f>
        <v>58.71121718</v>
      </c>
      <c r="M159" s="16">
        <f>$N$49/(($F$49-1)*$P$49)*100</f>
        <v>6.390449438</v>
      </c>
      <c r="N159" s="14">
        <f>$N$53/(($F$53-1)*$P$53)*100</f>
        <v>37.21174004</v>
      </c>
      <c r="O159" s="14">
        <f>$N$57/(($F$57-1)*$P$57)*100</f>
        <v>53.27868852</v>
      </c>
      <c r="S159" s="33">
        <f>AVERAGE(R158:U158)</f>
        <v>44.6221527</v>
      </c>
      <c r="X159" s="33">
        <f>AVERAGE(W158:Z158)</f>
        <v>45.01197032</v>
      </c>
      <c r="AC159" s="33">
        <f>AVERAGE(AB158:AE158)</f>
        <v>44.79047481</v>
      </c>
    </row>
    <row r="160" ht="15.75" customHeight="1">
      <c r="A160" s="10" t="s">
        <v>79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10"/>
      <c r="L160" s="24"/>
      <c r="M160" s="24"/>
      <c r="N160" s="24"/>
      <c r="O160" s="24"/>
    </row>
    <row r="161" ht="15.75" customHeight="1">
      <c r="A161" s="11" t="s">
        <v>68</v>
      </c>
      <c r="B161" s="14">
        <f>($I$3+$J$3)/(($F$3-1)*$P$3)*100</f>
        <v>23.95</v>
      </c>
      <c r="C161" s="14">
        <f>($I$7+$J$7)/(($F$7-1)*$P$7)*100</f>
        <v>90.84507042</v>
      </c>
      <c r="D161" s="17">
        <f>($I$11+$J$11)/(($F$11-1)*$P$11)*100</f>
        <v>47.73722628</v>
      </c>
      <c r="E161" s="14">
        <f>($I$15+$J$15)/(($F$15-1)*$P$15)*100</f>
        <v>32.98969072</v>
      </c>
      <c r="F161" s="8"/>
      <c r="G161" s="14">
        <f>($I$4+$J$4)/(($F$4-1)*$P$4)*100</f>
        <v>23.5</v>
      </c>
      <c r="H161" s="14">
        <f>($I$8+$J$8)/(($F$8-1)*$P$8)*100</f>
        <v>90.89537223</v>
      </c>
      <c r="I161" s="14">
        <f>($I$12+$J$12)/(($F$12-1)*$P$12)*100</f>
        <v>46.2154294</v>
      </c>
      <c r="J161" s="14">
        <f>($I$16+$J$16)/(($F$16-1)*$P$16)*100</f>
        <v>32.74111675</v>
      </c>
      <c r="L161" s="17">
        <f>($I$5+$J$5)/(($F$5-1)*$P$5)*100</f>
        <v>24.27427427</v>
      </c>
      <c r="M161" s="18">
        <f>($I$9+$J$9)/(($F$9-1)*$P$9)*100</f>
        <v>91.01405622</v>
      </c>
      <c r="N161" s="14">
        <f>($I$13+$J$13)/(($F$13-1)*$P$13)*100</f>
        <v>45.91836735</v>
      </c>
      <c r="O161" s="17">
        <f>($I$17+$J$17)/(($F$17-1)*$P$17)*100</f>
        <v>33.41836735</v>
      </c>
    </row>
    <row r="162" ht="15.75" customHeight="1">
      <c r="A162" s="11" t="s">
        <v>73</v>
      </c>
      <c r="B162" s="14">
        <f>($I$19+$J$19)/(($F$19-1)*$P$19)*100</f>
        <v>21.6080402</v>
      </c>
      <c r="C162" s="17">
        <f>($I$23+$J$23)/(($F$23-1)*$P$23)*100</f>
        <v>90.71644803</v>
      </c>
      <c r="D162" s="14">
        <f>($I$27+$J$27)/(($F$27-1)*$P$27)*100</f>
        <v>43.91495601</v>
      </c>
      <c r="E162" s="18">
        <f>($I$31+$J$31)/(($F$31-1)*$P$31)*100</f>
        <v>48.96907216</v>
      </c>
      <c r="F162" s="8"/>
      <c r="G162" s="14">
        <f>($I$20+$J$20)/(($F$20-1)*$P$20)*100</f>
        <v>21.42137097</v>
      </c>
      <c r="H162" s="14">
        <f>($I$24+$J$24)/(($F$24-1)*$P$24)*100</f>
        <v>90.40201005</v>
      </c>
      <c r="I162" s="14">
        <f>($I$28+$J$28)/(($F$28-1)*$P$28)*100</f>
        <v>43.39207048</v>
      </c>
      <c r="J162" s="13">
        <f>($I$32+$J$32)/(($F$32-1)*$P$32)*100</f>
        <v>47.69230769</v>
      </c>
      <c r="L162" s="17">
        <f>($I$21+$J$21)/(($F$21-1)*$P$21)*100</f>
        <v>21.85929648</v>
      </c>
      <c r="M162" s="14">
        <f>($I$25+$J$25)/(($F$25-1)*$P$25)*100</f>
        <v>90.06024096</v>
      </c>
      <c r="N162" s="17">
        <f>($I$29+$J$29)/(($F$29-1)*$P$29)*100</f>
        <v>44.11764706</v>
      </c>
      <c r="O162" s="13">
        <f>($I$33+$J$33)/(($F$33-1)*$P$33)*100</f>
        <v>48.46938776</v>
      </c>
    </row>
    <row r="163" ht="15.75" customHeight="1">
      <c r="A163" s="11" t="s">
        <v>76</v>
      </c>
      <c r="B163" s="18">
        <f>($I$43+$J$43)/(($F$43-1)*$P$43)*100</f>
        <v>28.54630715</v>
      </c>
      <c r="C163" s="13">
        <f>($I$47+$J$47)/(($F$47-1)*$P$47)*100</f>
        <v>92.12707182</v>
      </c>
      <c r="D163" s="13">
        <f>($I$51+$J$51)/(($F$51-1)*$P$51)*100</f>
        <v>48.41101695</v>
      </c>
      <c r="E163" s="14">
        <f>($I$55+$J$55)/(($F$55-1)*$P$55)*100</f>
        <v>21.78571429</v>
      </c>
      <c r="F163" s="8"/>
      <c r="G163" s="13">
        <f>($I$44+$J$44)/(($F$44-1)*$P$44)*100</f>
        <v>27.43830787</v>
      </c>
      <c r="H163" s="18">
        <f>($I$48+$J$48)/(($F$48-1)*$P$48)*100</f>
        <v>92.15155616</v>
      </c>
      <c r="I163" s="13">
        <f>($I$52+$J$52)/(($F$52-1)*$P$52)*100</f>
        <v>47.39583333</v>
      </c>
      <c r="J163" s="17">
        <f>($I$56+$J$56)/(($F$56-1)*$P$56)*100</f>
        <v>28.46153846</v>
      </c>
      <c r="K163" s="59"/>
      <c r="L163" s="13">
        <f>($I$45+$J$45)/(($F$45-1)*$P$45)*100</f>
        <v>28.28162291</v>
      </c>
      <c r="M163" s="14">
        <f>($I$49+$J$49)/(($F$49-1)*$P$49)*100</f>
        <v>90.8005618</v>
      </c>
      <c r="N163" s="18">
        <f>($I$53+$J$53)/(($F$53-1)*$P$53)*100</f>
        <v>50.1048218</v>
      </c>
      <c r="O163" s="14">
        <f>($I$57+$J$57)/(($F$57-1)*$P$57)*100</f>
        <v>23.7704918</v>
      </c>
    </row>
    <row r="164" ht="15.75" customHeight="1">
      <c r="A164" s="10" t="s">
        <v>11</v>
      </c>
      <c r="B164" s="24"/>
      <c r="C164" s="24"/>
      <c r="D164" s="24"/>
      <c r="E164" s="24"/>
      <c r="F164" s="24"/>
      <c r="G164" s="24"/>
      <c r="H164" s="24"/>
      <c r="I164" s="24"/>
      <c r="J164" s="24"/>
      <c r="L164" s="24"/>
      <c r="M164" s="24"/>
      <c r="N164" s="24"/>
      <c r="O164" s="24"/>
    </row>
    <row r="165" ht="15.75" customHeight="1">
      <c r="A165" s="11" t="s">
        <v>68</v>
      </c>
      <c r="B165" s="15">
        <f>$L$3/(($F$3-1)*$P$3)*100</f>
        <v>3.55</v>
      </c>
      <c r="C165" s="22">
        <f>$L$7/(($F$7-1)*$P$7)*100</f>
        <v>0.8048289738</v>
      </c>
      <c r="D165" s="18">
        <f>$L$11/(($F$11-1)*$P$11)*100</f>
        <v>14.16058394</v>
      </c>
      <c r="E165" s="12">
        <f>$L$15/(($F$15-1)*$P$15)*100</f>
        <v>9.020618557</v>
      </c>
      <c r="F165" s="29">
        <f>AVERAGE(B165:E167)</f>
        <v>6.077796127</v>
      </c>
      <c r="G165" s="12">
        <f>$L$4/(($F$4-1)*$P$4)*100</f>
        <v>3.05</v>
      </c>
      <c r="H165" s="21">
        <f>$L$8/(($F$8-1)*$P$8)*100</f>
        <v>0.5030181087</v>
      </c>
      <c r="I165" s="13">
        <f>$L$12/(($F$12-1)*$P$12)*100</f>
        <v>13.4643377</v>
      </c>
      <c r="J165" s="15">
        <f>$L$16/(($F$16-1)*$P$16)*100</f>
        <v>9.137055838</v>
      </c>
      <c r="K165" s="29">
        <f>AVERAGE(G165:J167)</f>
        <v>5.679120224</v>
      </c>
      <c r="L165" s="12">
        <f>$L$5/(($F$5-1)*$P$5)*100</f>
        <v>3.503503504</v>
      </c>
      <c r="M165" s="21">
        <f>$L$9/(($F$9-1)*$P$9)*100</f>
        <v>0.5522088353</v>
      </c>
      <c r="N165" s="13">
        <f>$L$13/(($F$13-1)*$P$13)*100</f>
        <v>12.97376093</v>
      </c>
      <c r="O165" s="12">
        <f>$L$17/(($F$17-1)*$P$17)*100</f>
        <v>7.653061224</v>
      </c>
      <c r="P165" s="29">
        <f>AVERAGE(L165:O167)</f>
        <v>5.868763871</v>
      </c>
    </row>
    <row r="166" ht="15.75" customHeight="1">
      <c r="A166" s="11" t="s">
        <v>73</v>
      </c>
      <c r="B166" s="12">
        <f>$L$19/(($F$19-1)*$P$19)*100</f>
        <v>2.512562814</v>
      </c>
      <c r="C166" s="21">
        <f>$L$23/(($F$23-1)*$P$23)*100</f>
        <v>0.5045408678</v>
      </c>
      <c r="D166" s="12">
        <f>$L$27/(($F$27-1)*$P$27)*100</f>
        <v>8.137829912</v>
      </c>
      <c r="E166" s="12">
        <f>$L$31/(($F$31-1)*$P$31)*100</f>
        <v>5.154639175</v>
      </c>
      <c r="F166" s="8"/>
      <c r="G166" s="12">
        <f>$L$20/(($F$20-1)*$P$20)*100</f>
        <v>2.16733871</v>
      </c>
      <c r="H166" s="22">
        <f>$L$24/(($F$24-1)*$P$24)*100</f>
        <v>0.5527638191</v>
      </c>
      <c r="I166" s="12">
        <f>$L$28/(($F$28-1)*$P$28)*100</f>
        <v>8.59030837</v>
      </c>
      <c r="J166" s="12">
        <f>$L$32/(($F$32-1)*$P$32)*100</f>
        <v>3.58974359</v>
      </c>
      <c r="L166" s="15">
        <f>$L$21/(($F$21-1)*$P$21)*100</f>
        <v>3.115577889</v>
      </c>
      <c r="M166" s="21">
        <f>$L$25/(($F$25-1)*$P$25)*100</f>
        <v>0.5522088353</v>
      </c>
      <c r="N166" s="15">
        <f>$L$29/(($F$29-1)*$P$29)*100</f>
        <v>9.117647059</v>
      </c>
      <c r="O166" s="15">
        <f>$L$33/(($F$33-1)*$P$33)*100</f>
        <v>5.612244898</v>
      </c>
    </row>
    <row r="167" ht="15.75" customHeight="1">
      <c r="A167" s="11" t="s">
        <v>76</v>
      </c>
      <c r="B167" s="20">
        <f>$L$43/(($F$43-1)*$P$43)*100</f>
        <v>8.616647128</v>
      </c>
      <c r="C167" s="16">
        <f>$L$47/(($F$47-1)*$P$47)*100</f>
        <v>1.243093923</v>
      </c>
      <c r="D167" s="12">
        <f>$L$51/(($F$51-1)*$P$51)*100</f>
        <v>8.156779661</v>
      </c>
      <c r="E167" s="13">
        <f>$L$55/(($F$55-1)*$P$55)*100</f>
        <v>11.07142857</v>
      </c>
      <c r="F167" s="8"/>
      <c r="G167" s="16">
        <f>$L$44/(($F$44-1)*$P$44)*100</f>
        <v>7.990599295</v>
      </c>
      <c r="H167" s="28">
        <f>$L$48/(($F$48-1)*$P$48)*100</f>
        <v>0.9472259811</v>
      </c>
      <c r="I167" s="15">
        <f>$L$52/(($F$52-1)*$P$52)*100</f>
        <v>8.541666667</v>
      </c>
      <c r="J167" s="16">
        <f>$L$56/(($F$56-1)*$P$56)*100</f>
        <v>9.615384615</v>
      </c>
      <c r="L167" s="16">
        <f>$L$45/(($F$45-1)*$P$45)*100</f>
        <v>7.040572792</v>
      </c>
      <c r="M167" s="20">
        <f>$L$49/(($F$49-1)*$P$49)*100</f>
        <v>1.615168539</v>
      </c>
      <c r="N167" s="12">
        <f>$L$53/(($F$53-1)*$P$53)*100</f>
        <v>6.394129979</v>
      </c>
      <c r="O167" s="18">
        <f>$L$57/(($F$57-1)*$P$57)*100</f>
        <v>12.29508197</v>
      </c>
    </row>
    <row r="168" ht="15.75" customHeight="1">
      <c r="A168" s="72"/>
      <c r="B168" s="60">
        <f t="shared" ref="B168:E168" si="60">SUM(B153+B157+B161+B165)</f>
        <v>100</v>
      </c>
      <c r="C168" s="60">
        <f t="shared" si="60"/>
        <v>100</v>
      </c>
      <c r="D168" s="60">
        <f t="shared" si="60"/>
        <v>100</v>
      </c>
      <c r="E168" s="60">
        <f t="shared" si="60"/>
        <v>100</v>
      </c>
      <c r="F168" s="60"/>
      <c r="G168" s="60">
        <f t="shared" ref="G168:J168" si="61">SUM(G153+G157+G161+G165)</f>
        <v>100</v>
      </c>
      <c r="H168" s="60">
        <f t="shared" si="61"/>
        <v>100</v>
      </c>
      <c r="I168" s="60">
        <f t="shared" si="61"/>
        <v>100</v>
      </c>
      <c r="J168" s="60">
        <f t="shared" si="61"/>
        <v>100</v>
      </c>
      <c r="K168" s="60"/>
      <c r="L168" s="60">
        <f t="shared" ref="L168:O168" si="62">SUM(L153+L157+L161+L165)</f>
        <v>100</v>
      </c>
      <c r="M168" s="60">
        <f t="shared" si="62"/>
        <v>100</v>
      </c>
      <c r="N168" s="60">
        <f t="shared" si="62"/>
        <v>100</v>
      </c>
      <c r="O168" s="60">
        <f t="shared" si="62"/>
        <v>100</v>
      </c>
    </row>
    <row r="169" ht="15.75" customHeight="1">
      <c r="A169" s="11"/>
      <c r="B169" s="14">
        <f t="shared" ref="B169:E169" si="63">SUM(B154+B158+B162+B166)</f>
        <v>100</v>
      </c>
      <c r="C169" s="14">
        <f t="shared" si="63"/>
        <v>100</v>
      </c>
      <c r="D169" s="14">
        <f t="shared" si="63"/>
        <v>100</v>
      </c>
      <c r="E169" s="14">
        <f t="shared" si="63"/>
        <v>100</v>
      </c>
      <c r="F169" s="14"/>
      <c r="G169" s="14">
        <f t="shared" ref="G169:J169" si="64">SUM(G154+G158+G162+G166)</f>
        <v>100</v>
      </c>
      <c r="H169" s="14">
        <f t="shared" si="64"/>
        <v>100</v>
      </c>
      <c r="I169" s="14">
        <f t="shared" si="64"/>
        <v>100</v>
      </c>
      <c r="J169" s="14">
        <f t="shared" si="64"/>
        <v>100</v>
      </c>
      <c r="K169" s="14"/>
      <c r="L169" s="14">
        <f t="shared" ref="L169:O169" si="65">SUM(L154+L158+L162+L166)</f>
        <v>100</v>
      </c>
      <c r="M169" s="14">
        <f t="shared" si="65"/>
        <v>100</v>
      </c>
      <c r="N169" s="14">
        <f t="shared" si="65"/>
        <v>100</v>
      </c>
      <c r="O169" s="14">
        <f t="shared" si="65"/>
        <v>100</v>
      </c>
    </row>
    <row r="170" ht="15.75" customHeight="1">
      <c r="A170" s="11"/>
      <c r="B170" s="14">
        <f t="shared" ref="B170:E170" si="66">SUM(B155+B159+B163+B167)</f>
        <v>100</v>
      </c>
      <c r="C170" s="14">
        <f t="shared" si="66"/>
        <v>100</v>
      </c>
      <c r="D170" s="14">
        <f t="shared" si="66"/>
        <v>100</v>
      </c>
      <c r="E170" s="14">
        <f t="shared" si="66"/>
        <v>100</v>
      </c>
      <c r="F170" s="14"/>
      <c r="G170" s="14">
        <f t="shared" ref="G170:J170" si="67">SUM(G155+G159+G163+G167)</f>
        <v>100</v>
      </c>
      <c r="H170" s="14">
        <f t="shared" si="67"/>
        <v>100</v>
      </c>
      <c r="I170" s="14">
        <f t="shared" si="67"/>
        <v>100</v>
      </c>
      <c r="J170" s="14">
        <f t="shared" si="67"/>
        <v>100</v>
      </c>
      <c r="K170" s="14"/>
      <c r="L170" s="14">
        <f t="shared" ref="L170:O170" si="68">SUM(L155+L159+L163+L167)</f>
        <v>100</v>
      </c>
      <c r="M170" s="14">
        <f t="shared" si="68"/>
        <v>100</v>
      </c>
      <c r="N170" s="14">
        <f t="shared" si="68"/>
        <v>100</v>
      </c>
      <c r="O170" s="14">
        <f t="shared" si="68"/>
        <v>100</v>
      </c>
    </row>
    <row r="171" ht="15.75" customHeight="1"/>
    <row r="172" ht="15.75" customHeight="1"/>
    <row r="173" ht="15.0" customHeight="1">
      <c r="A173" s="30" t="s">
        <v>211</v>
      </c>
      <c r="B173" s="9" t="s">
        <v>169</v>
      </c>
      <c r="G173" s="9" t="s">
        <v>170</v>
      </c>
      <c r="L173" s="9" t="s">
        <v>171</v>
      </c>
    </row>
    <row r="174" ht="15.75" customHeight="1">
      <c r="B174" s="32"/>
      <c r="C174" s="32"/>
      <c r="D174" s="32"/>
      <c r="E174" s="32"/>
      <c r="F174" s="8"/>
      <c r="G174" s="32"/>
      <c r="H174" s="32"/>
      <c r="I174" s="32"/>
      <c r="J174" s="32"/>
      <c r="L174" s="32"/>
      <c r="M174" s="32"/>
      <c r="N174" s="32"/>
      <c r="O174" s="32"/>
    </row>
    <row r="175" ht="15.75" customHeight="1">
      <c r="A175" s="32"/>
      <c r="B175" s="51" t="s">
        <v>63</v>
      </c>
      <c r="C175" s="51" t="s">
        <v>64</v>
      </c>
      <c r="D175" s="51" t="s">
        <v>65</v>
      </c>
      <c r="E175" s="51" t="s">
        <v>66</v>
      </c>
      <c r="F175" s="32"/>
      <c r="G175" s="51" t="s">
        <v>63</v>
      </c>
      <c r="H175" s="51" t="s">
        <v>64</v>
      </c>
      <c r="I175" s="51" t="s">
        <v>65</v>
      </c>
      <c r="J175" s="51" t="s">
        <v>66</v>
      </c>
      <c r="K175" s="59"/>
      <c r="L175" s="51" t="s">
        <v>63</v>
      </c>
      <c r="M175" s="51" t="s">
        <v>64</v>
      </c>
      <c r="N175" s="51" t="s">
        <v>65</v>
      </c>
      <c r="O175" s="51" t="s">
        <v>66</v>
      </c>
    </row>
    <row r="176" ht="15.75" customHeight="1">
      <c r="A176" s="10" t="s">
        <v>7</v>
      </c>
    </row>
    <row r="177" ht="15.75" customHeight="1">
      <c r="A177" s="11" t="s">
        <v>73</v>
      </c>
      <c r="B177" s="14">
        <f t="shared" ref="B177:E177" si="69">B154</f>
        <v>30.15075377</v>
      </c>
      <c r="C177" s="15">
        <f t="shared" si="69"/>
        <v>1.614530777</v>
      </c>
      <c r="D177" s="16">
        <f t="shared" si="69"/>
        <v>3.739002933</v>
      </c>
      <c r="E177" s="17">
        <f t="shared" si="69"/>
        <v>19.58762887</v>
      </c>
      <c r="F177" s="8"/>
      <c r="G177" s="14">
        <f t="shared" ref="G177:J177" si="70">G154</f>
        <v>30.19153226</v>
      </c>
      <c r="H177" s="12">
        <f t="shared" si="70"/>
        <v>1.859296482</v>
      </c>
      <c r="I177" s="16">
        <f t="shared" si="70"/>
        <v>4.185022026</v>
      </c>
      <c r="J177" s="14">
        <f t="shared" si="70"/>
        <v>21.02564103</v>
      </c>
      <c r="L177" s="17">
        <f t="shared" ref="L177:O177" si="71">L154</f>
        <v>29.79899497</v>
      </c>
      <c r="M177" s="12">
        <f t="shared" si="71"/>
        <v>2.208835341</v>
      </c>
      <c r="N177" s="20">
        <f t="shared" si="71"/>
        <v>3.382352941</v>
      </c>
      <c r="O177" s="14">
        <f t="shared" si="71"/>
        <v>20.91836735</v>
      </c>
      <c r="Q177" s="30" t="s">
        <v>212</v>
      </c>
      <c r="R177" s="31" t="s">
        <v>169</v>
      </c>
      <c r="S177" s="32"/>
      <c r="T177" s="32"/>
      <c r="U177" s="32"/>
      <c r="V177" s="8"/>
      <c r="W177" s="31" t="s">
        <v>170</v>
      </c>
      <c r="X177" s="32"/>
      <c r="Y177" s="32"/>
      <c r="Z177" s="32"/>
      <c r="AB177" s="31" t="s">
        <v>171</v>
      </c>
      <c r="AC177" s="32"/>
      <c r="AD177" s="32"/>
      <c r="AE177" s="32"/>
    </row>
    <row r="178" ht="15.75" customHeight="1">
      <c r="A178" s="11" t="s">
        <v>205</v>
      </c>
      <c r="B178" s="16">
        <f>$H$115/(($F$115-1)*$P$115)*100</f>
        <v>3.228120516</v>
      </c>
      <c r="C178" s="28">
        <f>$H$119/(($F$119-1)*$P$119)*100</f>
        <v>0.546875</v>
      </c>
      <c r="D178" s="12">
        <f>$H$123/(($F$123-1)*$P$123)*100</f>
        <v>5</v>
      </c>
      <c r="E178" s="16">
        <f>$H$127/(($F$127-1)*$P$127)*100</f>
        <v>9.011627907</v>
      </c>
      <c r="F178" s="54">
        <f>AVERAGE(B178:E178)</f>
        <v>4.446655856</v>
      </c>
      <c r="G178" s="20">
        <f>$H$116/(($F$116-1)*$P$116)*100</f>
        <v>2.22392638</v>
      </c>
      <c r="H178" s="27">
        <f>$H$120/(($F$120-1)*$P$120)*100</f>
        <v>0.3338898164</v>
      </c>
      <c r="I178" s="12">
        <f>$H$124/(($F$124-1)*$P$124)*100</f>
        <v>5.2141527</v>
      </c>
      <c r="J178" s="16">
        <f>$H$128/(($F$128-1)*$P$128)*100</f>
        <v>9.714285714</v>
      </c>
      <c r="K178" s="54">
        <f>AVERAGE(G178:J178)</f>
        <v>4.371563653</v>
      </c>
      <c r="L178" s="16">
        <f>$H$117/(($F$117-1)*$P$117)*100</f>
        <v>2.323717949</v>
      </c>
      <c r="M178" s="28">
        <f>$H$121/(($F$121-1)*$P$121)*100</f>
        <v>0.6633499171</v>
      </c>
      <c r="N178" s="15">
        <f>$H$125/(($F$125-1)*$P$125)*100</f>
        <v>4.990583804</v>
      </c>
      <c r="O178" s="20">
        <f>$H$129/(($F$129-1)*$P$129)*100</f>
        <v>8.806818182</v>
      </c>
      <c r="P178" s="54">
        <f>AVERAGE(L178:O178)</f>
        <v>4.196117463</v>
      </c>
      <c r="Q178" s="32"/>
      <c r="R178" s="8" t="s">
        <v>63</v>
      </c>
      <c r="S178" s="8" t="s">
        <v>64</v>
      </c>
      <c r="T178" s="8" t="s">
        <v>65</v>
      </c>
      <c r="U178" s="8" t="s">
        <v>66</v>
      </c>
      <c r="W178" s="8" t="s">
        <v>63</v>
      </c>
      <c r="X178" s="8" t="s">
        <v>64</v>
      </c>
      <c r="Y178" s="8" t="s">
        <v>65</v>
      </c>
      <c r="Z178" s="8" t="s">
        <v>66</v>
      </c>
      <c r="AB178" s="8" t="s">
        <v>63</v>
      </c>
      <c r="AC178" s="8" t="s">
        <v>64</v>
      </c>
      <c r="AD178" s="8" t="s">
        <v>65</v>
      </c>
      <c r="AE178" s="8" t="s">
        <v>66</v>
      </c>
    </row>
    <row r="179" ht="15.75" customHeight="1">
      <c r="A179" s="10" t="s">
        <v>13</v>
      </c>
      <c r="B179" s="24"/>
      <c r="C179" s="24"/>
      <c r="D179" s="24"/>
      <c r="E179" s="24"/>
      <c r="F179" s="95"/>
      <c r="G179" s="24"/>
      <c r="H179" s="24"/>
      <c r="I179" s="24"/>
      <c r="J179" s="24"/>
      <c r="K179" s="95"/>
      <c r="L179" s="24"/>
      <c r="M179" s="24"/>
      <c r="N179" s="24"/>
      <c r="O179" s="24"/>
      <c r="Q179" s="11" t="s">
        <v>73</v>
      </c>
      <c r="R179" s="33">
        <f t="shared" ref="R179:U179" si="72">B177+B180</f>
        <v>75.87939698</v>
      </c>
      <c r="S179" s="33">
        <f t="shared" si="72"/>
        <v>8.7790111</v>
      </c>
      <c r="T179" s="33">
        <f t="shared" si="72"/>
        <v>47.94721408</v>
      </c>
      <c r="U179" s="33">
        <f t="shared" si="72"/>
        <v>45.87628866</v>
      </c>
      <c r="V179" s="33">
        <f t="shared" ref="V179:V180" si="79">AVERAGE(R179:U179)</f>
        <v>44.62047771</v>
      </c>
      <c r="W179" s="33">
        <f t="shared" ref="W179:Z179" si="73">G177+G180</f>
        <v>76.41129032</v>
      </c>
      <c r="X179" s="33">
        <f t="shared" si="73"/>
        <v>9.045226131</v>
      </c>
      <c r="Y179" s="33">
        <f t="shared" si="73"/>
        <v>48.01762115</v>
      </c>
      <c r="Z179" s="33">
        <f t="shared" si="73"/>
        <v>48.71794872</v>
      </c>
      <c r="AA179" s="33"/>
      <c r="AB179" s="33">
        <f t="shared" ref="AB179:AE179" si="74">L177+L180</f>
        <v>75.02512563</v>
      </c>
      <c r="AC179" s="33">
        <f t="shared" si="74"/>
        <v>9.387550201</v>
      </c>
      <c r="AD179" s="33">
        <f t="shared" si="74"/>
        <v>46.76470588</v>
      </c>
      <c r="AE179" s="33">
        <f t="shared" si="74"/>
        <v>45.91836735</v>
      </c>
    </row>
    <row r="180" ht="15.75" customHeight="1">
      <c r="A180" s="11" t="s">
        <v>73</v>
      </c>
      <c r="B180" s="13">
        <f t="shared" ref="B180:E180" si="75">B158</f>
        <v>45.72864322</v>
      </c>
      <c r="C180" s="20">
        <f t="shared" si="75"/>
        <v>7.164480323</v>
      </c>
      <c r="D180" s="13">
        <f t="shared" si="75"/>
        <v>44.20821114</v>
      </c>
      <c r="E180" s="13">
        <f t="shared" si="75"/>
        <v>26.28865979</v>
      </c>
      <c r="F180" s="44"/>
      <c r="G180" s="13">
        <f t="shared" ref="G180:J180" si="76">G158</f>
        <v>46.21975806</v>
      </c>
      <c r="H180" s="16">
        <f t="shared" si="76"/>
        <v>7.185929648</v>
      </c>
      <c r="I180" s="13">
        <f t="shared" si="76"/>
        <v>43.83259912</v>
      </c>
      <c r="J180" s="13">
        <f t="shared" si="76"/>
        <v>27.69230769</v>
      </c>
      <c r="K180" s="44"/>
      <c r="L180" s="18">
        <f t="shared" ref="L180:O180" si="77">L158</f>
        <v>45.22613065</v>
      </c>
      <c r="M180" s="16">
        <f t="shared" si="77"/>
        <v>7.178714859</v>
      </c>
      <c r="N180" s="18">
        <f t="shared" si="77"/>
        <v>43.38235294</v>
      </c>
      <c r="O180" s="18">
        <f t="shared" si="77"/>
        <v>25</v>
      </c>
      <c r="Q180" s="11" t="s">
        <v>205</v>
      </c>
      <c r="R180" s="33">
        <f t="shared" ref="R180:U180" si="78">B178+B181</f>
        <v>84.86370158</v>
      </c>
      <c r="S180" s="33">
        <f t="shared" si="78"/>
        <v>8.359375</v>
      </c>
      <c r="T180" s="33">
        <f t="shared" si="78"/>
        <v>53.36363636</v>
      </c>
      <c r="U180" s="33">
        <f t="shared" si="78"/>
        <v>54.94186047</v>
      </c>
      <c r="V180" s="33">
        <f t="shared" si="79"/>
        <v>50.38214335</v>
      </c>
      <c r="W180" s="33">
        <f t="shared" ref="W180:Z180" si="80">G178+G181</f>
        <v>85.73619632</v>
      </c>
      <c r="X180" s="33">
        <f t="shared" si="80"/>
        <v>8.263772955</v>
      </c>
      <c r="Y180" s="33">
        <f t="shared" si="80"/>
        <v>52.51396648</v>
      </c>
      <c r="Z180" s="33">
        <f t="shared" si="80"/>
        <v>56.28571429</v>
      </c>
      <c r="AB180" s="33">
        <f t="shared" ref="AB180:AE180" si="81">L178+L181</f>
        <v>86.45833333</v>
      </c>
      <c r="AC180" s="33">
        <f t="shared" si="81"/>
        <v>8.706467662</v>
      </c>
      <c r="AD180" s="33">
        <f t="shared" si="81"/>
        <v>53.29566855</v>
      </c>
      <c r="AE180" s="33">
        <f t="shared" si="81"/>
        <v>53.97727273</v>
      </c>
    </row>
    <row r="181" ht="15.75" customHeight="1">
      <c r="A181" s="11" t="s">
        <v>205</v>
      </c>
      <c r="B181" s="17">
        <f>$N$115/(($F$115-1)*$P$115)*100</f>
        <v>81.63558106</v>
      </c>
      <c r="C181" s="15">
        <f>$N$119/(($F$119-1)*$P$119)*100</f>
        <v>7.8125</v>
      </c>
      <c r="D181" s="14">
        <f>$N$123/(($F$123-1)*$P$123)*100</f>
        <v>48.36363636</v>
      </c>
      <c r="E181" s="14">
        <f>$N$127/(($F$127-1)*$P$127)*100</f>
        <v>45.93023256</v>
      </c>
      <c r="F181" s="54"/>
      <c r="G181" s="14">
        <f>$N$116/(($F$116-1)*$P$116)*100</f>
        <v>83.51226994</v>
      </c>
      <c r="H181" s="12">
        <f>$N$120/(($F$120-1)*$P$120)*100</f>
        <v>7.929883139</v>
      </c>
      <c r="I181" s="17">
        <f>$N$124/(($F$124-1)*$P$124)*100</f>
        <v>47.29981378</v>
      </c>
      <c r="J181" s="14">
        <f>$N$128/(($F$128-1)*$P$128)*100</f>
        <v>46.57142857</v>
      </c>
      <c r="K181" s="54"/>
      <c r="L181" s="14">
        <f>$N$117/(($F$117-1)*$P$117)*100</f>
        <v>84.13461538</v>
      </c>
      <c r="M181" s="12">
        <f>$N$121/(($F$121-1)*$P$121)*100</f>
        <v>8.043117745</v>
      </c>
      <c r="N181" s="14">
        <f>$N$125/(($F$125-1)*$P$125)*100</f>
        <v>48.30508475</v>
      </c>
      <c r="O181" s="17">
        <f>$N$129/(($F$129-1)*$P$129)*100</f>
        <v>45.17045455</v>
      </c>
      <c r="Q181" s="11" t="s">
        <v>92</v>
      </c>
      <c r="R181" s="33">
        <f t="shared" ref="R181:U181" si="82">AVERAGE(R179:R180)</f>
        <v>80.37154928</v>
      </c>
      <c r="S181" s="29">
        <f t="shared" si="82"/>
        <v>8.56919305</v>
      </c>
      <c r="T181" s="33">
        <f t="shared" si="82"/>
        <v>50.65542522</v>
      </c>
      <c r="U181" s="33">
        <f t="shared" si="82"/>
        <v>50.40907456</v>
      </c>
      <c r="V181" s="33"/>
      <c r="W181" s="33">
        <f t="shared" ref="W181:Z181" si="83">AVERAGE(W179:W180)</f>
        <v>81.07374332</v>
      </c>
      <c r="X181" s="29">
        <f t="shared" si="83"/>
        <v>8.654499543</v>
      </c>
      <c r="Y181" s="33">
        <f t="shared" si="83"/>
        <v>50.26579381</v>
      </c>
      <c r="Z181" s="33">
        <f t="shared" si="83"/>
        <v>52.5018315</v>
      </c>
      <c r="AA181" s="33"/>
      <c r="AB181" s="33">
        <f t="shared" ref="AB181:AE181" si="84">AVERAGE(AB179:AB180)</f>
        <v>80.74172948</v>
      </c>
      <c r="AC181" s="29">
        <f t="shared" si="84"/>
        <v>9.047008931</v>
      </c>
      <c r="AD181" s="33">
        <f t="shared" si="84"/>
        <v>50.03018722</v>
      </c>
      <c r="AE181" s="33">
        <f t="shared" si="84"/>
        <v>49.94782004</v>
      </c>
    </row>
    <row r="182" ht="15.75" customHeight="1">
      <c r="A182" s="10" t="s">
        <v>79</v>
      </c>
      <c r="B182" s="24"/>
      <c r="C182" s="24"/>
      <c r="D182" s="24"/>
      <c r="E182" s="24"/>
      <c r="F182" s="95"/>
      <c r="G182" s="24"/>
      <c r="H182" s="24"/>
      <c r="I182" s="24"/>
      <c r="J182" s="24"/>
      <c r="K182" s="95"/>
      <c r="L182" s="24"/>
      <c r="M182" s="24"/>
      <c r="N182" s="24"/>
      <c r="O182" s="24"/>
      <c r="S182" s="33">
        <f>AVERAGE(R181:U181)</f>
        <v>47.50131053</v>
      </c>
      <c r="X182" s="33">
        <f>AVERAGE(W181:Z181)</f>
        <v>48.12396704</v>
      </c>
      <c r="AC182" s="33">
        <f>AVERAGE(AB181:AE181)</f>
        <v>47.44168642</v>
      </c>
    </row>
    <row r="183" ht="15.75" customHeight="1">
      <c r="A183" s="11" t="s">
        <v>73</v>
      </c>
      <c r="B183" s="13">
        <f t="array" ref="B183:E183">B162:E162</f>
        <v>21.6080402</v>
      </c>
      <c r="C183" s="18">
        <v>90.71644803229061</v>
      </c>
      <c r="D183" s="14">
        <v>43.914956011730204</v>
      </c>
      <c r="E183" s="18">
        <v>48.96907216494845</v>
      </c>
      <c r="F183" s="44"/>
      <c r="G183" s="13">
        <f t="array" ref="G183:J183">G162:J162</f>
        <v>21.42137097</v>
      </c>
      <c r="H183" s="14">
        <v>90.40201005025126</v>
      </c>
      <c r="I183" s="14">
        <v>43.392070484581495</v>
      </c>
      <c r="J183" s="13">
        <v>47.69230769230769</v>
      </c>
      <c r="K183" s="44"/>
      <c r="L183" s="18">
        <f t="array" ref="L183:O183">L162:O162</f>
        <v>21.85929648</v>
      </c>
      <c r="M183" s="14">
        <v>90.06024096385542</v>
      </c>
      <c r="N183" s="17">
        <v>44.11764705882353</v>
      </c>
      <c r="O183" s="13">
        <v>48.46938775510204</v>
      </c>
      <c r="R183" s="2" t="s">
        <v>222</v>
      </c>
      <c r="S183" s="33">
        <f>AVERAGE(R180:U180)</f>
        <v>50.38214335</v>
      </c>
      <c r="W183" s="2" t="s">
        <v>222</v>
      </c>
      <c r="X183" s="33">
        <f>AVERAGE(W180:Z180)</f>
        <v>50.69991251</v>
      </c>
      <c r="AB183" s="2" t="s">
        <v>222</v>
      </c>
      <c r="AC183" s="33">
        <f>AVERAGE(AB180:AE180)</f>
        <v>50.60943557</v>
      </c>
    </row>
    <row r="184" ht="15.75" customHeight="1">
      <c r="A184" s="11" t="s">
        <v>205</v>
      </c>
      <c r="B184" s="12">
        <f>($I$115+$J$115)/(($F$115-1)*$P$115)*100</f>
        <v>8.967001435</v>
      </c>
      <c r="C184" s="13">
        <f>($I$119+$J$119)/(($F$119-1)*$P$119)*100</f>
        <v>90.703125</v>
      </c>
      <c r="D184" s="18">
        <f>($I$123+$J$123)/(($F$123-1)*$P$123)*100</f>
        <v>45.18181818</v>
      </c>
      <c r="E184" s="14">
        <f>($I$127+$J$127)/(($F$127-1)*$P$127)*100</f>
        <v>38.6627907</v>
      </c>
      <c r="F184" s="54"/>
      <c r="G184" s="15">
        <f>($I$116+$J$116)/(($F$116-1)*$P$116)*100</f>
        <v>9.279141104</v>
      </c>
      <c r="H184" s="17">
        <f>($I$120+$J$120)/(($F$120-1)*$P$120)*100</f>
        <v>91.15191987</v>
      </c>
      <c r="I184" s="13">
        <f>($I$124+$J$124)/(($F$124-1)*$P$124)*100</f>
        <v>45.06517691</v>
      </c>
      <c r="J184" s="14">
        <f>($I$128+$J$128)/(($F$128-1)*$P$128)*100</f>
        <v>37.71428571</v>
      </c>
      <c r="K184" s="54"/>
      <c r="L184" s="12">
        <f>($I$117+$J$117)/(($F$117-1)*$P$117)*100</f>
        <v>8.092948718</v>
      </c>
      <c r="M184" s="13">
        <f>($I$121+$J$121)/(($F$121-1)*$P$121)*100</f>
        <v>91.04477612</v>
      </c>
      <c r="N184" s="13">
        <f>($I$125+$J$125)/(($F$125-1)*$P$125)*100</f>
        <v>44.72693032</v>
      </c>
      <c r="O184" s="17">
        <f>($I$129+$J$129)/(($F$129-1)*$P$129)*100</f>
        <v>39.48863636</v>
      </c>
    </row>
    <row r="185" ht="15.75" customHeight="1">
      <c r="A185" s="10" t="s">
        <v>11</v>
      </c>
      <c r="B185" s="24"/>
      <c r="C185" s="24"/>
      <c r="D185" s="24"/>
      <c r="E185" s="24"/>
      <c r="F185" s="95"/>
      <c r="G185" s="24"/>
      <c r="H185" s="24"/>
      <c r="I185" s="24"/>
      <c r="J185" s="24"/>
      <c r="K185" s="95"/>
      <c r="L185" s="24"/>
      <c r="M185" s="24"/>
      <c r="N185" s="24"/>
      <c r="O185" s="24"/>
      <c r="Y185" s="2">
        <f>(X182-S182)/X182*100</f>
        <v>1.293859493</v>
      </c>
    </row>
    <row r="186" ht="15.75" customHeight="1">
      <c r="A186" s="11" t="s">
        <v>73</v>
      </c>
      <c r="B186" s="12">
        <f t="shared" ref="B186:E186" si="85">B166</f>
        <v>2.512562814</v>
      </c>
      <c r="C186" s="21">
        <f t="shared" si="85"/>
        <v>0.5045408678</v>
      </c>
      <c r="D186" s="16">
        <f t="shared" si="85"/>
        <v>8.137829912</v>
      </c>
      <c r="E186" s="12">
        <f t="shared" si="85"/>
        <v>5.154639175</v>
      </c>
      <c r="F186" s="44"/>
      <c r="G186" s="12">
        <f t="shared" ref="G186:J186" si="86">G166</f>
        <v>2.16733871</v>
      </c>
      <c r="H186" s="22">
        <f t="shared" si="86"/>
        <v>0.5527638191</v>
      </c>
      <c r="I186" s="16">
        <f t="shared" si="86"/>
        <v>8.59030837</v>
      </c>
      <c r="J186" s="12">
        <f t="shared" si="86"/>
        <v>3.58974359</v>
      </c>
      <c r="K186" s="44"/>
      <c r="L186" s="15">
        <f t="shared" ref="L186:O186" si="87">L166</f>
        <v>3.115577889</v>
      </c>
      <c r="M186" s="28">
        <f t="shared" si="87"/>
        <v>0.5522088353</v>
      </c>
      <c r="N186" s="20">
        <f t="shared" si="87"/>
        <v>9.117647059</v>
      </c>
      <c r="O186" s="15">
        <f t="shared" si="87"/>
        <v>5.612244898</v>
      </c>
      <c r="S186" s="2" t="s">
        <v>226</v>
      </c>
      <c r="T186" s="2" t="s">
        <v>227</v>
      </c>
    </row>
    <row r="187" ht="15.75" customHeight="1">
      <c r="A187" s="11" t="s">
        <v>205</v>
      </c>
      <c r="B187" s="20">
        <f>$L$115/(($F$115-1)*$P$115)*100</f>
        <v>6.169296987</v>
      </c>
      <c r="C187" s="27">
        <f>$L$119/(($F$119-1)*$P$119)*100</f>
        <v>0.9375</v>
      </c>
      <c r="D187" s="12">
        <f>$L$123/(($F$123-1)*$P$123)*100</f>
        <v>1.454545455</v>
      </c>
      <c r="E187" s="16">
        <f>$L$127/(($F$127-1)*$P$127)*100</f>
        <v>6.395348837</v>
      </c>
      <c r="F187" s="54">
        <f>AVERAGE(B187:E187)</f>
        <v>3.73917282</v>
      </c>
      <c r="G187" s="16">
        <f>$L$116/(($F$116-1)*$P$116)*100</f>
        <v>4.984662577</v>
      </c>
      <c r="H187" s="28">
        <f>$L$120/(($F$120-1)*$P$120)*100</f>
        <v>0.5843071786</v>
      </c>
      <c r="I187" s="15">
        <f>$L$124/(($F$124-1)*$P$124)*100</f>
        <v>2.420856611</v>
      </c>
      <c r="J187" s="16">
        <f>$L$128/(($F$128-1)*$P$128)*100</f>
        <v>6</v>
      </c>
      <c r="K187" s="54">
        <f>AVERAGE(G187:J187)</f>
        <v>3.497456592</v>
      </c>
      <c r="L187" s="16">
        <f>$L$117/(($F$117-1)*$P$117)*100</f>
        <v>5.448717949</v>
      </c>
      <c r="M187" s="21">
        <f>$L$121/(($F$121-1)*$P$121)*100</f>
        <v>0.2487562189</v>
      </c>
      <c r="N187" s="12">
        <f>$L$125/(($F$125-1)*$P$125)*100</f>
        <v>1.97740113</v>
      </c>
      <c r="O187" s="20">
        <f>$L$129/(($F$129-1)*$P$129)*100</f>
        <v>6.534090909</v>
      </c>
      <c r="P187" s="54">
        <f>AVERAGE(L187:O187)</f>
        <v>3.552241552</v>
      </c>
      <c r="S187" s="2">
        <f>(F178-$V$239)/$V$239*100</f>
        <v>2.221973698</v>
      </c>
      <c r="T187" s="2">
        <f>(K187-$V$248)/$V$248*100</f>
        <v>-23.63631896</v>
      </c>
    </row>
    <row r="188" ht="15.75" customHeight="1">
      <c r="A188" s="72"/>
      <c r="B188" s="56">
        <f t="shared" ref="B188:E188" si="88">SUM(B177,B180,B183,B186)</f>
        <v>100</v>
      </c>
      <c r="C188" s="56">
        <f t="shared" si="88"/>
        <v>100</v>
      </c>
      <c r="D188" s="56">
        <f t="shared" si="88"/>
        <v>100</v>
      </c>
      <c r="E188" s="56">
        <f t="shared" si="88"/>
        <v>100</v>
      </c>
      <c r="F188" s="60"/>
      <c r="G188" s="56">
        <f t="shared" ref="G188:J188" si="89">SUM(G177,G180,G183,G186)</f>
        <v>100</v>
      </c>
      <c r="H188" s="56">
        <f t="shared" si="89"/>
        <v>100</v>
      </c>
      <c r="I188" s="56">
        <f t="shared" si="89"/>
        <v>100</v>
      </c>
      <c r="J188" s="56">
        <f t="shared" si="89"/>
        <v>100</v>
      </c>
      <c r="K188" s="60"/>
      <c r="L188" s="56">
        <f t="shared" ref="L188:O188" si="90">SUM(L177,L180,L183,L186)</f>
        <v>100</v>
      </c>
      <c r="M188" s="56">
        <f t="shared" si="90"/>
        <v>100</v>
      </c>
      <c r="N188" s="56">
        <f t="shared" si="90"/>
        <v>100</v>
      </c>
      <c r="O188" s="56">
        <f t="shared" si="90"/>
        <v>100</v>
      </c>
      <c r="S188" s="2">
        <f>(K178-$V$239)/$V$239*100</f>
        <v>0.4957161563</v>
      </c>
      <c r="T188" s="2">
        <f>(F187-$V$248)/$V$248*100</f>
        <v>-18.35867206</v>
      </c>
    </row>
    <row r="189" ht="15.75" customHeight="1">
      <c r="A189" s="11"/>
      <c r="B189" s="33">
        <f t="shared" ref="B189:E189" si="91">SUM(B178,B181,B184,B187)</f>
        <v>100</v>
      </c>
      <c r="C189" s="33">
        <f t="shared" si="91"/>
        <v>100</v>
      </c>
      <c r="D189" s="33">
        <f t="shared" si="91"/>
        <v>100</v>
      </c>
      <c r="E189" s="33">
        <f t="shared" si="91"/>
        <v>100</v>
      </c>
      <c r="F189" s="14"/>
      <c r="G189" s="33">
        <f t="shared" ref="G189:J189" si="92">SUM(G178,G181,G184,G187)</f>
        <v>100</v>
      </c>
      <c r="H189" s="33">
        <f t="shared" si="92"/>
        <v>100</v>
      </c>
      <c r="I189" s="33">
        <f t="shared" si="92"/>
        <v>100</v>
      </c>
      <c r="J189" s="33">
        <f t="shared" si="92"/>
        <v>100</v>
      </c>
      <c r="K189" s="14"/>
      <c r="L189" s="33">
        <f t="shared" ref="L189:O189" si="93">SUM(L178,L181,L184,L187)</f>
        <v>100</v>
      </c>
      <c r="M189" s="33">
        <f t="shared" si="93"/>
        <v>100</v>
      </c>
      <c r="N189" s="33">
        <f t="shared" si="93"/>
        <v>100</v>
      </c>
      <c r="O189" s="33">
        <f t="shared" si="93"/>
        <v>100</v>
      </c>
      <c r="S189" s="2">
        <f>(P178-$V$239)/$V$239*100</f>
        <v>-3.537529588</v>
      </c>
    </row>
    <row r="190" ht="15.75" customHeight="1"/>
    <row r="191" ht="15.75" customHeight="1"/>
    <row r="192" ht="15.75" customHeight="1"/>
    <row r="193" ht="15.75" customHeight="1"/>
    <row r="194" ht="15.75" customHeight="1">
      <c r="A194" s="30" t="s">
        <v>168</v>
      </c>
      <c r="B194" s="31" t="s">
        <v>232</v>
      </c>
      <c r="C194" s="32"/>
      <c r="D194" s="32"/>
      <c r="E194" s="32"/>
      <c r="F194" s="8"/>
      <c r="G194" s="31" t="s">
        <v>233</v>
      </c>
      <c r="H194" s="32"/>
      <c r="I194" s="32"/>
      <c r="J194" s="32"/>
      <c r="L194" s="31" t="s">
        <v>234</v>
      </c>
      <c r="M194" s="32"/>
      <c r="N194" s="32"/>
      <c r="O194" s="32"/>
    </row>
    <row r="195" ht="15.75" customHeight="1">
      <c r="B195" s="8" t="s">
        <v>63</v>
      </c>
      <c r="C195" s="8" t="s">
        <v>64</v>
      </c>
      <c r="D195" s="8" t="s">
        <v>65</v>
      </c>
      <c r="E195" s="8" t="s">
        <v>66</v>
      </c>
      <c r="G195" s="8" t="s">
        <v>63</v>
      </c>
      <c r="H195" s="8" t="s">
        <v>64</v>
      </c>
      <c r="I195" s="8" t="s">
        <v>65</v>
      </c>
      <c r="J195" s="8" t="s">
        <v>66</v>
      </c>
      <c r="K195" s="59"/>
      <c r="L195" s="8" t="s">
        <v>63</v>
      </c>
      <c r="M195" s="8" t="s">
        <v>64</v>
      </c>
      <c r="N195" s="8" t="s">
        <v>65</v>
      </c>
      <c r="O195" s="8" t="s">
        <v>66</v>
      </c>
    </row>
    <row r="196" ht="15.75" customHeight="1">
      <c r="A196" s="10" t="s">
        <v>7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1" t="s">
        <v>68</v>
      </c>
      <c r="B197" s="15">
        <f>$H$59/(($F$59-2)*$P$59)*100</f>
        <v>8.608608609</v>
      </c>
      <c r="C197" s="12">
        <f>$H$63/(($F$63-2)*$P$63)*100</f>
        <v>1.708542714</v>
      </c>
      <c r="D197" s="15">
        <f>$H$67/(($F$67-2)*$P$67)*100</f>
        <v>9.620991254</v>
      </c>
      <c r="E197" s="17">
        <f>$H$71/(($F$71-2)*$P$71)*100</f>
        <v>15.2284264</v>
      </c>
      <c r="G197" s="12">
        <f>$H$60/(($F$60-2)*$P$60)*100</f>
        <v>8.617234469</v>
      </c>
      <c r="H197" s="12">
        <f>$H$64/(($F$64-2)*$P$64)*100</f>
        <v>1.611278953</v>
      </c>
      <c r="I197" s="14">
        <f>$H$68/(($F$68-2)*$P$68)*100</f>
        <v>10.41055718</v>
      </c>
      <c r="J197" s="14">
        <f>$H$72/(($F$72-2)*$P$72)*100</f>
        <v>16.24365482</v>
      </c>
      <c r="L197" s="12">
        <f>$H$61/(($F$61-2)*$P$61)*100</f>
        <v>8.7</v>
      </c>
      <c r="M197" s="15">
        <f>$H$65/(($F$65-2)*$P$65)*100</f>
        <v>1.203610832</v>
      </c>
      <c r="N197" s="14">
        <f>$H$69/(($F$69-2)*$P$69)*100</f>
        <v>12.17008798</v>
      </c>
      <c r="O197" s="14">
        <f>$H$73/(($F$73-2)*$P$73)*100</f>
        <v>17.25888325</v>
      </c>
    </row>
    <row r="198" ht="15.75" customHeight="1">
      <c r="A198" s="11" t="s">
        <v>73</v>
      </c>
      <c r="B198" s="14">
        <f>$H$75/(($F$75-2)*$P$75)*100</f>
        <v>28.64321608</v>
      </c>
      <c r="C198" s="12">
        <f>$H$79/(($F$79-2)*$P$79)*100</f>
        <v>1.705115346</v>
      </c>
      <c r="D198" s="16">
        <f>$H$83/(($F$83-2)*$P$83)*100</f>
        <v>4.264705882</v>
      </c>
      <c r="E198" s="14">
        <f>$H$87/(($F$87-2)*$P$87)*100</f>
        <v>23.35025381</v>
      </c>
      <c r="F198" s="8"/>
      <c r="G198" s="14">
        <f>$H$76/(($F$76-2)*$P$76)*100</f>
        <v>28.75751503</v>
      </c>
      <c r="H198" s="15">
        <f>$H$80/(($F$80-2)*$P$80)*100</f>
        <v>1.507537688</v>
      </c>
      <c r="I198" s="16">
        <f>$H$84/(($F$84-2)*$P$84)*100</f>
        <v>4.105571848</v>
      </c>
      <c r="J198" s="17">
        <f>$H$88/(($F$88-2)*$P$88)*100</f>
        <v>15.81632653</v>
      </c>
      <c r="L198" s="17">
        <f>$H$77/(($F$77-2)*$P$77)*100</f>
        <v>27.81124498</v>
      </c>
      <c r="M198" s="12">
        <f>$H$81/(($F$81-2)*$P$81)*100</f>
        <v>2.008032129</v>
      </c>
      <c r="N198" s="20">
        <f>$H$85/(($F$85-2)*$P$85)*100</f>
        <v>3.676470588</v>
      </c>
      <c r="O198" s="14">
        <f>$H$89/(($F$89-2)*$P$89)*100</f>
        <v>18.78172589</v>
      </c>
    </row>
    <row r="199" ht="15.75" customHeight="1">
      <c r="A199" s="11" t="s">
        <v>76</v>
      </c>
      <c r="B199" s="16">
        <f>$H$99/(($F$99-2)*$P$99)*100</f>
        <v>6.315789474</v>
      </c>
      <c r="C199" s="27">
        <f>$H$103/(($F$103-2)*$P$103)*100</f>
        <v>0.2808988764</v>
      </c>
      <c r="D199" s="15">
        <f>$H$107/(($F$107-2)*$P$107)*100</f>
        <v>4.956896552</v>
      </c>
      <c r="E199" s="13">
        <f>$H$111/(($F$111-2)*$P$111)*100</f>
        <v>13.49206349</v>
      </c>
      <c r="F199" s="8"/>
      <c r="G199" s="20">
        <f>$H$100/(($F$100-2)*$P$100)*100</f>
        <v>4.744958482</v>
      </c>
      <c r="H199" s="28">
        <f>$H$104/(($F$104-2)*$P$104)*100</f>
        <v>0.8771929825</v>
      </c>
      <c r="I199" s="12">
        <f>$H$108/(($F$108-2)*$P$108)*100</f>
        <v>7.459207459</v>
      </c>
      <c r="J199" s="18">
        <f>$H$112/(($F$112-2)*$P$112)*100</f>
        <v>13.1147541</v>
      </c>
      <c r="L199" s="16">
        <f>$H$101/(($F$101-2)*$P$101)*100</f>
        <v>6.15199035</v>
      </c>
      <c r="M199" s="28">
        <f>$H$105/(($F$105-2)*$P$105)*100</f>
        <v>0.7552870091</v>
      </c>
      <c r="N199" s="12">
        <f>$H$109/(($F$109-2)*$P$109)*100</f>
        <v>7.272727273</v>
      </c>
      <c r="O199" s="13">
        <f>$H$113/(($F$113-2)*$P$113)*100</f>
        <v>13.91304348</v>
      </c>
    </row>
    <row r="200" ht="15.75" customHeight="1">
      <c r="A200" s="10" t="s">
        <v>13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10"/>
      <c r="L200" s="24"/>
      <c r="M200" s="24"/>
      <c r="N200" s="24"/>
      <c r="O200" s="24"/>
    </row>
    <row r="201" ht="15.75" customHeight="1">
      <c r="A201" s="11" t="s">
        <v>68</v>
      </c>
      <c r="B201" s="17">
        <f>$N$59/(($F$59-2)*$P$59)*100</f>
        <v>62.56256256</v>
      </c>
      <c r="C201" s="12">
        <f>$N$63/(($F$63-2)*$P$63)*100</f>
        <v>6.834170854</v>
      </c>
      <c r="D201" s="18">
        <f>$N$67/(($F$67-2)*$P$67)*100</f>
        <v>27.11370262</v>
      </c>
      <c r="E201" s="17">
        <f>$N$71/(($F$71-2)*$P$71)*100</f>
        <v>41.62436548</v>
      </c>
      <c r="F201" s="8"/>
      <c r="G201" s="14">
        <f>$N$60/(($F$60-2)*$P$60)*100</f>
        <v>62.9258517</v>
      </c>
      <c r="H201" s="15">
        <f>$N$64/(($F$64-2)*$P$64)*100</f>
        <v>6.747230614</v>
      </c>
      <c r="I201" s="13">
        <f>$N$68/(($F$68-2)*$P$68)*100</f>
        <v>28.29912023</v>
      </c>
      <c r="J201" s="17">
        <f>$N$72/(($F$72-2)*$P$72)*100</f>
        <v>41.62436548</v>
      </c>
      <c r="L201" s="14">
        <f>$N$61/(($F$61-2)*$P$61)*100</f>
        <v>63.6</v>
      </c>
      <c r="M201" s="12">
        <f>$N$65/(($F$65-2)*$P$65)*100</f>
        <v>7.121364092</v>
      </c>
      <c r="N201" s="13">
        <f>$N$69/(($F$69-2)*$P$69)*100</f>
        <v>29.03225806</v>
      </c>
      <c r="O201" s="14">
        <f>$N$73/(($F$73-2)*$P$73)*100</f>
        <v>42.1319797</v>
      </c>
      <c r="Q201" s="30" t="s">
        <v>238</v>
      </c>
      <c r="R201" s="31" t="s">
        <v>232</v>
      </c>
      <c r="S201" s="32"/>
      <c r="T201" s="32"/>
      <c r="U201" s="32"/>
      <c r="V201" s="8"/>
      <c r="W201" s="31" t="s">
        <v>233</v>
      </c>
      <c r="X201" s="32"/>
      <c r="Y201" s="32"/>
      <c r="Z201" s="32"/>
      <c r="AB201" s="31" t="s">
        <v>234</v>
      </c>
      <c r="AC201" s="32"/>
      <c r="AD201" s="32"/>
      <c r="AE201" s="32"/>
      <c r="AF201" s="2" t="s">
        <v>92</v>
      </c>
    </row>
    <row r="202" ht="15.75" customHeight="1">
      <c r="A202" s="11" t="s">
        <v>73</v>
      </c>
      <c r="B202" s="18">
        <f>$N$75/(($F$75-2)*$P$75)*100</f>
        <v>45.32663317</v>
      </c>
      <c r="C202" s="12">
        <f>$N$79/(($F$79-2)*$P$79)*100</f>
        <v>7.02106319</v>
      </c>
      <c r="D202" s="14">
        <f>$N$83/(($F$83-2)*$P$83)*100</f>
        <v>43.97058824</v>
      </c>
      <c r="E202" s="18">
        <f>$N$87/(($F$87-2)*$P$87)*100</f>
        <v>25.38071066</v>
      </c>
      <c r="F202" s="8"/>
      <c r="G202" s="13">
        <f>$N$76/(($F$76-2)*$P$76)*100</f>
        <v>45.69138277</v>
      </c>
      <c r="H202" s="15">
        <f>$N$80/(($F$80-2)*$P$80)*100</f>
        <v>6.934673367</v>
      </c>
      <c r="I202" s="17">
        <f>$N$84/(($F$84-2)*$P$84)*100</f>
        <v>42.96187683</v>
      </c>
      <c r="J202" s="13">
        <f>$N$88/(($F$88-2)*$P$88)*100</f>
        <v>28.57142857</v>
      </c>
      <c r="L202" s="13">
        <f>$N$77/(($F$77-2)*$P$77)*100</f>
        <v>45.3815261</v>
      </c>
      <c r="M202" s="12">
        <f>$N$81/(($F$81-2)*$P$81)*100</f>
        <v>7.128514056</v>
      </c>
      <c r="N202" s="14">
        <f>$N$85/(($F$85-2)*$P$85)*100</f>
        <v>43.52941176</v>
      </c>
      <c r="O202" s="13">
        <f>$N$89/(($F$89-2)*$P$89)*100</f>
        <v>27.41116751</v>
      </c>
      <c r="R202" s="8" t="s">
        <v>63</v>
      </c>
      <c r="S202" s="8" t="s">
        <v>64</v>
      </c>
      <c r="T202" s="8" t="s">
        <v>65</v>
      </c>
      <c r="U202" s="8" t="s">
        <v>66</v>
      </c>
      <c r="W202" s="8" t="s">
        <v>63</v>
      </c>
      <c r="X202" s="8" t="s">
        <v>64</v>
      </c>
      <c r="Y202" s="8" t="s">
        <v>65</v>
      </c>
      <c r="Z202" s="8" t="s">
        <v>66</v>
      </c>
      <c r="AA202" s="59"/>
      <c r="AB202" s="8" t="s">
        <v>63</v>
      </c>
      <c r="AC202" s="8" t="s">
        <v>64</v>
      </c>
      <c r="AD202" s="8" t="s">
        <v>65</v>
      </c>
      <c r="AE202" s="8" t="s">
        <v>66</v>
      </c>
    </row>
    <row r="203" ht="15.75" customHeight="1">
      <c r="A203" s="11" t="s">
        <v>76</v>
      </c>
      <c r="B203" s="14">
        <f>$N$99/(($F$99-2)*$P$99)*100</f>
        <v>59.06432749</v>
      </c>
      <c r="C203" s="20">
        <f>$N$103/(($F$103-2)*$P$103)*100</f>
        <v>6.179775281</v>
      </c>
      <c r="D203" s="17">
        <f>$N$107/(($F$107-2)*$P$107)*100</f>
        <v>37.28448276</v>
      </c>
      <c r="E203" s="17">
        <f>$N$111/(($F$111-2)*$P$111)*100</f>
        <v>49.20634921</v>
      </c>
      <c r="F203" s="8"/>
      <c r="G203" s="14">
        <f>$N$100/(($F$100-2)*$P$100)*100</f>
        <v>59.31198102</v>
      </c>
      <c r="H203" s="16">
        <f>$N$104/(($F$104-2)*$P$104)*100</f>
        <v>6.432748538</v>
      </c>
      <c r="I203" s="14">
        <f>$N$108/(($F$108-2)*$P$108)*100</f>
        <v>38.69463869</v>
      </c>
      <c r="J203" s="14">
        <f>$N$112/(($F$112-2)*$P$112)*100</f>
        <v>52.45901639</v>
      </c>
      <c r="L203" s="17">
        <f>$N$101/(($F$101-2)*$P$101)*100</f>
        <v>58.50422195</v>
      </c>
      <c r="M203" s="16">
        <f>$N$105/(($F$105-2)*$P$105)*100</f>
        <v>6.64652568</v>
      </c>
      <c r="N203" s="14">
        <f>$N$109/(($F$109-2)*$P$109)*100</f>
        <v>37.95454545</v>
      </c>
      <c r="O203" s="14">
        <f>$N$113/(($F$113-2)*$P$113)*100</f>
        <v>50.43478261</v>
      </c>
      <c r="Q203" s="11" t="s">
        <v>68</v>
      </c>
      <c r="R203" s="33">
        <f t="shared" ref="R203:U203" si="94">B197+B201</f>
        <v>71.17117117</v>
      </c>
      <c r="S203" s="29">
        <f t="shared" si="94"/>
        <v>8.542713568</v>
      </c>
      <c r="T203" s="33">
        <f t="shared" si="94"/>
        <v>36.73469388</v>
      </c>
      <c r="U203" s="33">
        <f t="shared" si="94"/>
        <v>56.85279188</v>
      </c>
      <c r="V203" s="33"/>
      <c r="W203" s="33">
        <f t="shared" ref="W203:Z203" si="95">G197+G201</f>
        <v>71.54308617</v>
      </c>
      <c r="X203" s="29">
        <f t="shared" si="95"/>
        <v>8.358509567</v>
      </c>
      <c r="Y203" s="33">
        <f t="shared" si="95"/>
        <v>38.70967742</v>
      </c>
      <c r="Z203" s="33">
        <f t="shared" si="95"/>
        <v>57.8680203</v>
      </c>
      <c r="AA203" s="33"/>
      <c r="AB203" s="33">
        <f t="shared" ref="AB203:AE203" si="96">L197+L201</f>
        <v>72.3</v>
      </c>
      <c r="AC203" s="29">
        <f t="shared" si="96"/>
        <v>8.324974925</v>
      </c>
      <c r="AD203" s="33">
        <f t="shared" si="96"/>
        <v>41.20234604</v>
      </c>
      <c r="AE203" s="33">
        <f t="shared" si="96"/>
        <v>59.39086294</v>
      </c>
      <c r="AF203" s="33">
        <f t="shared" ref="AF203:AF205" si="100">AVERAGE(R203:U203,W203:Z203,AB203:AE203)</f>
        <v>44.24990399</v>
      </c>
    </row>
    <row r="204" ht="15.75" customHeight="1">
      <c r="A204" s="10" t="s">
        <v>79</v>
      </c>
      <c r="B204" s="24"/>
      <c r="C204" s="24"/>
      <c r="D204" s="24"/>
      <c r="E204" s="24"/>
      <c r="F204" s="24"/>
      <c r="G204" s="24"/>
      <c r="H204" s="24"/>
      <c r="I204" s="24"/>
      <c r="J204" s="24"/>
      <c r="K204" s="10"/>
      <c r="L204" s="24"/>
      <c r="M204" s="24"/>
      <c r="N204" s="24"/>
      <c r="O204" s="24"/>
      <c r="Q204" s="11" t="s">
        <v>73</v>
      </c>
      <c r="R204" s="33">
        <f t="shared" ref="R204:U204" si="97">B198+B202</f>
        <v>73.96984925</v>
      </c>
      <c r="S204" s="29">
        <f t="shared" si="97"/>
        <v>8.726178536</v>
      </c>
      <c r="T204" s="33">
        <f t="shared" si="97"/>
        <v>48.23529412</v>
      </c>
      <c r="U204" s="33">
        <f t="shared" si="97"/>
        <v>48.73096447</v>
      </c>
      <c r="V204" s="33"/>
      <c r="W204" s="33">
        <f t="shared" ref="W204:Z204" si="98">G198+G202</f>
        <v>74.4488978</v>
      </c>
      <c r="X204" s="29">
        <f t="shared" si="98"/>
        <v>8.442211055</v>
      </c>
      <c r="Y204" s="33">
        <f t="shared" si="98"/>
        <v>47.06744868</v>
      </c>
      <c r="Z204" s="33">
        <f t="shared" si="98"/>
        <v>44.3877551</v>
      </c>
      <c r="AA204" s="29"/>
      <c r="AB204" s="33">
        <f t="shared" ref="AB204:AE204" si="99">L198+L202</f>
        <v>73.19277108</v>
      </c>
      <c r="AC204" s="29">
        <f t="shared" si="99"/>
        <v>9.136546185</v>
      </c>
      <c r="AD204" s="33">
        <f t="shared" si="99"/>
        <v>47.20588235</v>
      </c>
      <c r="AE204" s="33">
        <f t="shared" si="99"/>
        <v>46.1928934</v>
      </c>
      <c r="AF204" s="33">
        <f t="shared" si="100"/>
        <v>44.14472434</v>
      </c>
    </row>
    <row r="205" ht="15.75" customHeight="1">
      <c r="A205" s="11" t="s">
        <v>68</v>
      </c>
      <c r="B205" s="17">
        <f>($I$59+$J$59)/(($F$59-2)*$P$59)*100</f>
        <v>24.22422422</v>
      </c>
      <c r="C205" s="14">
        <f>($I$63+$J$63)/(($F$63-2)*$P$63)*100</f>
        <v>90.65326633</v>
      </c>
      <c r="D205" s="17">
        <f>($I$67+$J$67)/(($F$67-2)*$P$67)*100</f>
        <v>48.54227405</v>
      </c>
      <c r="E205" s="17">
        <f>($I$71+$J$71)/(($F$71-2)*$P$71)*100</f>
        <v>33.50253807</v>
      </c>
      <c r="F205" s="8"/>
      <c r="G205" s="14">
        <f>($I$60+$J$60)/(($F$60-2)*$P$60)*100</f>
        <v>24.14829659</v>
      </c>
      <c r="H205" s="14">
        <f>($I$64+$J$64)/(($F$64-2)*$P$64)*100</f>
        <v>90.73514602</v>
      </c>
      <c r="I205" s="13">
        <f>($I$68+$J$68)/(($F$68-2)*$P$68)*100</f>
        <v>47.80058651</v>
      </c>
      <c r="J205" s="14">
        <f>($I$72+$J$72)/(($F$72-2)*$P$72)*100</f>
        <v>32.48730964</v>
      </c>
      <c r="L205" s="17">
        <f>($I$61+$J$61)/(($F$61-2)*$P$61)*100</f>
        <v>24.2</v>
      </c>
      <c r="M205" s="17">
        <f>($I$65+$J$65)/(($F$65-2)*$P$65)*100</f>
        <v>91.17352056</v>
      </c>
      <c r="N205" s="14">
        <f>($I$69+$J$69)/(($F$69-2)*$P$69)*100</f>
        <v>45.89442815</v>
      </c>
      <c r="O205" s="14">
        <f>($I$73+$J$73)/(($F$73-2)*$P$73)*100</f>
        <v>31.47208122</v>
      </c>
      <c r="Q205" s="23" t="s">
        <v>76</v>
      </c>
      <c r="R205" s="33">
        <f t="shared" ref="R205:U205" si="101">B199+B203</f>
        <v>65.38011696</v>
      </c>
      <c r="S205" s="29">
        <f t="shared" si="101"/>
        <v>6.460674157</v>
      </c>
      <c r="T205" s="33">
        <f t="shared" si="101"/>
        <v>42.24137931</v>
      </c>
      <c r="U205" s="33">
        <f t="shared" si="101"/>
        <v>62.6984127</v>
      </c>
      <c r="V205" s="33"/>
      <c r="W205" s="33">
        <f t="shared" ref="W205:Z205" si="102">G199+G203</f>
        <v>64.0569395</v>
      </c>
      <c r="X205" s="29">
        <f t="shared" si="102"/>
        <v>7.30994152</v>
      </c>
      <c r="Y205" s="33">
        <f t="shared" si="102"/>
        <v>46.15384615</v>
      </c>
      <c r="Z205" s="33">
        <f t="shared" si="102"/>
        <v>65.57377049</v>
      </c>
      <c r="AB205" s="33">
        <f t="shared" ref="AB205:AE205" si="103">L199+L203</f>
        <v>64.6562123</v>
      </c>
      <c r="AC205" s="29">
        <f t="shared" si="103"/>
        <v>7.401812689</v>
      </c>
      <c r="AD205" s="33">
        <f t="shared" si="103"/>
        <v>45.22727273</v>
      </c>
      <c r="AE205" s="33">
        <f t="shared" si="103"/>
        <v>64.34782609</v>
      </c>
      <c r="AF205" s="33">
        <f t="shared" si="100"/>
        <v>45.12568372</v>
      </c>
    </row>
    <row r="206" ht="15.75" customHeight="1">
      <c r="A206" s="11" t="s">
        <v>73</v>
      </c>
      <c r="B206" s="14">
        <f>($I$75+$J$75)/(($F$75-2)*$P$75)*100</f>
        <v>23.01507538</v>
      </c>
      <c r="C206" s="14">
        <f>($I$79+$J$79)/(($F$79-2)*$P$79)*100</f>
        <v>90.67201605</v>
      </c>
      <c r="D206" s="14">
        <f>($I$83+$J$83)/(($F$83-2)*$P$83)*100</f>
        <v>43.38235294</v>
      </c>
      <c r="E206" s="13">
        <f>($I$87+$J$87)/(($F$87-2)*$P$87)*100</f>
        <v>45.68527919</v>
      </c>
      <c r="F206" s="8"/>
      <c r="G206" s="14">
        <f>($I$76+$J$76)/(($F$76-2)*$P$76)*100</f>
        <v>23.04609218</v>
      </c>
      <c r="H206" s="17">
        <f>($I$80+$J$80)/(($F$80-2)*$P$80)*100</f>
        <v>90.85427136</v>
      </c>
      <c r="I206" s="14">
        <f>($I$84+$J$84)/(($F$84-2)*$P$84)*100</f>
        <v>43.5483871</v>
      </c>
      <c r="J206" s="18">
        <f>($I$88+$J$88)/(($F$88-2)*$P$88)*100</f>
        <v>53.06122449</v>
      </c>
      <c r="L206" s="17">
        <f>($I$77+$J$77)/(($F$77-2)*$P$77)*100</f>
        <v>23.89558233</v>
      </c>
      <c r="M206" s="14">
        <f>($I$81+$J$81)/(($F$81-2)*$P$81)*100</f>
        <v>90.26104418</v>
      </c>
      <c r="N206" s="17">
        <f>($I$85+$J$85)/(($F$85-2)*$P$85)*100</f>
        <v>43.97058824</v>
      </c>
      <c r="O206" s="13">
        <f>($I$89+$J$89)/(($F$89-2)*$P$89)*100</f>
        <v>50.25380711</v>
      </c>
      <c r="Q206" s="11" t="s">
        <v>92</v>
      </c>
      <c r="R206" s="33">
        <f t="shared" ref="R206:U206" si="104">AVERAGE(R203:R205)</f>
        <v>70.17371246</v>
      </c>
      <c r="S206" s="29">
        <f t="shared" si="104"/>
        <v>7.90985542</v>
      </c>
      <c r="T206" s="33">
        <f t="shared" si="104"/>
        <v>42.4037891</v>
      </c>
      <c r="U206" s="33">
        <f t="shared" si="104"/>
        <v>56.09405635</v>
      </c>
      <c r="V206" s="33"/>
      <c r="W206" s="33">
        <f t="shared" ref="W206:Z206" si="105">AVERAGE(W203:W205)</f>
        <v>70.01630782</v>
      </c>
      <c r="X206" s="29">
        <f t="shared" si="105"/>
        <v>8.036887381</v>
      </c>
      <c r="Y206" s="33">
        <f t="shared" si="105"/>
        <v>43.97699075</v>
      </c>
      <c r="Z206" s="33">
        <f t="shared" si="105"/>
        <v>55.94318197</v>
      </c>
      <c r="AA206" s="33"/>
      <c r="AB206" s="33">
        <f t="shared" ref="AB206:AE206" si="106">AVERAGE(AB203:AB205)</f>
        <v>70.04966113</v>
      </c>
      <c r="AC206" s="29">
        <f t="shared" si="106"/>
        <v>8.287777933</v>
      </c>
      <c r="AD206" s="33">
        <f t="shared" si="106"/>
        <v>44.54516704</v>
      </c>
      <c r="AE206" s="33">
        <f t="shared" si="106"/>
        <v>56.64386081</v>
      </c>
    </row>
    <row r="207" ht="15.75" customHeight="1">
      <c r="A207" s="11" t="s">
        <v>76</v>
      </c>
      <c r="B207" s="13">
        <f>($I$99+$J$99)/(($F$99-2)*$P$99)*100</f>
        <v>28.30409357</v>
      </c>
      <c r="C207" s="18">
        <f>($I$103+$J$103)/(($F$103-2)*$P$103)*100</f>
        <v>92.69662921</v>
      </c>
      <c r="D207" s="18">
        <f>($I$107+$J$107)/(($F$107-2)*$P$107)*100</f>
        <v>50.21551724</v>
      </c>
      <c r="E207" s="14">
        <f>($I$111+$J$111)/(($F$111-2)*$P$111)*100</f>
        <v>19.84126984</v>
      </c>
      <c r="F207" s="8"/>
      <c r="G207" s="18">
        <f>($I$100+$J$100)/(($F$100-2)*$P$100)*100</f>
        <v>29.41874259</v>
      </c>
      <c r="H207" s="13">
        <f>($I$104+$J$104)/(($F$104-2)*$P$104)*100</f>
        <v>91.95906433</v>
      </c>
      <c r="I207" s="14">
        <f>($I$108+$J$108)/(($F$108-2)*$P$108)*100</f>
        <v>45.92074592</v>
      </c>
      <c r="J207" s="14">
        <f>($I$112+$J$112)/(($F$112-2)*$P$112)*100</f>
        <v>22.13114754</v>
      </c>
      <c r="K207" s="59"/>
      <c r="L207" s="13">
        <f>($I$101+$J$101)/(($F$101-2)*$P$101)*100</f>
        <v>28.22677925</v>
      </c>
      <c r="M207" s="13">
        <f>($I$105+$J$105)/(($F$105-2)*$P$105)*100</f>
        <v>91.9939577</v>
      </c>
      <c r="N207" s="13">
        <f>($I$109+$J$109)/(($F$109-2)*$P$109)*100</f>
        <v>46.81818182</v>
      </c>
      <c r="O207" s="17">
        <f>($I$113+$J$113)/(($F$113-2)*$P$113)*100</f>
        <v>23.47826087</v>
      </c>
      <c r="S207" s="33">
        <f>AVERAGE(R206:U206)</f>
        <v>44.14535333</v>
      </c>
      <c r="X207" s="33">
        <f>AVERAGE(W206:Z206)</f>
        <v>44.49334198</v>
      </c>
      <c r="AC207" s="90">
        <v>44.1</v>
      </c>
    </row>
    <row r="208" ht="15.75" customHeight="1">
      <c r="A208" s="10" t="s">
        <v>11</v>
      </c>
      <c r="B208" s="24"/>
      <c r="C208" s="24"/>
      <c r="D208" s="24"/>
      <c r="E208" s="24"/>
      <c r="F208" s="24"/>
      <c r="G208" s="24"/>
      <c r="H208" s="24"/>
      <c r="I208" s="24"/>
      <c r="J208" s="24"/>
      <c r="L208" s="24"/>
      <c r="M208" s="24"/>
      <c r="N208" s="24"/>
      <c r="O208" s="24"/>
    </row>
    <row r="209" ht="15.0" customHeight="1">
      <c r="A209" s="11" t="s">
        <v>68</v>
      </c>
      <c r="B209" s="15">
        <f>$L$59/(($F$59-2)*$P$59)*100</f>
        <v>4.604604605</v>
      </c>
      <c r="C209" s="21">
        <f>$L$63/(($F$63-2)*$P$63)*100</f>
        <v>0.8040201005</v>
      </c>
      <c r="D209" s="18">
        <f>$L$67/(($F$67-2)*$P$67)*100</f>
        <v>14.72303207</v>
      </c>
      <c r="E209" s="15">
        <f>$L$71/(($F$71-2)*$P$71)*100</f>
        <v>9.644670051</v>
      </c>
      <c r="F209" s="8"/>
      <c r="G209" s="12">
        <f>$L$60/(($F$60-2)*$P$60)*100</f>
        <v>4.308617234</v>
      </c>
      <c r="H209" s="27">
        <f>$L$64/(($F$64-2)*$P$64)*100</f>
        <v>0.9063444109</v>
      </c>
      <c r="I209" s="14">
        <f>$L$68/(($F$68-2)*$P$68)*100</f>
        <v>13.48973607</v>
      </c>
      <c r="J209" s="15">
        <f>$L$72/(($F$72-2)*$P$72)*100</f>
        <v>9.644670051</v>
      </c>
      <c r="L209" s="12">
        <f>$L$61/(($F$61-2)*$P$61)*100</f>
        <v>3.5</v>
      </c>
      <c r="M209" s="21">
        <f>$L$65/(($F$65-2)*$P$65)*100</f>
        <v>0.5015045135</v>
      </c>
      <c r="N209" s="13">
        <f>$L$69/(($F$69-2)*$P$69)*100</f>
        <v>12.90322581</v>
      </c>
      <c r="O209" s="12">
        <f>$L$73/(($F$73-2)*$P$73)*100</f>
        <v>9.137055838</v>
      </c>
      <c r="Q209" s="42" t="s">
        <v>212</v>
      </c>
      <c r="R209" s="31" t="s">
        <v>169</v>
      </c>
      <c r="S209" s="32"/>
      <c r="T209" s="32"/>
      <c r="U209" s="32"/>
      <c r="W209" s="43" t="s">
        <v>232</v>
      </c>
      <c r="X209" s="32"/>
      <c r="Y209" s="32"/>
      <c r="Z209" s="32"/>
      <c r="AB209" s="43" t="s">
        <v>209</v>
      </c>
      <c r="AC209" s="32"/>
      <c r="AD209" s="32"/>
      <c r="AE209" s="32"/>
    </row>
    <row r="210" ht="15.75" customHeight="1">
      <c r="A210" s="11" t="s">
        <v>73</v>
      </c>
      <c r="B210" s="15">
        <f>$L$75/(($F$75-2)*$P$75)*100</f>
        <v>3.015075377</v>
      </c>
      <c r="C210" s="21">
        <f>$L$79/(($F$79-2)*$P$79)*100</f>
        <v>0.6018054162</v>
      </c>
      <c r="D210" s="12">
        <f>$L$83/(($F$83-2)*$P$83)*100</f>
        <v>8.382352941</v>
      </c>
      <c r="E210" s="15">
        <f>$L$87/(($F$87-2)*$P$87)*100</f>
        <v>5.583756345</v>
      </c>
      <c r="F210" s="8"/>
      <c r="G210" s="12">
        <f>$L$76/(($F$76-2)*$P$76)*100</f>
        <v>2.50501002</v>
      </c>
      <c r="H210" s="22">
        <f>$L$80/(($F$80-2)*$P$80)*100</f>
        <v>0.7035175879</v>
      </c>
      <c r="I210" s="20">
        <f>$L$84/(($F$84-2)*$P$84)*100</f>
        <v>9.384164223</v>
      </c>
      <c r="J210" s="12">
        <f>$L$88/(($F$88-2)*$P$88)*100</f>
        <v>2.551020408</v>
      </c>
      <c r="L210" s="12">
        <f>$L$77/(($F$77-2)*$P$77)*100</f>
        <v>2.911646586</v>
      </c>
      <c r="M210" s="21">
        <f>$L$81/(($F$81-2)*$P$81)*100</f>
        <v>0.6024096386</v>
      </c>
      <c r="N210" s="12">
        <f>$L$85/(($F$85-2)*$P$85)*100</f>
        <v>8.823529412</v>
      </c>
      <c r="O210" s="12">
        <f>$L$89/(($F$89-2)*$P$89)*100</f>
        <v>3.553299492</v>
      </c>
      <c r="Q210" s="32"/>
      <c r="R210" s="8" t="s">
        <v>63</v>
      </c>
      <c r="S210" s="8" t="s">
        <v>64</v>
      </c>
      <c r="T210" s="8" t="s">
        <v>65</v>
      </c>
      <c r="U210" s="8" t="s">
        <v>66</v>
      </c>
      <c r="W210" s="44" t="s">
        <v>63</v>
      </c>
      <c r="X210" s="44" t="s">
        <v>64</v>
      </c>
      <c r="Y210" s="44" t="s">
        <v>65</v>
      </c>
      <c r="Z210" s="44" t="s">
        <v>66</v>
      </c>
      <c r="AB210" s="44" t="s">
        <v>63</v>
      </c>
      <c r="AC210" s="44" t="s">
        <v>64</v>
      </c>
      <c r="AD210" s="44" t="s">
        <v>65</v>
      </c>
      <c r="AE210" s="44" t="s">
        <v>66</v>
      </c>
    </row>
    <row r="211" ht="15.75" customHeight="1">
      <c r="A211" s="11" t="s">
        <v>76</v>
      </c>
      <c r="B211" s="16">
        <f>$L$99/(($F$99-2)*$P$99)*100</f>
        <v>6.315789474</v>
      </c>
      <c r="C211" s="27">
        <f>$L$103/(($F$103-2)*$P$103)*100</f>
        <v>0.8426966292</v>
      </c>
      <c r="D211" s="12">
        <f>$L$107/(($F$107-2)*$P$107)*100</f>
        <v>7.543103448</v>
      </c>
      <c r="E211" s="18">
        <f>$L$111/(($F$111-2)*$P$111)*100</f>
        <v>17.46031746</v>
      </c>
      <c r="F211" s="8"/>
      <c r="G211" s="16">
        <f>$L$100/(($F$100-2)*$P$100)*100</f>
        <v>6.524317912</v>
      </c>
      <c r="H211" s="21">
        <f>$L$104/(($F$104-2)*$P$104)*100</f>
        <v>0.730994152</v>
      </c>
      <c r="I211" s="12">
        <f>$L$108/(($F$108-2)*$P$108)*100</f>
        <v>7.925407925</v>
      </c>
      <c r="J211" s="13">
        <f>$L$112/(($F$112-2)*$P$112)*100</f>
        <v>12.29508197</v>
      </c>
      <c r="L211" s="20">
        <f>$L$101/(($F$101-2)*$P$101)*100</f>
        <v>7.117008444</v>
      </c>
      <c r="M211" s="28">
        <f>$L$105/(($F$105-2)*$P$105)*100</f>
        <v>0.6042296073</v>
      </c>
      <c r="N211" s="15">
        <f>$L$109/(($F$109-2)*$P$109)*100</f>
        <v>7.954545455</v>
      </c>
      <c r="O211" s="13">
        <f>$L$113/(($F$113-2)*$P$113)*100</f>
        <v>12.17391304</v>
      </c>
      <c r="Q211" s="11" t="s">
        <v>68</v>
      </c>
      <c r="R211" s="90">
        <v>72.5</v>
      </c>
      <c r="S211" s="90">
        <v>8.4</v>
      </c>
      <c r="T211" s="90">
        <v>38.1</v>
      </c>
      <c r="U211" s="90">
        <v>58.0</v>
      </c>
      <c r="W211" s="90">
        <v>71.2</v>
      </c>
      <c r="X211" s="91">
        <v>8.54</v>
      </c>
      <c r="Y211" s="90">
        <v>36.7</v>
      </c>
      <c r="Z211" s="90">
        <v>56.9</v>
      </c>
      <c r="AB211" s="90">
        <v>72.7</v>
      </c>
      <c r="AC211" s="91">
        <v>8.57</v>
      </c>
      <c r="AD211" s="90">
        <v>40.6</v>
      </c>
      <c r="AE211" s="90">
        <v>57.0</v>
      </c>
    </row>
    <row r="212" ht="15.75" customHeight="1">
      <c r="A212" s="72"/>
      <c r="B212" s="60">
        <f t="shared" ref="B212:E212" si="107">SUM(B197+B201+B205+B209)</f>
        <v>100</v>
      </c>
      <c r="C212" s="60">
        <f t="shared" si="107"/>
        <v>100</v>
      </c>
      <c r="D212" s="60">
        <f t="shared" si="107"/>
        <v>100</v>
      </c>
      <c r="E212" s="60">
        <f t="shared" si="107"/>
        <v>100</v>
      </c>
      <c r="F212" s="60"/>
      <c r="G212" s="60">
        <f t="shared" ref="G212:J212" si="108">SUM(G197+G201+G205+G209)</f>
        <v>100</v>
      </c>
      <c r="H212" s="60">
        <f t="shared" si="108"/>
        <v>100</v>
      </c>
      <c r="I212" s="60">
        <f t="shared" si="108"/>
        <v>100</v>
      </c>
      <c r="J212" s="60">
        <f t="shared" si="108"/>
        <v>100</v>
      </c>
      <c r="K212" s="60"/>
      <c r="L212" s="60">
        <f t="shared" ref="L212:O212" si="109">SUM(L197+L201+L205+L209)</f>
        <v>100</v>
      </c>
      <c r="M212" s="60">
        <f t="shared" si="109"/>
        <v>100</v>
      </c>
      <c r="N212" s="60">
        <f t="shared" si="109"/>
        <v>100</v>
      </c>
      <c r="O212" s="60">
        <f t="shared" si="109"/>
        <v>100</v>
      </c>
      <c r="Q212" s="11" t="s">
        <v>73</v>
      </c>
      <c r="R212" s="90">
        <v>75.9</v>
      </c>
      <c r="S212" s="90">
        <v>8.8</v>
      </c>
      <c r="T212" s="90">
        <v>47.9</v>
      </c>
      <c r="U212" s="90">
        <v>45.9</v>
      </c>
      <c r="W212" s="90">
        <v>74.0</v>
      </c>
      <c r="X212" s="91">
        <v>8.73</v>
      </c>
      <c r="Y212" s="90">
        <v>48.2</v>
      </c>
      <c r="Z212" s="90">
        <v>48.7</v>
      </c>
      <c r="AB212" s="90">
        <v>75.1</v>
      </c>
      <c r="AC212" s="91">
        <v>9.22</v>
      </c>
      <c r="AD212" s="90">
        <v>48.1</v>
      </c>
      <c r="AE212" s="92">
        <v>43.9</v>
      </c>
    </row>
    <row r="213" ht="15.75" customHeight="1">
      <c r="A213" s="11"/>
      <c r="B213" s="14">
        <f t="shared" ref="B213:E213" si="110">SUM(B198+B202+B206+B210)</f>
        <v>100</v>
      </c>
      <c r="C213" s="14">
        <f t="shared" si="110"/>
        <v>100</v>
      </c>
      <c r="D213" s="14">
        <f t="shared" si="110"/>
        <v>100</v>
      </c>
      <c r="E213" s="14">
        <f t="shared" si="110"/>
        <v>100</v>
      </c>
      <c r="F213" s="14"/>
      <c r="G213" s="14">
        <f t="shared" ref="G213:J213" si="111">SUM(G198+G202+G206+G210)</f>
        <v>100</v>
      </c>
      <c r="H213" s="14">
        <f t="shared" si="111"/>
        <v>100</v>
      </c>
      <c r="I213" s="14">
        <f t="shared" si="111"/>
        <v>100</v>
      </c>
      <c r="J213" s="14">
        <f t="shared" si="111"/>
        <v>100</v>
      </c>
      <c r="K213" s="14"/>
      <c r="L213" s="14">
        <f t="shared" ref="L213:O213" si="112">SUM(L198+L202+L206+L210)</f>
        <v>100</v>
      </c>
      <c r="M213" s="14">
        <f t="shared" si="112"/>
        <v>100</v>
      </c>
      <c r="N213" s="14">
        <f t="shared" si="112"/>
        <v>100</v>
      </c>
      <c r="O213" s="14">
        <f t="shared" si="112"/>
        <v>100</v>
      </c>
      <c r="Q213" s="23" t="s">
        <v>76</v>
      </c>
      <c r="R213" s="90">
        <v>62.8</v>
      </c>
      <c r="S213" s="90">
        <v>6.6</v>
      </c>
      <c r="T213" s="90">
        <v>43.4</v>
      </c>
      <c r="U213" s="90">
        <v>67.1</v>
      </c>
      <c r="W213" s="90">
        <v>65.4</v>
      </c>
      <c r="X213" s="91">
        <v>6.46</v>
      </c>
      <c r="Y213" s="90">
        <v>42.2</v>
      </c>
      <c r="Z213" s="90">
        <v>62.7</v>
      </c>
      <c r="AB213" s="92">
        <v>63.1</v>
      </c>
      <c r="AC213" s="91">
        <v>7.03</v>
      </c>
      <c r="AD213" s="90">
        <v>40.7</v>
      </c>
      <c r="AE213" s="90">
        <v>69.2</v>
      </c>
    </row>
    <row r="214" ht="15.75" customHeight="1">
      <c r="A214" s="11"/>
      <c r="B214" s="14">
        <f t="shared" ref="B214:E214" si="113">SUM(B199+B203+B207+B211)</f>
        <v>100</v>
      </c>
      <c r="C214" s="14">
        <f t="shared" si="113"/>
        <v>100</v>
      </c>
      <c r="D214" s="14">
        <f t="shared" si="113"/>
        <v>100</v>
      </c>
      <c r="E214" s="14">
        <f t="shared" si="113"/>
        <v>100</v>
      </c>
      <c r="F214" s="14"/>
      <c r="G214" s="14">
        <f t="shared" ref="G214:J214" si="114">SUM(G199+G203+G207+G211)</f>
        <v>100</v>
      </c>
      <c r="H214" s="14">
        <f t="shared" si="114"/>
        <v>100</v>
      </c>
      <c r="I214" s="14">
        <f t="shared" si="114"/>
        <v>100</v>
      </c>
      <c r="J214" s="14">
        <f t="shared" si="114"/>
        <v>100</v>
      </c>
      <c r="K214" s="14"/>
      <c r="L214" s="14">
        <f t="shared" ref="L214:O214" si="115">SUM(L199+L203+L207+L211)</f>
        <v>100</v>
      </c>
      <c r="M214" s="14">
        <f t="shared" si="115"/>
        <v>100</v>
      </c>
      <c r="N214" s="14">
        <f t="shared" si="115"/>
        <v>100</v>
      </c>
      <c r="O214" s="14">
        <f t="shared" si="115"/>
        <v>100</v>
      </c>
      <c r="Q214" s="11" t="s">
        <v>92</v>
      </c>
      <c r="R214" s="90">
        <v>70.4</v>
      </c>
      <c r="S214" s="91">
        <v>7.92</v>
      </c>
      <c r="T214" s="90">
        <v>43.2</v>
      </c>
      <c r="U214" s="90">
        <v>57.0</v>
      </c>
      <c r="W214" s="90">
        <v>70.2</v>
      </c>
      <c r="X214" s="91">
        <v>7.91</v>
      </c>
      <c r="Y214" s="90">
        <v>42.4</v>
      </c>
      <c r="Z214" s="90">
        <v>56.1</v>
      </c>
      <c r="AB214" s="96">
        <v>70.3</v>
      </c>
      <c r="AC214" s="97">
        <v>8.27</v>
      </c>
      <c r="AD214" s="98">
        <v>43.1</v>
      </c>
      <c r="AE214" s="98">
        <v>56.7</v>
      </c>
    </row>
    <row r="215" ht="15.75" customHeight="1"/>
    <row r="216" ht="15.75" customHeight="1"/>
    <row r="217" ht="15.75" customHeight="1">
      <c r="A217" s="30" t="s">
        <v>257</v>
      </c>
      <c r="B217" s="9" t="s">
        <v>232</v>
      </c>
      <c r="G217" s="9" t="s">
        <v>233</v>
      </c>
      <c r="L217" s="9" t="s">
        <v>234</v>
      </c>
    </row>
    <row r="218" ht="15.75" customHeight="1">
      <c r="B218" s="32"/>
      <c r="C218" s="32"/>
      <c r="D218" s="32"/>
      <c r="E218" s="32"/>
      <c r="F218" s="8"/>
      <c r="G218" s="32"/>
      <c r="H218" s="32"/>
      <c r="I218" s="32"/>
      <c r="J218" s="32"/>
      <c r="L218" s="32"/>
      <c r="M218" s="32"/>
      <c r="N218" s="32"/>
      <c r="O218" s="32"/>
    </row>
    <row r="219" ht="15.75" customHeight="1">
      <c r="A219" s="32"/>
      <c r="B219" s="51" t="s">
        <v>63</v>
      </c>
      <c r="C219" s="51" t="s">
        <v>64</v>
      </c>
      <c r="D219" s="51" t="s">
        <v>65</v>
      </c>
      <c r="E219" s="51" t="s">
        <v>66</v>
      </c>
      <c r="F219" s="32"/>
      <c r="G219" s="51" t="s">
        <v>63</v>
      </c>
      <c r="H219" s="51" t="s">
        <v>64</v>
      </c>
      <c r="I219" s="51" t="s">
        <v>65</v>
      </c>
      <c r="J219" s="51" t="s">
        <v>66</v>
      </c>
      <c r="K219" s="59"/>
      <c r="L219" s="51" t="s">
        <v>63</v>
      </c>
      <c r="M219" s="51" t="s">
        <v>64</v>
      </c>
      <c r="N219" s="51" t="s">
        <v>65</v>
      </c>
      <c r="O219" s="51" t="s">
        <v>66</v>
      </c>
    </row>
    <row r="220" ht="15.75" customHeight="1">
      <c r="A220" s="10" t="s">
        <v>7</v>
      </c>
    </row>
    <row r="221" ht="15.75" customHeight="1">
      <c r="A221" s="11" t="s">
        <v>73</v>
      </c>
      <c r="B221" s="14">
        <f t="shared" ref="B221:E221" si="116">B198</f>
        <v>28.64321608</v>
      </c>
      <c r="C221" s="12">
        <f t="shared" si="116"/>
        <v>1.705115346</v>
      </c>
      <c r="D221" s="16">
        <f t="shared" si="116"/>
        <v>4.264705882</v>
      </c>
      <c r="E221" s="14">
        <f t="shared" si="116"/>
        <v>23.35025381</v>
      </c>
      <c r="F221" s="8"/>
      <c r="G221" s="14">
        <f t="shared" ref="G221:J221" si="117">G198</f>
        <v>28.75751503</v>
      </c>
      <c r="H221" s="15">
        <f t="shared" si="117"/>
        <v>1.507537688</v>
      </c>
      <c r="I221" s="16">
        <f t="shared" si="117"/>
        <v>4.105571848</v>
      </c>
      <c r="J221" s="17">
        <f t="shared" si="117"/>
        <v>15.81632653</v>
      </c>
      <c r="L221" s="17">
        <f t="shared" ref="L221:O221" si="118">L198</f>
        <v>27.81124498</v>
      </c>
      <c r="M221" s="12">
        <f t="shared" si="118"/>
        <v>2.008032129</v>
      </c>
      <c r="N221" s="20">
        <f t="shared" si="118"/>
        <v>3.676470588</v>
      </c>
      <c r="O221" s="14">
        <f t="shared" si="118"/>
        <v>18.78172589</v>
      </c>
    </row>
    <row r="222" ht="15.75" customHeight="1">
      <c r="A222" s="11" t="s">
        <v>205</v>
      </c>
      <c r="B222" s="16">
        <f>$H$131/(($F$131-2)*$P$131)*100</f>
        <v>3.112313938</v>
      </c>
      <c r="C222" s="28">
        <f>$H$135/(($F$135-2)*$P$135)*100</f>
        <v>0.8746355685</v>
      </c>
      <c r="D222" s="15">
        <f>$H$139/(($F$139-2)*$P$139)*100</f>
        <v>4.52173913</v>
      </c>
      <c r="E222" s="20">
        <f>$H$143/(($F$143-2)*$P$143)*100</f>
        <v>7.222222222</v>
      </c>
      <c r="F222" s="54">
        <f>AVERAGE(B222:E222)</f>
        <v>3.932727715</v>
      </c>
      <c r="G222" s="16">
        <f>$H$132/(($F$132-2)*$P$132)*100</f>
        <v>2.735978112</v>
      </c>
      <c r="H222" s="27">
        <f>$H$136/(($F$136-2)*$P$136)*100</f>
        <v>0.5961251863</v>
      </c>
      <c r="I222" s="12">
        <f>$H$140/(($F$140-2)*$P$140)*100</f>
        <v>4.537521815</v>
      </c>
      <c r="J222" s="16">
        <f>$H$144/(($F$144-2)*$P$144)*100</f>
        <v>8.152173913</v>
      </c>
      <c r="K222" s="54">
        <f>AVERAGE(G222:J222)</f>
        <v>4.005449757</v>
      </c>
      <c r="L222" s="20">
        <f>$H$133/(($F$133-2)*$P$133)*100</f>
        <v>2.683615819</v>
      </c>
      <c r="M222" s="28">
        <f>$H$137/(($F$137-2)*$P$137)*100</f>
        <v>0.9174311927</v>
      </c>
      <c r="N222" s="12">
        <f>$H$141/(($F$141-2)*$P$141)*100</f>
        <v>4.601769912</v>
      </c>
      <c r="O222" s="16">
        <f>$H$145/(($F$145-2)*$P$145)*100</f>
        <v>9.392265193</v>
      </c>
      <c r="P222" s="54">
        <f>AVERAGE(L222:O222)</f>
        <v>4.398770529</v>
      </c>
    </row>
    <row r="223" ht="15.75" customHeight="1">
      <c r="A223" s="10" t="s">
        <v>13</v>
      </c>
      <c r="B223" s="24"/>
      <c r="C223" s="24"/>
      <c r="D223" s="24"/>
      <c r="E223" s="24"/>
      <c r="F223" s="95"/>
      <c r="G223" s="24"/>
      <c r="H223" s="24"/>
      <c r="I223" s="24"/>
      <c r="J223" s="24"/>
      <c r="K223" s="95"/>
      <c r="L223" s="24"/>
      <c r="M223" s="24"/>
      <c r="N223" s="24"/>
      <c r="O223" s="24"/>
      <c r="Q223" s="30" t="s">
        <v>168</v>
      </c>
      <c r="R223" s="31" t="s">
        <v>263</v>
      </c>
      <c r="S223" s="32"/>
      <c r="T223" s="32"/>
      <c r="U223" s="32"/>
      <c r="V223" s="8"/>
      <c r="W223" s="31" t="s">
        <v>264</v>
      </c>
      <c r="X223" s="32"/>
      <c r="Y223" s="32"/>
      <c r="Z223" s="32"/>
      <c r="AA223" s="8"/>
      <c r="AB223" s="31" t="s">
        <v>265</v>
      </c>
      <c r="AC223" s="32"/>
      <c r="AD223" s="32"/>
      <c r="AE223" s="32"/>
    </row>
    <row r="224" ht="15.75" customHeight="1">
      <c r="A224" s="11" t="s">
        <v>73</v>
      </c>
      <c r="B224" s="18">
        <f t="shared" ref="B224:E224" si="119">B202</f>
        <v>45.32663317</v>
      </c>
      <c r="C224" s="16">
        <f t="shared" si="119"/>
        <v>7.02106319</v>
      </c>
      <c r="D224" s="13">
        <f t="shared" si="119"/>
        <v>43.97058824</v>
      </c>
      <c r="E224" s="18">
        <f t="shared" si="119"/>
        <v>25.38071066</v>
      </c>
      <c r="F224" s="44"/>
      <c r="G224" s="13">
        <f t="shared" ref="G224:J224" si="120">G202</f>
        <v>45.69138277</v>
      </c>
      <c r="H224" s="20">
        <f t="shared" si="120"/>
        <v>6.934673367</v>
      </c>
      <c r="I224" s="18">
        <f t="shared" si="120"/>
        <v>42.96187683</v>
      </c>
      <c r="J224" s="13">
        <f t="shared" si="120"/>
        <v>28.57142857</v>
      </c>
      <c r="K224" s="44"/>
      <c r="L224" s="13">
        <f t="shared" ref="L224:O224" si="121">L202</f>
        <v>45.3815261</v>
      </c>
      <c r="M224" s="16">
        <f t="shared" si="121"/>
        <v>7.128514056</v>
      </c>
      <c r="N224" s="13">
        <f t="shared" si="121"/>
        <v>43.52941176</v>
      </c>
      <c r="O224" s="13">
        <f t="shared" si="121"/>
        <v>27.41116751</v>
      </c>
      <c r="Q224" s="32"/>
      <c r="R224" s="8" t="s">
        <v>63</v>
      </c>
      <c r="S224" s="8" t="s">
        <v>64</v>
      </c>
      <c r="T224" s="8" t="s">
        <v>65</v>
      </c>
      <c r="U224" s="8" t="s">
        <v>66</v>
      </c>
      <c r="V224" s="8"/>
      <c r="W224" s="8" t="s">
        <v>63</v>
      </c>
      <c r="X224" s="8" t="s">
        <v>64</v>
      </c>
      <c r="Y224" s="8" t="s">
        <v>65</v>
      </c>
      <c r="Z224" s="8" t="s">
        <v>66</v>
      </c>
      <c r="AA224" s="8"/>
      <c r="AB224" s="8" t="s">
        <v>63</v>
      </c>
      <c r="AC224" s="8" t="s">
        <v>64</v>
      </c>
      <c r="AD224" s="8" t="s">
        <v>65</v>
      </c>
      <c r="AE224" s="8" t="s">
        <v>66</v>
      </c>
    </row>
    <row r="225" ht="15.75" customHeight="1">
      <c r="A225" s="11" t="s">
        <v>205</v>
      </c>
      <c r="B225" s="17">
        <f>$N$131/(($F$131-2)*$P$131)*100</f>
        <v>83.08525034</v>
      </c>
      <c r="C225" s="15">
        <f>$N$135/(($F$135-2)*$P$135)*100</f>
        <v>7.725947522</v>
      </c>
      <c r="D225" s="14">
        <f>$N$139/(($F$139-2)*$P$139)*100</f>
        <v>47.65217391</v>
      </c>
      <c r="E225" s="14">
        <f>$N$143/(($F$143-2)*$P$143)*100</f>
        <v>47.22222222</v>
      </c>
      <c r="F225" s="54">
        <f>AVERAGE(B225:E225)</f>
        <v>46.4213985</v>
      </c>
      <c r="G225" s="14">
        <f>$N$132/(($F$132-2)*$P$132)*100</f>
        <v>84.40492476</v>
      </c>
      <c r="H225" s="12">
        <f>$N$136/(($F$136-2)*$P$136)*100</f>
        <v>8.345752608</v>
      </c>
      <c r="I225" s="14">
        <f>$N$140/(($F$140-2)*$P$140)*100</f>
        <v>48.16753927</v>
      </c>
      <c r="J225" s="14">
        <f>$N$144/(($F$144-2)*$P$144)*100</f>
        <v>45.65217391</v>
      </c>
      <c r="K225" s="54">
        <f>AVERAGE(G225:J225)</f>
        <v>46.64259764</v>
      </c>
      <c r="L225" s="14">
        <f>$N$133/(($F$133-2)*$P$133)*100</f>
        <v>84.46327684</v>
      </c>
      <c r="M225" s="12">
        <f>$N$137/(($F$137-2)*$P$137)*100</f>
        <v>9.021406728</v>
      </c>
      <c r="N225" s="17">
        <f>$N$141/(($F$141-2)*$P$141)*100</f>
        <v>47.61061947</v>
      </c>
      <c r="O225" s="17">
        <f>$N$145/(($F$145-2)*$P$145)*100</f>
        <v>44.75138122</v>
      </c>
      <c r="P225" s="54">
        <f>AVERAGE(L225:O225)</f>
        <v>46.46167106</v>
      </c>
      <c r="Q225" s="11" t="s">
        <v>73</v>
      </c>
      <c r="R225" s="35">
        <f t="shared" ref="R225:U225" si="122">B221+B224</f>
        <v>73.96984925</v>
      </c>
      <c r="S225" s="35">
        <f t="shared" si="122"/>
        <v>8.726178536</v>
      </c>
      <c r="T225" s="35">
        <f t="shared" si="122"/>
        <v>48.23529412</v>
      </c>
      <c r="U225" s="35">
        <f t="shared" si="122"/>
        <v>48.73096447</v>
      </c>
      <c r="V225" s="33">
        <f t="shared" ref="V225:V226" si="126">AVERAGE(R225:U225)</f>
        <v>44.91557159</v>
      </c>
      <c r="W225" s="35">
        <f t="shared" ref="W225:Z225" si="123">G221+G224</f>
        <v>74.4488978</v>
      </c>
      <c r="X225" s="35">
        <f t="shared" si="123"/>
        <v>8.442211055</v>
      </c>
      <c r="Y225" s="35">
        <f t="shared" si="123"/>
        <v>47.06744868</v>
      </c>
      <c r="Z225" s="35">
        <f t="shared" si="123"/>
        <v>44.3877551</v>
      </c>
      <c r="AA225" s="33"/>
      <c r="AB225" s="35">
        <f t="shared" ref="AB225:AE225" si="124">L221+L224</f>
        <v>73.19277108</v>
      </c>
      <c r="AC225" s="35">
        <f t="shared" si="124"/>
        <v>9.136546185</v>
      </c>
      <c r="AD225" s="35">
        <f t="shared" si="124"/>
        <v>47.20588235</v>
      </c>
      <c r="AE225" s="35">
        <f t="shared" si="124"/>
        <v>46.1928934</v>
      </c>
    </row>
    <row r="226" ht="15.75" customHeight="1">
      <c r="A226" s="10" t="s">
        <v>79</v>
      </c>
      <c r="B226" s="24"/>
      <c r="C226" s="24"/>
      <c r="D226" s="24"/>
      <c r="E226" s="24"/>
      <c r="F226" s="95"/>
      <c r="G226" s="24"/>
      <c r="H226" s="24"/>
      <c r="I226" s="24"/>
      <c r="J226" s="24"/>
      <c r="K226" s="95"/>
      <c r="L226" s="24"/>
      <c r="M226" s="24"/>
      <c r="N226" s="24"/>
      <c r="O226" s="24"/>
      <c r="Q226" s="11" t="s">
        <v>205</v>
      </c>
      <c r="R226" s="35">
        <f t="shared" ref="R226:U226" si="125">B222+B225</f>
        <v>86.19756428</v>
      </c>
      <c r="S226" s="35">
        <f t="shared" si="125"/>
        <v>8.60058309</v>
      </c>
      <c r="T226" s="35">
        <f t="shared" si="125"/>
        <v>52.17391304</v>
      </c>
      <c r="U226" s="35">
        <f t="shared" si="125"/>
        <v>54.44444444</v>
      </c>
      <c r="V226" s="33">
        <f t="shared" si="126"/>
        <v>50.35412621</v>
      </c>
      <c r="W226" s="35">
        <f t="shared" ref="W226:Z226" si="127">G222+G225</f>
        <v>87.14090287</v>
      </c>
      <c r="X226" s="35">
        <f t="shared" si="127"/>
        <v>8.941877794</v>
      </c>
      <c r="Y226" s="35">
        <f t="shared" si="127"/>
        <v>52.70506108</v>
      </c>
      <c r="Z226" s="35">
        <f t="shared" si="127"/>
        <v>53.80434783</v>
      </c>
      <c r="AB226" s="35">
        <f t="shared" ref="AB226:AE226" si="128">L222+L225</f>
        <v>87.14689266</v>
      </c>
      <c r="AC226" s="35">
        <f t="shared" si="128"/>
        <v>9.93883792</v>
      </c>
      <c r="AD226" s="35">
        <f t="shared" si="128"/>
        <v>52.21238938</v>
      </c>
      <c r="AE226" s="35">
        <f t="shared" si="128"/>
        <v>54.14364641</v>
      </c>
    </row>
    <row r="227" ht="15.75" customHeight="1">
      <c r="A227" s="11" t="s">
        <v>73</v>
      </c>
      <c r="B227" s="13">
        <f t="array" ref="B227:E227">B206:E206</f>
        <v>23.01507538</v>
      </c>
      <c r="C227" s="14">
        <v>90.67201604814443</v>
      </c>
      <c r="D227" s="14">
        <v>43.38235294117647</v>
      </c>
      <c r="E227" s="13">
        <v>45.68527918781726</v>
      </c>
      <c r="F227" s="44"/>
      <c r="G227" s="13">
        <f t="array" ref="G227:J227">G206:J206</f>
        <v>23.04609218</v>
      </c>
      <c r="H227" s="18">
        <v>90.85427135678393</v>
      </c>
      <c r="I227" s="14">
        <v>43.54838709677419</v>
      </c>
      <c r="J227" s="18">
        <v>53.06122448979592</v>
      </c>
      <c r="K227" s="44"/>
      <c r="L227" s="18">
        <f t="array" ref="L227:O227">L206:O206</f>
        <v>23.89558233</v>
      </c>
      <c r="M227" s="13">
        <v>90.26104417670683</v>
      </c>
      <c r="N227" s="17">
        <v>43.970588235294116</v>
      </c>
      <c r="O227" s="13">
        <v>50.25380710659898</v>
      </c>
      <c r="Q227" s="11" t="s">
        <v>92</v>
      </c>
      <c r="R227" s="33">
        <f t="shared" ref="R227:U227" si="129">AVERAGE(R225:R226)</f>
        <v>80.08370676</v>
      </c>
      <c r="S227" s="29">
        <f t="shared" si="129"/>
        <v>8.663380813</v>
      </c>
      <c r="T227" s="33">
        <f t="shared" si="129"/>
        <v>50.20460358</v>
      </c>
      <c r="U227" s="33">
        <f t="shared" si="129"/>
        <v>51.58770446</v>
      </c>
      <c r="V227" s="33"/>
      <c r="W227" s="33">
        <f t="shared" ref="W227:Z227" si="130">AVERAGE(W225:W226)</f>
        <v>80.79490033</v>
      </c>
      <c r="X227" s="29">
        <f t="shared" si="130"/>
        <v>8.692044425</v>
      </c>
      <c r="Y227" s="33">
        <f t="shared" si="130"/>
        <v>49.88625488</v>
      </c>
      <c r="Z227" s="33">
        <f t="shared" si="130"/>
        <v>49.09605146</v>
      </c>
      <c r="AA227" s="33"/>
      <c r="AB227" s="33">
        <f t="shared" ref="AB227:AE227" si="131">AVERAGE(AB225:AB226)</f>
        <v>80.16983187</v>
      </c>
      <c r="AC227" s="29">
        <f t="shared" si="131"/>
        <v>9.537692053</v>
      </c>
      <c r="AD227" s="33">
        <f t="shared" si="131"/>
        <v>49.70913587</v>
      </c>
      <c r="AE227" s="33">
        <f t="shared" si="131"/>
        <v>50.1682699</v>
      </c>
    </row>
    <row r="228" ht="15.75" customHeight="1">
      <c r="A228" s="11" t="s">
        <v>205</v>
      </c>
      <c r="B228" s="12">
        <f>($I$131+$J$131)/(($F$131-2)*$P$131)*100</f>
        <v>8.119079838</v>
      </c>
      <c r="C228" s="18">
        <f>($I$135+$J$135)/(($F$135-2)*$P$135)*100</f>
        <v>90.81632653</v>
      </c>
      <c r="D228" s="13">
        <f>($I$139+$J$139)/(($F$139-2)*$P$139)*100</f>
        <v>45.73913043</v>
      </c>
      <c r="E228" s="14">
        <f>($I$143+$J$143)/(($F$143-2)*$P$143)*100</f>
        <v>40</v>
      </c>
      <c r="F228" s="54">
        <f>AVERAGE(B228:E228)</f>
        <v>46.1686342</v>
      </c>
      <c r="G228" s="12">
        <f>($I$132+$J$132)/(($F$132-2)*$P$132)*100</f>
        <v>8.071135431</v>
      </c>
      <c r="H228" s="14">
        <f>($I$136+$J$136)/(($F$136-2)*$P$136)*100</f>
        <v>90.61102832</v>
      </c>
      <c r="I228" s="13">
        <f>($I$140+$J$140)/(($F$140-2)*$P$140)*100</f>
        <v>45.37521815</v>
      </c>
      <c r="J228" s="17">
        <f>($I$144+$J$144)/(($F$144-2)*$P$144)*100</f>
        <v>40.2173913</v>
      </c>
      <c r="K228" s="54">
        <f>AVERAGE(G228:J228)</f>
        <v>46.0686933</v>
      </c>
      <c r="L228" s="15">
        <f>($I$133+$J$133)/(($F$133-2)*$P$133)*100</f>
        <v>8.333333333</v>
      </c>
      <c r="M228" s="14">
        <f>($I$137+$J$137)/(($F$137-2)*$P$137)*100</f>
        <v>90.06116208</v>
      </c>
      <c r="N228" s="18">
        <f>($I$141+$J$141)/(($F$141-2)*$P$141)*100</f>
        <v>45.66371681</v>
      </c>
      <c r="O228" s="14">
        <f>($I$145+$J$145)/(($F$145-2)*$P$145)*100</f>
        <v>38.12154696</v>
      </c>
      <c r="P228" s="54">
        <f>AVERAGE(L228:O228)</f>
        <v>45.5449398</v>
      </c>
      <c r="S228" s="33">
        <f>AVERAGE(R227:U227)</f>
        <v>47.6348489</v>
      </c>
      <c r="X228" s="33">
        <f>AVERAGE(W227:Z227)</f>
        <v>47.11731278</v>
      </c>
      <c r="AC228" s="33">
        <f>AVERAGE(AB227:AE227)</f>
        <v>47.39623242</v>
      </c>
    </row>
    <row r="229" ht="15.75" customHeight="1">
      <c r="A229" s="10" t="s">
        <v>11</v>
      </c>
      <c r="B229" s="24"/>
      <c r="C229" s="24"/>
      <c r="D229" s="24"/>
      <c r="E229" s="24"/>
      <c r="F229" s="95"/>
      <c r="G229" s="24"/>
      <c r="H229" s="24"/>
      <c r="I229" s="24"/>
      <c r="J229" s="24"/>
      <c r="K229" s="95"/>
      <c r="L229" s="24"/>
      <c r="M229" s="24"/>
      <c r="N229" s="24"/>
      <c r="O229" s="24"/>
      <c r="R229" s="2" t="s">
        <v>222</v>
      </c>
      <c r="S229" s="33">
        <f>AVERAGE(R226:U226)</f>
        <v>50.35412621</v>
      </c>
      <c r="W229" s="2" t="s">
        <v>222</v>
      </c>
      <c r="X229" s="33">
        <f>AVERAGE(W226:Z226)</f>
        <v>50.64804739</v>
      </c>
      <c r="AB229" s="2" t="s">
        <v>222</v>
      </c>
      <c r="AC229" s="33">
        <f>AVERAGE(AB226:AE226)</f>
        <v>50.86044159</v>
      </c>
    </row>
    <row r="230" ht="15.75" customHeight="1">
      <c r="A230" s="11" t="s">
        <v>73</v>
      </c>
      <c r="B230" s="15">
        <f t="shared" ref="B230:E230" si="132">B210</f>
        <v>3.015075377</v>
      </c>
      <c r="C230" s="28">
        <f t="shared" si="132"/>
        <v>0.6018054162</v>
      </c>
      <c r="D230" s="16">
        <f t="shared" si="132"/>
        <v>8.382352941</v>
      </c>
      <c r="E230" s="20">
        <f t="shared" si="132"/>
        <v>5.583756345</v>
      </c>
      <c r="F230" s="44"/>
      <c r="G230" s="12">
        <f t="shared" ref="G230:J230" si="133">G210</f>
        <v>2.50501002</v>
      </c>
      <c r="H230" s="27">
        <f t="shared" si="133"/>
        <v>0.7035175879</v>
      </c>
      <c r="I230" s="20">
        <f t="shared" si="133"/>
        <v>9.384164223</v>
      </c>
      <c r="J230" s="12">
        <f t="shared" si="133"/>
        <v>2.551020408</v>
      </c>
      <c r="K230" s="44"/>
      <c r="L230" s="12">
        <f t="shared" ref="L230:O230" si="134">L210</f>
        <v>2.911646586</v>
      </c>
      <c r="M230" s="28">
        <f t="shared" si="134"/>
        <v>0.6024096386</v>
      </c>
      <c r="N230" s="16">
        <f t="shared" si="134"/>
        <v>8.823529412</v>
      </c>
      <c r="O230" s="12">
        <f t="shared" si="134"/>
        <v>3.553299492</v>
      </c>
      <c r="S230" s="2" t="s">
        <v>226</v>
      </c>
      <c r="T230" s="2" t="s">
        <v>227</v>
      </c>
    </row>
    <row r="231" ht="15.75" customHeight="1">
      <c r="A231" s="11" t="s">
        <v>205</v>
      </c>
      <c r="B231" s="20">
        <f>$L$131/(($F$131-2)*$P$131)*100</f>
        <v>5.683355886</v>
      </c>
      <c r="C231" s="22">
        <f>$L$135/(($F$135-2)*$P$135)*100</f>
        <v>0.583090379</v>
      </c>
      <c r="D231" s="12">
        <f>$L$139/(($F$139-2)*$P$139)*100</f>
        <v>2.086956522</v>
      </c>
      <c r="E231" s="12">
        <f>$L$143/(($F$143-2)*$P$143)*100</f>
        <v>5.555555556</v>
      </c>
      <c r="F231" s="54">
        <f>AVERAGE(B231:E231)</f>
        <v>3.477239586</v>
      </c>
      <c r="G231" s="16">
        <f>$L$132/(($F$132-2)*$P$132)*100</f>
        <v>4.787961696</v>
      </c>
      <c r="H231" s="8">
        <v>0.447</v>
      </c>
      <c r="I231" s="12">
        <f>$L$140/(($F$140-2)*$P$140)*100</f>
        <v>1.919720768</v>
      </c>
      <c r="J231" s="16">
        <f>$L$144/(($F$144-2)*$P$144)*100</f>
        <v>5.97826087</v>
      </c>
      <c r="K231" s="54">
        <f>AVERAGE(G231:J231)</f>
        <v>3.283235833</v>
      </c>
      <c r="L231" s="16">
        <f>$L$133/(($F$133-2)*$P$133)*100</f>
        <v>4.519774011</v>
      </c>
      <c r="M231" s="12">
        <f>$L$137/(($F$137-2)*$P$137)*100</f>
        <v>0</v>
      </c>
      <c r="N231" s="15">
        <f>$L$141/(($F$141-2)*$P$141)*100</f>
        <v>2.123893805</v>
      </c>
      <c r="O231" s="20">
        <f>$L$145/(($F$145-2)*$P$145)*100</f>
        <v>7.73480663</v>
      </c>
      <c r="P231" s="54">
        <f>AVERAGE(L231:O231)</f>
        <v>3.594618612</v>
      </c>
      <c r="S231" s="29">
        <f>(F222-$V$239)/$V$239*100</f>
        <v>-9.592466328</v>
      </c>
      <c r="T231" s="29">
        <f>(K231-$V$248)/$V$248*100</f>
        <v>-28.31362809</v>
      </c>
    </row>
    <row r="232" ht="15.75" customHeight="1">
      <c r="A232" s="72"/>
      <c r="B232" s="56">
        <f t="shared" ref="B232:E232" si="135">SUM(B221,B224,B227,B230)</f>
        <v>100</v>
      </c>
      <c r="C232" s="56">
        <f t="shared" si="135"/>
        <v>100</v>
      </c>
      <c r="D232" s="56">
        <f t="shared" si="135"/>
        <v>100</v>
      </c>
      <c r="E232" s="56">
        <f t="shared" si="135"/>
        <v>100</v>
      </c>
      <c r="F232" s="60"/>
      <c r="G232" s="56">
        <f t="shared" ref="G232:J232" si="136">SUM(G221,G224,G227,G230)</f>
        <v>100</v>
      </c>
      <c r="H232" s="56">
        <f t="shared" si="136"/>
        <v>100</v>
      </c>
      <c r="I232" s="56">
        <f t="shared" si="136"/>
        <v>100</v>
      </c>
      <c r="J232" s="56">
        <f t="shared" si="136"/>
        <v>100</v>
      </c>
      <c r="K232" s="60"/>
      <c r="L232" s="56">
        <f t="shared" ref="L232:O232" si="137">SUM(L221,L224,L227,L230)</f>
        <v>100</v>
      </c>
      <c r="M232" s="56">
        <f t="shared" si="137"/>
        <v>100</v>
      </c>
      <c r="N232" s="56">
        <f t="shared" si="137"/>
        <v>100</v>
      </c>
      <c r="O232" s="56">
        <f t="shared" si="137"/>
        <v>100</v>
      </c>
      <c r="S232" s="29">
        <f>(K222-$V$239)/$V$239*100</f>
        <v>-7.92069525</v>
      </c>
      <c r="T232" s="29">
        <f>(P231-$V$248)/$V$248*100</f>
        <v>-21.51487748</v>
      </c>
    </row>
    <row r="233" ht="15.75" customHeight="1">
      <c r="A233" s="11"/>
      <c r="B233" s="33">
        <f t="shared" ref="B233:E233" si="138">SUM(B222,B225,B228,B231)</f>
        <v>100</v>
      </c>
      <c r="C233" s="33">
        <f t="shared" si="138"/>
        <v>100</v>
      </c>
      <c r="D233" s="33">
        <f t="shared" si="138"/>
        <v>100</v>
      </c>
      <c r="E233" s="33">
        <f t="shared" si="138"/>
        <v>100</v>
      </c>
      <c r="F233" s="14"/>
      <c r="G233" s="33">
        <f>SUM(G222,G225,G228,G231)</f>
        <v>100</v>
      </c>
      <c r="H233" s="33">
        <f>SUM(H222,H225,H228,H237)</f>
        <v>100</v>
      </c>
      <c r="I233" s="33">
        <f t="shared" ref="I233:J233" si="139">SUM(I222,I225,I228,I231)</f>
        <v>100</v>
      </c>
      <c r="J233" s="33">
        <f t="shared" si="139"/>
        <v>100</v>
      </c>
      <c r="K233" s="14"/>
      <c r="L233" s="33">
        <f t="shared" ref="L233:O233" si="140">SUM(L222,L225,L228,L231)</f>
        <v>100</v>
      </c>
      <c r="M233" s="33">
        <f t="shared" si="140"/>
        <v>100</v>
      </c>
      <c r="N233" s="33">
        <f t="shared" si="140"/>
        <v>100</v>
      </c>
      <c r="O233" s="33">
        <f t="shared" si="140"/>
        <v>100</v>
      </c>
      <c r="S233" s="29">
        <f>(P222-$V$239)/$V$239*100</f>
        <v>1.12116159</v>
      </c>
    </row>
    <row r="234" ht="15.75" customHeight="1"/>
    <row r="235" ht="30.0" customHeight="1">
      <c r="Q235" s="42" t="s">
        <v>269</v>
      </c>
      <c r="R235" s="43" t="s">
        <v>270</v>
      </c>
      <c r="S235" s="32"/>
      <c r="T235" s="32"/>
      <c r="U235" s="32"/>
      <c r="V235" s="45"/>
      <c r="W235" s="42" t="s">
        <v>271</v>
      </c>
      <c r="X235" s="43" t="s">
        <v>272</v>
      </c>
      <c r="Y235" s="32"/>
      <c r="Z235" s="32"/>
      <c r="AA235" s="32"/>
    </row>
    <row r="236" ht="15.75" customHeight="1">
      <c r="Q236" s="32"/>
      <c r="R236" s="44" t="s">
        <v>63</v>
      </c>
      <c r="S236" s="44" t="s">
        <v>64</v>
      </c>
      <c r="T236" s="44" t="s">
        <v>65</v>
      </c>
      <c r="U236" s="44" t="s">
        <v>66</v>
      </c>
      <c r="V236" s="45"/>
      <c r="X236" s="44" t="s">
        <v>63</v>
      </c>
      <c r="Y236" s="44" t="s">
        <v>64</v>
      </c>
      <c r="Z236" s="44" t="s">
        <v>65</v>
      </c>
      <c r="AA236" s="44" t="s">
        <v>66</v>
      </c>
    </row>
    <row r="237" ht="15.75" customHeight="1">
      <c r="H237" s="21">
        <f>$L$136/(($F$136-2)*$P$136)*100</f>
        <v>0.4470938897</v>
      </c>
      <c r="Q237" s="114" t="s">
        <v>7</v>
      </c>
      <c r="R237" s="114"/>
      <c r="S237" s="114"/>
      <c r="T237" s="114"/>
      <c r="U237" s="114"/>
      <c r="V237" s="45"/>
      <c r="W237" s="47" t="s">
        <v>73</v>
      </c>
      <c r="X237" s="90">
        <v>75.1</v>
      </c>
      <c r="Y237" s="90">
        <v>9.2</v>
      </c>
      <c r="Z237" s="90">
        <v>48.2</v>
      </c>
      <c r="AA237" s="90">
        <v>43.8</v>
      </c>
    </row>
    <row r="238" ht="15.75" customHeight="1">
      <c r="Q238" s="47" t="s">
        <v>73</v>
      </c>
      <c r="R238" s="115">
        <v>29.4</v>
      </c>
      <c r="S238" s="116">
        <v>2.01</v>
      </c>
      <c r="T238" s="54">
        <v>4.36</v>
      </c>
      <c r="U238" s="117">
        <v>18.5</v>
      </c>
      <c r="V238" s="45"/>
      <c r="W238" s="47" t="s">
        <v>205</v>
      </c>
      <c r="X238" s="90">
        <v>84.0</v>
      </c>
      <c r="Y238" s="90">
        <v>8.2</v>
      </c>
      <c r="Z238" s="90">
        <v>52.9</v>
      </c>
      <c r="AA238" s="90">
        <v>56.4</v>
      </c>
    </row>
    <row r="239" ht="15.75" customHeight="1">
      <c r="Q239" s="47" t="s">
        <v>205</v>
      </c>
      <c r="R239" s="54">
        <v>2.22</v>
      </c>
      <c r="S239" s="118">
        <v>0.555</v>
      </c>
      <c r="T239" s="116">
        <v>5.41</v>
      </c>
      <c r="U239" s="119">
        <v>9.24</v>
      </c>
      <c r="V239" s="54">
        <v>4.35</v>
      </c>
      <c r="W239" s="47" t="s">
        <v>92</v>
      </c>
      <c r="X239" s="90">
        <v>79.6</v>
      </c>
      <c r="Y239" s="91">
        <v>8.71</v>
      </c>
      <c r="Z239" s="90">
        <v>50.5</v>
      </c>
      <c r="AA239" s="90">
        <v>50.1</v>
      </c>
    </row>
    <row r="240" ht="15.75" customHeight="1">
      <c r="Q240" s="114" t="s">
        <v>13</v>
      </c>
      <c r="R240" s="114"/>
      <c r="S240" s="114"/>
      <c r="T240" s="114"/>
      <c r="U240" s="114"/>
      <c r="V240" s="45"/>
      <c r="W240" s="45"/>
      <c r="X240" s="45"/>
      <c r="Y240" s="90">
        <v>47.2</v>
      </c>
      <c r="Z240" s="45"/>
      <c r="AA240" s="45"/>
    </row>
    <row r="241" ht="15.75" customHeight="1">
      <c r="Q241" s="47" t="s">
        <v>73</v>
      </c>
      <c r="R241" s="120">
        <v>45.7</v>
      </c>
      <c r="S241" s="54">
        <v>7.21</v>
      </c>
      <c r="T241" s="53">
        <v>43.8</v>
      </c>
      <c r="U241" s="53">
        <v>25.3</v>
      </c>
      <c r="V241" s="45"/>
      <c r="W241" s="45"/>
      <c r="X241" s="45" t="s">
        <v>273</v>
      </c>
      <c r="Y241" s="90">
        <v>50.4</v>
      </c>
      <c r="Z241" s="45"/>
      <c r="AA241" s="45"/>
    </row>
    <row r="242" ht="15.75" customHeight="1">
      <c r="Q242" s="47" t="s">
        <v>205</v>
      </c>
      <c r="R242" s="115">
        <v>81.8</v>
      </c>
      <c r="S242" s="116">
        <v>7.64</v>
      </c>
      <c r="T242" s="117">
        <v>47.5</v>
      </c>
      <c r="U242" s="117">
        <v>47.2</v>
      </c>
      <c r="V242" s="54">
        <v>46.03</v>
      </c>
      <c r="W242" s="45"/>
      <c r="X242" s="45"/>
      <c r="Y242" s="45"/>
      <c r="Z242" s="45"/>
      <c r="AA242" s="45"/>
    </row>
    <row r="243" ht="15.75" customHeight="1">
      <c r="A243" s="44"/>
      <c r="B243" s="43" t="s">
        <v>270</v>
      </c>
      <c r="C243" s="32"/>
      <c r="D243" s="32"/>
      <c r="E243" s="32"/>
      <c r="Q243" s="114" t="s">
        <v>79</v>
      </c>
      <c r="R243" s="95"/>
      <c r="S243" s="95"/>
      <c r="T243" s="95"/>
      <c r="U243" s="95"/>
      <c r="V243" s="45"/>
      <c r="W243" s="45"/>
      <c r="X243" s="45"/>
      <c r="Y243" s="45"/>
      <c r="Z243" s="45"/>
      <c r="AA243" s="45"/>
    </row>
    <row r="244" ht="15.75" customHeight="1">
      <c r="A244" s="32"/>
      <c r="B244" s="44" t="s">
        <v>63</v>
      </c>
      <c r="C244" s="44" t="s">
        <v>64</v>
      </c>
      <c r="D244" s="44" t="s">
        <v>65</v>
      </c>
      <c r="E244" s="44" t="s">
        <v>66</v>
      </c>
      <c r="Q244" s="47" t="s">
        <v>73</v>
      </c>
      <c r="R244" s="120">
        <v>22.2</v>
      </c>
      <c r="S244" s="117">
        <v>90.1</v>
      </c>
      <c r="T244" s="117">
        <v>43.2</v>
      </c>
      <c r="U244" s="53">
        <v>50.3</v>
      </c>
      <c r="V244" s="45"/>
      <c r="W244" s="45"/>
      <c r="X244" s="45"/>
      <c r="Y244" s="45"/>
      <c r="Z244" s="45"/>
      <c r="AA244" s="45"/>
    </row>
    <row r="245" ht="15.75" customHeight="1">
      <c r="A245" s="114" t="s">
        <v>7</v>
      </c>
      <c r="B245" s="114"/>
      <c r="C245" s="114"/>
      <c r="D245" s="114"/>
      <c r="E245" s="114"/>
      <c r="Q245" s="47" t="s">
        <v>205</v>
      </c>
      <c r="R245" s="121">
        <v>8.81</v>
      </c>
      <c r="S245" s="53">
        <v>91.5</v>
      </c>
      <c r="T245" s="53">
        <v>44.5</v>
      </c>
      <c r="U245" s="117">
        <v>35.3</v>
      </c>
      <c r="V245" s="54">
        <v>45.03</v>
      </c>
      <c r="W245" s="45"/>
      <c r="X245" s="45"/>
      <c r="Y245" s="45"/>
      <c r="Z245" s="45"/>
      <c r="AA245" s="45"/>
    </row>
    <row r="246" ht="15.75" customHeight="1">
      <c r="A246" s="47" t="s">
        <v>68</v>
      </c>
      <c r="B246" s="54">
        <v>8.73</v>
      </c>
      <c r="C246" s="54">
        <v>1.54</v>
      </c>
      <c r="D246" s="115">
        <v>12.3</v>
      </c>
      <c r="E246" s="53">
        <v>13.8</v>
      </c>
      <c r="F246" s="29">
        <f>AVERAGE(B246:E248)</f>
        <v>9.33425</v>
      </c>
      <c r="Q246" s="114" t="s">
        <v>11</v>
      </c>
      <c r="R246" s="95"/>
      <c r="S246" s="95"/>
      <c r="T246" s="95"/>
      <c r="U246" s="95"/>
      <c r="V246" s="45"/>
      <c r="W246" s="45"/>
      <c r="X246" s="45"/>
      <c r="Y246" s="45"/>
      <c r="Z246" s="45"/>
      <c r="AA246" s="45"/>
    </row>
    <row r="247" ht="15.75" customHeight="1">
      <c r="A247" s="47" t="s">
        <v>73</v>
      </c>
      <c r="B247" s="117">
        <v>29.4</v>
      </c>
      <c r="C247" s="121">
        <v>2.01</v>
      </c>
      <c r="D247" s="119">
        <v>4.36</v>
      </c>
      <c r="E247" s="117">
        <v>18.5</v>
      </c>
      <c r="Q247" s="47" t="s">
        <v>73</v>
      </c>
      <c r="R247" s="116">
        <v>2.65</v>
      </c>
      <c r="S247" s="122">
        <v>0.637</v>
      </c>
      <c r="T247" s="54">
        <v>8.66</v>
      </c>
      <c r="U247" s="116">
        <v>5.78</v>
      </c>
      <c r="V247" s="45"/>
      <c r="W247" s="45"/>
      <c r="X247" s="45"/>
      <c r="Y247" s="45"/>
      <c r="Z247" s="45"/>
      <c r="AA247" s="45"/>
    </row>
    <row r="248" ht="15.75" customHeight="1">
      <c r="A248" s="47" t="s">
        <v>76</v>
      </c>
      <c r="B248" s="54">
        <v>6.21</v>
      </c>
      <c r="C248" s="118">
        <v>0.731</v>
      </c>
      <c r="D248" s="54">
        <v>5.69</v>
      </c>
      <c r="E248" s="54">
        <v>8.74</v>
      </c>
      <c r="Q248" s="47" t="s">
        <v>205</v>
      </c>
      <c r="R248" s="54">
        <v>7.19</v>
      </c>
      <c r="S248" s="123">
        <v>0.308</v>
      </c>
      <c r="T248" s="116">
        <v>2.61</v>
      </c>
      <c r="U248" s="54">
        <v>8.23</v>
      </c>
      <c r="V248" s="54">
        <v>4.58</v>
      </c>
      <c r="W248" s="45"/>
      <c r="X248" s="45"/>
      <c r="Y248" s="45"/>
      <c r="Z248" s="45"/>
      <c r="AA248" s="45"/>
    </row>
    <row r="249" ht="15.75" customHeight="1">
      <c r="A249" s="114" t="s">
        <v>13</v>
      </c>
      <c r="B249" s="114"/>
      <c r="C249" s="114"/>
      <c r="D249" s="114"/>
      <c r="E249" s="114"/>
      <c r="Q249" s="45"/>
      <c r="R249" s="90">
        <v>100.0</v>
      </c>
      <c r="S249" s="90">
        <v>100.0</v>
      </c>
      <c r="T249" s="90">
        <v>100.0</v>
      </c>
      <c r="U249" s="90">
        <v>99.9</v>
      </c>
      <c r="V249" s="45"/>
      <c r="W249" s="45"/>
      <c r="X249" s="45"/>
      <c r="Y249" s="45"/>
      <c r="Z249" s="45"/>
      <c r="AA249" s="45"/>
    </row>
    <row r="250" ht="15.75" customHeight="1">
      <c r="A250" s="47" t="s">
        <v>68</v>
      </c>
      <c r="B250" s="117">
        <v>63.9</v>
      </c>
      <c r="C250" s="119">
        <v>7.03</v>
      </c>
      <c r="D250" s="53">
        <v>28.3</v>
      </c>
      <c r="E250" s="53">
        <v>43.2</v>
      </c>
      <c r="Q250" s="45"/>
      <c r="R250" s="90">
        <v>100.0</v>
      </c>
      <c r="S250" s="90">
        <v>100.0</v>
      </c>
      <c r="T250" s="90">
        <v>100.0</v>
      </c>
      <c r="U250" s="90">
        <v>100.0</v>
      </c>
      <c r="V250" s="91">
        <f>SUM(V239:V248)</f>
        <v>99.99</v>
      </c>
      <c r="W250" s="45"/>
      <c r="X250" s="45"/>
      <c r="Y250" s="45"/>
      <c r="Z250" s="45"/>
      <c r="AA250" s="45"/>
    </row>
    <row r="251" ht="15.75" customHeight="1">
      <c r="A251" s="47" t="s">
        <v>73</v>
      </c>
      <c r="B251" s="120">
        <v>45.7</v>
      </c>
      <c r="C251" s="121">
        <v>7.21</v>
      </c>
      <c r="D251" s="117">
        <v>43.8</v>
      </c>
      <c r="E251" s="53">
        <v>25.3</v>
      </c>
    </row>
    <row r="252" ht="15.75" customHeight="1">
      <c r="A252" s="93" t="s">
        <v>76</v>
      </c>
      <c r="B252" s="124">
        <v>56.9</v>
      </c>
      <c r="C252" s="125">
        <v>6.3</v>
      </c>
      <c r="D252" s="124">
        <v>35.0</v>
      </c>
      <c r="E252" s="126">
        <v>60.5</v>
      </c>
    </row>
    <row r="253" ht="15.75" customHeight="1">
      <c r="A253" s="114" t="s">
        <v>79</v>
      </c>
      <c r="B253" s="95"/>
      <c r="C253" s="95"/>
      <c r="D253" s="95"/>
      <c r="E253" s="95"/>
    </row>
    <row r="254" ht="15.75" customHeight="1">
      <c r="A254" s="47" t="s">
        <v>68</v>
      </c>
      <c r="B254" s="53">
        <v>24.1</v>
      </c>
      <c r="C254" s="53">
        <v>90.8</v>
      </c>
      <c r="D254" s="120">
        <v>46.1</v>
      </c>
      <c r="E254" s="120">
        <v>34.7</v>
      </c>
    </row>
    <row r="255" ht="15.75" customHeight="1">
      <c r="A255" s="47" t="s">
        <v>73</v>
      </c>
      <c r="B255" s="117">
        <v>22.2</v>
      </c>
      <c r="C255" s="115">
        <v>90.1</v>
      </c>
      <c r="D255" s="115">
        <v>43.2</v>
      </c>
      <c r="E255" s="53">
        <v>50.3</v>
      </c>
    </row>
    <row r="256" ht="15.75" customHeight="1">
      <c r="A256" s="127" t="s">
        <v>76</v>
      </c>
      <c r="B256" s="129">
        <v>28.9</v>
      </c>
      <c r="C256" s="130">
        <v>91.7</v>
      </c>
      <c r="D256" s="129">
        <v>50.9</v>
      </c>
      <c r="E256" s="131">
        <v>21.6</v>
      </c>
    </row>
    <row r="257" ht="15.75" customHeight="1">
      <c r="A257" s="45" t="s">
        <v>11</v>
      </c>
      <c r="B257" s="44"/>
      <c r="C257" s="44"/>
      <c r="D257" s="44"/>
      <c r="E257" s="44"/>
    </row>
    <row r="258" ht="15.75" customHeight="1">
      <c r="A258" s="47" t="s">
        <v>68</v>
      </c>
      <c r="B258" s="54">
        <v>3.28</v>
      </c>
      <c r="C258" s="123">
        <v>0.602</v>
      </c>
      <c r="D258" s="53">
        <v>13.3</v>
      </c>
      <c r="E258" s="54">
        <v>8.33</v>
      </c>
      <c r="F258" s="29">
        <f>AVERAGE(B258:E260)</f>
        <v>5.83825</v>
      </c>
    </row>
    <row r="259" ht="15.75" customHeight="1">
      <c r="A259" s="47" t="s">
        <v>73</v>
      </c>
      <c r="B259" s="116">
        <v>2.65</v>
      </c>
      <c r="C259" s="118">
        <v>0.637</v>
      </c>
      <c r="D259" s="54">
        <v>8.66</v>
      </c>
      <c r="E259" s="116">
        <v>5.78</v>
      </c>
    </row>
    <row r="260" ht="15.75" customHeight="1">
      <c r="A260" s="47" t="s">
        <v>76</v>
      </c>
      <c r="B260" s="54">
        <v>8.02</v>
      </c>
      <c r="C260" s="54">
        <v>1.23</v>
      </c>
      <c r="D260" s="116">
        <v>8.37</v>
      </c>
      <c r="E260" s="119">
        <v>9.2</v>
      </c>
    </row>
    <row r="261" ht="15.75" customHeight="1"/>
    <row r="262" ht="15.75" customHeight="1"/>
    <row r="263" ht="15.75" customHeight="1"/>
    <row r="264" ht="15.0" customHeight="1">
      <c r="A264" s="42" t="s">
        <v>274</v>
      </c>
      <c r="B264" s="43" t="s">
        <v>169</v>
      </c>
      <c r="C264" s="32"/>
      <c r="D264" s="32"/>
      <c r="E264" s="32"/>
      <c r="G264" s="43" t="s">
        <v>232</v>
      </c>
      <c r="H264" s="32"/>
      <c r="I264" s="32"/>
      <c r="J264" s="32"/>
      <c r="L264" s="132" t="s">
        <v>275</v>
      </c>
      <c r="M264" s="133"/>
      <c r="N264" s="133"/>
      <c r="O264" s="133"/>
    </row>
    <row r="265" ht="15.75" customHeight="1">
      <c r="A265" s="32"/>
      <c r="B265" s="44" t="s">
        <v>63</v>
      </c>
      <c r="C265" s="44" t="s">
        <v>64</v>
      </c>
      <c r="D265" s="44" t="s">
        <v>65</v>
      </c>
      <c r="E265" s="44" t="s">
        <v>66</v>
      </c>
      <c r="G265" s="44" t="s">
        <v>63</v>
      </c>
      <c r="H265" s="44" t="s">
        <v>64</v>
      </c>
      <c r="I265" s="44" t="s">
        <v>65</v>
      </c>
      <c r="J265" s="44" t="s">
        <v>66</v>
      </c>
      <c r="L265" s="44" t="s">
        <v>63</v>
      </c>
      <c r="M265" s="44" t="s">
        <v>64</v>
      </c>
      <c r="N265" s="44" t="s">
        <v>65</v>
      </c>
      <c r="O265" s="44" t="s">
        <v>66</v>
      </c>
    </row>
    <row r="266" ht="15.75" customHeight="1">
      <c r="A266" s="114" t="s">
        <v>203</v>
      </c>
      <c r="B266" s="114"/>
      <c r="C266" s="114"/>
      <c r="D266" s="114"/>
      <c r="E266" s="114"/>
      <c r="G266" s="114"/>
      <c r="H266" s="114"/>
      <c r="I266" s="114"/>
      <c r="J266" s="114"/>
      <c r="L266" s="114"/>
      <c r="M266" s="114"/>
      <c r="N266" s="114"/>
      <c r="O266" s="114"/>
    </row>
    <row r="267" ht="15.75" customHeight="1">
      <c r="A267" s="47" t="s">
        <v>68</v>
      </c>
      <c r="B267" s="54">
        <v>8.95</v>
      </c>
      <c r="C267" s="119">
        <v>1.61</v>
      </c>
      <c r="D267" s="134">
        <v>10.5</v>
      </c>
      <c r="E267" s="120">
        <v>15.5</v>
      </c>
      <c r="G267" s="135">
        <v>8.61</v>
      </c>
      <c r="H267" s="54">
        <v>1.71</v>
      </c>
      <c r="I267" s="135">
        <v>9.62</v>
      </c>
      <c r="J267" s="120">
        <v>15.2</v>
      </c>
      <c r="L267" s="54">
        <v>8.73</v>
      </c>
      <c r="M267" s="54">
        <v>1.54</v>
      </c>
      <c r="N267" s="53">
        <v>12.3</v>
      </c>
      <c r="O267" s="53">
        <v>13.8</v>
      </c>
    </row>
    <row r="268" ht="15.75" customHeight="1">
      <c r="A268" s="47" t="s">
        <v>73</v>
      </c>
      <c r="B268" s="53">
        <v>30.2</v>
      </c>
      <c r="C268" s="135">
        <v>1.61</v>
      </c>
      <c r="D268" s="136">
        <v>3.74</v>
      </c>
      <c r="E268" s="53">
        <v>19.6</v>
      </c>
      <c r="G268" s="137">
        <v>28.6</v>
      </c>
      <c r="H268" s="138">
        <v>1.71</v>
      </c>
      <c r="I268" s="139">
        <v>4.26</v>
      </c>
      <c r="J268" s="53">
        <v>23.4</v>
      </c>
      <c r="L268" s="53">
        <v>29.4</v>
      </c>
      <c r="M268" s="54">
        <v>2.01</v>
      </c>
      <c r="N268" s="116">
        <v>4.36</v>
      </c>
      <c r="O268" s="53">
        <v>18.5</v>
      </c>
    </row>
    <row r="269" ht="15.75" customHeight="1">
      <c r="A269" s="47" t="s">
        <v>76</v>
      </c>
      <c r="B269" s="136">
        <v>5.69</v>
      </c>
      <c r="C269" s="140">
        <v>0.552</v>
      </c>
      <c r="D269" s="138">
        <v>5.4</v>
      </c>
      <c r="E269" s="121">
        <v>9.64</v>
      </c>
      <c r="G269" s="116">
        <v>6.32</v>
      </c>
      <c r="H269" s="141">
        <v>0.281</v>
      </c>
      <c r="I269" s="135">
        <v>4.96</v>
      </c>
      <c r="J269" s="117">
        <v>13.5</v>
      </c>
      <c r="L269" s="142">
        <v>6.21</v>
      </c>
      <c r="M269" s="143">
        <v>0.731</v>
      </c>
      <c r="N269" s="54">
        <v>5.69</v>
      </c>
      <c r="O269" s="116">
        <v>8.74</v>
      </c>
    </row>
    <row r="270" ht="15.75" customHeight="1">
      <c r="A270" s="114" t="s">
        <v>210</v>
      </c>
      <c r="B270" s="95"/>
      <c r="C270" s="95"/>
      <c r="D270" s="95"/>
      <c r="E270" s="95"/>
      <c r="G270" s="95"/>
      <c r="H270" s="95"/>
      <c r="I270" s="95"/>
      <c r="J270" s="95"/>
      <c r="L270" s="45"/>
      <c r="M270" s="114"/>
      <c r="N270" s="114"/>
      <c r="O270" s="114"/>
    </row>
    <row r="271" ht="15.75" customHeight="1">
      <c r="A271" s="47" t="s">
        <v>68</v>
      </c>
      <c r="B271" s="134">
        <v>63.6</v>
      </c>
      <c r="C271" s="135">
        <v>6.74</v>
      </c>
      <c r="D271" s="144">
        <v>27.6</v>
      </c>
      <c r="E271" s="134">
        <v>42.5</v>
      </c>
      <c r="G271" s="137">
        <v>62.6</v>
      </c>
      <c r="H271" s="138">
        <v>6.83</v>
      </c>
      <c r="I271" s="145">
        <v>27.1</v>
      </c>
      <c r="J271" s="137">
        <v>41.6</v>
      </c>
      <c r="L271" s="53">
        <v>63.9</v>
      </c>
      <c r="M271" s="54">
        <v>7.03</v>
      </c>
      <c r="N271" s="117">
        <v>28.3</v>
      </c>
      <c r="O271" s="53">
        <v>43.2</v>
      </c>
    </row>
    <row r="272" ht="15.75" customHeight="1">
      <c r="A272" s="47" t="s">
        <v>73</v>
      </c>
      <c r="B272" s="117">
        <v>45.7</v>
      </c>
      <c r="C272" s="138">
        <v>7.16</v>
      </c>
      <c r="D272" s="53">
        <v>44.2</v>
      </c>
      <c r="E272" s="117">
        <v>26.3</v>
      </c>
      <c r="G272" s="145">
        <v>45.3</v>
      </c>
      <c r="H272" s="135">
        <v>7.02</v>
      </c>
      <c r="I272" s="120">
        <v>44.0</v>
      </c>
      <c r="J272" s="115">
        <v>25.4</v>
      </c>
      <c r="L272" s="117">
        <v>45.7</v>
      </c>
      <c r="M272" s="54">
        <v>7.21</v>
      </c>
      <c r="N272" s="53">
        <v>43.8</v>
      </c>
      <c r="O272" s="117">
        <v>25.3</v>
      </c>
    </row>
    <row r="273" ht="15.75" customHeight="1">
      <c r="A273" s="47" t="s">
        <v>76</v>
      </c>
      <c r="B273" s="120">
        <v>57.2</v>
      </c>
      <c r="C273" s="136">
        <v>6.08</v>
      </c>
      <c r="D273" s="53">
        <v>38.0</v>
      </c>
      <c r="E273" s="134">
        <v>57.5</v>
      </c>
      <c r="G273" s="53">
        <v>59.1</v>
      </c>
      <c r="H273" s="139">
        <v>6.18</v>
      </c>
      <c r="I273" s="120">
        <v>37.3</v>
      </c>
      <c r="J273" s="137">
        <v>49.2</v>
      </c>
      <c r="L273" s="129">
        <v>56.9</v>
      </c>
      <c r="M273" s="142">
        <v>6.3</v>
      </c>
      <c r="N273" s="129">
        <v>35.0</v>
      </c>
      <c r="O273" s="129">
        <v>60.5</v>
      </c>
    </row>
    <row r="274" ht="15.75" customHeight="1">
      <c r="A274" s="114" t="s">
        <v>213</v>
      </c>
      <c r="B274" s="95"/>
      <c r="C274" s="95"/>
      <c r="D274" s="95"/>
      <c r="E274" s="95"/>
      <c r="G274" s="95"/>
      <c r="H274" s="95"/>
      <c r="I274" s="95"/>
      <c r="J274" s="95"/>
      <c r="L274" s="44"/>
      <c r="M274" s="44"/>
      <c r="N274" s="44"/>
      <c r="O274" s="44"/>
    </row>
    <row r="275" ht="15.75" customHeight="1">
      <c r="A275" s="47" t="s">
        <v>68</v>
      </c>
      <c r="B275" s="134">
        <v>24.0</v>
      </c>
      <c r="C275" s="120">
        <v>90.8</v>
      </c>
      <c r="D275" s="120">
        <v>47.7</v>
      </c>
      <c r="E275" s="134">
        <v>33.0</v>
      </c>
      <c r="G275" s="120">
        <v>24.2</v>
      </c>
      <c r="H275" s="134">
        <v>90.7</v>
      </c>
      <c r="I275" s="53">
        <v>48.5</v>
      </c>
      <c r="J275" s="137">
        <v>33.5</v>
      </c>
      <c r="L275" s="53">
        <v>24.1</v>
      </c>
      <c r="M275" s="53">
        <v>90.8</v>
      </c>
      <c r="N275" s="53">
        <v>46.1</v>
      </c>
      <c r="O275" s="53">
        <v>34.7</v>
      </c>
    </row>
    <row r="276" ht="15.75" customHeight="1">
      <c r="A276" s="47" t="s">
        <v>73</v>
      </c>
      <c r="B276" s="134">
        <v>21.6</v>
      </c>
      <c r="C276" s="53">
        <v>90.7</v>
      </c>
      <c r="D276" s="120">
        <v>43.9</v>
      </c>
      <c r="E276" s="145">
        <v>49.0</v>
      </c>
      <c r="G276" s="120">
        <v>23.0</v>
      </c>
      <c r="H276" s="120">
        <v>90.7</v>
      </c>
      <c r="I276" s="53">
        <v>43.4</v>
      </c>
      <c r="J276" s="144">
        <v>45.7</v>
      </c>
      <c r="L276" s="53">
        <v>22.2</v>
      </c>
      <c r="M276" s="53">
        <v>90.1</v>
      </c>
      <c r="N276" s="53">
        <v>43.2</v>
      </c>
      <c r="O276" s="117">
        <v>50.3</v>
      </c>
    </row>
    <row r="277" ht="15.75" customHeight="1">
      <c r="A277" s="47" t="s">
        <v>76</v>
      </c>
      <c r="B277" s="145">
        <v>28.5</v>
      </c>
      <c r="C277" s="117">
        <v>92.1</v>
      </c>
      <c r="D277" s="144">
        <v>48.4</v>
      </c>
      <c r="E277" s="120">
        <v>21.8</v>
      </c>
      <c r="G277" s="144">
        <v>28.3</v>
      </c>
      <c r="H277" s="115">
        <v>92.7</v>
      </c>
      <c r="I277" s="145">
        <v>50.2</v>
      </c>
      <c r="J277" s="134">
        <v>19.8</v>
      </c>
      <c r="L277" s="131">
        <v>28.9</v>
      </c>
      <c r="M277" s="131">
        <v>91.7</v>
      </c>
      <c r="N277" s="131">
        <v>50.9</v>
      </c>
      <c r="O277" s="129">
        <v>21.6</v>
      </c>
    </row>
    <row r="278" ht="15.75" customHeight="1">
      <c r="A278" s="114" t="s">
        <v>221</v>
      </c>
      <c r="B278" s="95"/>
      <c r="C278" s="95"/>
      <c r="D278" s="95"/>
      <c r="E278" s="95"/>
      <c r="G278" s="95"/>
      <c r="H278" s="95"/>
      <c r="I278" s="95"/>
      <c r="J278" s="95"/>
      <c r="L278" s="44"/>
      <c r="M278" s="44"/>
      <c r="N278" s="44"/>
      <c r="O278" s="44"/>
    </row>
    <row r="279" ht="15.75" customHeight="1">
      <c r="A279" s="47" t="s">
        <v>68</v>
      </c>
      <c r="B279" s="54">
        <v>3.55</v>
      </c>
      <c r="C279" s="122">
        <v>0.805</v>
      </c>
      <c r="D279" s="117">
        <v>14.2</v>
      </c>
      <c r="E279" s="54">
        <v>9.02</v>
      </c>
      <c r="G279" s="119">
        <v>4.6</v>
      </c>
      <c r="H279" s="118">
        <v>0.804</v>
      </c>
      <c r="I279" s="115">
        <v>14.7</v>
      </c>
      <c r="J279" s="119">
        <v>9.64</v>
      </c>
      <c r="L279" s="54">
        <v>3.28</v>
      </c>
      <c r="M279" s="118">
        <v>0.602</v>
      </c>
      <c r="N279" s="117">
        <v>13.3</v>
      </c>
      <c r="O279" s="54">
        <v>8.33</v>
      </c>
    </row>
    <row r="280" ht="15.75" customHeight="1">
      <c r="A280" s="47" t="s">
        <v>73</v>
      </c>
      <c r="B280" s="138">
        <v>2.51</v>
      </c>
      <c r="C280" s="146">
        <v>0.505</v>
      </c>
      <c r="D280" s="138">
        <v>8.14</v>
      </c>
      <c r="E280" s="138">
        <v>5.15</v>
      </c>
      <c r="G280" s="119">
        <v>3.02</v>
      </c>
      <c r="H280" s="147">
        <v>0.602</v>
      </c>
      <c r="I280" s="135">
        <v>8.38</v>
      </c>
      <c r="J280" s="135">
        <v>5.58</v>
      </c>
      <c r="L280" s="54">
        <v>2.65</v>
      </c>
      <c r="M280" s="118">
        <v>0.637</v>
      </c>
      <c r="N280" s="54">
        <v>8.66</v>
      </c>
      <c r="O280" s="54">
        <v>5.78</v>
      </c>
    </row>
    <row r="281" ht="15.75" customHeight="1">
      <c r="A281" s="47" t="s">
        <v>76</v>
      </c>
      <c r="B281" s="121">
        <v>8.62</v>
      </c>
      <c r="C281" s="121">
        <v>1.24</v>
      </c>
      <c r="D281" s="135">
        <v>8.16</v>
      </c>
      <c r="E281" s="117">
        <v>11.1</v>
      </c>
      <c r="G281" s="139">
        <v>6.32</v>
      </c>
      <c r="H281" s="140">
        <v>0.843</v>
      </c>
      <c r="I281" s="138">
        <v>7.54</v>
      </c>
      <c r="J281" s="115">
        <v>17.5</v>
      </c>
      <c r="L281" s="116">
        <v>8.02</v>
      </c>
      <c r="M281" s="116">
        <v>1.23</v>
      </c>
      <c r="N281" s="54">
        <v>8.37</v>
      </c>
      <c r="O281" s="116">
        <v>9.2</v>
      </c>
    </row>
    <row r="282" ht="15.75" customHeight="1">
      <c r="L282" s="114"/>
      <c r="M282" s="114"/>
      <c r="N282" s="114"/>
      <c r="O282" s="114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W223:Z223"/>
    <mergeCell ref="AB223:AE223"/>
    <mergeCell ref="Q235:Q236"/>
    <mergeCell ref="R235:U235"/>
    <mergeCell ref="W235:W236"/>
    <mergeCell ref="X235:AA235"/>
    <mergeCell ref="A217:A219"/>
    <mergeCell ref="B217:E218"/>
    <mergeCell ref="G217:J218"/>
    <mergeCell ref="L217:O218"/>
    <mergeCell ref="F218:F219"/>
    <mergeCell ref="Q223:Q224"/>
    <mergeCell ref="R223:U223"/>
    <mergeCell ref="W153:Z153"/>
    <mergeCell ref="AB153:AE153"/>
    <mergeCell ref="A150:A151"/>
    <mergeCell ref="B150:E150"/>
    <mergeCell ref="G150:J150"/>
    <mergeCell ref="L150:O150"/>
    <mergeCell ref="Q153:Q154"/>
    <mergeCell ref="R153:U153"/>
    <mergeCell ref="V153:V154"/>
    <mergeCell ref="R177:U177"/>
    <mergeCell ref="W177:Z177"/>
    <mergeCell ref="AB177:AE177"/>
    <mergeCell ref="A173:A175"/>
    <mergeCell ref="B173:E174"/>
    <mergeCell ref="G173:J174"/>
    <mergeCell ref="L173:O174"/>
    <mergeCell ref="F174:F175"/>
    <mergeCell ref="Q177:Q178"/>
    <mergeCell ref="V177:V178"/>
    <mergeCell ref="R201:U201"/>
    <mergeCell ref="W201:Z201"/>
    <mergeCell ref="AB201:AE201"/>
    <mergeCell ref="Q209:Q210"/>
    <mergeCell ref="R209:U209"/>
    <mergeCell ref="W209:Z209"/>
    <mergeCell ref="AB209:AE209"/>
    <mergeCell ref="A194:A195"/>
    <mergeCell ref="B194:E194"/>
    <mergeCell ref="F194:F195"/>
    <mergeCell ref="G194:J194"/>
    <mergeCell ref="L194:O194"/>
    <mergeCell ref="Q201:Q202"/>
    <mergeCell ref="V201:V202"/>
    <mergeCell ref="A243:A244"/>
    <mergeCell ref="B243:E243"/>
    <mergeCell ref="A264:A265"/>
    <mergeCell ref="B264:E264"/>
    <mergeCell ref="G264:J264"/>
    <mergeCell ref="L264:O26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0.0"/>
    <col customWidth="1" min="3" max="3" width="8.0"/>
    <col customWidth="1" min="4" max="4" width="12.0"/>
    <col customWidth="1" min="5" max="5" width="29.0"/>
    <col customWidth="1" min="6" max="6" width="12.0"/>
    <col customWidth="1" min="7" max="7" width="18.0"/>
    <col customWidth="1" min="8" max="8" width="15.0"/>
    <col customWidth="1" min="9" max="9" width="20.0"/>
    <col customWidth="1" min="10" max="10" width="18.0"/>
    <col customWidth="1" min="11" max="11" width="20.0"/>
    <col customWidth="1" min="12" max="12" width="15.0"/>
    <col customWidth="1" min="13" max="13" width="20.0"/>
    <col customWidth="1" min="14" max="14" width="17.0"/>
    <col customWidth="1" min="15" max="15" width="20.0"/>
    <col customWidth="1" min="16" max="16" width="11.0"/>
    <col customWidth="1" min="17" max="17" width="17.0"/>
    <col customWidth="1" min="18" max="19" width="20.0"/>
    <col customWidth="1" min="20" max="21" width="16.57"/>
    <col customWidth="1" min="22" max="49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40</v>
      </c>
      <c r="B2" s="3" t="s">
        <v>21</v>
      </c>
      <c r="C2" s="3" t="s">
        <v>22</v>
      </c>
      <c r="D2" s="3" t="s">
        <v>23</v>
      </c>
      <c r="E2" s="3" t="s">
        <v>41</v>
      </c>
      <c r="F2" s="3">
        <v>3.0</v>
      </c>
      <c r="G2" s="3" t="s">
        <v>25</v>
      </c>
      <c r="H2" s="3">
        <v>261.0</v>
      </c>
      <c r="I2" s="3">
        <v>234.0</v>
      </c>
      <c r="J2" s="3">
        <v>486.0</v>
      </c>
      <c r="K2" s="3">
        <v>0.0</v>
      </c>
      <c r="L2" s="3">
        <v>98.0</v>
      </c>
      <c r="M2" s="3">
        <v>0.0</v>
      </c>
      <c r="N2" s="3">
        <v>1912.0</v>
      </c>
      <c r="O2" s="3">
        <v>0.0</v>
      </c>
      <c r="P2" s="3">
        <v>997.0</v>
      </c>
      <c r="Q2" s="3">
        <v>0.0</v>
      </c>
      <c r="R2" s="3">
        <v>0.0</v>
      </c>
      <c r="S2" s="3">
        <v>0.0</v>
      </c>
      <c r="T2" s="3">
        <v>0.0</v>
      </c>
      <c r="U2" s="3"/>
      <c r="V2" s="3">
        <f>(N2+L2)*2/3</f>
        <v>1340</v>
      </c>
    </row>
    <row r="3">
      <c r="A3" s="2" t="s">
        <v>40</v>
      </c>
      <c r="B3" s="2" t="s">
        <v>21</v>
      </c>
      <c r="C3" s="2" t="s">
        <v>22</v>
      </c>
      <c r="D3" s="2" t="s">
        <v>23</v>
      </c>
      <c r="E3" s="2" t="s">
        <v>44</v>
      </c>
      <c r="F3" s="2">
        <v>3.0</v>
      </c>
      <c r="G3" s="2" t="s">
        <v>45</v>
      </c>
      <c r="H3" s="2">
        <v>274.0</v>
      </c>
      <c r="I3" s="2">
        <v>340.0</v>
      </c>
      <c r="J3" s="2">
        <v>36.0</v>
      </c>
      <c r="K3" s="2">
        <v>0.0</v>
      </c>
      <c r="L3" s="2">
        <v>338.0</v>
      </c>
      <c r="M3" s="2">
        <v>0.0</v>
      </c>
      <c r="N3" s="2">
        <v>1002.0</v>
      </c>
      <c r="O3" s="2">
        <v>0.0</v>
      </c>
      <c r="P3" s="2">
        <v>995.0</v>
      </c>
      <c r="Q3" s="2">
        <v>0.0</v>
      </c>
      <c r="R3" s="2">
        <v>0.0</v>
      </c>
      <c r="S3" s="2">
        <v>0.0</v>
      </c>
      <c r="T3" s="2">
        <v>0.0</v>
      </c>
      <c r="V3" s="2">
        <f t="shared" ref="V3:V5" si="1">(N3+L3)</f>
        <v>1340</v>
      </c>
      <c r="W3" s="4">
        <f t="shared" ref="W3:W5" si="2">(V$2-V3)/V$2</f>
        <v>0</v>
      </c>
    </row>
    <row r="4">
      <c r="A4" s="2" t="s">
        <v>40</v>
      </c>
      <c r="B4" s="2" t="s">
        <v>21</v>
      </c>
      <c r="C4" s="2" t="s">
        <v>22</v>
      </c>
      <c r="D4" s="2" t="s">
        <v>23</v>
      </c>
      <c r="E4" s="2" t="s">
        <v>46</v>
      </c>
      <c r="F4" s="2">
        <v>3.0</v>
      </c>
      <c r="G4" s="2" t="s">
        <v>47</v>
      </c>
      <c r="H4" s="2">
        <v>255.0</v>
      </c>
      <c r="I4" s="2">
        <v>371.0</v>
      </c>
      <c r="J4" s="2">
        <v>26.0</v>
      </c>
      <c r="K4" s="2">
        <v>0.0</v>
      </c>
      <c r="L4" s="2">
        <v>312.0</v>
      </c>
      <c r="M4" s="2">
        <v>0.0</v>
      </c>
      <c r="N4" s="2">
        <v>1020.0</v>
      </c>
      <c r="O4" s="2">
        <v>0.0</v>
      </c>
      <c r="P4" s="2">
        <v>992.0</v>
      </c>
      <c r="Q4" s="2">
        <v>0.0</v>
      </c>
      <c r="R4" s="2">
        <v>0.0</v>
      </c>
      <c r="S4" s="2">
        <v>0.0</v>
      </c>
      <c r="T4" s="2">
        <v>0.0</v>
      </c>
      <c r="V4" s="2">
        <f t="shared" si="1"/>
        <v>1332</v>
      </c>
      <c r="W4" s="4">
        <f t="shared" si="2"/>
        <v>0.005970149254</v>
      </c>
    </row>
    <row r="5">
      <c r="A5" s="2" t="s">
        <v>40</v>
      </c>
      <c r="B5" s="2" t="s">
        <v>21</v>
      </c>
      <c r="C5" s="2" t="s">
        <v>22</v>
      </c>
      <c r="D5" s="2" t="s">
        <v>23</v>
      </c>
      <c r="E5" s="2" t="s">
        <v>50</v>
      </c>
      <c r="F5" s="2">
        <v>3.0</v>
      </c>
      <c r="G5" s="2" t="s">
        <v>51</v>
      </c>
      <c r="H5" s="2">
        <v>250.0</v>
      </c>
      <c r="I5" s="2">
        <v>378.0</v>
      </c>
      <c r="J5" s="2">
        <v>22.0</v>
      </c>
      <c r="K5" s="2">
        <v>0.0</v>
      </c>
      <c r="L5" s="2">
        <v>333.0</v>
      </c>
      <c r="M5" s="2">
        <v>0.0</v>
      </c>
      <c r="N5" s="2">
        <v>993.0</v>
      </c>
      <c r="O5" s="2">
        <v>0.0</v>
      </c>
      <c r="P5" s="2">
        <v>988.0</v>
      </c>
      <c r="Q5" s="2">
        <v>0.0</v>
      </c>
      <c r="R5" s="2">
        <v>0.0</v>
      </c>
      <c r="S5" s="2">
        <v>0.0</v>
      </c>
      <c r="T5" s="2">
        <v>0.0</v>
      </c>
      <c r="V5" s="2">
        <f t="shared" si="1"/>
        <v>1326</v>
      </c>
      <c r="W5" s="4">
        <f t="shared" si="2"/>
        <v>0.01044776119</v>
      </c>
    </row>
    <row r="6">
      <c r="A6" s="3" t="s">
        <v>52</v>
      </c>
      <c r="B6" s="3" t="s">
        <v>21</v>
      </c>
      <c r="C6" s="3" t="s">
        <v>22</v>
      </c>
      <c r="D6" s="3" t="s">
        <v>23</v>
      </c>
      <c r="E6" s="3" t="s">
        <v>53</v>
      </c>
      <c r="F6" s="3">
        <v>3.0</v>
      </c>
      <c r="G6" s="3" t="s">
        <v>25</v>
      </c>
      <c r="H6" s="3">
        <v>46.0</v>
      </c>
      <c r="I6" s="3">
        <v>1505.0</v>
      </c>
      <c r="J6" s="3">
        <v>1209.0</v>
      </c>
      <c r="K6" s="3">
        <v>0.0</v>
      </c>
      <c r="L6" s="3">
        <v>18.0</v>
      </c>
      <c r="M6" s="3">
        <v>0.0</v>
      </c>
      <c r="N6" s="3">
        <v>210.0</v>
      </c>
      <c r="O6" s="3">
        <v>0.0</v>
      </c>
      <c r="P6" s="3">
        <v>996.0</v>
      </c>
      <c r="Q6" s="3">
        <v>0.0</v>
      </c>
      <c r="R6" s="3">
        <v>0.0</v>
      </c>
      <c r="S6" s="3">
        <v>0.0</v>
      </c>
      <c r="T6" s="3">
        <v>0.0</v>
      </c>
      <c r="U6" s="3"/>
      <c r="V6" s="3">
        <f>(N6+L6)*2/3</f>
        <v>152</v>
      </c>
    </row>
    <row r="7">
      <c r="A7" s="2" t="s">
        <v>52</v>
      </c>
      <c r="B7" s="2" t="s">
        <v>21</v>
      </c>
      <c r="C7" s="2" t="s">
        <v>22</v>
      </c>
      <c r="D7" s="2" t="s">
        <v>23</v>
      </c>
      <c r="E7" s="2" t="s">
        <v>55</v>
      </c>
      <c r="F7" s="2">
        <v>3.0</v>
      </c>
      <c r="G7" s="2" t="s">
        <v>45</v>
      </c>
      <c r="H7" s="2">
        <v>381.0</v>
      </c>
      <c r="I7" s="2">
        <v>1409.0</v>
      </c>
      <c r="J7" s="2">
        <v>42.0</v>
      </c>
      <c r="K7" s="2">
        <v>0.0</v>
      </c>
      <c r="L7" s="2">
        <v>59.0</v>
      </c>
      <c r="M7" s="2">
        <v>0.0</v>
      </c>
      <c r="N7" s="2">
        <v>87.0</v>
      </c>
      <c r="O7" s="2">
        <v>0.0</v>
      </c>
      <c r="P7" s="2">
        <v>989.0</v>
      </c>
      <c r="Q7" s="2">
        <v>0.0</v>
      </c>
      <c r="R7" s="2">
        <v>0.0</v>
      </c>
      <c r="S7" s="2">
        <v>0.0</v>
      </c>
      <c r="T7" s="2">
        <v>0.0</v>
      </c>
      <c r="V7" s="2">
        <f t="shared" ref="V7:V9" si="3">(N7+L7)</f>
        <v>146</v>
      </c>
      <c r="W7" s="4">
        <f t="shared" ref="W7:W9" si="4">(V$6-V7)/V$6</f>
        <v>0.03947368421</v>
      </c>
    </row>
    <row r="8">
      <c r="A8" s="2" t="s">
        <v>52</v>
      </c>
      <c r="B8" s="2" t="s">
        <v>21</v>
      </c>
      <c r="C8" s="2" t="s">
        <v>22</v>
      </c>
      <c r="D8" s="2" t="s">
        <v>23</v>
      </c>
      <c r="E8" s="2" t="s">
        <v>56</v>
      </c>
      <c r="F8" s="2">
        <v>3.0</v>
      </c>
      <c r="G8" s="2" t="s">
        <v>47</v>
      </c>
      <c r="H8" s="2">
        <v>332.0</v>
      </c>
      <c r="I8" s="2">
        <v>1424.0</v>
      </c>
      <c r="J8" s="2">
        <v>72.0</v>
      </c>
      <c r="K8" s="2">
        <v>0.0</v>
      </c>
      <c r="L8" s="2">
        <v>42.0</v>
      </c>
      <c r="M8" s="2">
        <v>0.0</v>
      </c>
      <c r="N8" s="2">
        <v>106.0</v>
      </c>
      <c r="O8" s="2">
        <v>0.0</v>
      </c>
      <c r="P8" s="2">
        <v>988.0</v>
      </c>
      <c r="Q8" s="2">
        <v>0.0</v>
      </c>
      <c r="R8" s="2">
        <v>0.0</v>
      </c>
      <c r="S8" s="2">
        <v>0.0</v>
      </c>
      <c r="T8" s="2">
        <v>0.0</v>
      </c>
      <c r="V8" s="2">
        <f t="shared" si="3"/>
        <v>148</v>
      </c>
      <c r="W8" s="4">
        <f t="shared" si="4"/>
        <v>0.02631578947</v>
      </c>
    </row>
    <row r="9">
      <c r="A9" s="2" t="s">
        <v>52</v>
      </c>
      <c r="B9" s="2" t="s">
        <v>21</v>
      </c>
      <c r="C9" s="2" t="s">
        <v>22</v>
      </c>
      <c r="D9" s="2" t="s">
        <v>23</v>
      </c>
      <c r="E9" s="2" t="s">
        <v>57</v>
      </c>
      <c r="F9" s="2">
        <v>3.0</v>
      </c>
      <c r="G9" s="2" t="s">
        <v>51</v>
      </c>
      <c r="H9" s="2">
        <v>427.0</v>
      </c>
      <c r="I9" s="2">
        <v>1353.0</v>
      </c>
      <c r="J9" s="2">
        <v>46.0</v>
      </c>
      <c r="K9" s="2">
        <v>0.0</v>
      </c>
      <c r="L9" s="2">
        <v>36.0</v>
      </c>
      <c r="M9" s="2">
        <v>0.0</v>
      </c>
      <c r="N9" s="2">
        <v>116.0</v>
      </c>
      <c r="O9" s="2">
        <v>0.0</v>
      </c>
      <c r="P9" s="2">
        <v>989.0</v>
      </c>
      <c r="Q9" s="2">
        <v>0.0</v>
      </c>
      <c r="R9" s="2">
        <v>0.0</v>
      </c>
      <c r="S9" s="2">
        <v>0.0</v>
      </c>
      <c r="T9" s="2">
        <v>0.0</v>
      </c>
      <c r="V9" s="2">
        <f t="shared" si="3"/>
        <v>152</v>
      </c>
      <c r="W9" s="4">
        <f t="shared" si="4"/>
        <v>0</v>
      </c>
    </row>
    <row r="10">
      <c r="A10" s="3" t="s">
        <v>59</v>
      </c>
      <c r="B10" s="3" t="s">
        <v>21</v>
      </c>
      <c r="C10" s="3" t="s">
        <v>22</v>
      </c>
      <c r="D10" s="3" t="s">
        <v>23</v>
      </c>
      <c r="E10" s="3" t="s">
        <v>60</v>
      </c>
      <c r="F10" s="3">
        <v>3.0</v>
      </c>
      <c r="G10" s="3" t="s">
        <v>25</v>
      </c>
      <c r="H10" s="3">
        <v>253.0</v>
      </c>
      <c r="I10" s="3">
        <v>365.0</v>
      </c>
      <c r="J10" s="3">
        <v>582.0</v>
      </c>
      <c r="K10" s="3">
        <v>0.0</v>
      </c>
      <c r="L10" s="3">
        <v>273.0</v>
      </c>
      <c r="M10" s="3">
        <v>0.0</v>
      </c>
      <c r="N10" s="3">
        <v>582.0</v>
      </c>
      <c r="O10" s="3">
        <v>0.0</v>
      </c>
      <c r="P10" s="3">
        <v>685.0</v>
      </c>
      <c r="Q10" s="3">
        <v>0.0</v>
      </c>
      <c r="R10" s="3">
        <v>0.0</v>
      </c>
      <c r="S10" s="3">
        <v>0.0</v>
      </c>
      <c r="T10" s="3">
        <v>0.0</v>
      </c>
      <c r="U10" s="3"/>
      <c r="V10" s="3">
        <f>(N10+L10)*2/3</f>
        <v>570</v>
      </c>
    </row>
    <row r="11">
      <c r="A11" s="2" t="s">
        <v>59</v>
      </c>
      <c r="B11" s="2" t="s">
        <v>21</v>
      </c>
      <c r="C11" s="2" t="s">
        <v>22</v>
      </c>
      <c r="D11" s="2" t="s">
        <v>23</v>
      </c>
      <c r="E11" s="2" t="s">
        <v>61</v>
      </c>
      <c r="F11" s="2">
        <v>3.0</v>
      </c>
      <c r="G11" s="2" t="s">
        <v>45</v>
      </c>
      <c r="H11" s="2">
        <v>403.0</v>
      </c>
      <c r="I11" s="2">
        <v>335.0</v>
      </c>
      <c r="J11" s="2">
        <v>48.0</v>
      </c>
      <c r="K11" s="2">
        <v>0.0</v>
      </c>
      <c r="L11" s="2">
        <v>176.0</v>
      </c>
      <c r="M11" s="2">
        <v>0.0</v>
      </c>
      <c r="N11" s="2">
        <v>384.0</v>
      </c>
      <c r="O11" s="2">
        <v>0.0</v>
      </c>
      <c r="P11" s="2">
        <v>673.0</v>
      </c>
      <c r="Q11" s="2">
        <v>0.0</v>
      </c>
      <c r="R11" s="2">
        <v>0.0</v>
      </c>
      <c r="S11" s="2">
        <v>0.0</v>
      </c>
      <c r="T11" s="2">
        <v>0.0</v>
      </c>
      <c r="V11" s="2">
        <f t="shared" ref="V11:V13" si="5">(N11+L11)</f>
        <v>560</v>
      </c>
      <c r="W11" s="4">
        <f t="shared" ref="W11:W13" si="6">(V$10-V11)/V$10</f>
        <v>0.01754385965</v>
      </c>
    </row>
    <row r="12">
      <c r="A12" s="2" t="s">
        <v>59</v>
      </c>
      <c r="B12" s="2" t="s">
        <v>21</v>
      </c>
      <c r="C12" s="2" t="s">
        <v>22</v>
      </c>
      <c r="D12" s="2" t="s">
        <v>23</v>
      </c>
      <c r="E12" s="2" t="s">
        <v>62</v>
      </c>
      <c r="F12" s="2">
        <v>3.0</v>
      </c>
      <c r="G12" s="2" t="s">
        <v>47</v>
      </c>
      <c r="H12" s="2">
        <v>354.0</v>
      </c>
      <c r="I12" s="2">
        <v>382.0</v>
      </c>
      <c r="J12" s="2">
        <v>48.0</v>
      </c>
      <c r="K12" s="2">
        <v>0.0</v>
      </c>
      <c r="L12" s="2">
        <v>162.0</v>
      </c>
      <c r="M12" s="2">
        <v>0.0</v>
      </c>
      <c r="N12" s="2">
        <v>406.0</v>
      </c>
      <c r="O12" s="2">
        <v>0.0</v>
      </c>
      <c r="P12" s="2">
        <v>676.0</v>
      </c>
      <c r="Q12" s="2">
        <v>0.0</v>
      </c>
      <c r="R12" s="2">
        <v>0.0</v>
      </c>
      <c r="S12" s="2">
        <v>0.0</v>
      </c>
      <c r="T12" s="2">
        <v>0.0</v>
      </c>
      <c r="V12" s="2">
        <f t="shared" si="5"/>
        <v>568</v>
      </c>
      <c r="W12" s="4">
        <f t="shared" si="6"/>
        <v>0.00350877193</v>
      </c>
    </row>
    <row r="13">
      <c r="A13" s="2" t="s">
        <v>59</v>
      </c>
      <c r="B13" s="2" t="s">
        <v>21</v>
      </c>
      <c r="C13" s="2" t="s">
        <v>22</v>
      </c>
      <c r="D13" s="2" t="s">
        <v>23</v>
      </c>
      <c r="E13" s="2" t="s">
        <v>67</v>
      </c>
      <c r="F13" s="2">
        <v>3.0</v>
      </c>
      <c r="G13" s="2" t="s">
        <v>51</v>
      </c>
      <c r="H13" s="2">
        <v>405.0</v>
      </c>
      <c r="I13" s="2">
        <v>337.0</v>
      </c>
      <c r="J13" s="2">
        <v>40.0</v>
      </c>
      <c r="K13" s="2">
        <v>0.0</v>
      </c>
      <c r="L13" s="2">
        <v>109.0</v>
      </c>
      <c r="M13" s="2">
        <v>0.0</v>
      </c>
      <c r="N13" s="2">
        <v>459.0</v>
      </c>
      <c r="O13" s="2">
        <v>0.0</v>
      </c>
      <c r="P13" s="2">
        <v>675.0</v>
      </c>
      <c r="Q13" s="2">
        <v>0.0</v>
      </c>
      <c r="R13" s="2">
        <v>0.0</v>
      </c>
      <c r="S13" s="2">
        <v>0.0</v>
      </c>
      <c r="T13" s="2">
        <v>0.0</v>
      </c>
      <c r="V13" s="2">
        <f t="shared" si="5"/>
        <v>568</v>
      </c>
      <c r="W13" s="4">
        <f t="shared" si="6"/>
        <v>0.00350877193</v>
      </c>
    </row>
    <row r="14">
      <c r="A14" s="3" t="s">
        <v>69</v>
      </c>
      <c r="B14" s="3" t="s">
        <v>21</v>
      </c>
      <c r="C14" s="3" t="s">
        <v>22</v>
      </c>
      <c r="D14" s="3" t="s">
        <v>23</v>
      </c>
      <c r="E14" s="3" t="s">
        <v>70</v>
      </c>
      <c r="F14" s="3">
        <v>3.0</v>
      </c>
      <c r="G14" s="3" t="s">
        <v>25</v>
      </c>
      <c r="H14" s="3">
        <v>81.0</v>
      </c>
      <c r="I14" s="3">
        <v>6.0</v>
      </c>
      <c r="J14" s="3">
        <v>198.0</v>
      </c>
      <c r="K14" s="3">
        <v>0.0</v>
      </c>
      <c r="L14" s="3">
        <v>49.0</v>
      </c>
      <c r="M14" s="3">
        <v>0.0</v>
      </c>
      <c r="N14" s="3">
        <v>254.0</v>
      </c>
      <c r="O14" s="3">
        <v>0.0</v>
      </c>
      <c r="P14" s="3">
        <v>196.0</v>
      </c>
      <c r="Q14" s="3">
        <v>0.0</v>
      </c>
      <c r="R14" s="3">
        <v>0.0</v>
      </c>
      <c r="S14" s="3">
        <v>0.0</v>
      </c>
      <c r="T14" s="3">
        <v>0.0</v>
      </c>
      <c r="U14" s="3"/>
      <c r="V14" s="3">
        <f>(N14+L14)*2/3</f>
        <v>202</v>
      </c>
    </row>
    <row r="15">
      <c r="A15" s="2" t="s">
        <v>69</v>
      </c>
      <c r="B15" s="2" t="s">
        <v>21</v>
      </c>
      <c r="C15" s="2" t="s">
        <v>22</v>
      </c>
      <c r="D15" s="2" t="s">
        <v>23</v>
      </c>
      <c r="E15" s="2" t="s">
        <v>71</v>
      </c>
      <c r="F15" s="2">
        <v>3.0</v>
      </c>
      <c r="G15" s="2" t="s">
        <v>45</v>
      </c>
      <c r="H15" s="2">
        <v>78.0</v>
      </c>
      <c r="I15" s="2">
        <v>42.0</v>
      </c>
      <c r="J15" s="2">
        <v>72.0</v>
      </c>
      <c r="K15" s="2">
        <v>0.0</v>
      </c>
      <c r="L15" s="2">
        <v>24.0</v>
      </c>
      <c r="M15" s="2">
        <v>0.0</v>
      </c>
      <c r="N15" s="2">
        <v>178.0</v>
      </c>
      <c r="O15" s="2">
        <v>0.0</v>
      </c>
      <c r="P15" s="2">
        <v>197.0</v>
      </c>
      <c r="Q15" s="2">
        <v>0.0</v>
      </c>
      <c r="R15" s="2">
        <v>0.0</v>
      </c>
      <c r="S15" s="2">
        <v>0.0</v>
      </c>
      <c r="T15" s="2">
        <v>0.0</v>
      </c>
      <c r="V15" s="2">
        <f t="shared" ref="V15:V17" si="7">(N15+L15)</f>
        <v>202</v>
      </c>
      <c r="W15" s="4">
        <f t="shared" ref="W15:W17" si="8">(V$14-V15)/V$14</f>
        <v>0</v>
      </c>
    </row>
    <row r="16">
      <c r="A16" s="2" t="s">
        <v>69</v>
      </c>
      <c r="B16" s="2" t="s">
        <v>21</v>
      </c>
      <c r="C16" s="2" t="s">
        <v>22</v>
      </c>
      <c r="D16" s="2" t="s">
        <v>23</v>
      </c>
      <c r="E16" s="2" t="s">
        <v>72</v>
      </c>
      <c r="F16" s="2">
        <v>3.0</v>
      </c>
      <c r="G16" s="2" t="s">
        <v>47</v>
      </c>
      <c r="H16" s="2">
        <v>53.0</v>
      </c>
      <c r="I16" s="2">
        <v>57.0</v>
      </c>
      <c r="J16" s="2">
        <v>82.0</v>
      </c>
      <c r="K16" s="2">
        <v>0.0</v>
      </c>
      <c r="L16" s="2">
        <v>22.0</v>
      </c>
      <c r="M16" s="2">
        <v>0.0</v>
      </c>
      <c r="N16" s="2">
        <v>178.0</v>
      </c>
      <c r="O16" s="2">
        <v>0.0</v>
      </c>
      <c r="P16" s="2">
        <v>196.0</v>
      </c>
      <c r="Q16" s="2">
        <v>0.0</v>
      </c>
      <c r="R16" s="2">
        <v>0.0</v>
      </c>
      <c r="S16" s="2">
        <v>0.0</v>
      </c>
      <c r="T16" s="2">
        <v>0.0</v>
      </c>
      <c r="V16" s="2">
        <f t="shared" si="7"/>
        <v>200</v>
      </c>
      <c r="W16" s="4">
        <f t="shared" si="8"/>
        <v>0.009900990099</v>
      </c>
    </row>
    <row r="17">
      <c r="A17" s="2" t="s">
        <v>69</v>
      </c>
      <c r="B17" s="2" t="s">
        <v>21</v>
      </c>
      <c r="C17" s="2" t="s">
        <v>22</v>
      </c>
      <c r="D17" s="2" t="s">
        <v>23</v>
      </c>
      <c r="E17" s="2" t="s">
        <v>74</v>
      </c>
      <c r="F17" s="2">
        <v>3.0</v>
      </c>
      <c r="G17" s="2" t="s">
        <v>51</v>
      </c>
      <c r="H17" s="2">
        <v>82.0</v>
      </c>
      <c r="I17" s="2">
        <v>74.0</v>
      </c>
      <c r="J17" s="2">
        <v>36.0</v>
      </c>
      <c r="K17" s="2">
        <v>0.0</v>
      </c>
      <c r="L17" s="2">
        <v>32.0</v>
      </c>
      <c r="M17" s="2">
        <v>0.0</v>
      </c>
      <c r="N17" s="2">
        <v>168.0</v>
      </c>
      <c r="O17" s="2">
        <v>0.0</v>
      </c>
      <c r="P17" s="2">
        <v>196.0</v>
      </c>
      <c r="Q17" s="2">
        <v>0.0</v>
      </c>
      <c r="R17" s="2">
        <v>0.0</v>
      </c>
      <c r="S17" s="2">
        <v>0.0</v>
      </c>
      <c r="T17" s="2">
        <v>0.0</v>
      </c>
      <c r="V17" s="2">
        <f t="shared" si="7"/>
        <v>200</v>
      </c>
      <c r="W17" s="4">
        <f t="shared" si="8"/>
        <v>0.009900990099</v>
      </c>
    </row>
    <row r="18">
      <c r="A18" s="3" t="s">
        <v>75</v>
      </c>
      <c r="B18" s="3" t="s">
        <v>32</v>
      </c>
      <c r="C18" s="3" t="s">
        <v>22</v>
      </c>
      <c r="D18" s="3" t="s">
        <v>23</v>
      </c>
      <c r="E18" s="3" t="s">
        <v>41</v>
      </c>
      <c r="F18" s="3">
        <v>3.0</v>
      </c>
      <c r="G18" s="3" t="s">
        <v>25</v>
      </c>
      <c r="H18" s="3">
        <v>879.0</v>
      </c>
      <c r="I18" s="3">
        <v>483.0</v>
      </c>
      <c r="J18" s="3">
        <v>180.0</v>
      </c>
      <c r="K18" s="3">
        <v>0.0</v>
      </c>
      <c r="L18" s="3">
        <v>79.0</v>
      </c>
      <c r="M18" s="3">
        <v>0.0</v>
      </c>
      <c r="N18" s="3">
        <v>1364.0</v>
      </c>
      <c r="O18" s="3">
        <v>0.0</v>
      </c>
      <c r="P18" s="3">
        <v>995.0</v>
      </c>
      <c r="Q18" s="3">
        <v>0.0</v>
      </c>
      <c r="R18" s="3">
        <v>0.0</v>
      </c>
      <c r="S18" s="3">
        <v>0.0</v>
      </c>
      <c r="T18" s="3">
        <v>0.0</v>
      </c>
      <c r="U18" s="3"/>
      <c r="V18" s="3">
        <f>(N18+L18)*2/3</f>
        <v>962</v>
      </c>
    </row>
    <row r="19">
      <c r="A19" s="2" t="s">
        <v>75</v>
      </c>
      <c r="B19" s="2" t="s">
        <v>32</v>
      </c>
      <c r="C19" s="2" t="s">
        <v>22</v>
      </c>
      <c r="D19" s="2" t="s">
        <v>23</v>
      </c>
      <c r="E19" s="2" t="s">
        <v>44</v>
      </c>
      <c r="F19" s="2">
        <v>3.0</v>
      </c>
      <c r="G19" s="2" t="s">
        <v>45</v>
      </c>
      <c r="H19" s="2">
        <v>660.0</v>
      </c>
      <c r="I19" s="2">
        <v>298.0</v>
      </c>
      <c r="J19" s="2">
        <v>26.0</v>
      </c>
      <c r="K19" s="2">
        <v>0.0</v>
      </c>
      <c r="L19" s="2">
        <v>81.0</v>
      </c>
      <c r="M19" s="2">
        <v>0.0</v>
      </c>
      <c r="N19" s="2">
        <v>857.0</v>
      </c>
      <c r="O19" s="2">
        <v>0.0</v>
      </c>
      <c r="P19" s="2">
        <v>961.0</v>
      </c>
      <c r="Q19" s="2">
        <v>0.0</v>
      </c>
      <c r="R19" s="2">
        <v>0.0</v>
      </c>
      <c r="S19" s="2">
        <v>0.0</v>
      </c>
      <c r="T19" s="2">
        <v>0.0</v>
      </c>
      <c r="V19" s="2">
        <f t="shared" ref="V19:V21" si="9">(N19+L19)</f>
        <v>938</v>
      </c>
      <c r="W19" s="4">
        <f t="shared" ref="W19:W21" si="10">(V$18-V19)/V$18</f>
        <v>0.02494802495</v>
      </c>
    </row>
    <row r="20">
      <c r="A20" s="2" t="s">
        <v>75</v>
      </c>
      <c r="B20" s="2" t="s">
        <v>32</v>
      </c>
      <c r="C20" s="2" t="s">
        <v>22</v>
      </c>
      <c r="D20" s="2" t="s">
        <v>23</v>
      </c>
      <c r="E20" s="2" t="s">
        <v>46</v>
      </c>
      <c r="F20" s="2">
        <v>3.0</v>
      </c>
      <c r="G20" s="2" t="s">
        <v>47</v>
      </c>
      <c r="H20" s="2">
        <v>618.0</v>
      </c>
      <c r="I20" s="2">
        <v>350.0</v>
      </c>
      <c r="J20" s="2">
        <v>26.0</v>
      </c>
      <c r="K20" s="2">
        <v>0.0</v>
      </c>
      <c r="L20" s="2">
        <v>82.0</v>
      </c>
      <c r="M20" s="2">
        <v>0.0</v>
      </c>
      <c r="N20" s="2">
        <v>852.0</v>
      </c>
      <c r="O20" s="2">
        <v>0.0</v>
      </c>
      <c r="P20" s="2">
        <v>964.0</v>
      </c>
      <c r="Q20" s="2">
        <v>0.0</v>
      </c>
      <c r="R20" s="2">
        <v>0.0</v>
      </c>
      <c r="S20" s="2">
        <v>0.0</v>
      </c>
      <c r="T20" s="2">
        <v>0.0</v>
      </c>
      <c r="V20" s="2">
        <f t="shared" si="9"/>
        <v>934</v>
      </c>
      <c r="W20" s="4">
        <f t="shared" si="10"/>
        <v>0.02910602911</v>
      </c>
    </row>
    <row r="21" ht="15.75" customHeight="1">
      <c r="A21" s="2" t="s">
        <v>75</v>
      </c>
      <c r="B21" s="2" t="s">
        <v>32</v>
      </c>
      <c r="C21" s="2" t="s">
        <v>22</v>
      </c>
      <c r="D21" s="2" t="s">
        <v>23</v>
      </c>
      <c r="E21" s="2" t="s">
        <v>50</v>
      </c>
      <c r="F21" s="2">
        <v>3.0</v>
      </c>
      <c r="G21" s="2" t="s">
        <v>51</v>
      </c>
      <c r="H21" s="2">
        <v>633.0</v>
      </c>
      <c r="I21" s="2">
        <v>339.0</v>
      </c>
      <c r="J21" s="2">
        <v>30.0</v>
      </c>
      <c r="K21" s="2">
        <v>0.0</v>
      </c>
      <c r="L21" s="2">
        <v>48.0</v>
      </c>
      <c r="M21" s="2">
        <v>0.0</v>
      </c>
      <c r="N21" s="2">
        <v>888.0</v>
      </c>
      <c r="O21" s="2">
        <v>0.0</v>
      </c>
      <c r="P21" s="2">
        <v>969.0</v>
      </c>
      <c r="Q21" s="2">
        <v>0.0</v>
      </c>
      <c r="R21" s="2">
        <v>0.0</v>
      </c>
      <c r="S21" s="2">
        <v>0.0</v>
      </c>
      <c r="T21" s="2">
        <v>0.0</v>
      </c>
      <c r="V21" s="2">
        <f t="shared" si="9"/>
        <v>936</v>
      </c>
      <c r="W21" s="4">
        <f t="shared" si="10"/>
        <v>0.02702702703</v>
      </c>
    </row>
    <row r="22" ht="15.75" customHeight="1">
      <c r="A22" s="3" t="s">
        <v>77</v>
      </c>
      <c r="B22" s="3" t="s">
        <v>32</v>
      </c>
      <c r="C22" s="3" t="s">
        <v>22</v>
      </c>
      <c r="D22" s="3" t="s">
        <v>23</v>
      </c>
      <c r="E22" s="3" t="s">
        <v>53</v>
      </c>
      <c r="F22" s="3">
        <v>3.0</v>
      </c>
      <c r="G22" s="3" t="s">
        <v>25</v>
      </c>
      <c r="H22" s="3">
        <v>60.0</v>
      </c>
      <c r="I22" s="3">
        <v>1479.0</v>
      </c>
      <c r="J22" s="3">
        <v>1209.0</v>
      </c>
      <c r="K22" s="3">
        <v>0.0</v>
      </c>
      <c r="L22" s="3">
        <v>19.0</v>
      </c>
      <c r="M22" s="3">
        <v>0.0</v>
      </c>
      <c r="N22" s="3">
        <v>215.0</v>
      </c>
      <c r="O22" s="3">
        <v>0.0</v>
      </c>
      <c r="P22" s="3">
        <v>994.0</v>
      </c>
      <c r="Q22" s="3">
        <v>0.0</v>
      </c>
      <c r="R22" s="3">
        <v>0.0</v>
      </c>
      <c r="S22" s="3">
        <v>0.0</v>
      </c>
      <c r="T22" s="3">
        <v>0.0</v>
      </c>
      <c r="U22" s="3"/>
      <c r="V22" s="3">
        <f>(N22+L22)*2/3</f>
        <v>156</v>
      </c>
    </row>
    <row r="23" ht="15.75" customHeight="1">
      <c r="A23" s="2" t="s">
        <v>77</v>
      </c>
      <c r="B23" s="2" t="s">
        <v>32</v>
      </c>
      <c r="C23" s="2" t="s">
        <v>22</v>
      </c>
      <c r="D23" s="2" t="s">
        <v>23</v>
      </c>
      <c r="E23" s="2" t="s">
        <v>55</v>
      </c>
      <c r="F23" s="2">
        <v>3.0</v>
      </c>
      <c r="G23" s="2" t="s">
        <v>45</v>
      </c>
      <c r="H23" s="2">
        <v>413.0</v>
      </c>
      <c r="I23" s="2">
        <v>1297.0</v>
      </c>
      <c r="J23" s="2">
        <v>86.0</v>
      </c>
      <c r="K23" s="2">
        <v>0.0</v>
      </c>
      <c r="L23" s="2">
        <v>8.0</v>
      </c>
      <c r="M23" s="2">
        <v>0.0</v>
      </c>
      <c r="N23" s="2">
        <v>140.0</v>
      </c>
      <c r="O23" s="2">
        <v>0.0</v>
      </c>
      <c r="P23" s="2">
        <v>972.0</v>
      </c>
      <c r="Q23" s="2">
        <v>0.0</v>
      </c>
      <c r="R23" s="2">
        <v>0.0</v>
      </c>
      <c r="S23" s="2">
        <v>0.0</v>
      </c>
      <c r="T23" s="2">
        <v>0.0</v>
      </c>
      <c r="V23" s="2">
        <f t="shared" ref="V23:V25" si="11">(N23+L23)</f>
        <v>148</v>
      </c>
      <c r="W23" s="4">
        <f t="shared" ref="W23:W25" si="12">(V$22-V23)/V$22</f>
        <v>0.05128205128</v>
      </c>
    </row>
    <row r="24" ht="15.75" customHeight="1">
      <c r="A24" s="2" t="s">
        <v>77</v>
      </c>
      <c r="B24" s="2" t="s">
        <v>32</v>
      </c>
      <c r="C24" s="2" t="s">
        <v>22</v>
      </c>
      <c r="D24" s="2" t="s">
        <v>23</v>
      </c>
      <c r="E24" s="2" t="s">
        <v>56</v>
      </c>
      <c r="F24" s="2">
        <v>3.0</v>
      </c>
      <c r="G24" s="2" t="s">
        <v>47</v>
      </c>
      <c r="H24" s="2">
        <v>217.0</v>
      </c>
      <c r="I24" s="2">
        <v>1445.0</v>
      </c>
      <c r="J24" s="2">
        <v>122.0</v>
      </c>
      <c r="K24" s="2">
        <v>0.0</v>
      </c>
      <c r="L24" s="2">
        <v>13.0</v>
      </c>
      <c r="M24" s="2">
        <v>0.0</v>
      </c>
      <c r="N24" s="2">
        <v>133.0</v>
      </c>
      <c r="O24" s="2">
        <v>0.0</v>
      </c>
      <c r="P24" s="2">
        <v>965.0</v>
      </c>
      <c r="Q24" s="2">
        <v>0.0</v>
      </c>
      <c r="R24" s="2">
        <v>0.0</v>
      </c>
      <c r="S24" s="2">
        <v>0.0</v>
      </c>
      <c r="T24" s="2">
        <v>0.0</v>
      </c>
      <c r="V24" s="2">
        <f t="shared" si="11"/>
        <v>146</v>
      </c>
      <c r="W24" s="4">
        <f t="shared" si="12"/>
        <v>0.0641025641</v>
      </c>
    </row>
    <row r="25" ht="15.75" customHeight="1">
      <c r="A25" s="2" t="s">
        <v>77</v>
      </c>
      <c r="B25" s="2" t="s">
        <v>32</v>
      </c>
      <c r="C25" s="2" t="s">
        <v>22</v>
      </c>
      <c r="D25" s="2" t="s">
        <v>23</v>
      </c>
      <c r="E25" s="2" t="s">
        <v>57</v>
      </c>
      <c r="F25" s="2">
        <v>3.0</v>
      </c>
      <c r="G25" s="2" t="s">
        <v>51</v>
      </c>
      <c r="H25" s="2">
        <v>167.0</v>
      </c>
      <c r="I25" s="2">
        <v>1503.0</v>
      </c>
      <c r="J25" s="2">
        <v>114.0</v>
      </c>
      <c r="K25" s="2">
        <v>0.0</v>
      </c>
      <c r="L25" s="2">
        <v>10.0</v>
      </c>
      <c r="M25" s="2">
        <v>0.0</v>
      </c>
      <c r="N25" s="2">
        <v>134.0</v>
      </c>
      <c r="O25" s="2">
        <v>0.0</v>
      </c>
      <c r="P25" s="2">
        <v>964.0</v>
      </c>
      <c r="Q25" s="2">
        <v>0.0</v>
      </c>
      <c r="R25" s="2">
        <v>0.0</v>
      </c>
      <c r="S25" s="2">
        <v>0.0</v>
      </c>
      <c r="T25" s="2">
        <v>0.0</v>
      </c>
      <c r="V25" s="2">
        <f t="shared" si="11"/>
        <v>144</v>
      </c>
      <c r="W25" s="4">
        <f t="shared" si="12"/>
        <v>0.07692307692</v>
      </c>
    </row>
    <row r="26" ht="15.75" customHeight="1">
      <c r="A26" s="3" t="s">
        <v>78</v>
      </c>
      <c r="B26" s="3" t="s">
        <v>32</v>
      </c>
      <c r="C26" s="3" t="s">
        <v>22</v>
      </c>
      <c r="D26" s="3" t="s">
        <v>23</v>
      </c>
      <c r="E26" s="3" t="s">
        <v>60</v>
      </c>
      <c r="F26" s="3">
        <v>3.0</v>
      </c>
      <c r="G26" s="3" t="s">
        <v>25</v>
      </c>
      <c r="H26" s="3">
        <v>89.0</v>
      </c>
      <c r="I26" s="3">
        <v>325.0</v>
      </c>
      <c r="J26" s="3">
        <v>558.0</v>
      </c>
      <c r="K26" s="3">
        <v>0.0</v>
      </c>
      <c r="L26" s="3">
        <v>177.0</v>
      </c>
      <c r="M26" s="3">
        <v>0.0</v>
      </c>
      <c r="N26" s="3">
        <v>894.0</v>
      </c>
      <c r="O26" s="3">
        <v>0.0</v>
      </c>
      <c r="P26" s="3">
        <v>681.0</v>
      </c>
      <c r="Q26" s="3">
        <v>0.0</v>
      </c>
      <c r="R26" s="3">
        <v>0.0</v>
      </c>
      <c r="S26" s="3">
        <v>0.0</v>
      </c>
      <c r="T26" s="3">
        <v>0.0</v>
      </c>
      <c r="U26" s="3"/>
      <c r="V26" s="3">
        <f>(N26+L26)*2/3</f>
        <v>714</v>
      </c>
    </row>
    <row r="27" ht="15.75" customHeight="1">
      <c r="A27" s="2" t="s">
        <v>78</v>
      </c>
      <c r="B27" s="2" t="s">
        <v>32</v>
      </c>
      <c r="C27" s="2" t="s">
        <v>22</v>
      </c>
      <c r="D27" s="2" t="s">
        <v>23</v>
      </c>
      <c r="E27" s="2" t="s">
        <v>61</v>
      </c>
      <c r="F27" s="2">
        <v>3.0</v>
      </c>
      <c r="G27" s="2" t="s">
        <v>45</v>
      </c>
      <c r="H27" s="2">
        <v>191.0</v>
      </c>
      <c r="I27" s="2">
        <v>373.0</v>
      </c>
      <c r="J27" s="2">
        <v>66.0</v>
      </c>
      <c r="K27" s="2">
        <v>0.0</v>
      </c>
      <c r="L27" s="2">
        <v>139.0</v>
      </c>
      <c r="M27" s="2">
        <v>0.0</v>
      </c>
      <c r="N27" s="2">
        <v>559.0</v>
      </c>
      <c r="O27" s="2">
        <v>0.0</v>
      </c>
      <c r="P27" s="2">
        <v>664.0</v>
      </c>
      <c r="Q27" s="2">
        <v>0.0</v>
      </c>
      <c r="R27" s="2">
        <v>0.0</v>
      </c>
      <c r="S27" s="2">
        <v>0.0</v>
      </c>
      <c r="T27" s="2">
        <v>0.0</v>
      </c>
      <c r="V27" s="2">
        <f t="shared" ref="V27:V29" si="13">(N27+L27)</f>
        <v>698</v>
      </c>
      <c r="W27" s="4">
        <f t="shared" ref="W27:W29" si="14">(V$26-V27)/V$26</f>
        <v>0.02240896359</v>
      </c>
    </row>
    <row r="28" ht="15.75" customHeight="1">
      <c r="A28" s="2" t="s">
        <v>78</v>
      </c>
      <c r="B28" s="2" t="s">
        <v>32</v>
      </c>
      <c r="C28" s="2" t="s">
        <v>22</v>
      </c>
      <c r="D28" s="2" t="s">
        <v>23</v>
      </c>
      <c r="E28" s="2" t="s">
        <v>62</v>
      </c>
      <c r="F28" s="2">
        <v>3.0</v>
      </c>
      <c r="G28" s="2" t="s">
        <v>47</v>
      </c>
      <c r="H28" s="2">
        <v>141.0</v>
      </c>
      <c r="I28" s="2">
        <v>405.0</v>
      </c>
      <c r="J28" s="2">
        <v>88.0</v>
      </c>
      <c r="K28" s="2">
        <v>0.0</v>
      </c>
      <c r="L28" s="2">
        <v>139.0</v>
      </c>
      <c r="M28" s="2">
        <v>0.0</v>
      </c>
      <c r="N28" s="2">
        <v>559.0</v>
      </c>
      <c r="O28" s="2">
        <v>0.0</v>
      </c>
      <c r="P28" s="2">
        <v>666.0</v>
      </c>
      <c r="Q28" s="2">
        <v>0.0</v>
      </c>
      <c r="R28" s="2">
        <v>0.0</v>
      </c>
      <c r="S28" s="2">
        <v>0.0</v>
      </c>
      <c r="T28" s="2">
        <v>0.0</v>
      </c>
      <c r="V28" s="2">
        <f t="shared" si="13"/>
        <v>698</v>
      </c>
      <c r="W28" s="4">
        <f t="shared" si="14"/>
        <v>0.02240896359</v>
      </c>
    </row>
    <row r="29" ht="15.75" customHeight="1">
      <c r="A29" s="2" t="s">
        <v>78</v>
      </c>
      <c r="B29" s="2" t="s">
        <v>32</v>
      </c>
      <c r="C29" s="2" t="s">
        <v>22</v>
      </c>
      <c r="D29" s="2" t="s">
        <v>23</v>
      </c>
      <c r="E29" s="2" t="s">
        <v>67</v>
      </c>
      <c r="F29" s="2">
        <v>3.0</v>
      </c>
      <c r="G29" s="2" t="s">
        <v>51</v>
      </c>
      <c r="H29" s="2">
        <v>135.0</v>
      </c>
      <c r="I29" s="2">
        <v>411.0</v>
      </c>
      <c r="J29" s="2">
        <v>86.0</v>
      </c>
      <c r="K29" s="2">
        <v>0.0</v>
      </c>
      <c r="L29" s="2">
        <v>133.0</v>
      </c>
      <c r="M29" s="2">
        <v>0.0</v>
      </c>
      <c r="N29" s="2">
        <v>559.0</v>
      </c>
      <c r="O29" s="2">
        <v>0.0</v>
      </c>
      <c r="P29" s="2">
        <v>662.0</v>
      </c>
      <c r="Q29" s="2">
        <v>0.0</v>
      </c>
      <c r="R29" s="2">
        <v>0.0</v>
      </c>
      <c r="S29" s="2">
        <v>0.0</v>
      </c>
      <c r="T29" s="2">
        <v>0.0</v>
      </c>
      <c r="V29" s="2">
        <f t="shared" si="13"/>
        <v>692</v>
      </c>
      <c r="W29" s="4">
        <f t="shared" si="14"/>
        <v>0.03081232493</v>
      </c>
    </row>
    <row r="30" ht="15.75" customHeight="1">
      <c r="A30" s="3" t="s">
        <v>80</v>
      </c>
      <c r="B30" s="3" t="s">
        <v>32</v>
      </c>
      <c r="C30" s="3" t="s">
        <v>22</v>
      </c>
      <c r="D30" s="3" t="s">
        <v>23</v>
      </c>
      <c r="E30" s="3" t="s">
        <v>70</v>
      </c>
      <c r="F30" s="3">
        <v>3.0</v>
      </c>
      <c r="G30" s="3" t="s">
        <v>25</v>
      </c>
      <c r="H30" s="3">
        <v>109.0</v>
      </c>
      <c r="I30" s="3">
        <v>155.0</v>
      </c>
      <c r="J30" s="3">
        <v>141.0</v>
      </c>
      <c r="K30" s="3">
        <v>0.0</v>
      </c>
      <c r="L30" s="3">
        <v>34.0</v>
      </c>
      <c r="M30" s="3">
        <v>0.0</v>
      </c>
      <c r="N30" s="3">
        <v>149.0</v>
      </c>
      <c r="O30" s="3">
        <v>0.0</v>
      </c>
      <c r="P30" s="3">
        <v>196.0</v>
      </c>
      <c r="Q30" s="3">
        <v>0.0</v>
      </c>
      <c r="R30" s="3">
        <v>0.0</v>
      </c>
      <c r="S30" s="3">
        <v>0.0</v>
      </c>
      <c r="T30" s="3">
        <v>0.0</v>
      </c>
      <c r="U30" s="3"/>
      <c r="V30" s="3">
        <f>(N30+L30)*2/3</f>
        <v>122</v>
      </c>
    </row>
    <row r="31" ht="15.75" customHeight="1">
      <c r="A31" s="2" t="s">
        <v>80</v>
      </c>
      <c r="B31" s="2" t="s">
        <v>32</v>
      </c>
      <c r="C31" s="2" t="s">
        <v>22</v>
      </c>
      <c r="D31" s="2" t="s">
        <v>23</v>
      </c>
      <c r="E31" s="2" t="s">
        <v>71</v>
      </c>
      <c r="F31" s="2">
        <v>3.0</v>
      </c>
      <c r="G31" s="2" t="s">
        <v>45</v>
      </c>
      <c r="H31" s="2">
        <v>180.0</v>
      </c>
      <c r="I31" s="2">
        <v>68.0</v>
      </c>
      <c r="J31" s="2">
        <v>16.0</v>
      </c>
      <c r="K31" s="2">
        <v>0.0</v>
      </c>
      <c r="L31" s="2">
        <v>18.0</v>
      </c>
      <c r="M31" s="2">
        <v>0.0</v>
      </c>
      <c r="N31" s="2">
        <v>100.0</v>
      </c>
      <c r="O31" s="2">
        <v>0.0</v>
      </c>
      <c r="P31" s="2">
        <v>191.0</v>
      </c>
      <c r="Q31" s="2">
        <v>0.0</v>
      </c>
      <c r="R31" s="2">
        <v>0.0</v>
      </c>
      <c r="S31" s="2">
        <v>0.0</v>
      </c>
      <c r="T31" s="2">
        <v>0.0</v>
      </c>
      <c r="V31" s="2">
        <f t="shared" ref="V31:V33" si="15">(N31+L31)</f>
        <v>118</v>
      </c>
      <c r="W31" s="4">
        <f t="shared" ref="W31:W33" si="16">(V$30-V31)/V$30</f>
        <v>0.03278688525</v>
      </c>
    </row>
    <row r="32" ht="15.75" customHeight="1">
      <c r="A32" s="2" t="s">
        <v>80</v>
      </c>
      <c r="B32" s="2" t="s">
        <v>32</v>
      </c>
      <c r="C32" s="2" t="s">
        <v>22</v>
      </c>
      <c r="D32" s="2" t="s">
        <v>23</v>
      </c>
      <c r="E32" s="2" t="s">
        <v>72</v>
      </c>
      <c r="F32" s="2">
        <v>3.0</v>
      </c>
      <c r="G32" s="2" t="s">
        <v>47</v>
      </c>
      <c r="H32" s="2">
        <v>136.0</v>
      </c>
      <c r="I32" s="2">
        <v>110.0</v>
      </c>
      <c r="J32" s="2">
        <v>18.0</v>
      </c>
      <c r="K32" s="2">
        <v>0.0</v>
      </c>
      <c r="L32" s="2">
        <v>14.0</v>
      </c>
      <c r="M32" s="2">
        <v>0.0</v>
      </c>
      <c r="N32" s="2">
        <v>102.0</v>
      </c>
      <c r="O32" s="2">
        <v>0.0</v>
      </c>
      <c r="P32" s="2">
        <v>190.0</v>
      </c>
      <c r="Q32" s="2">
        <v>0.0</v>
      </c>
      <c r="R32" s="2">
        <v>0.0</v>
      </c>
      <c r="S32" s="2">
        <v>0.0</v>
      </c>
      <c r="T32" s="2">
        <v>0.0</v>
      </c>
      <c r="V32" s="2">
        <f t="shared" si="15"/>
        <v>116</v>
      </c>
      <c r="W32" s="4">
        <f t="shared" si="16"/>
        <v>0.04918032787</v>
      </c>
    </row>
    <row r="33" ht="15.75" customHeight="1">
      <c r="A33" s="2" t="s">
        <v>80</v>
      </c>
      <c r="B33" s="2" t="s">
        <v>32</v>
      </c>
      <c r="C33" s="2" t="s">
        <v>22</v>
      </c>
      <c r="D33" s="2" t="s">
        <v>23</v>
      </c>
      <c r="E33" s="2" t="s">
        <v>74</v>
      </c>
      <c r="F33" s="2">
        <v>3.0</v>
      </c>
      <c r="G33" s="2" t="s">
        <v>51</v>
      </c>
      <c r="H33" s="2">
        <v>127.0</v>
      </c>
      <c r="I33" s="2">
        <v>119.0</v>
      </c>
      <c r="J33" s="2">
        <v>18.0</v>
      </c>
      <c r="K33" s="2">
        <v>0.0</v>
      </c>
      <c r="L33" s="2">
        <v>14.0</v>
      </c>
      <c r="M33" s="2">
        <v>0.0</v>
      </c>
      <c r="N33" s="2">
        <v>100.0</v>
      </c>
      <c r="O33" s="2">
        <v>0.0</v>
      </c>
      <c r="P33" s="2">
        <v>189.0</v>
      </c>
      <c r="Q33" s="2">
        <v>0.0</v>
      </c>
      <c r="R33" s="2">
        <v>0.0</v>
      </c>
      <c r="S33" s="2">
        <v>0.0</v>
      </c>
      <c r="T33" s="2">
        <v>0.0</v>
      </c>
      <c r="V33" s="2">
        <f t="shared" si="15"/>
        <v>114</v>
      </c>
      <c r="W33" s="4">
        <f t="shared" si="16"/>
        <v>0.06557377049</v>
      </c>
    </row>
    <row r="34" ht="15.75" customHeight="1">
      <c r="A34" s="3" t="s">
        <v>87</v>
      </c>
      <c r="B34" s="3" t="s">
        <v>43</v>
      </c>
      <c r="C34" s="3" t="s">
        <v>22</v>
      </c>
      <c r="D34" s="3" t="s">
        <v>23</v>
      </c>
      <c r="E34" s="3" t="s">
        <v>41</v>
      </c>
      <c r="F34" s="3">
        <v>3.0</v>
      </c>
      <c r="G34" s="3" t="s">
        <v>25</v>
      </c>
      <c r="H34" s="3">
        <v>162.0</v>
      </c>
      <c r="I34" s="3">
        <v>312.0</v>
      </c>
      <c r="J34" s="3">
        <v>441.0</v>
      </c>
      <c r="K34" s="3">
        <v>0.0</v>
      </c>
      <c r="L34" s="3">
        <v>209.0</v>
      </c>
      <c r="M34" s="3">
        <v>0.0</v>
      </c>
      <c r="N34" s="3">
        <v>1483.0</v>
      </c>
      <c r="O34" s="3">
        <v>0.0</v>
      </c>
      <c r="P34" s="3">
        <v>869.0</v>
      </c>
      <c r="Q34" s="3">
        <v>0.0</v>
      </c>
      <c r="R34" s="3">
        <v>0.0</v>
      </c>
      <c r="S34" s="3">
        <v>0.0</v>
      </c>
      <c r="T34" s="3">
        <v>0.0</v>
      </c>
      <c r="U34" s="3"/>
      <c r="V34" s="3">
        <f>(N34+L34)*2/3</f>
        <v>1128</v>
      </c>
    </row>
    <row r="35" ht="15.75" customHeight="1">
      <c r="A35" s="2" t="s">
        <v>87</v>
      </c>
      <c r="B35" s="2" t="s">
        <v>43</v>
      </c>
      <c r="C35" s="2" t="s">
        <v>22</v>
      </c>
      <c r="D35" s="2" t="s">
        <v>23</v>
      </c>
      <c r="E35" s="2" t="s">
        <v>44</v>
      </c>
      <c r="F35" s="2">
        <v>3.0</v>
      </c>
      <c r="G35" s="2" t="s">
        <v>45</v>
      </c>
      <c r="H35" s="2">
        <v>107.0</v>
      </c>
      <c r="I35" s="2">
        <v>365.0</v>
      </c>
      <c r="J35" s="2">
        <v>10.0</v>
      </c>
      <c r="K35" s="2">
        <v>0.0</v>
      </c>
      <c r="L35" s="2">
        <v>333.0</v>
      </c>
      <c r="M35" s="2">
        <v>0.0</v>
      </c>
      <c r="N35" s="2">
        <v>593.0</v>
      </c>
      <c r="O35" s="2">
        <v>0.0</v>
      </c>
      <c r="P35" s="2">
        <v>704.0</v>
      </c>
      <c r="Q35" s="2">
        <v>0.0</v>
      </c>
      <c r="R35" s="2">
        <v>0.0</v>
      </c>
      <c r="S35" s="2">
        <v>0.0</v>
      </c>
      <c r="T35" s="2">
        <v>0.0</v>
      </c>
      <c r="V35" s="2">
        <f t="shared" ref="V35:V37" si="17">(N35+L35)</f>
        <v>926</v>
      </c>
      <c r="W35" s="26">
        <f t="shared" ref="W35:W37" si="18">(V$34-V35)/V$34</f>
        <v>0.1790780142</v>
      </c>
    </row>
    <row r="36" ht="15.75" customHeight="1">
      <c r="A36" s="2" t="s">
        <v>87</v>
      </c>
      <c r="B36" s="2" t="s">
        <v>43</v>
      </c>
      <c r="C36" s="2" t="s">
        <v>22</v>
      </c>
      <c r="D36" s="2" t="s">
        <v>23</v>
      </c>
      <c r="E36" s="2" t="s">
        <v>46</v>
      </c>
      <c r="F36" s="2">
        <v>3.0</v>
      </c>
      <c r="G36" s="2" t="s">
        <v>47</v>
      </c>
      <c r="H36" s="2">
        <v>101.0</v>
      </c>
      <c r="I36" s="2">
        <v>351.0</v>
      </c>
      <c r="J36" s="2">
        <v>12.0</v>
      </c>
      <c r="K36" s="2">
        <v>0.0</v>
      </c>
      <c r="L36" s="2">
        <v>232.0</v>
      </c>
      <c r="M36" s="2">
        <v>0.0</v>
      </c>
      <c r="N36" s="2">
        <v>618.0</v>
      </c>
      <c r="O36" s="2">
        <v>0.0</v>
      </c>
      <c r="P36" s="2">
        <v>657.0</v>
      </c>
      <c r="Q36" s="2">
        <v>0.0</v>
      </c>
      <c r="R36" s="2">
        <v>0.0</v>
      </c>
      <c r="S36" s="2">
        <v>0.0</v>
      </c>
      <c r="T36" s="2">
        <v>0.0</v>
      </c>
      <c r="V36" s="2">
        <f t="shared" si="17"/>
        <v>850</v>
      </c>
      <c r="W36" s="26">
        <f t="shared" si="18"/>
        <v>0.2464539007</v>
      </c>
    </row>
    <row r="37" ht="15.75" customHeight="1">
      <c r="A37" s="2" t="s">
        <v>87</v>
      </c>
      <c r="B37" s="2" t="s">
        <v>43</v>
      </c>
      <c r="C37" s="2" t="s">
        <v>22</v>
      </c>
      <c r="D37" s="2" t="s">
        <v>23</v>
      </c>
      <c r="E37" s="2" t="s">
        <v>50</v>
      </c>
      <c r="F37" s="2">
        <v>3.0</v>
      </c>
      <c r="G37" s="2" t="s">
        <v>51</v>
      </c>
      <c r="H37" s="2">
        <v>88.0</v>
      </c>
      <c r="I37" s="2">
        <v>338.0</v>
      </c>
      <c r="J37" s="2">
        <v>12.0</v>
      </c>
      <c r="K37" s="2">
        <v>0.0</v>
      </c>
      <c r="L37" s="2">
        <v>265.0</v>
      </c>
      <c r="M37" s="2">
        <v>0.0</v>
      </c>
      <c r="N37" s="2">
        <v>559.0</v>
      </c>
      <c r="O37" s="2">
        <v>0.0</v>
      </c>
      <c r="P37" s="2">
        <v>631.0</v>
      </c>
      <c r="Q37" s="2">
        <v>0.0</v>
      </c>
      <c r="R37" s="2">
        <v>0.0</v>
      </c>
      <c r="S37" s="2">
        <v>0.0</v>
      </c>
      <c r="T37" s="2">
        <v>0.0</v>
      </c>
      <c r="V37" s="2">
        <f t="shared" si="17"/>
        <v>824</v>
      </c>
      <c r="W37" s="26">
        <f t="shared" si="18"/>
        <v>0.2695035461</v>
      </c>
    </row>
    <row r="38" ht="15.75" customHeight="1">
      <c r="A38" s="3" t="s">
        <v>88</v>
      </c>
      <c r="B38" s="3" t="s">
        <v>43</v>
      </c>
      <c r="C38" s="3" t="s">
        <v>22</v>
      </c>
      <c r="D38" s="3" t="s">
        <v>23</v>
      </c>
      <c r="E38" s="3" t="s">
        <v>53</v>
      </c>
      <c r="F38" s="3">
        <v>3.0</v>
      </c>
      <c r="G38" s="3" t="s">
        <v>25</v>
      </c>
      <c r="H38" s="3">
        <v>16.0</v>
      </c>
      <c r="I38" s="3">
        <v>734.0</v>
      </c>
      <c r="J38" s="3">
        <v>1275.0</v>
      </c>
      <c r="K38" s="3">
        <v>0.0</v>
      </c>
      <c r="L38" s="3">
        <v>27.0</v>
      </c>
      <c r="M38" s="3">
        <v>0.0</v>
      </c>
      <c r="N38" s="3">
        <v>138.0</v>
      </c>
      <c r="O38" s="3">
        <v>0.0</v>
      </c>
      <c r="P38" s="3">
        <v>730.0</v>
      </c>
      <c r="Q38" s="3">
        <v>0.0</v>
      </c>
      <c r="R38" s="3">
        <v>0.0</v>
      </c>
      <c r="S38" s="3">
        <v>0.0</v>
      </c>
      <c r="T38" s="3">
        <v>0.0</v>
      </c>
      <c r="U38" s="3"/>
      <c r="V38" s="3">
        <f>(N38+L38)*2/3</f>
        <v>110</v>
      </c>
    </row>
    <row r="39" ht="15.75" customHeight="1">
      <c r="A39" s="2" t="s">
        <v>88</v>
      </c>
      <c r="B39" s="2" t="s">
        <v>43</v>
      </c>
      <c r="C39" s="2" t="s">
        <v>22</v>
      </c>
      <c r="D39" s="2" t="s">
        <v>23</v>
      </c>
      <c r="E39" s="2" t="s">
        <v>55</v>
      </c>
      <c r="F39" s="2">
        <v>3.0</v>
      </c>
      <c r="G39" s="2" t="s">
        <v>45</v>
      </c>
      <c r="H39" s="2">
        <v>333.0</v>
      </c>
      <c r="I39" s="2">
        <v>803.0</v>
      </c>
      <c r="J39" s="2">
        <v>24.0</v>
      </c>
      <c r="K39" s="2">
        <v>0.0</v>
      </c>
      <c r="L39" s="2">
        <v>19.0</v>
      </c>
      <c r="M39" s="2">
        <v>0.0</v>
      </c>
      <c r="N39" s="2">
        <v>79.0</v>
      </c>
      <c r="O39" s="2">
        <v>0.0</v>
      </c>
      <c r="P39" s="2">
        <v>629.0</v>
      </c>
      <c r="Q39" s="2">
        <v>0.0</v>
      </c>
      <c r="R39" s="2">
        <v>0.0</v>
      </c>
      <c r="S39" s="2">
        <v>0.0</v>
      </c>
      <c r="T39" s="2">
        <v>0.0</v>
      </c>
      <c r="V39" s="2">
        <f t="shared" ref="V39:V41" si="19">(N39+L39)</f>
        <v>98</v>
      </c>
      <c r="W39" s="26">
        <f t="shared" ref="W39:W41" si="20">(V$38-V39)/V$38</f>
        <v>0.1090909091</v>
      </c>
    </row>
    <row r="40" ht="15.75" customHeight="1">
      <c r="A40" s="2" t="s">
        <v>88</v>
      </c>
      <c r="B40" s="2" t="s">
        <v>43</v>
      </c>
      <c r="C40" s="2" t="s">
        <v>22</v>
      </c>
      <c r="D40" s="2" t="s">
        <v>23</v>
      </c>
      <c r="E40" s="2" t="s">
        <v>56</v>
      </c>
      <c r="F40" s="2">
        <v>3.0</v>
      </c>
      <c r="G40" s="2" t="s">
        <v>47</v>
      </c>
      <c r="H40" s="2">
        <v>118.0</v>
      </c>
      <c r="I40" s="2">
        <v>978.0</v>
      </c>
      <c r="J40" s="2">
        <v>22.0</v>
      </c>
      <c r="K40" s="2">
        <v>0.0</v>
      </c>
      <c r="L40" s="2">
        <v>17.0</v>
      </c>
      <c r="M40" s="2">
        <v>0.0</v>
      </c>
      <c r="N40" s="2">
        <v>71.0</v>
      </c>
      <c r="O40" s="2">
        <v>0.0</v>
      </c>
      <c r="P40" s="2">
        <v>603.0</v>
      </c>
      <c r="Q40" s="2">
        <v>0.0</v>
      </c>
      <c r="R40" s="2">
        <v>0.0</v>
      </c>
      <c r="S40" s="2">
        <v>0.0</v>
      </c>
      <c r="T40" s="2">
        <v>0.0</v>
      </c>
      <c r="V40" s="2">
        <f t="shared" si="19"/>
        <v>88</v>
      </c>
      <c r="W40" s="26">
        <f t="shared" si="20"/>
        <v>0.2</v>
      </c>
    </row>
    <row r="41" ht="15.75" customHeight="1">
      <c r="A41" s="2" t="s">
        <v>88</v>
      </c>
      <c r="B41" s="2" t="s">
        <v>43</v>
      </c>
      <c r="C41" s="2" t="s">
        <v>22</v>
      </c>
      <c r="D41" s="2" t="s">
        <v>23</v>
      </c>
      <c r="E41" s="2" t="s">
        <v>57</v>
      </c>
      <c r="F41" s="2">
        <v>3.0</v>
      </c>
      <c r="G41" s="2" t="s">
        <v>51</v>
      </c>
      <c r="H41" s="2">
        <v>123.0</v>
      </c>
      <c r="I41" s="2">
        <v>1021.0</v>
      </c>
      <c r="J41" s="2">
        <v>20.0</v>
      </c>
      <c r="K41" s="2">
        <v>0.0</v>
      </c>
      <c r="L41" s="2">
        <v>16.0</v>
      </c>
      <c r="M41" s="2">
        <v>0.0</v>
      </c>
      <c r="N41" s="2">
        <v>70.0</v>
      </c>
      <c r="O41" s="2">
        <v>0.0</v>
      </c>
      <c r="P41" s="2">
        <v>625.0</v>
      </c>
      <c r="Q41" s="2">
        <v>0.0</v>
      </c>
      <c r="R41" s="2">
        <v>0.0</v>
      </c>
      <c r="S41" s="2">
        <v>0.0</v>
      </c>
      <c r="T41" s="2">
        <v>0.0</v>
      </c>
      <c r="V41" s="2">
        <f t="shared" si="19"/>
        <v>86</v>
      </c>
      <c r="W41" s="26">
        <f t="shared" si="20"/>
        <v>0.2181818182</v>
      </c>
    </row>
    <row r="42" ht="15.75" customHeight="1">
      <c r="A42" s="3" t="s">
        <v>89</v>
      </c>
      <c r="B42" s="3" t="s">
        <v>43</v>
      </c>
      <c r="C42" s="3" t="s">
        <v>22</v>
      </c>
      <c r="D42" s="3" t="s">
        <v>23</v>
      </c>
      <c r="E42" s="3" t="s">
        <v>60</v>
      </c>
      <c r="F42" s="3">
        <v>3.0</v>
      </c>
      <c r="G42" s="3" t="s">
        <v>25</v>
      </c>
      <c r="H42" s="3">
        <v>85.0</v>
      </c>
      <c r="I42" s="3">
        <v>188.0</v>
      </c>
      <c r="J42" s="3">
        <v>573.0</v>
      </c>
      <c r="K42" s="3">
        <v>0.0</v>
      </c>
      <c r="L42" s="3">
        <v>125.0</v>
      </c>
      <c r="M42" s="3">
        <v>0.0</v>
      </c>
      <c r="N42" s="3">
        <v>523.0</v>
      </c>
      <c r="O42" s="3">
        <v>0.0</v>
      </c>
      <c r="P42" s="3">
        <v>498.0</v>
      </c>
      <c r="Q42" s="3">
        <v>0.0</v>
      </c>
      <c r="R42" s="3">
        <v>0.0</v>
      </c>
      <c r="S42" s="3">
        <v>0.0</v>
      </c>
      <c r="T42" s="3">
        <v>0.0</v>
      </c>
      <c r="U42" s="3"/>
      <c r="V42" s="3">
        <f>(N42+L42)*2/3</f>
        <v>432</v>
      </c>
    </row>
    <row r="43" ht="15.75" customHeight="1">
      <c r="A43" s="2" t="s">
        <v>89</v>
      </c>
      <c r="B43" s="2" t="s">
        <v>43</v>
      </c>
      <c r="C43" s="2" t="s">
        <v>22</v>
      </c>
      <c r="D43" s="2" t="s">
        <v>23</v>
      </c>
      <c r="E43" s="2" t="s">
        <v>61</v>
      </c>
      <c r="F43" s="2">
        <v>3.0</v>
      </c>
      <c r="G43" s="2" t="s">
        <v>45</v>
      </c>
      <c r="H43" s="2">
        <v>245.0</v>
      </c>
      <c r="I43" s="2">
        <v>241.0</v>
      </c>
      <c r="J43" s="2">
        <v>52.0</v>
      </c>
      <c r="K43" s="2">
        <v>0.0</v>
      </c>
      <c r="L43" s="2">
        <v>101.0</v>
      </c>
      <c r="M43" s="2">
        <v>0.0</v>
      </c>
      <c r="N43" s="2">
        <v>379.0</v>
      </c>
      <c r="O43" s="2">
        <v>0.0</v>
      </c>
      <c r="P43" s="2">
        <v>509.0</v>
      </c>
      <c r="Q43" s="2">
        <v>0.0</v>
      </c>
      <c r="R43" s="2">
        <v>0.0</v>
      </c>
      <c r="S43" s="2">
        <v>0.0</v>
      </c>
      <c r="T43" s="2">
        <v>0.0</v>
      </c>
      <c r="V43" s="2">
        <f t="shared" ref="V43:V45" si="21">(N43+L43)</f>
        <v>480</v>
      </c>
      <c r="W43" s="26">
        <f t="shared" ref="W43:W45" si="22">(V$42-V43)/V$42</f>
        <v>-0.1111111111</v>
      </c>
    </row>
    <row r="44" ht="15.75" customHeight="1">
      <c r="A44" s="2" t="s">
        <v>89</v>
      </c>
      <c r="B44" s="2" t="s">
        <v>43</v>
      </c>
      <c r="C44" s="2" t="s">
        <v>22</v>
      </c>
      <c r="D44" s="2" t="s">
        <v>23</v>
      </c>
      <c r="E44" s="2" t="s">
        <v>62</v>
      </c>
      <c r="F44" s="2">
        <v>3.0</v>
      </c>
      <c r="G44" s="2" t="s">
        <v>47</v>
      </c>
      <c r="H44" s="2">
        <v>134.0</v>
      </c>
      <c r="I44" s="2">
        <v>340.0</v>
      </c>
      <c r="J44" s="2">
        <v>64.0</v>
      </c>
      <c r="K44" s="2">
        <v>0.0</v>
      </c>
      <c r="L44" s="2">
        <v>102.0</v>
      </c>
      <c r="M44" s="2">
        <v>0.0</v>
      </c>
      <c r="N44" s="2">
        <v>360.0</v>
      </c>
      <c r="O44" s="2">
        <v>0.0</v>
      </c>
      <c r="P44" s="2">
        <v>500.0</v>
      </c>
      <c r="Q44" s="2">
        <v>0.0</v>
      </c>
      <c r="R44" s="2">
        <v>0.0</v>
      </c>
      <c r="S44" s="2">
        <v>0.0</v>
      </c>
      <c r="T44" s="2">
        <v>0.0</v>
      </c>
      <c r="V44" s="2">
        <f t="shared" si="21"/>
        <v>462</v>
      </c>
      <c r="W44" s="4">
        <f t="shared" si="22"/>
        <v>-0.06944444444</v>
      </c>
    </row>
    <row r="45" ht="15.75" customHeight="1">
      <c r="A45" s="2" t="s">
        <v>89</v>
      </c>
      <c r="B45" s="2" t="s">
        <v>43</v>
      </c>
      <c r="C45" s="2" t="s">
        <v>22</v>
      </c>
      <c r="D45" s="2" t="s">
        <v>23</v>
      </c>
      <c r="E45" s="2" t="s">
        <v>67</v>
      </c>
      <c r="F45" s="2">
        <v>3.0</v>
      </c>
      <c r="G45" s="2" t="s">
        <v>51</v>
      </c>
      <c r="H45" s="2">
        <v>142.0</v>
      </c>
      <c r="I45" s="2">
        <v>334.0</v>
      </c>
      <c r="J45" s="2">
        <v>60.0</v>
      </c>
      <c r="K45" s="2">
        <v>0.0</v>
      </c>
      <c r="L45" s="2">
        <v>121.0</v>
      </c>
      <c r="M45" s="2">
        <v>0.0</v>
      </c>
      <c r="N45" s="2">
        <v>363.0</v>
      </c>
      <c r="O45" s="2">
        <v>0.0</v>
      </c>
      <c r="P45" s="2">
        <v>510.0</v>
      </c>
      <c r="Q45" s="2">
        <v>0.0</v>
      </c>
      <c r="R45" s="2">
        <v>0.0</v>
      </c>
      <c r="S45" s="2">
        <v>0.0</v>
      </c>
      <c r="T45" s="2">
        <v>0.0</v>
      </c>
      <c r="V45" s="2">
        <f t="shared" si="21"/>
        <v>484</v>
      </c>
      <c r="W45" s="26">
        <f t="shared" si="22"/>
        <v>-0.1203703704</v>
      </c>
    </row>
    <row r="46" ht="15.75" customHeight="1">
      <c r="A46" s="3" t="s">
        <v>91</v>
      </c>
      <c r="B46" s="3" t="s">
        <v>43</v>
      </c>
      <c r="C46" s="3" t="s">
        <v>22</v>
      </c>
      <c r="D46" s="3" t="s">
        <v>23</v>
      </c>
      <c r="E46" s="3" t="s">
        <v>70</v>
      </c>
      <c r="F46" s="3">
        <v>3.0</v>
      </c>
      <c r="G46" s="3" t="s">
        <v>25</v>
      </c>
      <c r="H46" s="3">
        <v>38.0</v>
      </c>
      <c r="I46" s="3">
        <v>7.0</v>
      </c>
      <c r="J46" s="3">
        <v>87.0</v>
      </c>
      <c r="K46" s="3">
        <v>0.0</v>
      </c>
      <c r="L46" s="3">
        <v>40.0</v>
      </c>
      <c r="M46" s="3">
        <v>0.0</v>
      </c>
      <c r="N46" s="3">
        <v>263.0</v>
      </c>
      <c r="O46" s="3">
        <v>0.0</v>
      </c>
      <c r="P46" s="3">
        <v>145.0</v>
      </c>
      <c r="Q46" s="3">
        <v>0.0</v>
      </c>
      <c r="R46" s="3">
        <v>0.0</v>
      </c>
      <c r="S46" s="3">
        <v>0.0</v>
      </c>
      <c r="T46" s="3">
        <v>0.0</v>
      </c>
      <c r="U46" s="3"/>
      <c r="V46" s="3">
        <f>(N46+L46)*2/3</f>
        <v>202</v>
      </c>
    </row>
    <row r="47" ht="15.75" customHeight="1">
      <c r="A47" s="2" t="s">
        <v>91</v>
      </c>
      <c r="B47" s="2" t="s">
        <v>43</v>
      </c>
      <c r="C47" s="2" t="s">
        <v>22</v>
      </c>
      <c r="D47" s="2" t="s">
        <v>23</v>
      </c>
      <c r="E47" s="2" t="s">
        <v>71</v>
      </c>
      <c r="F47" s="2">
        <v>3.0</v>
      </c>
      <c r="G47" s="2" t="s">
        <v>45</v>
      </c>
      <c r="H47" s="2">
        <v>70.0</v>
      </c>
      <c r="I47" s="2">
        <v>16.0</v>
      </c>
      <c r="J47" s="2">
        <v>12.0</v>
      </c>
      <c r="K47" s="2">
        <v>0.0</v>
      </c>
      <c r="L47" s="2">
        <v>72.0</v>
      </c>
      <c r="M47" s="2">
        <v>0.0</v>
      </c>
      <c r="N47" s="2">
        <v>96.0</v>
      </c>
      <c r="O47" s="2">
        <v>0.0</v>
      </c>
      <c r="P47" s="2">
        <v>133.0</v>
      </c>
      <c r="Q47" s="2">
        <v>0.0</v>
      </c>
      <c r="R47" s="2">
        <v>0.0</v>
      </c>
      <c r="S47" s="2">
        <v>0.0</v>
      </c>
      <c r="T47" s="2">
        <v>0.0</v>
      </c>
      <c r="V47" s="2">
        <f t="shared" ref="V47:V49" si="23">(N47+L47)</f>
        <v>168</v>
      </c>
      <c r="W47" s="26">
        <f t="shared" ref="W47:W49" si="24">(V$46-V47)/V$46</f>
        <v>0.1683168317</v>
      </c>
    </row>
    <row r="48" ht="15.75" customHeight="1">
      <c r="A48" s="2" t="s">
        <v>91</v>
      </c>
      <c r="B48" s="2" t="s">
        <v>43</v>
      </c>
      <c r="C48" s="2" t="s">
        <v>22</v>
      </c>
      <c r="D48" s="2" t="s">
        <v>23</v>
      </c>
      <c r="E48" s="2" t="s">
        <v>72</v>
      </c>
      <c r="F48" s="2">
        <v>3.0</v>
      </c>
      <c r="G48" s="2" t="s">
        <v>47</v>
      </c>
      <c r="H48" s="2">
        <v>58.0</v>
      </c>
      <c r="I48" s="2">
        <v>22.0</v>
      </c>
      <c r="J48" s="2">
        <v>6.0</v>
      </c>
      <c r="K48" s="2">
        <v>0.0</v>
      </c>
      <c r="L48" s="2">
        <v>84.0</v>
      </c>
      <c r="M48" s="2">
        <v>0.0</v>
      </c>
      <c r="N48" s="2">
        <v>108.0</v>
      </c>
      <c r="O48" s="2">
        <v>0.0</v>
      </c>
      <c r="P48" s="2">
        <v>139.0</v>
      </c>
      <c r="Q48" s="2">
        <v>0.0</v>
      </c>
      <c r="R48" s="2">
        <v>0.0</v>
      </c>
      <c r="S48" s="2">
        <v>0.0</v>
      </c>
      <c r="T48" s="2">
        <v>0.0</v>
      </c>
      <c r="V48" s="2">
        <f t="shared" si="23"/>
        <v>192</v>
      </c>
      <c r="W48" s="4">
        <f t="shared" si="24"/>
        <v>0.0495049505</v>
      </c>
    </row>
    <row r="49" ht="15.75" customHeight="1">
      <c r="A49" s="2" t="s">
        <v>91</v>
      </c>
      <c r="B49" s="2" t="s">
        <v>43</v>
      </c>
      <c r="C49" s="2" t="s">
        <v>22</v>
      </c>
      <c r="D49" s="2" t="s">
        <v>23</v>
      </c>
      <c r="E49" s="2" t="s">
        <v>74</v>
      </c>
      <c r="F49" s="2">
        <v>3.0</v>
      </c>
      <c r="G49" s="2" t="s">
        <v>51</v>
      </c>
      <c r="H49" s="2">
        <v>76.0</v>
      </c>
      <c r="I49" s="2">
        <v>14.0</v>
      </c>
      <c r="J49" s="2">
        <v>8.0</v>
      </c>
      <c r="K49" s="2">
        <v>0.0</v>
      </c>
      <c r="L49" s="2">
        <v>83.0</v>
      </c>
      <c r="M49" s="2">
        <v>0.0</v>
      </c>
      <c r="N49" s="2">
        <v>115.0</v>
      </c>
      <c r="O49" s="2">
        <v>0.0</v>
      </c>
      <c r="P49" s="2">
        <v>148.0</v>
      </c>
      <c r="Q49" s="2">
        <v>0.0</v>
      </c>
      <c r="R49" s="2">
        <v>0.0</v>
      </c>
      <c r="S49" s="2">
        <v>0.0</v>
      </c>
      <c r="T49" s="2">
        <v>0.0</v>
      </c>
      <c r="V49" s="2">
        <f t="shared" si="23"/>
        <v>198</v>
      </c>
      <c r="W49" s="4">
        <f t="shared" si="24"/>
        <v>0.0198019802</v>
      </c>
    </row>
    <row r="50" ht="15.75" customHeight="1">
      <c r="A50" s="52" t="s">
        <v>40</v>
      </c>
      <c r="B50" s="52" t="s">
        <v>21</v>
      </c>
      <c r="C50" s="52" t="s">
        <v>22</v>
      </c>
      <c r="D50" s="52" t="s">
        <v>23</v>
      </c>
      <c r="E50" s="52" t="s">
        <v>41</v>
      </c>
      <c r="F50" s="52">
        <v>3.0</v>
      </c>
      <c r="G50" s="52" t="s">
        <v>25</v>
      </c>
      <c r="H50" s="52">
        <v>261.0</v>
      </c>
      <c r="I50" s="52">
        <v>234.0</v>
      </c>
      <c r="J50" s="52">
        <v>486.0</v>
      </c>
      <c r="K50" s="52">
        <v>0.0</v>
      </c>
      <c r="L50" s="52">
        <v>98.0</v>
      </c>
      <c r="M50" s="52">
        <v>0.0</v>
      </c>
      <c r="N50" s="52">
        <v>1912.0</v>
      </c>
      <c r="O50" s="52">
        <v>0.0</v>
      </c>
      <c r="P50" s="52">
        <v>997.0</v>
      </c>
      <c r="Q50" s="52">
        <v>0.0</v>
      </c>
      <c r="R50" s="52">
        <v>0.0</v>
      </c>
      <c r="S50" s="52">
        <v>0.0</v>
      </c>
      <c r="T50" s="52">
        <v>0.0</v>
      </c>
      <c r="U50" s="3"/>
      <c r="V50" s="3">
        <f>(N50+L50)*1/3</f>
        <v>670</v>
      </c>
    </row>
    <row r="51" ht="15.75" customHeight="1">
      <c r="A51" s="2" t="s">
        <v>40</v>
      </c>
      <c r="B51" s="2" t="s">
        <v>21</v>
      </c>
      <c r="C51" s="2" t="s">
        <v>22</v>
      </c>
      <c r="D51" s="2" t="s">
        <v>23</v>
      </c>
      <c r="E51" s="2" t="s">
        <v>93</v>
      </c>
      <c r="F51" s="2">
        <v>3.0</v>
      </c>
      <c r="G51" s="2" t="s">
        <v>94</v>
      </c>
      <c r="H51" s="2">
        <v>138.0</v>
      </c>
      <c r="I51" s="2">
        <v>168.0</v>
      </c>
      <c r="J51" s="2">
        <v>19.0</v>
      </c>
      <c r="K51" s="2">
        <v>0.0</v>
      </c>
      <c r="L51" s="2">
        <v>144.0</v>
      </c>
      <c r="M51" s="2">
        <v>0.0</v>
      </c>
      <c r="N51" s="2">
        <v>523.0</v>
      </c>
      <c r="O51" s="2">
        <v>0.0</v>
      </c>
      <c r="P51" s="2">
        <v>992.0</v>
      </c>
      <c r="Q51" s="2">
        <v>0.0</v>
      </c>
      <c r="R51" s="2">
        <v>0.0</v>
      </c>
      <c r="S51" s="2">
        <v>0.0</v>
      </c>
      <c r="T51" s="2">
        <v>0.0</v>
      </c>
      <c r="V51" s="2">
        <f t="shared" ref="V51:V53" si="25">(N51+L51)</f>
        <v>667</v>
      </c>
      <c r="W51" s="4">
        <f t="shared" ref="W51:W53" si="26">(V$50-V51)/V$50</f>
        <v>0.00447761194</v>
      </c>
    </row>
    <row r="52" ht="15.75" customHeight="1">
      <c r="A52" s="2" t="s">
        <v>40</v>
      </c>
      <c r="B52" s="2" t="s">
        <v>21</v>
      </c>
      <c r="C52" s="2" t="s">
        <v>22</v>
      </c>
      <c r="D52" s="2" t="s">
        <v>23</v>
      </c>
      <c r="E52" s="2" t="s">
        <v>95</v>
      </c>
      <c r="F52" s="2">
        <v>3.0</v>
      </c>
      <c r="G52" s="2" t="s">
        <v>96</v>
      </c>
      <c r="H52" s="2">
        <v>164.0</v>
      </c>
      <c r="I52" s="2">
        <v>155.0</v>
      </c>
      <c r="J52" s="2">
        <v>5.0</v>
      </c>
      <c r="K52" s="2">
        <v>0.0</v>
      </c>
      <c r="L52" s="2">
        <v>160.0</v>
      </c>
      <c r="M52" s="2">
        <v>0.0</v>
      </c>
      <c r="N52" s="2">
        <v>504.0</v>
      </c>
      <c r="O52" s="2">
        <v>0.0</v>
      </c>
      <c r="P52" s="2">
        <v>988.0</v>
      </c>
      <c r="Q52" s="2">
        <v>0.0</v>
      </c>
      <c r="R52" s="2">
        <v>0.0</v>
      </c>
      <c r="S52" s="2">
        <v>0.0</v>
      </c>
      <c r="T52" s="2">
        <v>0.0</v>
      </c>
      <c r="V52" s="2">
        <f t="shared" si="25"/>
        <v>664</v>
      </c>
      <c r="W52" s="4">
        <f t="shared" si="26"/>
        <v>0.008955223881</v>
      </c>
    </row>
    <row r="53" ht="15.75" customHeight="1">
      <c r="A53" s="2" t="s">
        <v>40</v>
      </c>
      <c r="B53" s="2" t="s">
        <v>21</v>
      </c>
      <c r="C53" s="2" t="s">
        <v>22</v>
      </c>
      <c r="D53" s="2" t="s">
        <v>23</v>
      </c>
      <c r="E53" s="2" t="s">
        <v>97</v>
      </c>
      <c r="F53" s="2">
        <v>3.0</v>
      </c>
      <c r="G53" s="2" t="s">
        <v>98</v>
      </c>
      <c r="H53" s="2">
        <v>126.0</v>
      </c>
      <c r="I53" s="2">
        <v>186.0</v>
      </c>
      <c r="J53" s="2">
        <v>11.0</v>
      </c>
      <c r="K53" s="2">
        <v>0.0</v>
      </c>
      <c r="L53" s="2">
        <v>133.0</v>
      </c>
      <c r="M53" s="2">
        <v>0.0</v>
      </c>
      <c r="N53" s="2">
        <v>523.0</v>
      </c>
      <c r="O53" s="2">
        <v>0.0</v>
      </c>
      <c r="P53" s="2">
        <v>979.0</v>
      </c>
      <c r="Q53" s="2">
        <v>0.0</v>
      </c>
      <c r="R53" s="2">
        <v>0.0</v>
      </c>
      <c r="S53" s="2">
        <v>0.0</v>
      </c>
      <c r="T53" s="2">
        <v>0.0</v>
      </c>
      <c r="V53" s="2">
        <f t="shared" si="25"/>
        <v>656</v>
      </c>
      <c r="W53" s="4">
        <f t="shared" si="26"/>
        <v>0.02089552239</v>
      </c>
    </row>
    <row r="54" ht="15.75" customHeight="1">
      <c r="A54" s="3" t="s">
        <v>52</v>
      </c>
      <c r="B54" s="3" t="s">
        <v>21</v>
      </c>
      <c r="C54" s="3" t="s">
        <v>22</v>
      </c>
      <c r="D54" s="3" t="s">
        <v>23</v>
      </c>
      <c r="E54" s="3" t="s">
        <v>53</v>
      </c>
      <c r="F54" s="3">
        <v>3.0</v>
      </c>
      <c r="G54" s="3" t="s">
        <v>25</v>
      </c>
      <c r="H54" s="3">
        <v>46.0</v>
      </c>
      <c r="I54" s="3">
        <v>1505.0</v>
      </c>
      <c r="J54" s="3">
        <v>1209.0</v>
      </c>
      <c r="K54" s="3">
        <v>0.0</v>
      </c>
      <c r="L54" s="3">
        <v>18.0</v>
      </c>
      <c r="M54" s="3">
        <v>0.0</v>
      </c>
      <c r="N54" s="3">
        <v>210.0</v>
      </c>
      <c r="O54" s="3">
        <v>0.0</v>
      </c>
      <c r="P54" s="3">
        <v>996.0</v>
      </c>
      <c r="Q54" s="3">
        <v>0.0</v>
      </c>
      <c r="R54" s="3">
        <v>0.0</v>
      </c>
      <c r="S54" s="3">
        <v>0.0</v>
      </c>
      <c r="T54" s="3">
        <v>0.0</v>
      </c>
      <c r="U54" s="3"/>
      <c r="V54" s="3">
        <f>(N54+L54)*1/3</f>
        <v>76</v>
      </c>
    </row>
    <row r="55" ht="15.75" customHeight="1">
      <c r="A55" s="2" t="s">
        <v>52</v>
      </c>
      <c r="B55" s="2" t="s">
        <v>21</v>
      </c>
      <c r="C55" s="2" t="s">
        <v>22</v>
      </c>
      <c r="D55" s="2" t="s">
        <v>23</v>
      </c>
      <c r="E55" s="2" t="s">
        <v>104</v>
      </c>
      <c r="F55" s="2">
        <v>3.0</v>
      </c>
      <c r="G55" s="2" t="s">
        <v>94</v>
      </c>
      <c r="H55" s="2">
        <v>214.0</v>
      </c>
      <c r="I55" s="2">
        <v>684.0</v>
      </c>
      <c r="J55" s="2">
        <v>13.0</v>
      </c>
      <c r="K55" s="2">
        <v>0.0</v>
      </c>
      <c r="L55" s="2">
        <v>24.0</v>
      </c>
      <c r="M55" s="2">
        <v>0.0</v>
      </c>
      <c r="N55" s="2">
        <v>52.0</v>
      </c>
      <c r="O55" s="2">
        <v>0.0</v>
      </c>
      <c r="P55" s="2">
        <v>987.0</v>
      </c>
      <c r="Q55" s="2">
        <v>0.0</v>
      </c>
      <c r="R55" s="2">
        <v>0.0</v>
      </c>
      <c r="S55" s="2">
        <v>0.0</v>
      </c>
      <c r="T55" s="2">
        <v>0.0</v>
      </c>
      <c r="V55" s="2">
        <f t="shared" ref="V55:V57" si="27">(N55+L55)</f>
        <v>76</v>
      </c>
      <c r="W55" s="4">
        <f t="shared" ref="W55:W57" si="28">(V$54-V55)/V$54</f>
        <v>0</v>
      </c>
    </row>
    <row r="56" ht="15.75" customHeight="1">
      <c r="A56" s="2" t="s">
        <v>52</v>
      </c>
      <c r="B56" s="2" t="s">
        <v>21</v>
      </c>
      <c r="C56" s="2" t="s">
        <v>22</v>
      </c>
      <c r="D56" s="2" t="s">
        <v>23</v>
      </c>
      <c r="E56" s="2" t="s">
        <v>106</v>
      </c>
      <c r="F56" s="2">
        <v>3.0</v>
      </c>
      <c r="G56" s="2" t="s">
        <v>96</v>
      </c>
      <c r="H56" s="2">
        <v>215.0</v>
      </c>
      <c r="I56" s="2">
        <v>675.0</v>
      </c>
      <c r="J56" s="2">
        <v>13.0</v>
      </c>
      <c r="K56" s="2">
        <v>0.0</v>
      </c>
      <c r="L56" s="2">
        <v>29.0</v>
      </c>
      <c r="M56" s="2">
        <v>0.0</v>
      </c>
      <c r="N56" s="2">
        <v>46.0</v>
      </c>
      <c r="O56" s="2">
        <v>0.0</v>
      </c>
      <c r="P56" s="2">
        <v>978.0</v>
      </c>
      <c r="Q56" s="2">
        <v>0.0</v>
      </c>
      <c r="R56" s="2">
        <v>0.0</v>
      </c>
      <c r="S56" s="2">
        <v>0.0</v>
      </c>
      <c r="T56" s="2">
        <v>0.0</v>
      </c>
      <c r="V56" s="2">
        <f t="shared" si="27"/>
        <v>75</v>
      </c>
      <c r="W56" s="4">
        <f t="shared" si="28"/>
        <v>0.01315789474</v>
      </c>
    </row>
    <row r="57" ht="15.75" customHeight="1">
      <c r="A57" s="2" t="s">
        <v>52</v>
      </c>
      <c r="B57" s="2" t="s">
        <v>21</v>
      </c>
      <c r="C57" s="2" t="s">
        <v>22</v>
      </c>
      <c r="D57" s="2" t="s">
        <v>23</v>
      </c>
      <c r="E57" s="2" t="s">
        <v>107</v>
      </c>
      <c r="F57" s="2">
        <v>3.0</v>
      </c>
      <c r="G57" s="2" t="s">
        <v>98</v>
      </c>
      <c r="H57" s="2">
        <v>209.0</v>
      </c>
      <c r="I57" s="2">
        <v>691.0</v>
      </c>
      <c r="J57" s="2">
        <v>11.0</v>
      </c>
      <c r="K57" s="2">
        <v>0.0</v>
      </c>
      <c r="L57" s="2">
        <v>26.0</v>
      </c>
      <c r="M57" s="2">
        <v>0.0</v>
      </c>
      <c r="N57" s="2">
        <v>48.0</v>
      </c>
      <c r="O57" s="2">
        <v>0.0</v>
      </c>
      <c r="P57" s="2">
        <v>985.0</v>
      </c>
      <c r="Q57" s="2">
        <v>0.0</v>
      </c>
      <c r="R57" s="2">
        <v>0.0</v>
      </c>
      <c r="S57" s="2">
        <v>0.0</v>
      </c>
      <c r="T57" s="2">
        <v>0.0</v>
      </c>
      <c r="V57" s="2">
        <f t="shared" si="27"/>
        <v>74</v>
      </c>
      <c r="W57" s="4">
        <f t="shared" si="28"/>
        <v>0.02631578947</v>
      </c>
    </row>
    <row r="58" ht="15.75" customHeight="1">
      <c r="A58" s="3" t="s">
        <v>59</v>
      </c>
      <c r="B58" s="3" t="s">
        <v>21</v>
      </c>
      <c r="C58" s="3" t="s">
        <v>22</v>
      </c>
      <c r="D58" s="3" t="s">
        <v>23</v>
      </c>
      <c r="E58" s="3" t="s">
        <v>60</v>
      </c>
      <c r="F58" s="3">
        <v>3.0</v>
      </c>
      <c r="G58" s="3" t="s">
        <v>25</v>
      </c>
      <c r="H58" s="3">
        <v>253.0</v>
      </c>
      <c r="I58" s="3">
        <v>365.0</v>
      </c>
      <c r="J58" s="3">
        <v>582.0</v>
      </c>
      <c r="K58" s="3">
        <v>0.0</v>
      </c>
      <c r="L58" s="3">
        <v>273.0</v>
      </c>
      <c r="M58" s="3">
        <v>0.0</v>
      </c>
      <c r="N58" s="3">
        <v>582.0</v>
      </c>
      <c r="O58" s="3">
        <v>0.0</v>
      </c>
      <c r="P58" s="3">
        <v>685.0</v>
      </c>
      <c r="Q58" s="3">
        <v>0.0</v>
      </c>
      <c r="R58" s="3">
        <v>0.0</v>
      </c>
      <c r="S58" s="3">
        <v>0.0</v>
      </c>
      <c r="T58" s="3">
        <v>0.0</v>
      </c>
      <c r="U58" s="3"/>
      <c r="V58" s="3">
        <f>(N58+L58)*1/3</f>
        <v>285</v>
      </c>
    </row>
    <row r="59" ht="15.75" customHeight="1">
      <c r="A59" s="2" t="s">
        <v>59</v>
      </c>
      <c r="B59" s="2" t="s">
        <v>21</v>
      </c>
      <c r="C59" s="2" t="s">
        <v>22</v>
      </c>
      <c r="D59" s="2" t="s">
        <v>23</v>
      </c>
      <c r="E59" s="2" t="s">
        <v>108</v>
      </c>
      <c r="F59" s="2">
        <v>3.0</v>
      </c>
      <c r="G59" s="2" t="s">
        <v>94</v>
      </c>
      <c r="H59" s="2">
        <v>183.0</v>
      </c>
      <c r="I59" s="2">
        <v>186.0</v>
      </c>
      <c r="J59" s="2">
        <v>23.0</v>
      </c>
      <c r="K59" s="2">
        <v>0.0</v>
      </c>
      <c r="L59" s="2">
        <v>93.0</v>
      </c>
      <c r="M59" s="2">
        <v>0.0</v>
      </c>
      <c r="N59" s="2">
        <v>187.0</v>
      </c>
      <c r="O59" s="2">
        <v>0.0</v>
      </c>
      <c r="P59" s="2">
        <v>672.0</v>
      </c>
      <c r="Q59" s="2">
        <v>0.0</v>
      </c>
      <c r="R59" s="2">
        <v>0.0</v>
      </c>
      <c r="S59" s="2">
        <v>0.0</v>
      </c>
      <c r="T59" s="2">
        <v>0.0</v>
      </c>
      <c r="V59" s="2">
        <f t="shared" ref="V59:V61" si="29">(N59+L59)</f>
        <v>280</v>
      </c>
      <c r="W59" s="4">
        <f t="shared" ref="W59:W61" si="30">(V$58-V59)/V$58</f>
        <v>0.01754385965</v>
      </c>
    </row>
    <row r="60" ht="15.75" customHeight="1">
      <c r="A60" s="2" t="s">
        <v>59</v>
      </c>
      <c r="B60" s="2" t="s">
        <v>21</v>
      </c>
      <c r="C60" s="2" t="s">
        <v>22</v>
      </c>
      <c r="D60" s="2" t="s">
        <v>23</v>
      </c>
      <c r="E60" s="2" t="s">
        <v>110</v>
      </c>
      <c r="F60" s="2">
        <v>3.0</v>
      </c>
      <c r="G60" s="2" t="s">
        <v>96</v>
      </c>
      <c r="H60" s="2">
        <v>201.0</v>
      </c>
      <c r="I60" s="2">
        <v>169.0</v>
      </c>
      <c r="J60" s="2">
        <v>14.0</v>
      </c>
      <c r="K60" s="2">
        <v>0.0</v>
      </c>
      <c r="L60" s="2">
        <v>70.0</v>
      </c>
      <c r="M60" s="2">
        <v>0.0</v>
      </c>
      <c r="N60" s="2">
        <v>207.0</v>
      </c>
      <c r="O60" s="2">
        <v>0.0</v>
      </c>
      <c r="P60" s="2">
        <v>661.0</v>
      </c>
      <c r="Q60" s="2">
        <v>0.0</v>
      </c>
      <c r="R60" s="2">
        <v>0.0</v>
      </c>
      <c r="S60" s="2">
        <v>0.0</v>
      </c>
      <c r="T60" s="2">
        <v>0.0</v>
      </c>
      <c r="V60" s="2">
        <f t="shared" si="29"/>
        <v>277</v>
      </c>
      <c r="W60" s="4">
        <f t="shared" si="30"/>
        <v>0.02807017544</v>
      </c>
    </row>
    <row r="61" ht="15.75" customHeight="1">
      <c r="A61" s="2" t="s">
        <v>59</v>
      </c>
      <c r="B61" s="2" t="s">
        <v>21</v>
      </c>
      <c r="C61" s="2" t="s">
        <v>22</v>
      </c>
      <c r="D61" s="2" t="s">
        <v>23</v>
      </c>
      <c r="E61" s="2" t="s">
        <v>111</v>
      </c>
      <c r="F61" s="2">
        <v>3.0</v>
      </c>
      <c r="G61" s="2" t="s">
        <v>98</v>
      </c>
      <c r="H61" s="2">
        <v>188.0</v>
      </c>
      <c r="I61" s="2">
        <v>183.0</v>
      </c>
      <c r="J61" s="2">
        <v>22.0</v>
      </c>
      <c r="K61" s="2">
        <v>0.0</v>
      </c>
      <c r="L61" s="2">
        <v>69.0</v>
      </c>
      <c r="M61" s="2">
        <v>0.0</v>
      </c>
      <c r="N61" s="2">
        <v>211.0</v>
      </c>
      <c r="O61" s="2">
        <v>0.0</v>
      </c>
      <c r="P61" s="2">
        <v>673.0</v>
      </c>
      <c r="Q61" s="2">
        <v>0.0</v>
      </c>
      <c r="R61" s="2">
        <v>0.0</v>
      </c>
      <c r="S61" s="2">
        <v>0.0</v>
      </c>
      <c r="T61" s="2">
        <v>0.0</v>
      </c>
      <c r="V61" s="2">
        <f t="shared" si="29"/>
        <v>280</v>
      </c>
      <c r="W61" s="4">
        <f t="shared" si="30"/>
        <v>0.01754385965</v>
      </c>
    </row>
    <row r="62" ht="15.75" customHeight="1">
      <c r="A62" s="3" t="s">
        <v>69</v>
      </c>
      <c r="B62" s="3" t="s">
        <v>21</v>
      </c>
      <c r="C62" s="3" t="s">
        <v>22</v>
      </c>
      <c r="D62" s="3" t="s">
        <v>23</v>
      </c>
      <c r="E62" s="3" t="s">
        <v>70</v>
      </c>
      <c r="F62" s="3">
        <v>3.0</v>
      </c>
      <c r="G62" s="3" t="s">
        <v>25</v>
      </c>
      <c r="H62" s="3">
        <v>81.0</v>
      </c>
      <c r="I62" s="3">
        <v>6.0</v>
      </c>
      <c r="J62" s="3">
        <v>198.0</v>
      </c>
      <c r="K62" s="3">
        <v>0.0</v>
      </c>
      <c r="L62" s="3">
        <v>49.0</v>
      </c>
      <c r="M62" s="3">
        <v>0.0</v>
      </c>
      <c r="N62" s="3">
        <v>254.0</v>
      </c>
      <c r="O62" s="3">
        <v>0.0</v>
      </c>
      <c r="P62" s="3">
        <v>196.0</v>
      </c>
      <c r="Q62" s="3">
        <v>0.0</v>
      </c>
      <c r="R62" s="3">
        <v>0.0</v>
      </c>
      <c r="S62" s="3">
        <v>0.0</v>
      </c>
      <c r="T62" s="3">
        <v>0.0</v>
      </c>
      <c r="U62" s="3"/>
      <c r="V62" s="3">
        <f>(N62+L62)*1/3</f>
        <v>101</v>
      </c>
    </row>
    <row r="63" ht="15.75" customHeight="1">
      <c r="A63" s="2" t="s">
        <v>69</v>
      </c>
      <c r="B63" s="2" t="s">
        <v>21</v>
      </c>
      <c r="C63" s="2" t="s">
        <v>22</v>
      </c>
      <c r="D63" s="2" t="s">
        <v>23</v>
      </c>
      <c r="E63" s="2" t="s">
        <v>115</v>
      </c>
      <c r="F63" s="2">
        <v>3.0</v>
      </c>
      <c r="G63" s="2" t="s">
        <v>94</v>
      </c>
      <c r="H63" s="2">
        <v>32.0</v>
      </c>
      <c r="I63" s="2">
        <v>23.0</v>
      </c>
      <c r="J63" s="2">
        <v>41.0</v>
      </c>
      <c r="K63" s="2">
        <v>0.0</v>
      </c>
      <c r="L63" s="2">
        <v>16.0</v>
      </c>
      <c r="M63" s="2">
        <v>0.0</v>
      </c>
      <c r="N63" s="2">
        <v>84.0</v>
      </c>
      <c r="O63" s="2">
        <v>0.0</v>
      </c>
      <c r="P63" s="2">
        <v>196.0</v>
      </c>
      <c r="Q63" s="2">
        <v>0.0</v>
      </c>
      <c r="R63" s="2">
        <v>0.0</v>
      </c>
      <c r="S63" s="2">
        <v>0.0</v>
      </c>
      <c r="T63" s="2">
        <v>0.0</v>
      </c>
      <c r="V63" s="2">
        <f t="shared" ref="V63:V65" si="31">(N63+L63)</f>
        <v>100</v>
      </c>
      <c r="W63" s="4">
        <f t="shared" ref="W63:W65" si="32">(V$62-V63)/V$62</f>
        <v>0.009900990099</v>
      </c>
    </row>
    <row r="64" ht="15.75" customHeight="1">
      <c r="A64" s="2" t="s">
        <v>69</v>
      </c>
      <c r="B64" s="2" t="s">
        <v>21</v>
      </c>
      <c r="C64" s="2" t="s">
        <v>22</v>
      </c>
      <c r="D64" s="2" t="s">
        <v>23</v>
      </c>
      <c r="E64" s="2" t="s">
        <v>118</v>
      </c>
      <c r="F64" s="2">
        <v>3.0</v>
      </c>
      <c r="G64" s="2" t="s">
        <v>96</v>
      </c>
      <c r="H64" s="2">
        <v>40.0</v>
      </c>
      <c r="I64" s="2">
        <v>39.0</v>
      </c>
      <c r="J64" s="2">
        <v>16.0</v>
      </c>
      <c r="K64" s="2">
        <v>0.0</v>
      </c>
      <c r="L64" s="2">
        <v>24.0</v>
      </c>
      <c r="M64" s="2">
        <v>0.0</v>
      </c>
      <c r="N64" s="2">
        <v>77.0</v>
      </c>
      <c r="O64" s="2">
        <v>0.0</v>
      </c>
      <c r="P64" s="2">
        <v>196.0</v>
      </c>
      <c r="Q64" s="2">
        <v>0.0</v>
      </c>
      <c r="R64" s="2">
        <v>0.0</v>
      </c>
      <c r="S64" s="2">
        <v>0.0</v>
      </c>
      <c r="T64" s="2">
        <v>0.0</v>
      </c>
      <c r="V64" s="2">
        <f t="shared" si="31"/>
        <v>101</v>
      </c>
      <c r="W64" s="4">
        <f t="shared" si="32"/>
        <v>0</v>
      </c>
    </row>
    <row r="65" ht="15.75" customHeight="1">
      <c r="A65" s="2" t="s">
        <v>69</v>
      </c>
      <c r="B65" s="2" t="s">
        <v>21</v>
      </c>
      <c r="C65" s="2" t="s">
        <v>22</v>
      </c>
      <c r="D65" s="2" t="s">
        <v>23</v>
      </c>
      <c r="E65" s="2" t="s">
        <v>120</v>
      </c>
      <c r="F65" s="2">
        <v>3.0</v>
      </c>
      <c r="G65" s="2" t="s">
        <v>98</v>
      </c>
      <c r="H65" s="2">
        <v>41.0</v>
      </c>
      <c r="I65" s="2">
        <v>33.0</v>
      </c>
      <c r="J65" s="2">
        <v>22.0</v>
      </c>
      <c r="K65" s="2">
        <v>0.0</v>
      </c>
      <c r="L65" s="2">
        <v>24.0</v>
      </c>
      <c r="M65" s="2">
        <v>0.0</v>
      </c>
      <c r="N65" s="2">
        <v>77.0</v>
      </c>
      <c r="O65" s="2">
        <v>0.0</v>
      </c>
      <c r="P65" s="2">
        <v>197.0</v>
      </c>
      <c r="Q65" s="2">
        <v>0.0</v>
      </c>
      <c r="R65" s="2">
        <v>0.0</v>
      </c>
      <c r="S65" s="2">
        <v>0.0</v>
      </c>
      <c r="T65" s="2">
        <v>0.0</v>
      </c>
      <c r="V65" s="2">
        <f t="shared" si="31"/>
        <v>101</v>
      </c>
      <c r="W65" s="4">
        <f t="shared" si="32"/>
        <v>0</v>
      </c>
    </row>
    <row r="66" ht="15.75" customHeight="1">
      <c r="A66" s="3" t="s">
        <v>75</v>
      </c>
      <c r="B66" s="3" t="s">
        <v>32</v>
      </c>
      <c r="C66" s="3" t="s">
        <v>22</v>
      </c>
      <c r="D66" s="3" t="s">
        <v>23</v>
      </c>
      <c r="E66" s="3" t="s">
        <v>41</v>
      </c>
      <c r="F66" s="3">
        <v>3.0</v>
      </c>
      <c r="G66" s="3" t="s">
        <v>25</v>
      </c>
      <c r="H66" s="3">
        <v>879.0</v>
      </c>
      <c r="I66" s="3">
        <v>483.0</v>
      </c>
      <c r="J66" s="3">
        <v>180.0</v>
      </c>
      <c r="K66" s="3">
        <v>0.0</v>
      </c>
      <c r="L66" s="3">
        <v>79.0</v>
      </c>
      <c r="M66" s="3">
        <v>0.0</v>
      </c>
      <c r="N66" s="3">
        <v>1364.0</v>
      </c>
      <c r="O66" s="3">
        <v>0.0</v>
      </c>
      <c r="P66" s="3">
        <v>995.0</v>
      </c>
      <c r="Q66" s="3">
        <v>0.0</v>
      </c>
      <c r="R66" s="3">
        <v>0.0</v>
      </c>
      <c r="S66" s="3">
        <v>0.0</v>
      </c>
      <c r="T66" s="3">
        <v>0.0</v>
      </c>
      <c r="U66" s="3"/>
      <c r="V66" s="3">
        <f>(N66+L66)*1/3</f>
        <v>481</v>
      </c>
    </row>
    <row r="67" ht="15.75" customHeight="1">
      <c r="A67" s="2" t="s">
        <v>75</v>
      </c>
      <c r="B67" s="2" t="s">
        <v>32</v>
      </c>
      <c r="C67" s="2" t="s">
        <v>22</v>
      </c>
      <c r="D67" s="2" t="s">
        <v>23</v>
      </c>
      <c r="E67" s="2" t="s">
        <v>93</v>
      </c>
      <c r="F67" s="2">
        <v>3.0</v>
      </c>
      <c r="G67" s="2" t="s">
        <v>94</v>
      </c>
      <c r="H67" s="2">
        <v>275.0</v>
      </c>
      <c r="I67" s="2">
        <v>176.0</v>
      </c>
      <c r="J67" s="2">
        <v>10.0</v>
      </c>
      <c r="K67" s="2">
        <v>0.0</v>
      </c>
      <c r="L67" s="2">
        <v>68.0</v>
      </c>
      <c r="M67" s="2">
        <v>0.0</v>
      </c>
      <c r="N67" s="2">
        <v>362.0</v>
      </c>
      <c r="O67" s="2">
        <v>0.0</v>
      </c>
      <c r="P67" s="2">
        <v>891.0</v>
      </c>
      <c r="Q67" s="2">
        <v>0.0</v>
      </c>
      <c r="R67" s="2">
        <v>0.0</v>
      </c>
      <c r="S67" s="2">
        <v>0.0</v>
      </c>
      <c r="T67" s="2">
        <v>0.0</v>
      </c>
      <c r="V67" s="2">
        <f t="shared" ref="V67:V69" si="33">(N67+L67)</f>
        <v>430</v>
      </c>
      <c r="W67" s="26">
        <f t="shared" ref="W67:W69" si="34">(V$66-V67)/V$66</f>
        <v>0.106029106</v>
      </c>
    </row>
    <row r="68" ht="15.75" customHeight="1">
      <c r="A68" s="2" t="s">
        <v>75</v>
      </c>
      <c r="B68" s="2" t="s">
        <v>32</v>
      </c>
      <c r="C68" s="2" t="s">
        <v>22</v>
      </c>
      <c r="D68" s="2" t="s">
        <v>23</v>
      </c>
      <c r="E68" s="2" t="s">
        <v>95</v>
      </c>
      <c r="F68" s="2">
        <v>3.0</v>
      </c>
      <c r="G68" s="2" t="s">
        <v>96</v>
      </c>
      <c r="H68" s="2">
        <v>308.0</v>
      </c>
      <c r="I68" s="2">
        <v>156.0</v>
      </c>
      <c r="J68" s="2">
        <v>8.0</v>
      </c>
      <c r="K68" s="2">
        <v>0.0</v>
      </c>
      <c r="L68" s="2">
        <v>49.0</v>
      </c>
      <c r="M68" s="2">
        <v>0.0</v>
      </c>
      <c r="N68" s="2">
        <v>394.0</v>
      </c>
      <c r="O68" s="2">
        <v>0.0</v>
      </c>
      <c r="P68" s="2">
        <v>915.0</v>
      </c>
      <c r="Q68" s="2">
        <v>0.0</v>
      </c>
      <c r="R68" s="2">
        <v>0.0</v>
      </c>
      <c r="S68" s="2">
        <v>0.0</v>
      </c>
      <c r="T68" s="2">
        <v>0.0</v>
      </c>
      <c r="V68" s="2">
        <f t="shared" si="33"/>
        <v>443</v>
      </c>
      <c r="W68" s="4">
        <f t="shared" si="34"/>
        <v>0.079002079</v>
      </c>
    </row>
    <row r="69" ht="15.75" customHeight="1">
      <c r="A69" s="2" t="s">
        <v>75</v>
      </c>
      <c r="B69" s="2" t="s">
        <v>32</v>
      </c>
      <c r="C69" s="2" t="s">
        <v>22</v>
      </c>
      <c r="D69" s="2" t="s">
        <v>23</v>
      </c>
      <c r="E69" s="2" t="s">
        <v>97</v>
      </c>
      <c r="F69" s="2">
        <v>3.0</v>
      </c>
      <c r="G69" s="2" t="s">
        <v>98</v>
      </c>
      <c r="H69" s="2">
        <v>325.0</v>
      </c>
      <c r="I69" s="2">
        <v>151.0</v>
      </c>
      <c r="J69" s="2">
        <v>5.0</v>
      </c>
      <c r="K69" s="2">
        <v>0.0</v>
      </c>
      <c r="L69" s="2">
        <v>38.0</v>
      </c>
      <c r="M69" s="2">
        <v>0.0</v>
      </c>
      <c r="N69" s="2">
        <v>402.0</v>
      </c>
      <c r="O69" s="2">
        <v>0.0</v>
      </c>
      <c r="P69" s="2">
        <v>921.0</v>
      </c>
      <c r="Q69" s="2">
        <v>0.0</v>
      </c>
      <c r="R69" s="2">
        <v>0.0</v>
      </c>
      <c r="S69" s="2">
        <v>0.0</v>
      </c>
      <c r="T69" s="2">
        <v>0.0</v>
      </c>
      <c r="V69" s="2">
        <f t="shared" si="33"/>
        <v>440</v>
      </c>
      <c r="W69" s="4">
        <f t="shared" si="34"/>
        <v>0.08523908524</v>
      </c>
    </row>
    <row r="70" ht="15.75" customHeight="1">
      <c r="A70" s="3" t="s">
        <v>77</v>
      </c>
      <c r="B70" s="3" t="s">
        <v>32</v>
      </c>
      <c r="C70" s="3" t="s">
        <v>22</v>
      </c>
      <c r="D70" s="3" t="s">
        <v>23</v>
      </c>
      <c r="E70" s="3" t="s">
        <v>53</v>
      </c>
      <c r="F70" s="3">
        <v>3.0</v>
      </c>
      <c r="G70" s="3" t="s">
        <v>25</v>
      </c>
      <c r="H70" s="3">
        <v>60.0</v>
      </c>
      <c r="I70" s="3">
        <v>1479.0</v>
      </c>
      <c r="J70" s="3">
        <v>1209.0</v>
      </c>
      <c r="K70" s="3">
        <v>0.0</v>
      </c>
      <c r="L70" s="3">
        <v>19.0</v>
      </c>
      <c r="M70" s="3">
        <v>0.0</v>
      </c>
      <c r="N70" s="3">
        <v>215.0</v>
      </c>
      <c r="O70" s="3">
        <v>0.0</v>
      </c>
      <c r="P70" s="3">
        <v>994.0</v>
      </c>
      <c r="Q70" s="3">
        <v>0.0</v>
      </c>
      <c r="R70" s="3">
        <v>0.0</v>
      </c>
      <c r="S70" s="3">
        <v>0.0</v>
      </c>
      <c r="T70" s="3">
        <v>0.0</v>
      </c>
      <c r="U70" s="3"/>
      <c r="V70" s="3">
        <f>(N70+L70)*1/3</f>
        <v>78</v>
      </c>
    </row>
    <row r="71" ht="15.75" customHeight="1">
      <c r="A71" s="2" t="s">
        <v>77</v>
      </c>
      <c r="B71" s="2" t="s">
        <v>32</v>
      </c>
      <c r="C71" s="2" t="s">
        <v>22</v>
      </c>
      <c r="D71" s="2" t="s">
        <v>23</v>
      </c>
      <c r="E71" s="2" t="s">
        <v>104</v>
      </c>
      <c r="F71" s="2">
        <v>3.0</v>
      </c>
      <c r="G71" s="2" t="s">
        <v>94</v>
      </c>
      <c r="H71" s="2">
        <v>296.0</v>
      </c>
      <c r="I71" s="2">
        <v>569.0</v>
      </c>
      <c r="J71" s="2">
        <v>18.0</v>
      </c>
      <c r="K71" s="2">
        <v>0.0</v>
      </c>
      <c r="L71" s="2">
        <v>3.0</v>
      </c>
      <c r="M71" s="2">
        <v>0.0</v>
      </c>
      <c r="N71" s="2">
        <v>70.0</v>
      </c>
      <c r="O71" s="2">
        <v>0.0</v>
      </c>
      <c r="P71" s="2">
        <v>956.0</v>
      </c>
      <c r="Q71" s="2">
        <v>0.0</v>
      </c>
      <c r="R71" s="2">
        <v>0.0</v>
      </c>
      <c r="S71" s="2">
        <v>0.0</v>
      </c>
      <c r="T71" s="2">
        <v>0.0</v>
      </c>
      <c r="V71" s="2">
        <f t="shared" ref="V71:V73" si="35">(N71+L71)</f>
        <v>73</v>
      </c>
      <c r="W71" s="4">
        <f t="shared" ref="W71:W73" si="36">(V$70-V71)/V$70</f>
        <v>0.0641025641</v>
      </c>
    </row>
    <row r="72" ht="15.75" customHeight="1">
      <c r="A72" s="2" t="s">
        <v>77</v>
      </c>
      <c r="B72" s="2" t="s">
        <v>32</v>
      </c>
      <c r="C72" s="2" t="s">
        <v>22</v>
      </c>
      <c r="D72" s="2" t="s">
        <v>23</v>
      </c>
      <c r="E72" s="2" t="s">
        <v>106</v>
      </c>
      <c r="F72" s="2">
        <v>3.0</v>
      </c>
      <c r="G72" s="2" t="s">
        <v>96</v>
      </c>
      <c r="H72" s="2">
        <v>266.0</v>
      </c>
      <c r="I72" s="2">
        <v>601.0</v>
      </c>
      <c r="J72" s="2">
        <v>22.0</v>
      </c>
      <c r="K72" s="2">
        <v>0.0</v>
      </c>
      <c r="L72" s="2">
        <v>2.0</v>
      </c>
      <c r="M72" s="2">
        <v>0.0</v>
      </c>
      <c r="N72" s="2">
        <v>73.0</v>
      </c>
      <c r="O72" s="2">
        <v>0.0</v>
      </c>
      <c r="P72" s="2">
        <v>964.0</v>
      </c>
      <c r="Q72" s="2">
        <v>0.0</v>
      </c>
      <c r="R72" s="2">
        <v>0.0</v>
      </c>
      <c r="S72" s="2">
        <v>0.0</v>
      </c>
      <c r="T72" s="2">
        <v>0.0</v>
      </c>
      <c r="V72" s="2">
        <f t="shared" si="35"/>
        <v>75</v>
      </c>
      <c r="W72" s="4">
        <f t="shared" si="36"/>
        <v>0.03846153846</v>
      </c>
    </row>
    <row r="73" ht="15.75" customHeight="1">
      <c r="A73" s="2" t="s">
        <v>77</v>
      </c>
      <c r="B73" s="2" t="s">
        <v>32</v>
      </c>
      <c r="C73" s="2" t="s">
        <v>22</v>
      </c>
      <c r="D73" s="2" t="s">
        <v>23</v>
      </c>
      <c r="E73" s="2" t="s">
        <v>107</v>
      </c>
      <c r="F73" s="2">
        <v>3.0</v>
      </c>
      <c r="G73" s="2" t="s">
        <v>98</v>
      </c>
      <c r="H73" s="2">
        <v>148.0</v>
      </c>
      <c r="I73" s="2">
        <v>700.0</v>
      </c>
      <c r="J73" s="2">
        <v>34.0</v>
      </c>
      <c r="K73" s="2">
        <v>0.0</v>
      </c>
      <c r="L73" s="2">
        <v>2.0</v>
      </c>
      <c r="M73" s="2">
        <v>0.0</v>
      </c>
      <c r="N73" s="2">
        <v>70.0</v>
      </c>
      <c r="O73" s="2">
        <v>0.0</v>
      </c>
      <c r="P73" s="2">
        <v>954.0</v>
      </c>
      <c r="Q73" s="2">
        <v>0.0</v>
      </c>
      <c r="R73" s="2">
        <v>0.0</v>
      </c>
      <c r="S73" s="2">
        <v>0.0</v>
      </c>
      <c r="T73" s="2">
        <v>0.0</v>
      </c>
      <c r="V73" s="2">
        <f t="shared" si="35"/>
        <v>72</v>
      </c>
      <c r="W73" s="4">
        <f t="shared" si="36"/>
        <v>0.07692307692</v>
      </c>
    </row>
    <row r="74" ht="15.75" customHeight="1">
      <c r="A74" s="3" t="s">
        <v>78</v>
      </c>
      <c r="B74" s="3" t="s">
        <v>32</v>
      </c>
      <c r="C74" s="3" t="s">
        <v>22</v>
      </c>
      <c r="D74" s="3" t="s">
        <v>23</v>
      </c>
      <c r="E74" s="3" t="s">
        <v>60</v>
      </c>
      <c r="F74" s="3">
        <v>3.0</v>
      </c>
      <c r="G74" s="3" t="s">
        <v>25</v>
      </c>
      <c r="H74" s="3">
        <v>89.0</v>
      </c>
      <c r="I74" s="3">
        <v>325.0</v>
      </c>
      <c r="J74" s="3">
        <v>558.0</v>
      </c>
      <c r="K74" s="3">
        <v>0.0</v>
      </c>
      <c r="L74" s="3">
        <v>177.0</v>
      </c>
      <c r="M74" s="3">
        <v>0.0</v>
      </c>
      <c r="N74" s="3">
        <v>894.0</v>
      </c>
      <c r="O74" s="3">
        <v>0.0</v>
      </c>
      <c r="P74" s="3">
        <v>681.0</v>
      </c>
      <c r="Q74" s="3">
        <v>0.0</v>
      </c>
      <c r="R74" s="3">
        <v>0.0</v>
      </c>
      <c r="S74" s="3">
        <v>0.0</v>
      </c>
      <c r="T74" s="3">
        <v>0.0</v>
      </c>
      <c r="U74" s="3"/>
      <c r="V74" s="3">
        <f>(N74+L74)*1/3</f>
        <v>357</v>
      </c>
    </row>
    <row r="75" ht="15.75" customHeight="1">
      <c r="A75" s="2" t="s">
        <v>78</v>
      </c>
      <c r="B75" s="2" t="s">
        <v>32</v>
      </c>
      <c r="C75" s="2" t="s">
        <v>22</v>
      </c>
      <c r="D75" s="2" t="s">
        <v>23</v>
      </c>
      <c r="E75" s="2" t="s">
        <v>108</v>
      </c>
      <c r="F75" s="2">
        <v>3.0</v>
      </c>
      <c r="G75" s="2" t="s">
        <v>94</v>
      </c>
      <c r="H75" s="2">
        <v>106.0</v>
      </c>
      <c r="I75" s="2">
        <v>183.0</v>
      </c>
      <c r="J75" s="2">
        <v>20.0</v>
      </c>
      <c r="K75" s="2">
        <v>0.0</v>
      </c>
      <c r="L75" s="2">
        <v>90.0</v>
      </c>
      <c r="M75" s="2">
        <v>0.0</v>
      </c>
      <c r="N75" s="2">
        <v>254.0</v>
      </c>
      <c r="O75" s="2">
        <v>0.0</v>
      </c>
      <c r="P75" s="2">
        <v>653.0</v>
      </c>
      <c r="Q75" s="2">
        <v>0.0</v>
      </c>
      <c r="R75" s="2">
        <v>0.0</v>
      </c>
      <c r="S75" s="2">
        <v>0.0</v>
      </c>
      <c r="T75" s="2">
        <v>0.0</v>
      </c>
      <c r="V75" s="2">
        <f t="shared" ref="V75:V77" si="37">(N75+L75)</f>
        <v>344</v>
      </c>
      <c r="W75" s="4">
        <f t="shared" ref="W75:W77" si="38">(V$74-V75)/V$74</f>
        <v>0.03641456583</v>
      </c>
    </row>
    <row r="76" ht="15.75" customHeight="1">
      <c r="A76" s="2" t="s">
        <v>78</v>
      </c>
      <c r="B76" s="2" t="s">
        <v>32</v>
      </c>
      <c r="C76" s="2" t="s">
        <v>22</v>
      </c>
      <c r="D76" s="2" t="s">
        <v>23</v>
      </c>
      <c r="E76" s="2" t="s">
        <v>110</v>
      </c>
      <c r="F76" s="2">
        <v>3.0</v>
      </c>
      <c r="G76" s="2" t="s">
        <v>96</v>
      </c>
      <c r="H76" s="2">
        <v>103.0</v>
      </c>
      <c r="I76" s="2">
        <v>179.0</v>
      </c>
      <c r="J76" s="2">
        <v>28.0</v>
      </c>
      <c r="K76" s="2">
        <v>0.0</v>
      </c>
      <c r="L76" s="2">
        <v>91.0</v>
      </c>
      <c r="M76" s="2">
        <v>0.0</v>
      </c>
      <c r="N76" s="2">
        <v>253.0</v>
      </c>
      <c r="O76" s="2">
        <v>0.0</v>
      </c>
      <c r="P76" s="2">
        <v>654.0</v>
      </c>
      <c r="Q76" s="2">
        <v>0.0</v>
      </c>
      <c r="R76" s="2">
        <v>0.0</v>
      </c>
      <c r="S76" s="2">
        <v>0.0</v>
      </c>
      <c r="T76" s="2">
        <v>0.0</v>
      </c>
      <c r="V76" s="2">
        <f t="shared" si="37"/>
        <v>344</v>
      </c>
      <c r="W76" s="4">
        <f t="shared" si="38"/>
        <v>0.03641456583</v>
      </c>
    </row>
    <row r="77" ht="15.75" customHeight="1">
      <c r="A77" s="2" t="s">
        <v>78</v>
      </c>
      <c r="B77" s="2" t="s">
        <v>32</v>
      </c>
      <c r="C77" s="2" t="s">
        <v>22</v>
      </c>
      <c r="D77" s="2" t="s">
        <v>23</v>
      </c>
      <c r="E77" s="2" t="s">
        <v>111</v>
      </c>
      <c r="F77" s="2">
        <v>3.0</v>
      </c>
      <c r="G77" s="2" t="s">
        <v>98</v>
      </c>
      <c r="H77" s="2">
        <v>68.0</v>
      </c>
      <c r="I77" s="2">
        <v>208.0</v>
      </c>
      <c r="J77" s="2">
        <v>32.0</v>
      </c>
      <c r="K77" s="2">
        <v>0.0</v>
      </c>
      <c r="L77" s="2">
        <v>63.0</v>
      </c>
      <c r="M77" s="2">
        <v>0.0</v>
      </c>
      <c r="N77" s="2">
        <v>279.0</v>
      </c>
      <c r="O77" s="2">
        <v>0.0</v>
      </c>
      <c r="P77" s="2">
        <v>650.0</v>
      </c>
      <c r="Q77" s="2">
        <v>0.0</v>
      </c>
      <c r="R77" s="2">
        <v>0.0</v>
      </c>
      <c r="S77" s="2">
        <v>0.0</v>
      </c>
      <c r="T77" s="2">
        <v>0.0</v>
      </c>
      <c r="V77" s="2">
        <f t="shared" si="37"/>
        <v>342</v>
      </c>
      <c r="W77" s="4">
        <f t="shared" si="38"/>
        <v>0.04201680672</v>
      </c>
    </row>
    <row r="78" ht="15.75" customHeight="1">
      <c r="A78" s="3" t="s">
        <v>80</v>
      </c>
      <c r="B78" s="3" t="s">
        <v>32</v>
      </c>
      <c r="C78" s="3" t="s">
        <v>22</v>
      </c>
      <c r="D78" s="3" t="s">
        <v>23</v>
      </c>
      <c r="E78" s="3" t="s">
        <v>70</v>
      </c>
      <c r="F78" s="3">
        <v>3.0</v>
      </c>
      <c r="G78" s="3" t="s">
        <v>25</v>
      </c>
      <c r="H78" s="3">
        <v>109.0</v>
      </c>
      <c r="I78" s="3">
        <v>155.0</v>
      </c>
      <c r="J78" s="3">
        <v>141.0</v>
      </c>
      <c r="K78" s="3">
        <v>0.0</v>
      </c>
      <c r="L78" s="3">
        <v>34.0</v>
      </c>
      <c r="M78" s="3">
        <v>0.0</v>
      </c>
      <c r="N78" s="3">
        <v>149.0</v>
      </c>
      <c r="O78" s="3">
        <v>0.0</v>
      </c>
      <c r="P78" s="3">
        <v>196.0</v>
      </c>
      <c r="Q78" s="3">
        <v>0.0</v>
      </c>
      <c r="R78" s="3">
        <v>0.0</v>
      </c>
      <c r="S78" s="3">
        <v>0.0</v>
      </c>
      <c r="T78" s="3">
        <v>0.0</v>
      </c>
      <c r="U78" s="3"/>
      <c r="V78" s="3">
        <f>(N78+L78)*1/3</f>
        <v>61</v>
      </c>
    </row>
    <row r="79" ht="15.75" customHeight="1">
      <c r="A79" s="2" t="s">
        <v>80</v>
      </c>
      <c r="B79" s="2" t="s">
        <v>32</v>
      </c>
      <c r="C79" s="2" t="s">
        <v>22</v>
      </c>
      <c r="D79" s="2" t="s">
        <v>23</v>
      </c>
      <c r="E79" s="2" t="s">
        <v>115</v>
      </c>
      <c r="F79" s="2">
        <v>3.0</v>
      </c>
      <c r="G79" s="2" t="s">
        <v>94</v>
      </c>
      <c r="H79" s="2">
        <v>97.0</v>
      </c>
      <c r="I79" s="2">
        <v>30.0</v>
      </c>
      <c r="J79" s="2">
        <v>2.0</v>
      </c>
      <c r="K79" s="2">
        <v>0.0</v>
      </c>
      <c r="L79" s="2">
        <v>7.0</v>
      </c>
      <c r="M79" s="2">
        <v>0.0</v>
      </c>
      <c r="N79" s="2">
        <v>52.0</v>
      </c>
      <c r="O79" s="2">
        <v>0.0</v>
      </c>
      <c r="P79" s="2">
        <v>188.0</v>
      </c>
      <c r="Q79" s="2">
        <v>0.0</v>
      </c>
      <c r="R79" s="2">
        <v>0.0</v>
      </c>
      <c r="S79" s="2">
        <v>0.0</v>
      </c>
      <c r="T79" s="2">
        <v>0.0</v>
      </c>
      <c r="V79" s="2">
        <f t="shared" ref="V79:V81" si="39">(N79+L79)</f>
        <v>59</v>
      </c>
      <c r="W79" s="4">
        <f t="shared" ref="W79:W81" si="40">(V$78-V79)/V$78</f>
        <v>0.03278688525</v>
      </c>
    </row>
    <row r="80" ht="15.75" customHeight="1">
      <c r="A80" s="2" t="s">
        <v>80</v>
      </c>
      <c r="B80" s="2" t="s">
        <v>32</v>
      </c>
      <c r="C80" s="2" t="s">
        <v>22</v>
      </c>
      <c r="D80" s="2" t="s">
        <v>23</v>
      </c>
      <c r="E80" s="2" t="s">
        <v>118</v>
      </c>
      <c r="F80" s="2">
        <v>3.0</v>
      </c>
      <c r="G80" s="2" t="s">
        <v>96</v>
      </c>
      <c r="H80" s="2">
        <v>93.0</v>
      </c>
      <c r="I80" s="2">
        <v>37.0</v>
      </c>
      <c r="J80" s="2">
        <v>2.0</v>
      </c>
      <c r="K80" s="2">
        <v>0.0</v>
      </c>
      <c r="L80" s="2">
        <v>11.0</v>
      </c>
      <c r="M80" s="2">
        <v>0.0</v>
      </c>
      <c r="N80" s="2">
        <v>47.0</v>
      </c>
      <c r="O80" s="2">
        <v>0.0</v>
      </c>
      <c r="P80" s="2">
        <v>190.0</v>
      </c>
      <c r="Q80" s="2">
        <v>0.0</v>
      </c>
      <c r="R80" s="2">
        <v>0.0</v>
      </c>
      <c r="S80" s="2">
        <v>0.0</v>
      </c>
      <c r="T80" s="2">
        <v>0.0</v>
      </c>
      <c r="V80" s="2">
        <f t="shared" si="39"/>
        <v>58</v>
      </c>
      <c r="W80" s="4">
        <f t="shared" si="40"/>
        <v>0.04918032787</v>
      </c>
    </row>
    <row r="81" ht="15.75" customHeight="1">
      <c r="A81" s="2" t="s">
        <v>80</v>
      </c>
      <c r="B81" s="2" t="s">
        <v>32</v>
      </c>
      <c r="C81" s="2" t="s">
        <v>22</v>
      </c>
      <c r="D81" s="2" t="s">
        <v>23</v>
      </c>
      <c r="E81" s="2" t="s">
        <v>120</v>
      </c>
      <c r="F81" s="2">
        <v>3.0</v>
      </c>
      <c r="G81" s="2" t="s">
        <v>98</v>
      </c>
      <c r="H81" s="2">
        <v>75.0</v>
      </c>
      <c r="I81" s="2">
        <v>52.0</v>
      </c>
      <c r="J81" s="2">
        <v>4.0</v>
      </c>
      <c r="K81" s="2">
        <v>0.0</v>
      </c>
      <c r="L81" s="2">
        <v>9.0</v>
      </c>
      <c r="M81" s="2">
        <v>0.0</v>
      </c>
      <c r="N81" s="2">
        <v>50.0</v>
      </c>
      <c r="O81" s="2">
        <v>0.0</v>
      </c>
      <c r="P81" s="2">
        <v>190.0</v>
      </c>
      <c r="Q81" s="2">
        <v>0.0</v>
      </c>
      <c r="R81" s="2">
        <v>0.0</v>
      </c>
      <c r="S81" s="2">
        <v>0.0</v>
      </c>
      <c r="T81" s="2">
        <v>0.0</v>
      </c>
      <c r="V81" s="2">
        <f t="shared" si="39"/>
        <v>59</v>
      </c>
      <c r="W81" s="4">
        <f t="shared" si="40"/>
        <v>0.03278688525</v>
      </c>
    </row>
    <row r="82" ht="15.75" customHeight="1">
      <c r="A82" s="3" t="s">
        <v>87</v>
      </c>
      <c r="B82" s="3" t="s">
        <v>43</v>
      </c>
      <c r="C82" s="3" t="s">
        <v>22</v>
      </c>
      <c r="D82" s="3" t="s">
        <v>23</v>
      </c>
      <c r="E82" s="3" t="s">
        <v>41</v>
      </c>
      <c r="F82" s="3">
        <v>3.0</v>
      </c>
      <c r="G82" s="3" t="s">
        <v>25</v>
      </c>
      <c r="H82" s="3">
        <v>162.0</v>
      </c>
      <c r="I82" s="3">
        <v>312.0</v>
      </c>
      <c r="J82" s="3">
        <v>441.0</v>
      </c>
      <c r="K82" s="3">
        <v>0.0</v>
      </c>
      <c r="L82" s="3">
        <v>209.0</v>
      </c>
      <c r="M82" s="3">
        <v>0.0</v>
      </c>
      <c r="N82" s="3">
        <v>1483.0</v>
      </c>
      <c r="O82" s="3">
        <v>0.0</v>
      </c>
      <c r="P82" s="3">
        <v>869.0</v>
      </c>
      <c r="Q82" s="3">
        <v>0.0</v>
      </c>
      <c r="R82" s="3">
        <v>0.0</v>
      </c>
      <c r="S82" s="3">
        <v>0.0</v>
      </c>
      <c r="T82" s="3">
        <v>0.0</v>
      </c>
      <c r="U82" s="3"/>
      <c r="V82" s="3">
        <f>(N82+L82)*1/3</f>
        <v>564</v>
      </c>
    </row>
    <row r="83" ht="15.75" customHeight="1">
      <c r="A83" s="2" t="s">
        <v>87</v>
      </c>
      <c r="B83" s="2" t="s">
        <v>43</v>
      </c>
      <c r="C83" s="2" t="s">
        <v>22</v>
      </c>
      <c r="D83" s="2" t="s">
        <v>23</v>
      </c>
      <c r="E83" s="2" t="s">
        <v>93</v>
      </c>
      <c r="F83" s="2">
        <v>3.0</v>
      </c>
      <c r="G83" s="2" t="s">
        <v>94</v>
      </c>
      <c r="H83" s="2">
        <v>55.0</v>
      </c>
      <c r="I83" s="2">
        <v>154.0</v>
      </c>
      <c r="J83" s="2">
        <v>2.0</v>
      </c>
      <c r="K83" s="2">
        <v>0.0</v>
      </c>
      <c r="L83" s="2">
        <v>162.0</v>
      </c>
      <c r="M83" s="2">
        <v>0.0</v>
      </c>
      <c r="N83" s="2">
        <v>217.0</v>
      </c>
      <c r="O83" s="2">
        <v>0.0</v>
      </c>
      <c r="P83" s="2">
        <v>590.0</v>
      </c>
      <c r="Q83" s="2">
        <v>0.0</v>
      </c>
      <c r="R83" s="2">
        <v>0.0</v>
      </c>
      <c r="S83" s="2">
        <v>0.0</v>
      </c>
      <c r="T83" s="2">
        <v>0.0</v>
      </c>
      <c r="V83" s="2">
        <f t="shared" ref="V83:V85" si="41">(N83+L83)</f>
        <v>379</v>
      </c>
      <c r="W83" s="26">
        <f t="shared" ref="W83:W85" si="42">(V$82-V83)/V$82</f>
        <v>0.3280141844</v>
      </c>
    </row>
    <row r="84" ht="15.75" customHeight="1">
      <c r="A84" s="2" t="s">
        <v>87</v>
      </c>
      <c r="B84" s="2" t="s">
        <v>43</v>
      </c>
      <c r="C84" s="2" t="s">
        <v>22</v>
      </c>
      <c r="D84" s="2" t="s">
        <v>23</v>
      </c>
      <c r="E84" s="2" t="s">
        <v>95</v>
      </c>
      <c r="F84" s="2">
        <v>3.0</v>
      </c>
      <c r="G84" s="2" t="s">
        <v>96</v>
      </c>
      <c r="H84" s="2">
        <v>45.0</v>
      </c>
      <c r="I84" s="2">
        <v>142.0</v>
      </c>
      <c r="J84" s="2">
        <v>4.0</v>
      </c>
      <c r="K84" s="2">
        <v>0.0</v>
      </c>
      <c r="L84" s="2">
        <v>121.0</v>
      </c>
      <c r="M84" s="2">
        <v>0.0</v>
      </c>
      <c r="N84" s="2">
        <v>256.0</v>
      </c>
      <c r="O84" s="2">
        <v>0.0</v>
      </c>
      <c r="P84" s="2">
        <v>568.0</v>
      </c>
      <c r="Q84" s="2">
        <v>0.0</v>
      </c>
      <c r="R84" s="2">
        <v>0.0</v>
      </c>
      <c r="S84" s="2">
        <v>0.0</v>
      </c>
      <c r="T84" s="2">
        <v>0.0</v>
      </c>
      <c r="V84" s="2">
        <f t="shared" si="41"/>
        <v>377</v>
      </c>
      <c r="W84" s="26">
        <f t="shared" si="42"/>
        <v>0.3315602837</v>
      </c>
    </row>
    <row r="85" ht="15.75" customHeight="1">
      <c r="A85" s="2" t="s">
        <v>87</v>
      </c>
      <c r="B85" s="2" t="s">
        <v>43</v>
      </c>
      <c r="C85" s="2" t="s">
        <v>22</v>
      </c>
      <c r="D85" s="2" t="s">
        <v>23</v>
      </c>
      <c r="E85" s="2" t="s">
        <v>97</v>
      </c>
      <c r="F85" s="2">
        <v>3.0</v>
      </c>
      <c r="G85" s="2" t="s">
        <v>98</v>
      </c>
      <c r="H85" s="2">
        <v>47.0</v>
      </c>
      <c r="I85" s="2">
        <v>139.0</v>
      </c>
      <c r="J85" s="2">
        <v>1.0</v>
      </c>
      <c r="K85" s="2">
        <v>0.0</v>
      </c>
      <c r="L85" s="2">
        <v>94.0</v>
      </c>
      <c r="M85" s="2">
        <v>0.0</v>
      </c>
      <c r="N85" s="2">
        <v>249.0</v>
      </c>
      <c r="O85" s="2">
        <v>0.0</v>
      </c>
      <c r="P85" s="2">
        <v>530.0</v>
      </c>
      <c r="Q85" s="2">
        <v>0.0</v>
      </c>
      <c r="R85" s="2">
        <v>0.0</v>
      </c>
      <c r="S85" s="2">
        <v>0.0</v>
      </c>
      <c r="T85" s="2">
        <v>0.0</v>
      </c>
      <c r="V85" s="2">
        <f t="shared" si="41"/>
        <v>343</v>
      </c>
      <c r="W85" s="26">
        <f t="shared" si="42"/>
        <v>0.3918439716</v>
      </c>
    </row>
    <row r="86" ht="15.75" customHeight="1">
      <c r="A86" s="3" t="s">
        <v>88</v>
      </c>
      <c r="B86" s="3" t="s">
        <v>43</v>
      </c>
      <c r="C86" s="3" t="s">
        <v>22</v>
      </c>
      <c r="D86" s="3" t="s">
        <v>23</v>
      </c>
      <c r="E86" s="3" t="s">
        <v>53</v>
      </c>
      <c r="F86" s="3">
        <v>3.0</v>
      </c>
      <c r="G86" s="3" t="s">
        <v>25</v>
      </c>
      <c r="H86" s="3">
        <v>16.0</v>
      </c>
      <c r="I86" s="3">
        <v>734.0</v>
      </c>
      <c r="J86" s="3">
        <v>1275.0</v>
      </c>
      <c r="K86" s="3">
        <v>0.0</v>
      </c>
      <c r="L86" s="3">
        <v>27.0</v>
      </c>
      <c r="M86" s="3">
        <v>0.0</v>
      </c>
      <c r="N86" s="3">
        <v>138.0</v>
      </c>
      <c r="O86" s="3">
        <v>0.0</v>
      </c>
      <c r="P86" s="3">
        <v>730.0</v>
      </c>
      <c r="Q86" s="3">
        <v>0.0</v>
      </c>
      <c r="R86" s="3">
        <v>0.0</v>
      </c>
      <c r="S86" s="3">
        <v>0.0</v>
      </c>
      <c r="T86" s="3">
        <v>0.0</v>
      </c>
      <c r="U86" s="3"/>
      <c r="V86" s="3">
        <f>(N86+L86)*1/3</f>
        <v>55</v>
      </c>
    </row>
    <row r="87" ht="15.75" customHeight="1">
      <c r="A87" s="2" t="s">
        <v>88</v>
      </c>
      <c r="B87" s="2" t="s">
        <v>43</v>
      </c>
      <c r="C87" s="2" t="s">
        <v>22</v>
      </c>
      <c r="D87" s="2" t="s">
        <v>23</v>
      </c>
      <c r="E87" s="2" t="s">
        <v>104</v>
      </c>
      <c r="F87" s="2">
        <v>3.0</v>
      </c>
      <c r="G87" s="2" t="s">
        <v>94</v>
      </c>
      <c r="H87" s="2">
        <v>160.0</v>
      </c>
      <c r="I87" s="2">
        <v>354.0</v>
      </c>
      <c r="J87" s="2">
        <v>6.0</v>
      </c>
      <c r="K87" s="2">
        <v>0.0</v>
      </c>
      <c r="L87" s="2">
        <v>10.0</v>
      </c>
      <c r="M87" s="2">
        <v>0.0</v>
      </c>
      <c r="N87" s="2">
        <v>33.0</v>
      </c>
      <c r="O87" s="2">
        <v>0.0</v>
      </c>
      <c r="P87" s="2">
        <v>563.0</v>
      </c>
      <c r="Q87" s="2">
        <v>0.0</v>
      </c>
      <c r="R87" s="2">
        <v>0.0</v>
      </c>
      <c r="S87" s="2">
        <v>0.0</v>
      </c>
      <c r="T87" s="2">
        <v>0.0</v>
      </c>
      <c r="V87" s="2">
        <f t="shared" ref="V87:V89" si="43">(N87+L87)</f>
        <v>43</v>
      </c>
      <c r="W87" s="26">
        <f t="shared" ref="W87:W89" si="44">(V$86-V87)/V$86</f>
        <v>0.2181818182</v>
      </c>
    </row>
    <row r="88" ht="15.75" customHeight="1">
      <c r="A88" s="2" t="s">
        <v>88</v>
      </c>
      <c r="B88" s="2" t="s">
        <v>43</v>
      </c>
      <c r="C88" s="2" t="s">
        <v>22</v>
      </c>
      <c r="D88" s="2" t="s">
        <v>23</v>
      </c>
      <c r="E88" s="2" t="s">
        <v>106</v>
      </c>
      <c r="F88" s="2">
        <v>3.0</v>
      </c>
      <c r="G88" s="2" t="s">
        <v>96</v>
      </c>
      <c r="H88" s="2">
        <v>178.0</v>
      </c>
      <c r="I88" s="2">
        <v>347.0</v>
      </c>
      <c r="J88" s="2">
        <v>3.0</v>
      </c>
      <c r="K88" s="2">
        <v>0.0</v>
      </c>
      <c r="L88" s="2">
        <v>10.0</v>
      </c>
      <c r="M88" s="2">
        <v>0.0</v>
      </c>
      <c r="N88" s="2">
        <v>38.0</v>
      </c>
      <c r="O88" s="2">
        <v>0.0</v>
      </c>
      <c r="P88" s="2">
        <v>576.0</v>
      </c>
      <c r="Q88" s="2">
        <v>0.0</v>
      </c>
      <c r="R88" s="2">
        <v>0.0</v>
      </c>
      <c r="S88" s="2">
        <v>0.0</v>
      </c>
      <c r="T88" s="2">
        <v>0.0</v>
      </c>
      <c r="V88" s="2">
        <f t="shared" si="43"/>
        <v>48</v>
      </c>
      <c r="W88" s="26">
        <f t="shared" si="44"/>
        <v>0.1272727273</v>
      </c>
    </row>
    <row r="89" ht="15.75" customHeight="1">
      <c r="A89" s="2" t="s">
        <v>88</v>
      </c>
      <c r="B89" s="2" t="s">
        <v>43</v>
      </c>
      <c r="C89" s="2" t="s">
        <v>22</v>
      </c>
      <c r="D89" s="2" t="s">
        <v>23</v>
      </c>
      <c r="E89" s="2" t="s">
        <v>107</v>
      </c>
      <c r="F89" s="2">
        <v>3.0</v>
      </c>
      <c r="G89" s="2" t="s">
        <v>98</v>
      </c>
      <c r="H89" s="2">
        <v>86.0</v>
      </c>
      <c r="I89" s="2">
        <v>421.0</v>
      </c>
      <c r="J89" s="2">
        <v>6.0</v>
      </c>
      <c r="K89" s="2">
        <v>0.0</v>
      </c>
      <c r="L89" s="2">
        <v>5.0</v>
      </c>
      <c r="M89" s="2">
        <v>0.0</v>
      </c>
      <c r="N89" s="2">
        <v>32.0</v>
      </c>
      <c r="O89" s="2">
        <v>0.0</v>
      </c>
      <c r="P89" s="2">
        <v>550.0</v>
      </c>
      <c r="Q89" s="2">
        <v>0.0</v>
      </c>
      <c r="R89" s="2">
        <v>0.0</v>
      </c>
      <c r="S89" s="2">
        <v>0.0</v>
      </c>
      <c r="T89" s="2">
        <v>0.0</v>
      </c>
      <c r="V89" s="2">
        <f t="shared" si="43"/>
        <v>37</v>
      </c>
      <c r="W89" s="26">
        <f t="shared" si="44"/>
        <v>0.3272727273</v>
      </c>
    </row>
    <row r="90" ht="15.75" customHeight="1">
      <c r="A90" s="3" t="s">
        <v>89</v>
      </c>
      <c r="B90" s="3" t="s">
        <v>43</v>
      </c>
      <c r="C90" s="3" t="s">
        <v>22</v>
      </c>
      <c r="D90" s="3" t="s">
        <v>23</v>
      </c>
      <c r="E90" s="3" t="s">
        <v>60</v>
      </c>
      <c r="F90" s="3">
        <v>3.0</v>
      </c>
      <c r="G90" s="3" t="s">
        <v>25</v>
      </c>
      <c r="H90" s="3">
        <v>85.0</v>
      </c>
      <c r="I90" s="3">
        <v>188.0</v>
      </c>
      <c r="J90" s="3">
        <v>573.0</v>
      </c>
      <c r="K90" s="3">
        <v>0.0</v>
      </c>
      <c r="L90" s="3">
        <v>125.0</v>
      </c>
      <c r="M90" s="3">
        <v>0.0</v>
      </c>
      <c r="N90" s="3">
        <v>523.0</v>
      </c>
      <c r="O90" s="3">
        <v>0.0</v>
      </c>
      <c r="P90" s="3">
        <v>498.0</v>
      </c>
      <c r="Q90" s="3">
        <v>0.0</v>
      </c>
      <c r="R90" s="3">
        <v>0.0</v>
      </c>
      <c r="S90" s="3">
        <v>0.0</v>
      </c>
      <c r="T90" s="3">
        <v>0.0</v>
      </c>
      <c r="U90" s="3"/>
      <c r="V90" s="3">
        <f>(N90+L90)*1/3</f>
        <v>216</v>
      </c>
    </row>
    <row r="91" ht="15.75" customHeight="1">
      <c r="A91" s="2" t="s">
        <v>89</v>
      </c>
      <c r="B91" s="2" t="s">
        <v>43</v>
      </c>
      <c r="C91" s="2" t="s">
        <v>22</v>
      </c>
      <c r="D91" s="2" t="s">
        <v>23</v>
      </c>
      <c r="E91" s="2" t="s">
        <v>108</v>
      </c>
      <c r="F91" s="2">
        <v>3.0</v>
      </c>
      <c r="G91" s="2" t="s">
        <v>94</v>
      </c>
      <c r="H91" s="2">
        <v>87.0</v>
      </c>
      <c r="I91" s="2">
        <v>155.0</v>
      </c>
      <c r="J91" s="2">
        <v>13.0</v>
      </c>
      <c r="K91" s="2">
        <v>0.0</v>
      </c>
      <c r="L91" s="2">
        <v>47.0</v>
      </c>
      <c r="M91" s="2">
        <v>0.0</v>
      </c>
      <c r="N91" s="2">
        <v>164.0</v>
      </c>
      <c r="O91" s="2">
        <v>0.0</v>
      </c>
      <c r="P91" s="2">
        <v>466.0</v>
      </c>
      <c r="Q91" s="2">
        <v>0.0</v>
      </c>
      <c r="R91" s="2">
        <v>0.0</v>
      </c>
      <c r="S91" s="2">
        <v>0.0</v>
      </c>
      <c r="T91" s="2">
        <v>0.0</v>
      </c>
      <c r="V91" s="2">
        <f t="shared" ref="V91:V93" si="45">(N91+L91)</f>
        <v>211</v>
      </c>
      <c r="W91" s="4">
        <f t="shared" ref="W91:W93" si="46">(V$90-V91)/V$90</f>
        <v>0.02314814815</v>
      </c>
    </row>
    <row r="92" ht="15.75" customHeight="1">
      <c r="A92" s="2" t="s">
        <v>89</v>
      </c>
      <c r="B92" s="2" t="s">
        <v>43</v>
      </c>
      <c r="C92" s="2" t="s">
        <v>22</v>
      </c>
      <c r="D92" s="2" t="s">
        <v>23</v>
      </c>
      <c r="E92" s="2" t="s">
        <v>110</v>
      </c>
      <c r="F92" s="2">
        <v>3.0</v>
      </c>
      <c r="G92" s="2" t="s">
        <v>96</v>
      </c>
      <c r="H92" s="2">
        <v>92.0</v>
      </c>
      <c r="I92" s="2">
        <v>146.0</v>
      </c>
      <c r="J92" s="2">
        <v>14.0</v>
      </c>
      <c r="K92" s="2">
        <v>0.0</v>
      </c>
      <c r="L92" s="2">
        <v>50.0</v>
      </c>
      <c r="M92" s="2">
        <v>0.0</v>
      </c>
      <c r="N92" s="2">
        <v>161.0</v>
      </c>
      <c r="O92" s="2">
        <v>0.0</v>
      </c>
      <c r="P92" s="2">
        <v>463.0</v>
      </c>
      <c r="Q92" s="2">
        <v>0.0</v>
      </c>
      <c r="R92" s="2">
        <v>0.0</v>
      </c>
      <c r="S92" s="2">
        <v>0.0</v>
      </c>
      <c r="T92" s="2">
        <v>0.0</v>
      </c>
      <c r="V92" s="2">
        <f t="shared" si="45"/>
        <v>211</v>
      </c>
      <c r="W92" s="4">
        <f t="shared" si="46"/>
        <v>0.02314814815</v>
      </c>
    </row>
    <row r="93" ht="15.75" customHeight="1">
      <c r="A93" s="2" t="s">
        <v>89</v>
      </c>
      <c r="B93" s="2" t="s">
        <v>43</v>
      </c>
      <c r="C93" s="2" t="s">
        <v>22</v>
      </c>
      <c r="D93" s="2" t="s">
        <v>23</v>
      </c>
      <c r="E93" s="2" t="s">
        <v>111</v>
      </c>
      <c r="F93" s="2">
        <v>3.0</v>
      </c>
      <c r="G93" s="2" t="s">
        <v>98</v>
      </c>
      <c r="H93" s="2">
        <v>49.0</v>
      </c>
      <c r="I93" s="2">
        <v>174.0</v>
      </c>
      <c r="J93" s="2">
        <v>19.0</v>
      </c>
      <c r="K93" s="2">
        <v>0.0</v>
      </c>
      <c r="L93" s="2">
        <v>39.0</v>
      </c>
      <c r="M93" s="2">
        <v>0.0</v>
      </c>
      <c r="N93" s="2">
        <v>150.0</v>
      </c>
      <c r="O93" s="2">
        <v>0.0</v>
      </c>
      <c r="P93" s="2">
        <v>431.0</v>
      </c>
      <c r="Q93" s="2">
        <v>0.0</v>
      </c>
      <c r="R93" s="2">
        <v>0.0</v>
      </c>
      <c r="S93" s="2">
        <v>0.0</v>
      </c>
      <c r="T93" s="2">
        <v>0.0</v>
      </c>
      <c r="V93" s="2">
        <f t="shared" si="45"/>
        <v>189</v>
      </c>
      <c r="W93" s="26">
        <f t="shared" si="46"/>
        <v>0.125</v>
      </c>
    </row>
    <row r="94" ht="15.75" customHeight="1">
      <c r="A94" s="3" t="s">
        <v>91</v>
      </c>
      <c r="B94" s="3" t="s">
        <v>43</v>
      </c>
      <c r="C94" s="3" t="s">
        <v>22</v>
      </c>
      <c r="D94" s="3" t="s">
        <v>23</v>
      </c>
      <c r="E94" s="3" t="s">
        <v>70</v>
      </c>
      <c r="F94" s="3">
        <v>3.0</v>
      </c>
      <c r="G94" s="3" t="s">
        <v>25</v>
      </c>
      <c r="H94" s="3">
        <v>38.0</v>
      </c>
      <c r="I94" s="3">
        <v>7.0</v>
      </c>
      <c r="J94" s="3">
        <v>87.0</v>
      </c>
      <c r="K94" s="3">
        <v>0.0</v>
      </c>
      <c r="L94" s="3">
        <v>40.0</v>
      </c>
      <c r="M94" s="3">
        <v>0.0</v>
      </c>
      <c r="N94" s="3">
        <v>263.0</v>
      </c>
      <c r="O94" s="3">
        <v>0.0</v>
      </c>
      <c r="P94" s="3">
        <v>145.0</v>
      </c>
      <c r="Q94" s="3">
        <v>0.0</v>
      </c>
      <c r="R94" s="3">
        <v>0.0</v>
      </c>
      <c r="S94" s="3">
        <v>0.0</v>
      </c>
      <c r="T94" s="3">
        <v>0.0</v>
      </c>
      <c r="U94" s="3"/>
      <c r="V94" s="3">
        <f>(N94+L94)*1/3</f>
        <v>101</v>
      </c>
    </row>
    <row r="95" ht="15.75" customHeight="1">
      <c r="A95" s="2" t="s">
        <v>91</v>
      </c>
      <c r="B95" s="2" t="s">
        <v>43</v>
      </c>
      <c r="C95" s="2" t="s">
        <v>22</v>
      </c>
      <c r="D95" s="2" t="s">
        <v>23</v>
      </c>
      <c r="E95" s="2" t="s">
        <v>115</v>
      </c>
      <c r="F95" s="2">
        <v>3.0</v>
      </c>
      <c r="G95" s="2" t="s">
        <v>94</v>
      </c>
      <c r="H95" s="2">
        <v>32.0</v>
      </c>
      <c r="I95" s="2">
        <v>16.0</v>
      </c>
      <c r="J95" s="2">
        <v>1.0</v>
      </c>
      <c r="K95" s="2">
        <v>0.0</v>
      </c>
      <c r="L95" s="2">
        <v>49.0</v>
      </c>
      <c r="M95" s="2">
        <v>0.0</v>
      </c>
      <c r="N95" s="2">
        <v>42.0</v>
      </c>
      <c r="O95" s="2">
        <v>0.0</v>
      </c>
      <c r="P95" s="2">
        <v>140.0</v>
      </c>
      <c r="Q95" s="2">
        <v>0.0</v>
      </c>
      <c r="R95" s="2">
        <v>0.0</v>
      </c>
      <c r="S95" s="2">
        <v>0.0</v>
      </c>
      <c r="T95" s="2">
        <v>0.0</v>
      </c>
    </row>
    <row r="96" ht="15.75" customHeight="1">
      <c r="A96" s="2" t="s">
        <v>91</v>
      </c>
      <c r="B96" s="2" t="s">
        <v>43</v>
      </c>
      <c r="C96" s="2" t="s">
        <v>22</v>
      </c>
      <c r="D96" s="2" t="s">
        <v>23</v>
      </c>
      <c r="E96" s="2" t="s">
        <v>118</v>
      </c>
      <c r="F96" s="2">
        <v>3.0</v>
      </c>
      <c r="G96" s="2" t="s">
        <v>96</v>
      </c>
      <c r="H96" s="2">
        <v>30.0</v>
      </c>
      <c r="I96" s="2">
        <v>15.0</v>
      </c>
      <c r="J96" s="2">
        <v>1.0</v>
      </c>
      <c r="K96" s="2">
        <v>0.0</v>
      </c>
      <c r="L96" s="2">
        <v>46.0</v>
      </c>
      <c r="M96" s="2">
        <v>0.0</v>
      </c>
      <c r="N96" s="2">
        <v>51.0</v>
      </c>
      <c r="O96" s="2">
        <v>0.0</v>
      </c>
      <c r="P96" s="2">
        <v>143.0</v>
      </c>
      <c r="Q96" s="2">
        <v>0.0</v>
      </c>
      <c r="R96" s="2">
        <v>0.0</v>
      </c>
      <c r="S96" s="2">
        <v>0.0</v>
      </c>
      <c r="T96" s="2">
        <v>0.0</v>
      </c>
    </row>
    <row r="97" ht="15.75" customHeight="1">
      <c r="A97" s="2" t="s">
        <v>91</v>
      </c>
      <c r="B97" s="2" t="s">
        <v>43</v>
      </c>
      <c r="C97" s="2" t="s">
        <v>22</v>
      </c>
      <c r="D97" s="2" t="s">
        <v>23</v>
      </c>
      <c r="E97" s="2" t="s">
        <v>120</v>
      </c>
      <c r="F97" s="2">
        <v>3.0</v>
      </c>
      <c r="G97" s="2" t="s">
        <v>98</v>
      </c>
      <c r="H97" s="2">
        <v>26.0</v>
      </c>
      <c r="I97" s="2">
        <v>12.0</v>
      </c>
      <c r="J97" s="2">
        <v>2.0</v>
      </c>
      <c r="K97" s="2">
        <v>0.0</v>
      </c>
      <c r="L97" s="2">
        <v>42.0</v>
      </c>
      <c r="M97" s="2">
        <v>0.0</v>
      </c>
      <c r="N97" s="2">
        <v>46.0</v>
      </c>
      <c r="O97" s="2">
        <v>0.0</v>
      </c>
      <c r="P97" s="2">
        <v>128.0</v>
      </c>
      <c r="Q97" s="2">
        <v>0.0</v>
      </c>
      <c r="R97" s="2">
        <v>0.0</v>
      </c>
      <c r="S97" s="2">
        <v>0.0</v>
      </c>
      <c r="T97" s="2">
        <v>0.0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>
      <c r="A114" s="57" t="s">
        <v>112</v>
      </c>
      <c r="B114" s="57" t="s">
        <v>113</v>
      </c>
      <c r="C114" s="57" t="s">
        <v>22</v>
      </c>
      <c r="D114" s="57" t="s">
        <v>23</v>
      </c>
      <c r="E114" s="57" t="s">
        <v>41</v>
      </c>
      <c r="F114" s="58">
        <v>3.0</v>
      </c>
      <c r="G114" s="57" t="s">
        <v>25</v>
      </c>
      <c r="H114" s="58">
        <v>41.0</v>
      </c>
      <c r="I114" s="58">
        <v>106.0</v>
      </c>
      <c r="J114" s="58">
        <v>57.0</v>
      </c>
      <c r="K114" s="58">
        <v>0.0</v>
      </c>
      <c r="L114" s="58">
        <v>133.0</v>
      </c>
      <c r="M114" s="58">
        <v>0.0</v>
      </c>
      <c r="N114" s="58">
        <v>1514.0</v>
      </c>
      <c r="O114" s="58">
        <v>0.0</v>
      </c>
      <c r="P114" s="58">
        <v>617.0</v>
      </c>
      <c r="Q114" s="58">
        <v>0.0</v>
      </c>
      <c r="R114" s="58">
        <v>0.0</v>
      </c>
      <c r="S114" s="58">
        <v>0.0</v>
      </c>
      <c r="T114" s="58">
        <v>0.0</v>
      </c>
    </row>
    <row r="115" ht="15.75" customHeight="1">
      <c r="A115" s="57" t="s">
        <v>112</v>
      </c>
      <c r="B115" s="57" t="s">
        <v>113</v>
      </c>
      <c r="C115" s="57" t="s">
        <v>22</v>
      </c>
      <c r="D115" s="57" t="s">
        <v>23</v>
      </c>
      <c r="E115" s="57" t="s">
        <v>44</v>
      </c>
      <c r="F115" s="58">
        <v>3.0</v>
      </c>
      <c r="G115" s="57" t="s">
        <v>45</v>
      </c>
      <c r="H115" s="58">
        <v>10.0</v>
      </c>
      <c r="I115" s="58">
        <v>48.0</v>
      </c>
      <c r="J115" s="58">
        <v>6.0</v>
      </c>
      <c r="K115" s="58">
        <v>0.0</v>
      </c>
      <c r="L115" s="58">
        <v>71.0</v>
      </c>
      <c r="M115" s="58">
        <v>0.0</v>
      </c>
      <c r="N115" s="58">
        <v>191.0</v>
      </c>
      <c r="O115" s="58">
        <v>0.0</v>
      </c>
      <c r="P115" s="58">
        <v>163.0</v>
      </c>
      <c r="Q115" s="58">
        <v>0.0</v>
      </c>
      <c r="R115" s="58">
        <v>0.0</v>
      </c>
      <c r="S115" s="58">
        <v>0.0</v>
      </c>
      <c r="T115" s="58">
        <v>0.0</v>
      </c>
    </row>
    <row r="116" ht="15.75" customHeight="1">
      <c r="A116" s="57" t="s">
        <v>112</v>
      </c>
      <c r="B116" s="57" t="s">
        <v>113</v>
      </c>
      <c r="C116" s="57" t="s">
        <v>22</v>
      </c>
      <c r="D116" s="57" t="s">
        <v>23</v>
      </c>
      <c r="E116" s="57" t="s">
        <v>46</v>
      </c>
      <c r="F116" s="58">
        <v>3.0</v>
      </c>
      <c r="G116" s="57" t="s">
        <v>47</v>
      </c>
      <c r="H116" s="58">
        <v>8.0</v>
      </c>
      <c r="I116" s="58">
        <v>28.0</v>
      </c>
      <c r="J116" s="58">
        <v>14.0</v>
      </c>
      <c r="K116" s="58">
        <v>0.0</v>
      </c>
      <c r="L116" s="58">
        <v>46.0</v>
      </c>
      <c r="M116" s="58">
        <v>0.0</v>
      </c>
      <c r="N116" s="58">
        <v>240.0</v>
      </c>
      <c r="O116" s="58">
        <v>0.0</v>
      </c>
      <c r="P116" s="58">
        <v>168.0</v>
      </c>
      <c r="Q116" s="58">
        <v>0.0</v>
      </c>
      <c r="R116" s="58">
        <v>0.0</v>
      </c>
      <c r="S116" s="58">
        <v>0.0</v>
      </c>
      <c r="T116" s="58">
        <v>0.0</v>
      </c>
    </row>
    <row r="117" ht="15.75" customHeight="1">
      <c r="A117" s="57" t="s">
        <v>112</v>
      </c>
      <c r="B117" s="57" t="s">
        <v>113</v>
      </c>
      <c r="C117" s="57" t="s">
        <v>22</v>
      </c>
      <c r="D117" s="57" t="s">
        <v>23</v>
      </c>
      <c r="E117" s="57" t="s">
        <v>50</v>
      </c>
      <c r="F117" s="58">
        <v>3.0</v>
      </c>
      <c r="G117" s="57" t="s">
        <v>51</v>
      </c>
      <c r="H117" s="58">
        <v>13.0</v>
      </c>
      <c r="I117" s="58">
        <v>31.0</v>
      </c>
      <c r="J117" s="58">
        <v>4.0</v>
      </c>
      <c r="K117" s="58">
        <v>0.0</v>
      </c>
      <c r="L117" s="58">
        <v>54.0</v>
      </c>
      <c r="M117" s="58">
        <v>0.0</v>
      </c>
      <c r="N117" s="58">
        <v>238.0</v>
      </c>
      <c r="O117" s="58">
        <v>0.0</v>
      </c>
      <c r="P117" s="58">
        <v>170.0</v>
      </c>
      <c r="Q117" s="58">
        <v>0.0</v>
      </c>
      <c r="R117" s="58">
        <v>0.0</v>
      </c>
      <c r="S117" s="58">
        <v>0.0</v>
      </c>
      <c r="T117" s="58">
        <v>0.0</v>
      </c>
    </row>
    <row r="118" ht="15.75" customHeight="1">
      <c r="A118" s="57" t="s">
        <v>114</v>
      </c>
      <c r="B118" s="57" t="s">
        <v>113</v>
      </c>
      <c r="C118" s="57" t="s">
        <v>22</v>
      </c>
      <c r="D118" s="57" t="s">
        <v>23</v>
      </c>
      <c r="E118" s="57" t="s">
        <v>53</v>
      </c>
      <c r="F118" s="58">
        <v>3.0</v>
      </c>
      <c r="G118" s="57" t="s">
        <v>25</v>
      </c>
      <c r="H118" s="58">
        <v>9.0</v>
      </c>
      <c r="I118" s="58">
        <v>510.0</v>
      </c>
      <c r="J118" s="58">
        <v>975.0</v>
      </c>
      <c r="K118" s="58">
        <v>0.0</v>
      </c>
      <c r="L118" s="58">
        <v>5.0</v>
      </c>
      <c r="M118" s="58">
        <v>0.0</v>
      </c>
      <c r="N118" s="58">
        <v>124.0</v>
      </c>
      <c r="O118" s="58">
        <v>0.0</v>
      </c>
      <c r="P118" s="58">
        <v>541.0</v>
      </c>
      <c r="Q118" s="58">
        <v>0.0</v>
      </c>
      <c r="R118" s="58">
        <v>0.0</v>
      </c>
      <c r="S118" s="58">
        <v>0.0</v>
      </c>
      <c r="T118" s="58">
        <v>0.0</v>
      </c>
    </row>
    <row r="119" ht="15.0" customHeight="1">
      <c r="A119" s="57" t="s">
        <v>114</v>
      </c>
      <c r="B119" s="57" t="s">
        <v>113</v>
      </c>
      <c r="C119" s="57" t="s">
        <v>22</v>
      </c>
      <c r="D119" s="57" t="s">
        <v>23</v>
      </c>
      <c r="E119" s="57" t="s">
        <v>55</v>
      </c>
      <c r="F119" s="58">
        <v>3.0</v>
      </c>
      <c r="G119" s="57" t="s">
        <v>45</v>
      </c>
      <c r="H119" s="58">
        <v>4.0</v>
      </c>
      <c r="I119" s="58">
        <v>490.0</v>
      </c>
      <c r="J119" s="58">
        <v>58.0</v>
      </c>
      <c r="K119" s="58">
        <v>0.0</v>
      </c>
      <c r="L119" s="58">
        <v>12.0</v>
      </c>
      <c r="M119" s="58">
        <v>0.0</v>
      </c>
      <c r="N119" s="58">
        <v>24.0</v>
      </c>
      <c r="O119" s="58">
        <v>0.0</v>
      </c>
      <c r="P119" s="58">
        <v>294.0</v>
      </c>
      <c r="Q119" s="58">
        <v>0.0</v>
      </c>
      <c r="R119" s="58">
        <v>0.0</v>
      </c>
      <c r="S119" s="58">
        <v>0.0</v>
      </c>
      <c r="T119" s="58">
        <v>0.0</v>
      </c>
    </row>
    <row r="120" ht="15.75" customHeight="1">
      <c r="A120" s="57" t="s">
        <v>114</v>
      </c>
      <c r="B120" s="57" t="s">
        <v>113</v>
      </c>
      <c r="C120" s="57" t="s">
        <v>22</v>
      </c>
      <c r="D120" s="57" t="s">
        <v>23</v>
      </c>
      <c r="E120" s="57" t="s">
        <v>56</v>
      </c>
      <c r="F120" s="58">
        <v>3.0</v>
      </c>
      <c r="G120" s="57" t="s">
        <v>47</v>
      </c>
      <c r="H120" s="58">
        <v>6.0</v>
      </c>
      <c r="I120" s="58">
        <v>504.0</v>
      </c>
      <c r="J120" s="58">
        <v>80.0</v>
      </c>
      <c r="K120" s="58">
        <v>0.0</v>
      </c>
      <c r="L120" s="58">
        <v>22.0</v>
      </c>
      <c r="M120" s="58">
        <v>0.0</v>
      </c>
      <c r="N120" s="58">
        <v>30.0</v>
      </c>
      <c r="O120" s="58">
        <v>0.0</v>
      </c>
      <c r="P120" s="58">
        <v>321.0</v>
      </c>
      <c r="Q120" s="58">
        <v>0.0</v>
      </c>
      <c r="R120" s="58">
        <v>0.0</v>
      </c>
      <c r="S120" s="58">
        <v>0.0</v>
      </c>
      <c r="T120" s="58">
        <v>0.0</v>
      </c>
    </row>
    <row r="121" ht="15.75" customHeight="1">
      <c r="A121" s="57" t="s">
        <v>114</v>
      </c>
      <c r="B121" s="57" t="s">
        <v>113</v>
      </c>
      <c r="C121" s="57" t="s">
        <v>22</v>
      </c>
      <c r="D121" s="57" t="s">
        <v>23</v>
      </c>
      <c r="E121" s="57" t="s">
        <v>57</v>
      </c>
      <c r="F121" s="58">
        <v>3.0</v>
      </c>
      <c r="G121" s="57" t="s">
        <v>51</v>
      </c>
      <c r="H121" s="58">
        <v>8.0</v>
      </c>
      <c r="I121" s="58">
        <v>518.0</v>
      </c>
      <c r="J121" s="58">
        <v>82.0</v>
      </c>
      <c r="K121" s="58">
        <v>0.0</v>
      </c>
      <c r="L121" s="58">
        <v>21.0</v>
      </c>
      <c r="M121" s="58">
        <v>0.0</v>
      </c>
      <c r="N121" s="58">
        <v>27.0</v>
      </c>
      <c r="O121" s="58">
        <v>0.0</v>
      </c>
      <c r="P121" s="58">
        <v>328.0</v>
      </c>
      <c r="Q121" s="58">
        <v>0.0</v>
      </c>
      <c r="R121" s="58">
        <v>0.0</v>
      </c>
      <c r="S121" s="58">
        <v>0.0</v>
      </c>
      <c r="T121" s="58">
        <v>0.0</v>
      </c>
    </row>
    <row r="122" ht="15.75" customHeight="1">
      <c r="A122" s="57" t="s">
        <v>116</v>
      </c>
      <c r="B122" s="57" t="s">
        <v>113</v>
      </c>
      <c r="C122" s="57" t="s">
        <v>22</v>
      </c>
      <c r="D122" s="57" t="s">
        <v>23</v>
      </c>
      <c r="E122" s="57" t="s">
        <v>60</v>
      </c>
      <c r="F122" s="58">
        <v>3.0</v>
      </c>
      <c r="G122" s="57" t="s">
        <v>25</v>
      </c>
      <c r="H122" s="58">
        <v>81.0</v>
      </c>
      <c r="I122" s="58">
        <v>129.0</v>
      </c>
      <c r="J122" s="58">
        <v>537.0</v>
      </c>
      <c r="K122" s="58">
        <v>0.0</v>
      </c>
      <c r="L122" s="58">
        <v>39.0</v>
      </c>
      <c r="M122" s="58">
        <v>0.0</v>
      </c>
      <c r="N122" s="58">
        <v>711.0</v>
      </c>
      <c r="O122" s="58">
        <v>0.0</v>
      </c>
      <c r="P122" s="58">
        <v>499.0</v>
      </c>
      <c r="Q122" s="58">
        <v>0.0</v>
      </c>
      <c r="R122" s="58">
        <v>0.0</v>
      </c>
      <c r="S122" s="58">
        <v>0.0</v>
      </c>
      <c r="T122" s="58">
        <v>0.0</v>
      </c>
    </row>
    <row r="123" ht="15.75" customHeight="1">
      <c r="A123" s="57" t="s">
        <v>116</v>
      </c>
      <c r="B123" s="57" t="s">
        <v>113</v>
      </c>
      <c r="C123" s="57" t="s">
        <v>22</v>
      </c>
      <c r="D123" s="57" t="s">
        <v>23</v>
      </c>
      <c r="E123" s="57" t="s">
        <v>61</v>
      </c>
      <c r="F123" s="58">
        <v>3.0</v>
      </c>
      <c r="G123" s="57" t="s">
        <v>45</v>
      </c>
      <c r="H123" s="58">
        <v>48.0</v>
      </c>
      <c r="I123" s="58">
        <v>172.0</v>
      </c>
      <c r="J123" s="58">
        <v>86.0</v>
      </c>
      <c r="K123" s="58">
        <v>0.0</v>
      </c>
      <c r="L123" s="58">
        <v>94.0</v>
      </c>
      <c r="M123" s="58">
        <v>0.0</v>
      </c>
      <c r="N123" s="58">
        <v>236.0</v>
      </c>
      <c r="O123" s="58">
        <v>0.0</v>
      </c>
      <c r="P123" s="58">
        <v>318.0</v>
      </c>
      <c r="Q123" s="58">
        <v>0.0</v>
      </c>
      <c r="R123" s="58">
        <v>0.0</v>
      </c>
      <c r="S123" s="58">
        <v>0.0</v>
      </c>
      <c r="T123" s="58">
        <v>0.0</v>
      </c>
    </row>
    <row r="124" ht="15.75" customHeight="1">
      <c r="A124" s="57" t="s">
        <v>116</v>
      </c>
      <c r="B124" s="57" t="s">
        <v>113</v>
      </c>
      <c r="C124" s="57" t="s">
        <v>22</v>
      </c>
      <c r="D124" s="57" t="s">
        <v>23</v>
      </c>
      <c r="E124" s="57" t="s">
        <v>62</v>
      </c>
      <c r="F124" s="58">
        <v>3.0</v>
      </c>
      <c r="G124" s="57" t="s">
        <v>47</v>
      </c>
      <c r="H124" s="58">
        <v>54.0</v>
      </c>
      <c r="I124" s="58">
        <v>204.0</v>
      </c>
      <c r="J124" s="58">
        <v>80.0</v>
      </c>
      <c r="K124" s="58">
        <v>0.0</v>
      </c>
      <c r="L124" s="58">
        <v>83.0</v>
      </c>
      <c r="M124" s="58">
        <v>0.0</v>
      </c>
      <c r="N124" s="58">
        <v>223.0</v>
      </c>
      <c r="O124" s="58">
        <v>0.0</v>
      </c>
      <c r="P124" s="58">
        <v>322.0</v>
      </c>
      <c r="Q124" s="58">
        <v>0.0</v>
      </c>
      <c r="R124" s="58">
        <v>0.0</v>
      </c>
      <c r="S124" s="58">
        <v>0.0</v>
      </c>
      <c r="T124" s="58">
        <v>0.0</v>
      </c>
    </row>
    <row r="125" ht="15.75" customHeight="1">
      <c r="A125" s="57" t="s">
        <v>116</v>
      </c>
      <c r="B125" s="57" t="s">
        <v>113</v>
      </c>
      <c r="C125" s="57" t="s">
        <v>22</v>
      </c>
      <c r="D125" s="57" t="s">
        <v>23</v>
      </c>
      <c r="E125" s="57" t="s">
        <v>67</v>
      </c>
      <c r="F125" s="58">
        <v>3.0</v>
      </c>
      <c r="G125" s="57" t="s">
        <v>51</v>
      </c>
      <c r="H125" s="58">
        <v>56.0</v>
      </c>
      <c r="I125" s="58">
        <v>188.0</v>
      </c>
      <c r="J125" s="58">
        <v>88.0</v>
      </c>
      <c r="K125" s="58">
        <v>0.0</v>
      </c>
      <c r="L125" s="58">
        <v>67.0</v>
      </c>
      <c r="M125" s="58">
        <v>0.0</v>
      </c>
      <c r="N125" s="58">
        <v>309.0</v>
      </c>
      <c r="O125" s="58">
        <v>0.0</v>
      </c>
      <c r="P125" s="58">
        <v>354.0</v>
      </c>
      <c r="Q125" s="58">
        <v>0.0</v>
      </c>
      <c r="R125" s="58">
        <v>0.0</v>
      </c>
      <c r="S125" s="58">
        <v>0.0</v>
      </c>
      <c r="T125" s="58">
        <v>0.0</v>
      </c>
    </row>
    <row r="126" ht="15.75" customHeight="1">
      <c r="A126" s="57" t="s">
        <v>119</v>
      </c>
      <c r="B126" s="57" t="s">
        <v>113</v>
      </c>
      <c r="C126" s="57" t="s">
        <v>22</v>
      </c>
      <c r="D126" s="57" t="s">
        <v>23</v>
      </c>
      <c r="E126" s="57" t="s">
        <v>70</v>
      </c>
      <c r="F126" s="58">
        <v>3.0</v>
      </c>
      <c r="G126" s="57" t="s">
        <v>25</v>
      </c>
      <c r="H126" s="58">
        <v>46.0</v>
      </c>
      <c r="I126" s="58">
        <v>20.0</v>
      </c>
      <c r="J126" s="58">
        <v>156.0</v>
      </c>
      <c r="K126" s="58">
        <v>0.0</v>
      </c>
      <c r="L126" s="58">
        <v>41.0</v>
      </c>
      <c r="M126" s="58">
        <v>0.0</v>
      </c>
      <c r="N126" s="58">
        <v>235.0</v>
      </c>
      <c r="O126" s="58">
        <v>0.0</v>
      </c>
      <c r="P126" s="58">
        <v>166.0</v>
      </c>
      <c r="Q126" s="58">
        <v>0.0</v>
      </c>
      <c r="R126" s="58">
        <v>0.0</v>
      </c>
      <c r="S126" s="58">
        <v>0.0</v>
      </c>
      <c r="T126" s="58">
        <v>0.0</v>
      </c>
    </row>
    <row r="127" ht="15.75" customHeight="1">
      <c r="A127" s="57" t="s">
        <v>119</v>
      </c>
      <c r="B127" s="57" t="s">
        <v>113</v>
      </c>
      <c r="C127" s="57" t="s">
        <v>22</v>
      </c>
      <c r="D127" s="57" t="s">
        <v>23</v>
      </c>
      <c r="E127" s="57" t="s">
        <v>71</v>
      </c>
      <c r="F127" s="58">
        <v>3.0</v>
      </c>
      <c r="G127" s="57" t="s">
        <v>45</v>
      </c>
      <c r="H127" s="58">
        <v>26.0</v>
      </c>
      <c r="I127" s="58">
        <v>58.0</v>
      </c>
      <c r="J127" s="58">
        <v>20.0</v>
      </c>
      <c r="K127" s="58">
        <v>0.0</v>
      </c>
      <c r="L127" s="58">
        <v>46.0</v>
      </c>
      <c r="M127" s="58">
        <v>0.0</v>
      </c>
      <c r="N127" s="58">
        <v>58.0</v>
      </c>
      <c r="O127" s="58">
        <v>0.0</v>
      </c>
      <c r="P127" s="58">
        <v>104.0</v>
      </c>
      <c r="Q127" s="58">
        <v>0.0</v>
      </c>
      <c r="R127" s="58">
        <v>0.0</v>
      </c>
      <c r="S127" s="58">
        <v>0.0</v>
      </c>
      <c r="T127" s="58">
        <v>0.0</v>
      </c>
    </row>
    <row r="128" ht="15.75" customHeight="1">
      <c r="A128" s="57" t="s">
        <v>119</v>
      </c>
      <c r="B128" s="57" t="s">
        <v>113</v>
      </c>
      <c r="C128" s="57" t="s">
        <v>22</v>
      </c>
      <c r="D128" s="57" t="s">
        <v>23</v>
      </c>
      <c r="E128" s="57" t="s">
        <v>72</v>
      </c>
      <c r="F128" s="58">
        <v>3.0</v>
      </c>
      <c r="G128" s="57" t="s">
        <v>47</v>
      </c>
      <c r="H128" s="58">
        <v>24.0</v>
      </c>
      <c r="I128" s="58">
        <v>48.0</v>
      </c>
      <c r="J128" s="58">
        <v>16.0</v>
      </c>
      <c r="K128" s="58">
        <v>0.0</v>
      </c>
      <c r="L128" s="58">
        <v>35.0</v>
      </c>
      <c r="M128" s="58">
        <v>0.0</v>
      </c>
      <c r="N128" s="58">
        <v>77.0</v>
      </c>
      <c r="O128" s="58">
        <v>0.0</v>
      </c>
      <c r="P128" s="58">
        <v>100.0</v>
      </c>
      <c r="Q128" s="58">
        <v>0.0</v>
      </c>
      <c r="R128" s="58">
        <v>0.0</v>
      </c>
      <c r="S128" s="58">
        <v>0.0</v>
      </c>
      <c r="T128" s="58">
        <v>0.0</v>
      </c>
    </row>
    <row r="129" ht="15.75" customHeight="1">
      <c r="A129" s="57" t="s">
        <v>119</v>
      </c>
      <c r="B129" s="57" t="s">
        <v>113</v>
      </c>
      <c r="C129" s="57" t="s">
        <v>22</v>
      </c>
      <c r="D129" s="57" t="s">
        <v>23</v>
      </c>
      <c r="E129" s="57" t="s">
        <v>74</v>
      </c>
      <c r="F129" s="58">
        <v>3.0</v>
      </c>
      <c r="G129" s="57" t="s">
        <v>51</v>
      </c>
      <c r="H129" s="58">
        <v>23.0</v>
      </c>
      <c r="I129" s="58">
        <v>61.0</v>
      </c>
      <c r="J129" s="58">
        <v>22.0</v>
      </c>
      <c r="K129" s="58">
        <v>0.0</v>
      </c>
      <c r="L129" s="58">
        <v>32.0</v>
      </c>
      <c r="M129" s="58">
        <v>0.0</v>
      </c>
      <c r="N129" s="58">
        <v>90.0</v>
      </c>
      <c r="O129" s="58">
        <v>0.0</v>
      </c>
      <c r="P129" s="58">
        <v>114.0</v>
      </c>
      <c r="Q129" s="58">
        <v>0.0</v>
      </c>
      <c r="R129" s="58">
        <v>0.0</v>
      </c>
      <c r="S129" s="58">
        <v>0.0</v>
      </c>
      <c r="T129" s="58">
        <v>0.0</v>
      </c>
    </row>
    <row r="130" ht="15.0" customHeight="1">
      <c r="A130" s="57" t="s">
        <v>112</v>
      </c>
      <c r="B130" s="57" t="s">
        <v>113</v>
      </c>
      <c r="C130" s="57" t="s">
        <v>22</v>
      </c>
      <c r="D130" s="57" t="s">
        <v>23</v>
      </c>
      <c r="E130" s="57" t="s">
        <v>41</v>
      </c>
      <c r="F130" s="58">
        <v>3.0</v>
      </c>
      <c r="G130" s="57" t="s">
        <v>25</v>
      </c>
      <c r="H130" s="58">
        <v>41.0</v>
      </c>
      <c r="I130" s="58">
        <v>106.0</v>
      </c>
      <c r="J130" s="58">
        <v>57.0</v>
      </c>
      <c r="K130" s="58">
        <v>0.0</v>
      </c>
      <c r="L130" s="58">
        <v>133.0</v>
      </c>
      <c r="M130" s="58">
        <v>0.0</v>
      </c>
      <c r="N130" s="58">
        <v>1514.0</v>
      </c>
      <c r="O130" s="58">
        <v>0.0</v>
      </c>
      <c r="P130" s="58">
        <v>617.0</v>
      </c>
      <c r="Q130" s="58">
        <v>0.0</v>
      </c>
      <c r="R130" s="58">
        <v>0.0</v>
      </c>
      <c r="S130" s="58">
        <v>0.0</v>
      </c>
      <c r="T130" s="58">
        <v>0.0</v>
      </c>
    </row>
    <row r="131" ht="15.75" customHeight="1">
      <c r="A131" s="57" t="s">
        <v>112</v>
      </c>
      <c r="B131" s="57" t="s">
        <v>113</v>
      </c>
      <c r="C131" s="57" t="s">
        <v>22</v>
      </c>
      <c r="D131" s="57" t="s">
        <v>23</v>
      </c>
      <c r="E131" s="57" t="s">
        <v>93</v>
      </c>
      <c r="F131" s="58">
        <v>3.0</v>
      </c>
      <c r="G131" s="57" t="s">
        <v>94</v>
      </c>
      <c r="H131" s="58">
        <v>3.0</v>
      </c>
      <c r="I131" s="58">
        <v>13.0</v>
      </c>
      <c r="J131" s="58">
        <v>3.0</v>
      </c>
      <c r="K131" s="58">
        <v>0.0</v>
      </c>
      <c r="L131" s="58">
        <v>29.0</v>
      </c>
      <c r="M131" s="58">
        <v>0.0</v>
      </c>
      <c r="N131" s="58">
        <v>43.0</v>
      </c>
      <c r="O131" s="58">
        <v>0.0</v>
      </c>
      <c r="P131" s="58">
        <v>91.0</v>
      </c>
      <c r="Q131" s="58">
        <v>0.0</v>
      </c>
      <c r="R131" s="58">
        <v>0.0</v>
      </c>
      <c r="S131" s="58">
        <v>0.0</v>
      </c>
      <c r="T131" s="58">
        <v>0.0</v>
      </c>
    </row>
    <row r="132" ht="15.75" customHeight="1">
      <c r="A132" s="57" t="s">
        <v>112</v>
      </c>
      <c r="B132" s="57" t="s">
        <v>113</v>
      </c>
      <c r="C132" s="57" t="s">
        <v>22</v>
      </c>
      <c r="D132" s="57" t="s">
        <v>23</v>
      </c>
      <c r="E132" s="57" t="s">
        <v>95</v>
      </c>
      <c r="F132" s="58">
        <v>3.0</v>
      </c>
      <c r="G132" s="57" t="s">
        <v>96</v>
      </c>
      <c r="H132" s="58">
        <v>4.0</v>
      </c>
      <c r="I132" s="58">
        <v>3.0</v>
      </c>
      <c r="J132" s="58">
        <v>0.0</v>
      </c>
      <c r="K132" s="58">
        <v>0.0</v>
      </c>
      <c r="L132" s="58">
        <v>4.0</v>
      </c>
      <c r="M132" s="58">
        <v>0.0</v>
      </c>
      <c r="N132" s="58">
        <v>23.0</v>
      </c>
      <c r="O132" s="58">
        <v>0.0</v>
      </c>
      <c r="P132" s="58">
        <v>34.0</v>
      </c>
      <c r="Q132" s="58">
        <v>0.0</v>
      </c>
      <c r="R132" s="58">
        <v>0.0</v>
      </c>
      <c r="S132" s="58">
        <v>0.0</v>
      </c>
      <c r="T132" s="58">
        <v>0.0</v>
      </c>
    </row>
    <row r="133" ht="15.75" customHeight="1">
      <c r="A133" s="57" t="s">
        <v>112</v>
      </c>
      <c r="B133" s="57" t="s">
        <v>113</v>
      </c>
      <c r="C133" s="57" t="s">
        <v>22</v>
      </c>
      <c r="D133" s="57" t="s">
        <v>23</v>
      </c>
      <c r="E133" s="57" t="s">
        <v>97</v>
      </c>
      <c r="F133" s="58">
        <v>3.0</v>
      </c>
      <c r="G133" s="57" t="s">
        <v>98</v>
      </c>
      <c r="H133" s="58">
        <v>4.0</v>
      </c>
      <c r="I133" s="58">
        <v>5.0</v>
      </c>
      <c r="J133" s="58">
        <v>1.0</v>
      </c>
      <c r="K133" s="58">
        <v>0.0</v>
      </c>
      <c r="L133" s="58">
        <v>4.0</v>
      </c>
      <c r="M133" s="58">
        <v>0.0</v>
      </c>
      <c r="N133" s="58">
        <v>34.0</v>
      </c>
      <c r="O133" s="58">
        <v>0.0</v>
      </c>
      <c r="P133" s="58">
        <v>48.0</v>
      </c>
      <c r="Q133" s="58">
        <v>0.0</v>
      </c>
      <c r="R133" s="58">
        <v>0.0</v>
      </c>
      <c r="S133" s="58">
        <v>0.0</v>
      </c>
      <c r="T133" s="58">
        <v>0.0</v>
      </c>
    </row>
    <row r="134" ht="15.75" customHeight="1">
      <c r="A134" s="57" t="s">
        <v>114</v>
      </c>
      <c r="B134" s="57" t="s">
        <v>113</v>
      </c>
      <c r="C134" s="57" t="s">
        <v>22</v>
      </c>
      <c r="D134" s="57" t="s">
        <v>23</v>
      </c>
      <c r="E134" s="57" t="s">
        <v>53</v>
      </c>
      <c r="F134" s="58">
        <v>3.0</v>
      </c>
      <c r="G134" s="57" t="s">
        <v>25</v>
      </c>
      <c r="H134" s="58">
        <v>9.0</v>
      </c>
      <c r="I134" s="58">
        <v>510.0</v>
      </c>
      <c r="J134" s="58">
        <v>975.0</v>
      </c>
      <c r="K134" s="58">
        <v>0.0</v>
      </c>
      <c r="L134" s="58">
        <v>5.0</v>
      </c>
      <c r="M134" s="58">
        <v>0.0</v>
      </c>
      <c r="N134" s="58">
        <v>124.0</v>
      </c>
      <c r="O134" s="58">
        <v>0.0</v>
      </c>
      <c r="P134" s="58">
        <v>541.0</v>
      </c>
      <c r="Q134" s="58">
        <v>0.0</v>
      </c>
      <c r="R134" s="58">
        <v>0.0</v>
      </c>
      <c r="S134" s="58">
        <v>0.0</v>
      </c>
      <c r="T134" s="58">
        <v>0.0</v>
      </c>
    </row>
    <row r="135" ht="15.75" customHeight="1">
      <c r="A135" s="57" t="s">
        <v>114</v>
      </c>
      <c r="B135" s="57" t="s">
        <v>113</v>
      </c>
      <c r="C135" s="57" t="s">
        <v>22</v>
      </c>
      <c r="D135" s="57" t="s">
        <v>23</v>
      </c>
      <c r="E135" s="57" t="s">
        <v>104</v>
      </c>
      <c r="F135" s="58">
        <v>3.0</v>
      </c>
      <c r="G135" s="57" t="s">
        <v>94</v>
      </c>
      <c r="H135" s="58">
        <v>0.0</v>
      </c>
      <c r="I135" s="58">
        <v>167.0</v>
      </c>
      <c r="J135" s="58">
        <v>12.0</v>
      </c>
      <c r="K135" s="58">
        <v>0.0</v>
      </c>
      <c r="L135" s="58">
        <v>4.0</v>
      </c>
      <c r="M135" s="58">
        <v>0.0</v>
      </c>
      <c r="N135" s="58">
        <v>8.0</v>
      </c>
      <c r="O135" s="58">
        <v>0.0</v>
      </c>
      <c r="P135" s="58">
        <v>191.0</v>
      </c>
      <c r="Q135" s="58">
        <v>0.0</v>
      </c>
      <c r="R135" s="58">
        <v>0.0</v>
      </c>
      <c r="S135" s="58">
        <v>0.0</v>
      </c>
      <c r="T135" s="58">
        <v>0.0</v>
      </c>
    </row>
    <row r="136" ht="15.75" customHeight="1">
      <c r="A136" s="57" t="s">
        <v>114</v>
      </c>
      <c r="B136" s="57" t="s">
        <v>113</v>
      </c>
      <c r="C136" s="57" t="s">
        <v>22</v>
      </c>
      <c r="D136" s="57" t="s">
        <v>23</v>
      </c>
      <c r="E136" s="57" t="s">
        <v>106</v>
      </c>
      <c r="F136" s="58">
        <v>3.0</v>
      </c>
      <c r="G136" s="57" t="s">
        <v>96</v>
      </c>
      <c r="H136" s="58">
        <v>18.0</v>
      </c>
      <c r="I136" s="58">
        <v>28.0</v>
      </c>
      <c r="J136" s="58">
        <v>1.0</v>
      </c>
      <c r="K136" s="58">
        <v>0.0</v>
      </c>
      <c r="L136" s="58">
        <v>1.0</v>
      </c>
      <c r="M136" s="58">
        <v>0.0</v>
      </c>
      <c r="N136" s="58">
        <v>7.0</v>
      </c>
      <c r="O136" s="58">
        <v>0.0</v>
      </c>
      <c r="P136" s="58">
        <v>55.0</v>
      </c>
      <c r="Q136" s="58">
        <v>0.0</v>
      </c>
      <c r="R136" s="58">
        <v>0.0</v>
      </c>
      <c r="S136" s="58">
        <v>0.0</v>
      </c>
      <c r="T136" s="58">
        <v>0.0</v>
      </c>
    </row>
    <row r="137" ht="15.75" customHeight="1">
      <c r="A137" s="57" t="s">
        <v>114</v>
      </c>
      <c r="B137" s="57" t="s">
        <v>113</v>
      </c>
      <c r="C137" s="57" t="s">
        <v>22</v>
      </c>
      <c r="D137" s="57" t="s">
        <v>23</v>
      </c>
      <c r="E137" s="57" t="s">
        <v>107</v>
      </c>
      <c r="F137" s="58">
        <v>3.0</v>
      </c>
      <c r="G137" s="57" t="s">
        <v>98</v>
      </c>
      <c r="H137" s="58">
        <v>16.0</v>
      </c>
      <c r="I137" s="58">
        <v>37.0</v>
      </c>
      <c r="J137" s="58">
        <v>4.0</v>
      </c>
      <c r="K137" s="58">
        <v>0.0</v>
      </c>
      <c r="L137" s="58">
        <v>3.0</v>
      </c>
      <c r="M137" s="58">
        <v>0.0</v>
      </c>
      <c r="N137" s="58">
        <v>13.0</v>
      </c>
      <c r="O137" s="58">
        <v>0.0</v>
      </c>
      <c r="P137" s="58">
        <v>73.0</v>
      </c>
      <c r="Q137" s="58">
        <v>0.0</v>
      </c>
      <c r="R137" s="58">
        <v>0.0</v>
      </c>
      <c r="S137" s="58">
        <v>0.0</v>
      </c>
      <c r="T137" s="58">
        <v>0.0</v>
      </c>
    </row>
    <row r="138" ht="15.75" customHeight="1">
      <c r="A138" s="57" t="s">
        <v>116</v>
      </c>
      <c r="B138" s="57" t="s">
        <v>113</v>
      </c>
      <c r="C138" s="57" t="s">
        <v>22</v>
      </c>
      <c r="D138" s="57" t="s">
        <v>23</v>
      </c>
      <c r="E138" s="57" t="s">
        <v>60</v>
      </c>
      <c r="F138" s="58">
        <v>3.0</v>
      </c>
      <c r="G138" s="57" t="s">
        <v>25</v>
      </c>
      <c r="H138" s="58">
        <v>81.0</v>
      </c>
      <c r="I138" s="58">
        <v>129.0</v>
      </c>
      <c r="J138" s="58">
        <v>537.0</v>
      </c>
      <c r="K138" s="58">
        <v>0.0</v>
      </c>
      <c r="L138" s="58">
        <v>39.0</v>
      </c>
      <c r="M138" s="58">
        <v>0.0</v>
      </c>
      <c r="N138" s="58">
        <v>711.0</v>
      </c>
      <c r="O138" s="58">
        <v>0.0</v>
      </c>
      <c r="P138" s="58">
        <v>499.0</v>
      </c>
      <c r="Q138" s="58">
        <v>0.0</v>
      </c>
      <c r="R138" s="58">
        <v>0.0</v>
      </c>
      <c r="S138" s="58">
        <v>0.0</v>
      </c>
      <c r="T138" s="58">
        <v>0.0</v>
      </c>
    </row>
    <row r="139" ht="15.75" customHeight="1">
      <c r="A139" s="57" t="s">
        <v>116</v>
      </c>
      <c r="B139" s="57" t="s">
        <v>113</v>
      </c>
      <c r="C139" s="57" t="s">
        <v>22</v>
      </c>
      <c r="D139" s="57" t="s">
        <v>23</v>
      </c>
      <c r="E139" s="57" t="s">
        <v>108</v>
      </c>
      <c r="F139" s="58">
        <v>3.0</v>
      </c>
      <c r="G139" s="57" t="s">
        <v>94</v>
      </c>
      <c r="H139" s="58">
        <v>24.0</v>
      </c>
      <c r="I139" s="58">
        <v>58.0</v>
      </c>
      <c r="J139" s="58">
        <v>11.0</v>
      </c>
      <c r="K139" s="58">
        <v>0.0</v>
      </c>
      <c r="L139" s="58">
        <v>38.0</v>
      </c>
      <c r="M139" s="58">
        <v>0.0</v>
      </c>
      <c r="N139" s="58">
        <v>42.0</v>
      </c>
      <c r="O139" s="58">
        <v>0.0</v>
      </c>
      <c r="P139" s="58">
        <v>173.0</v>
      </c>
      <c r="Q139" s="58">
        <v>0.0</v>
      </c>
      <c r="R139" s="58">
        <v>0.0</v>
      </c>
      <c r="S139" s="58">
        <v>0.0</v>
      </c>
      <c r="T139" s="58">
        <v>0.0</v>
      </c>
    </row>
    <row r="140" ht="15.75" customHeight="1">
      <c r="A140" s="57" t="s">
        <v>116</v>
      </c>
      <c r="B140" s="57" t="s">
        <v>113</v>
      </c>
      <c r="C140" s="57" t="s">
        <v>22</v>
      </c>
      <c r="D140" s="57" t="s">
        <v>23</v>
      </c>
      <c r="E140" s="57" t="s">
        <v>110</v>
      </c>
      <c r="F140" s="58">
        <v>3.0</v>
      </c>
      <c r="G140" s="57" t="s">
        <v>96</v>
      </c>
      <c r="H140" s="58">
        <v>65.0</v>
      </c>
      <c r="I140" s="58">
        <v>38.0</v>
      </c>
      <c r="J140" s="58">
        <v>3.0</v>
      </c>
      <c r="K140" s="58">
        <v>0.0</v>
      </c>
      <c r="L140" s="58">
        <v>11.0</v>
      </c>
      <c r="M140" s="58">
        <v>0.0</v>
      </c>
      <c r="N140" s="58">
        <v>83.0</v>
      </c>
      <c r="O140" s="58">
        <v>0.0</v>
      </c>
      <c r="P140" s="58">
        <v>200.0</v>
      </c>
      <c r="Q140" s="58">
        <v>0.0</v>
      </c>
      <c r="R140" s="58">
        <v>0.0</v>
      </c>
      <c r="S140" s="58">
        <v>0.0</v>
      </c>
      <c r="T140" s="58">
        <v>0.0</v>
      </c>
    </row>
    <row r="141" ht="15.0" customHeight="1">
      <c r="A141" s="57" t="s">
        <v>116</v>
      </c>
      <c r="B141" s="57" t="s">
        <v>113</v>
      </c>
      <c r="C141" s="57" t="s">
        <v>22</v>
      </c>
      <c r="D141" s="57" t="s">
        <v>23</v>
      </c>
      <c r="E141" s="57" t="s">
        <v>111</v>
      </c>
      <c r="F141" s="58">
        <v>3.0</v>
      </c>
      <c r="G141" s="57" t="s">
        <v>98</v>
      </c>
      <c r="H141" s="58">
        <v>50.0</v>
      </c>
      <c r="I141" s="58">
        <v>67.0</v>
      </c>
      <c r="J141" s="58">
        <v>12.0</v>
      </c>
      <c r="K141" s="58">
        <v>0.0</v>
      </c>
      <c r="L141" s="58">
        <v>23.0</v>
      </c>
      <c r="M141" s="58">
        <v>0.0</v>
      </c>
      <c r="N141" s="58">
        <v>93.0</v>
      </c>
      <c r="O141" s="58">
        <v>0.0</v>
      </c>
      <c r="P141" s="58">
        <v>245.0</v>
      </c>
      <c r="Q141" s="58">
        <v>0.0</v>
      </c>
      <c r="R141" s="58">
        <v>0.0</v>
      </c>
      <c r="S141" s="58">
        <v>0.0</v>
      </c>
      <c r="T141" s="58">
        <v>0.0</v>
      </c>
    </row>
    <row r="142" ht="15.75" customHeight="1">
      <c r="A142" s="57" t="s">
        <v>119</v>
      </c>
      <c r="B142" s="57" t="s">
        <v>113</v>
      </c>
      <c r="C142" s="57" t="s">
        <v>22</v>
      </c>
      <c r="D142" s="57" t="s">
        <v>23</v>
      </c>
      <c r="E142" s="57" t="s">
        <v>70</v>
      </c>
      <c r="F142" s="58">
        <v>3.0</v>
      </c>
      <c r="G142" s="57" t="s">
        <v>25</v>
      </c>
      <c r="H142" s="58">
        <v>46.0</v>
      </c>
      <c r="I142" s="58">
        <v>20.0</v>
      </c>
      <c r="J142" s="58">
        <v>156.0</v>
      </c>
      <c r="K142" s="58">
        <v>0.0</v>
      </c>
      <c r="L142" s="58">
        <v>41.0</v>
      </c>
      <c r="M142" s="58">
        <v>0.0</v>
      </c>
      <c r="N142" s="58">
        <v>235.0</v>
      </c>
      <c r="O142" s="58">
        <v>0.0</v>
      </c>
      <c r="P142" s="58">
        <v>166.0</v>
      </c>
      <c r="Q142" s="58">
        <v>0.0</v>
      </c>
      <c r="R142" s="58">
        <v>0.0</v>
      </c>
      <c r="S142" s="58">
        <v>0.0</v>
      </c>
      <c r="T142" s="58">
        <v>0.0</v>
      </c>
    </row>
    <row r="143" ht="15.75" customHeight="1">
      <c r="A143" s="57" t="s">
        <v>119</v>
      </c>
      <c r="B143" s="57" t="s">
        <v>113</v>
      </c>
      <c r="C143" s="57" t="s">
        <v>22</v>
      </c>
      <c r="D143" s="57" t="s">
        <v>23</v>
      </c>
      <c r="E143" s="57" t="s">
        <v>115</v>
      </c>
      <c r="F143" s="58">
        <v>3.0</v>
      </c>
      <c r="G143" s="57" t="s">
        <v>94</v>
      </c>
      <c r="H143" s="58">
        <v>6.0</v>
      </c>
      <c r="I143" s="58">
        <v>20.0</v>
      </c>
      <c r="J143" s="58">
        <v>6.0</v>
      </c>
      <c r="K143" s="58">
        <v>0.0</v>
      </c>
      <c r="L143" s="58">
        <v>16.0</v>
      </c>
      <c r="M143" s="58">
        <v>0.0</v>
      </c>
      <c r="N143" s="58">
        <v>17.0</v>
      </c>
      <c r="O143" s="58">
        <v>0.0</v>
      </c>
      <c r="P143" s="58">
        <v>65.0</v>
      </c>
      <c r="Q143" s="58">
        <v>0.0</v>
      </c>
      <c r="R143" s="58">
        <v>0.0</v>
      </c>
      <c r="S143" s="58">
        <v>0.0</v>
      </c>
      <c r="T143" s="58">
        <v>0.0</v>
      </c>
    </row>
    <row r="144" ht="15.75" customHeight="1">
      <c r="A144" s="57" t="s">
        <v>119</v>
      </c>
      <c r="B144" s="57" t="s">
        <v>113</v>
      </c>
      <c r="C144" s="57" t="s">
        <v>22</v>
      </c>
      <c r="D144" s="57" t="s">
        <v>23</v>
      </c>
      <c r="E144" s="57" t="s">
        <v>118</v>
      </c>
      <c r="F144" s="58">
        <v>3.0</v>
      </c>
      <c r="G144" s="57" t="s">
        <v>96</v>
      </c>
      <c r="H144" s="58">
        <v>18.0</v>
      </c>
      <c r="I144" s="58">
        <v>10.0</v>
      </c>
      <c r="J144" s="58">
        <v>1.0</v>
      </c>
      <c r="K144" s="58">
        <v>0.0</v>
      </c>
      <c r="L144" s="58">
        <v>5.0</v>
      </c>
      <c r="M144" s="58">
        <v>0.0</v>
      </c>
      <c r="N144" s="58">
        <v>23.0</v>
      </c>
      <c r="O144" s="58">
        <v>0.0</v>
      </c>
      <c r="P144" s="58">
        <v>57.0</v>
      </c>
      <c r="Q144" s="58">
        <v>0.0</v>
      </c>
      <c r="R144" s="58">
        <v>0.0</v>
      </c>
      <c r="S144" s="58">
        <v>0.0</v>
      </c>
      <c r="T144" s="58">
        <v>0.0</v>
      </c>
    </row>
    <row r="145" ht="15.75" customHeight="1">
      <c r="A145" s="57" t="s">
        <v>119</v>
      </c>
      <c r="B145" s="57" t="s">
        <v>113</v>
      </c>
      <c r="C145" s="57" t="s">
        <v>22</v>
      </c>
      <c r="D145" s="57" t="s">
        <v>23</v>
      </c>
      <c r="E145" s="57" t="s">
        <v>120</v>
      </c>
      <c r="F145" s="58">
        <v>3.0</v>
      </c>
      <c r="G145" s="57" t="s">
        <v>98</v>
      </c>
      <c r="H145" s="58">
        <v>15.0</v>
      </c>
      <c r="I145" s="58">
        <v>17.0</v>
      </c>
      <c r="J145" s="58">
        <v>2.0</v>
      </c>
      <c r="K145" s="58">
        <v>0.0</v>
      </c>
      <c r="L145" s="58">
        <v>3.0</v>
      </c>
      <c r="M145" s="58">
        <v>0.0</v>
      </c>
      <c r="N145" s="58">
        <v>30.0</v>
      </c>
      <c r="O145" s="58">
        <v>0.0</v>
      </c>
      <c r="P145" s="58">
        <v>67.0</v>
      </c>
      <c r="Q145" s="58">
        <v>0.0</v>
      </c>
      <c r="R145" s="58">
        <v>0.0</v>
      </c>
      <c r="S145" s="58">
        <v>0.0</v>
      </c>
      <c r="T145" s="58">
        <v>0.0</v>
      </c>
    </row>
    <row r="146" ht="15.75" customHeight="1"/>
    <row r="147" ht="15.75" customHeight="1"/>
    <row r="148" ht="15.75" customHeight="1"/>
    <row r="149" ht="15.75" customHeight="1"/>
    <row r="150" ht="15.75" customHeight="1">
      <c r="A150" s="30" t="s">
        <v>153</v>
      </c>
      <c r="B150" s="31" t="s">
        <v>154</v>
      </c>
      <c r="C150" s="32"/>
      <c r="D150" s="32"/>
      <c r="E150" s="32"/>
      <c r="F150" s="8"/>
      <c r="G150" s="31" t="s">
        <v>155</v>
      </c>
      <c r="H150" s="32"/>
      <c r="I150" s="32"/>
      <c r="J150" s="32"/>
      <c r="L150" s="31" t="s">
        <v>156</v>
      </c>
      <c r="M150" s="32"/>
      <c r="N150" s="32"/>
      <c r="O150" s="32"/>
    </row>
    <row r="151" ht="15.75" customHeight="1">
      <c r="B151" s="8" t="s">
        <v>63</v>
      </c>
      <c r="C151" s="8" t="s">
        <v>64</v>
      </c>
      <c r="D151" s="8" t="s">
        <v>65</v>
      </c>
      <c r="E151" s="8" t="s">
        <v>66</v>
      </c>
      <c r="G151" s="8" t="s">
        <v>63</v>
      </c>
      <c r="H151" s="8" t="s">
        <v>64</v>
      </c>
      <c r="I151" s="8" t="s">
        <v>65</v>
      </c>
      <c r="J151" s="8" t="s">
        <v>66</v>
      </c>
      <c r="K151" s="59"/>
      <c r="L151" s="8" t="s">
        <v>63</v>
      </c>
      <c r="M151" s="8" t="s">
        <v>64</v>
      </c>
      <c r="N151" s="8" t="s">
        <v>65</v>
      </c>
      <c r="O151" s="8" t="s">
        <v>66</v>
      </c>
    </row>
    <row r="152" ht="15.75" customHeight="1">
      <c r="A152" s="10" t="s">
        <v>7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1" t="s">
        <v>68</v>
      </c>
      <c r="B153" s="14">
        <f>$H$3/(($F$3-1)*$P$3)*100</f>
        <v>13.76884422</v>
      </c>
      <c r="C153" s="13">
        <f>$H$7/(($F$7-1)*$P$7)*100</f>
        <v>19.26188069</v>
      </c>
      <c r="D153" s="14">
        <f>$H$11/(($F$11-1)*$P$11)*100</f>
        <v>29.94056464</v>
      </c>
      <c r="E153" s="13">
        <f>$H$15/(($F$15-1)*$P$15)*100</f>
        <v>19.79695431</v>
      </c>
      <c r="G153" s="14">
        <f>$H$4/(($F$4-1)*$P$4)*100</f>
        <v>12.85282258</v>
      </c>
      <c r="H153" s="17">
        <f>$H$8/(($F$8-1)*$P$8)*100</f>
        <v>16.80161943</v>
      </c>
      <c r="I153" s="17">
        <f>$H$12/(($F$12-1)*$P$12)*100</f>
        <v>26.18343195</v>
      </c>
      <c r="J153" s="18">
        <f>$H$16/(($F$16-1)*$P$16)*100</f>
        <v>13.52040816</v>
      </c>
      <c r="L153" s="17">
        <f>$H$5/(($F$5-1)*$P$5)*100</f>
        <v>12.65182186</v>
      </c>
      <c r="M153" s="14">
        <f>$H$9/(($F$9-1)*$P$9)*100</f>
        <v>21.58746208</v>
      </c>
      <c r="N153" s="14">
        <f>$H$13/(($F$13-1)*$P$13)*100</f>
        <v>30</v>
      </c>
      <c r="O153" s="13">
        <f>$H$17/(($F$17-1)*$P$17)*100</f>
        <v>20.91836735</v>
      </c>
    </row>
    <row r="154" ht="15.75" customHeight="1">
      <c r="A154" s="11" t="s">
        <v>73</v>
      </c>
      <c r="B154" s="14">
        <f>$H$19/(($F$19-1)*$P$19)*100</f>
        <v>34.33922997</v>
      </c>
      <c r="C154" s="14">
        <f>$H$23/(($F$23-1)*$P$23)*100</f>
        <v>21.24485597</v>
      </c>
      <c r="D154" s="13">
        <f>$H$27/(($F$27-1)*$P$27)*100</f>
        <v>14.38253012</v>
      </c>
      <c r="E154" s="14">
        <f>$H$31/(($F$31-1)*$P$31)*100</f>
        <v>47.12041885</v>
      </c>
      <c r="F154" s="8"/>
      <c r="G154" s="17">
        <f>$H$20/(($F$20-1)*$P$20)*100</f>
        <v>32.05394191</v>
      </c>
      <c r="H154" s="14">
        <f>$H$24/(($F$24-1)*$P$24)*100</f>
        <v>11.24352332</v>
      </c>
      <c r="I154" s="13">
        <f>$H$28/(($F$28-1)*$P$28)*100</f>
        <v>10.58558559</v>
      </c>
      <c r="J154" s="14">
        <f>$H$32/(($F$32-1)*$P$32)*100</f>
        <v>35.78947368</v>
      </c>
      <c r="L154" s="14">
        <f>$H$21/(($F$21-1)*$P$21)*100</f>
        <v>32.6625387</v>
      </c>
      <c r="M154" s="20">
        <f>$H$25/(($F$25-1)*$P$25)*100</f>
        <v>8.661825726</v>
      </c>
      <c r="N154" s="18">
        <f>$H$29/(($F$29-1)*$P$29)*100</f>
        <v>10.19637462</v>
      </c>
      <c r="O154" s="17">
        <f>$H$33/(($F$33-1)*$P$33)*100</f>
        <v>33.5978836</v>
      </c>
    </row>
    <row r="155" ht="15.75" customHeight="1">
      <c r="A155" s="11" t="s">
        <v>76</v>
      </c>
      <c r="B155" s="16">
        <f>$H$35/(($F$35-1)*$P$35)*100</f>
        <v>7.599431818</v>
      </c>
      <c r="C155" s="14">
        <f>$H$39/(($F$39-1)*$P$39)*100</f>
        <v>26.47058824</v>
      </c>
      <c r="D155" s="14">
        <f>$H$43/(($F$43-1)*$P$43)*100</f>
        <v>24.06679764</v>
      </c>
      <c r="E155" s="14">
        <f>$H$47/(($F$47-1)*$P$47)*100</f>
        <v>26.31578947</v>
      </c>
      <c r="F155" s="8"/>
      <c r="G155" s="16">
        <f>$H$36/(($F$36-1)*$P$36)*100</f>
        <v>7.686453577</v>
      </c>
      <c r="H155" s="20">
        <f>$H$40/(($F$40-1)*$P$40)*100</f>
        <v>9.784411277</v>
      </c>
      <c r="I155" s="17">
        <f>$H$44/(($F$44-1)*$P$44)*100</f>
        <v>13.4</v>
      </c>
      <c r="J155" s="17">
        <f>$H$48/(($F$48-1)*$P$48)*100</f>
        <v>20.86330935</v>
      </c>
      <c r="L155" s="20">
        <f>$H$37/(($F$37-1)*$P$37)*100</f>
        <v>6.973058637</v>
      </c>
      <c r="M155" s="12">
        <f>$H$41/(($F$41-1)*$P$41)*100</f>
        <v>9.84</v>
      </c>
      <c r="N155" s="14">
        <f>$H$45/(($F$45-1)*$P$45)*100</f>
        <v>13.92156863</v>
      </c>
      <c r="O155" s="14">
        <f>$H$49/(($F$49-1)*$P$49)*100</f>
        <v>25.67567568</v>
      </c>
    </row>
    <row r="156" ht="15.75" customHeight="1">
      <c r="A156" s="10" t="s">
        <v>13</v>
      </c>
      <c r="B156" s="60"/>
      <c r="C156" s="60"/>
      <c r="D156" s="60"/>
      <c r="E156" s="60"/>
      <c r="F156" s="24"/>
      <c r="G156" s="60"/>
      <c r="H156" s="60"/>
      <c r="I156" s="60"/>
      <c r="J156" s="60"/>
      <c r="K156" s="10"/>
      <c r="L156" s="60"/>
      <c r="M156" s="60"/>
      <c r="N156" s="60"/>
      <c r="O156" s="60"/>
      <c r="Q156" s="2" t="s">
        <v>172</v>
      </c>
    </row>
    <row r="157" ht="15.75" customHeight="1">
      <c r="A157" s="11" t="s">
        <v>68</v>
      </c>
      <c r="B157" s="14">
        <f>$N$3/(($F$3-1)*$P$3)*100</f>
        <v>50.35175879</v>
      </c>
      <c r="C157" s="20">
        <f>$N$7/(($F$7-1)*$P$7)*100</f>
        <v>4.398382204</v>
      </c>
      <c r="D157" s="18">
        <f>$N$11/(($F$11-1)*$P$11)*100</f>
        <v>28.52897474</v>
      </c>
      <c r="E157" s="14">
        <f>$N$15/(($F$15-1)*$P$15)*100</f>
        <v>45.17766497</v>
      </c>
      <c r="F157" s="14">
        <f t="shared" ref="F157:F159" si="48">AVERAGE(B157:E157)</f>
        <v>32.11419518</v>
      </c>
      <c r="G157" s="14">
        <f>$N$4/(($F$4-1)*$P$4)*100</f>
        <v>51.41129032</v>
      </c>
      <c r="H157" s="16">
        <f>$N$8/(($F$8-1)*$P$8)*100</f>
        <v>5.36437247</v>
      </c>
      <c r="I157" s="13">
        <f>$N$12/(($F$12-1)*$P$12)*100</f>
        <v>30.0295858</v>
      </c>
      <c r="J157" s="14">
        <f>$N$16/(($F$16-1)*$P$16)*100</f>
        <v>45.40816327</v>
      </c>
      <c r="K157" s="14">
        <f t="shared" ref="K157:K159" si="49">AVERAGE(G157:J157)</f>
        <v>33.05335296</v>
      </c>
      <c r="L157" s="17">
        <f>$N$5/(($F$5-1)*$P$5)*100</f>
        <v>50.25303644</v>
      </c>
      <c r="M157" s="12">
        <f>$N$9/(($F$9-1)*$P$9)*100</f>
        <v>5.864509606</v>
      </c>
      <c r="N157" s="13">
        <f>$N$13/(($F$13-1)*$P$13)*100</f>
        <v>34</v>
      </c>
      <c r="O157" s="17">
        <f>$N$17/(($F$17-1)*$P$17)*100</f>
        <v>42.85714286</v>
      </c>
      <c r="P157" s="14">
        <f t="shared" ref="P157:P159" si="50">AVERAGE(L157:O157)</f>
        <v>33.24367223</v>
      </c>
      <c r="Q157" s="29">
        <f t="shared" ref="Q157:T157" si="47">(L157+L165+G157+G165+B157+B165)/3</f>
        <v>67.19301445</v>
      </c>
      <c r="R157" s="29">
        <f t="shared" si="47"/>
        <v>7.518533832</v>
      </c>
      <c r="S157" s="29">
        <f t="shared" si="47"/>
        <v>41.89688774</v>
      </c>
      <c r="T157" s="29">
        <f t="shared" si="47"/>
        <v>51.10328395</v>
      </c>
    </row>
    <row r="158" ht="15.75" customHeight="1">
      <c r="A158" s="11" t="s">
        <v>73</v>
      </c>
      <c r="B158" s="14">
        <f>$N$19/(($F$19-1)*$P$19)*100</f>
        <v>44.58896982</v>
      </c>
      <c r="C158" s="12">
        <f>$N$23/(($F$23-1)*$P$23)*100</f>
        <v>7.201646091</v>
      </c>
      <c r="D158" s="14">
        <f>$N$27/(($F$27-1)*$P$27)*100</f>
        <v>42.09337349</v>
      </c>
      <c r="E158" s="18">
        <f>$N$31/(($F$31-1)*$P$31)*100</f>
        <v>26.17801047</v>
      </c>
      <c r="F158" s="14">
        <f t="shared" si="48"/>
        <v>30.01549997</v>
      </c>
      <c r="G158" s="18">
        <f>$N$20/(($F$20-1)*$P$20)*100</f>
        <v>44.19087137</v>
      </c>
      <c r="H158" s="15">
        <f>$N$24/(($F$24-1)*$P$24)*100</f>
        <v>6.89119171</v>
      </c>
      <c r="I158" s="17">
        <f>$N$28/(($F$28-1)*$P$28)*100</f>
        <v>41.96696697</v>
      </c>
      <c r="J158" s="13">
        <f>$N$32/(($F$32-1)*$P$32)*100</f>
        <v>26.84210526</v>
      </c>
      <c r="K158" s="14">
        <f t="shared" si="49"/>
        <v>29.97278383</v>
      </c>
      <c r="L158" s="14">
        <f>$N$21/(($F$21-1)*$P$21)*100</f>
        <v>45.82043344</v>
      </c>
      <c r="M158" s="12">
        <f>$N$25/(($F$25-1)*$P$25)*100</f>
        <v>6.950207469</v>
      </c>
      <c r="N158" s="14">
        <f>$N$29/(($F$29-1)*$P$29)*100</f>
        <v>42.22054381</v>
      </c>
      <c r="O158" s="13">
        <f>$N$33/(($F$33-1)*$P$33)*100</f>
        <v>26.45502646</v>
      </c>
      <c r="P158" s="14">
        <f t="shared" si="50"/>
        <v>30.36155279</v>
      </c>
      <c r="Q158" s="29">
        <f t="shared" ref="Q158:T158" si="51">(L158+L166+G158+G166+B158+B166)/3</f>
        <v>48.5148423</v>
      </c>
      <c r="R158" s="29">
        <f t="shared" si="51"/>
        <v>7.548938411</v>
      </c>
      <c r="S158" s="29">
        <f t="shared" si="51"/>
        <v>52.40950146</v>
      </c>
      <c r="T158" s="29">
        <f t="shared" si="51"/>
        <v>30.52503277</v>
      </c>
    </row>
    <row r="159" ht="15.75" customHeight="1">
      <c r="A159" s="11" t="s">
        <v>76</v>
      </c>
      <c r="B159" s="18">
        <f>$N$35/(($F$35-1)*$P$35)*100</f>
        <v>42.11647727</v>
      </c>
      <c r="C159" s="12">
        <f>$N$39/(($F$39-1)*$P$39)*100</f>
        <v>6.279809221</v>
      </c>
      <c r="D159" s="14">
        <f>$N$43/(($F$43-1)*$P$43)*100</f>
        <v>37.22986248</v>
      </c>
      <c r="E159" s="17">
        <f>$N$47/(($F$47-1)*$P$47)*100</f>
        <v>36.09022556</v>
      </c>
      <c r="F159" s="14">
        <f t="shared" si="48"/>
        <v>30.42909363</v>
      </c>
      <c r="G159" s="14">
        <f>$N$36/(($F$36-1)*$P$36)*100</f>
        <v>47.03196347</v>
      </c>
      <c r="H159" s="12">
        <f>$N$40/(($F$40-1)*$P$40)*100</f>
        <v>5.887230514</v>
      </c>
      <c r="I159" s="14">
        <f>$N$44/(($F$44-1)*$P$44)*100</f>
        <v>36</v>
      </c>
      <c r="J159" s="14">
        <f>$N$48/(($F$48-1)*$P$48)*100</f>
        <v>38.84892086</v>
      </c>
      <c r="K159" s="14">
        <f t="shared" si="49"/>
        <v>31.94202871</v>
      </c>
      <c r="L159" s="13">
        <f>$N$37/(($F$37-1)*$P$37)*100</f>
        <v>44.29477021</v>
      </c>
      <c r="M159" s="20">
        <f>$N$41/(($F$41-1)*$P$41)*100</f>
        <v>5.6</v>
      </c>
      <c r="N159" s="17">
        <f>$N$45/(($F$45-1)*$P$45)*100</f>
        <v>35.58823529</v>
      </c>
      <c r="O159" s="14">
        <f>$N$49/(($F$49-1)*$P$49)*100</f>
        <v>38.85135135</v>
      </c>
      <c r="P159" s="14">
        <f t="shared" si="50"/>
        <v>31.08358921</v>
      </c>
      <c r="Q159" s="29">
        <f t="shared" ref="Q159:T159" si="52">(L159+L167+G159+G167+B159+B167)/3</f>
        <v>65.24940217</v>
      </c>
      <c r="R159" s="29">
        <f t="shared" si="52"/>
        <v>7.322330724</v>
      </c>
      <c r="S159" s="29">
        <f t="shared" si="52"/>
        <v>46.9340858</v>
      </c>
      <c r="T159" s="29">
        <f t="shared" si="52"/>
        <v>66.37151161</v>
      </c>
    </row>
    <row r="160" ht="15.75" customHeight="1">
      <c r="A160" s="10" t="s">
        <v>79</v>
      </c>
      <c r="B160" s="24"/>
      <c r="C160" s="24"/>
      <c r="D160" s="24"/>
      <c r="E160" s="24"/>
      <c r="F160" s="14"/>
      <c r="G160" s="24"/>
      <c r="H160" s="24"/>
      <c r="I160" s="24"/>
      <c r="J160" s="24"/>
      <c r="K160" s="10"/>
      <c r="L160" s="24"/>
      <c r="M160" s="24"/>
      <c r="N160" s="24"/>
      <c r="O160" s="24"/>
      <c r="Q160" s="29"/>
      <c r="R160" s="29"/>
      <c r="S160" s="29"/>
      <c r="T160" s="29"/>
    </row>
    <row r="161" ht="15.75" customHeight="1">
      <c r="A161" s="11" t="s">
        <v>68</v>
      </c>
      <c r="B161" s="14">
        <f>($I$3+$J$3)/(($F$3-1)*$P$3)*100</f>
        <v>18.89447236</v>
      </c>
      <c r="C161" s="13">
        <f>($I$7+$J$7)/(($F$7-1)*$P$7)*100</f>
        <v>73.35692619</v>
      </c>
      <c r="D161" s="14">
        <f>($I$11+$J$11)/(($F$11-1)*$P$11)*100</f>
        <v>28.45468053</v>
      </c>
      <c r="E161" s="13">
        <f>($I$15+$J$15)/(($F$15-1)*$P$15)*100</f>
        <v>28.93401015</v>
      </c>
      <c r="F161" s="8"/>
      <c r="G161" s="14">
        <f>($I$4+$J$4)/(($F$4-1)*$P$4)*100</f>
        <v>20.01008065</v>
      </c>
      <c r="H161" s="17">
        <f>($I$8+$J$8)/(($F$8-1)*$P$8)*100</f>
        <v>75.70850202</v>
      </c>
      <c r="I161" s="17">
        <f>($I$12+$J$12)/(($F$12-1)*$P$12)*100</f>
        <v>31.80473373</v>
      </c>
      <c r="J161" s="18">
        <f>($I$16+$J$16)/(($F$16-1)*$P$16)*100</f>
        <v>35.45918367</v>
      </c>
      <c r="L161" s="17">
        <f>($I$5+$J$5)/(($F$5-1)*$P$5)*100</f>
        <v>20.24291498</v>
      </c>
      <c r="M161" s="14">
        <f>($I$9+$J$9)/(($F$9-1)*$P$9)*100</f>
        <v>70.72800809</v>
      </c>
      <c r="N161" s="14">
        <f>($I$13+$J$13)/(($F$13-1)*$P$13)*100</f>
        <v>27.92592593</v>
      </c>
      <c r="O161" s="14">
        <f>($I$17+$J$17)/(($F$17-1)*$P$17)*100</f>
        <v>28.06122449</v>
      </c>
      <c r="Q161" s="29"/>
      <c r="R161" s="29"/>
      <c r="S161" s="29"/>
      <c r="T161" s="29"/>
    </row>
    <row r="162" ht="15.75" customHeight="1">
      <c r="A162" s="11" t="s">
        <v>73</v>
      </c>
      <c r="B162" s="14">
        <f>($I$19+$J$19)/(($F$19-1)*$P$19)*100</f>
        <v>16.85744017</v>
      </c>
      <c r="C162" s="14">
        <f>($I$23+$J$23)/(($F$23-1)*$P$23)*100</f>
        <v>71.14197531</v>
      </c>
      <c r="D162" s="13">
        <f>($I$27+$J$27)/(($F$27-1)*$P$27)*100</f>
        <v>33.05722892</v>
      </c>
      <c r="E162" s="14">
        <f>($I$31+$J$31)/(($F$31-1)*$P$31)*100</f>
        <v>21.9895288</v>
      </c>
      <c r="F162" s="8"/>
      <c r="G162" s="17">
        <f>($I$20+$J$20)/(($F$20-1)*$P$20)*100</f>
        <v>19.50207469</v>
      </c>
      <c r="H162" s="14">
        <f>($I$24+$J$24)/(($F$24-1)*$P$24)*100</f>
        <v>81.19170984</v>
      </c>
      <c r="I162" s="14">
        <f>($I$28+$J$28)/(($F$28-1)*$P$28)*100</f>
        <v>37.01201201</v>
      </c>
      <c r="J162" s="14">
        <f>($I$32+$J$32)/(($F$32-1)*$P$32)*100</f>
        <v>33.68421053</v>
      </c>
      <c r="L162" s="14">
        <f>($I$21+$J$21)/(($F$21-1)*$P$21)*100</f>
        <v>19.04024768</v>
      </c>
      <c r="M162" s="18">
        <f>($I$25+$J$25)/(($F$25-1)*$P$25)*100</f>
        <v>83.86929461</v>
      </c>
      <c r="N162" s="17">
        <f>($I$29+$J$29)/(($F$29-1)*$P$29)*100</f>
        <v>37.53776435</v>
      </c>
      <c r="O162" s="18">
        <f>($I$33+$J$33)/(($F$33-1)*$P$33)*100</f>
        <v>36.24338624</v>
      </c>
    </row>
    <row r="163" ht="15.75" customHeight="1">
      <c r="A163" s="11" t="s">
        <v>76</v>
      </c>
      <c r="B163" s="13">
        <f>($I$35+$J$35)/(($F$35-1)*$P$35)*100</f>
        <v>26.63352273</v>
      </c>
      <c r="C163" s="14">
        <f>($I$39+$J$39)/(($F$39-1)*$P$39)*100</f>
        <v>65.73926868</v>
      </c>
      <c r="D163" s="14">
        <f>($I$43+$J$43)/(($F$43-1)*$P$43)*100</f>
        <v>28.78192534</v>
      </c>
      <c r="E163" s="14">
        <f>($I$47+$J$47)/(($F$47-1)*$P$47)*100</f>
        <v>10.52631579</v>
      </c>
      <c r="F163" s="8"/>
      <c r="G163" s="13">
        <f>($I$36+$J$36)/(($F$36-1)*$P$36)*100</f>
        <v>27.62557078</v>
      </c>
      <c r="H163" s="13">
        <f>($I$40+$J$40)/(($F$40-1)*$P$40)*100</f>
        <v>82.91873964</v>
      </c>
      <c r="I163" s="13">
        <f>($I$44+$J$44)/(($F$44-1)*$P$44)*100</f>
        <v>40.4</v>
      </c>
      <c r="J163" s="14">
        <f>($I$48+$J$48)/(($F$48-1)*$P$48)*100</f>
        <v>10.07194245</v>
      </c>
      <c r="K163" s="59"/>
      <c r="L163" s="13">
        <f>($I$37+$J$37)/(($F$37-1)*$P$37)*100</f>
        <v>27.73375594</v>
      </c>
      <c r="M163" s="14">
        <f>($I$41+$J$41)/(($F$41-1)*$P$41)*100</f>
        <v>83.28</v>
      </c>
      <c r="N163" s="13">
        <f>($I$45+$J$45)/(($F$45-1)*$P$45)*100</f>
        <v>38.62745098</v>
      </c>
      <c r="O163" s="12">
        <f>($I$49+$J$49)/(($F$49-1)*$P$49)*100</f>
        <v>7.432432432</v>
      </c>
    </row>
    <row r="164" ht="15.75" customHeight="1">
      <c r="A164" s="10" t="s">
        <v>11</v>
      </c>
      <c r="B164" s="24"/>
      <c r="C164" s="24"/>
      <c r="D164" s="24"/>
      <c r="E164" s="24"/>
      <c r="F164" s="24"/>
      <c r="G164" s="24"/>
      <c r="H164" s="24"/>
      <c r="I164" s="24"/>
      <c r="J164" s="24"/>
      <c r="L164" s="24"/>
      <c r="M164" s="24"/>
      <c r="N164" s="24"/>
      <c r="O164" s="24"/>
    </row>
    <row r="165" ht="15.75" customHeight="1">
      <c r="A165" s="11" t="s">
        <v>68</v>
      </c>
      <c r="B165" s="17">
        <f>$L$3/(($F$3-1)*$P$3)*100</f>
        <v>16.98492462</v>
      </c>
      <c r="C165" s="20">
        <f>$L$7/(($F$7-1)*$P$7)*100</f>
        <v>2.98281092</v>
      </c>
      <c r="D165" s="18">
        <f>$L$11/(($F$11-1)*$P$11)*100</f>
        <v>13.07578009</v>
      </c>
      <c r="E165" s="12">
        <f>$L$15/(($F$15-1)*$P$15)*100</f>
        <v>6.091370558</v>
      </c>
      <c r="F165" s="8"/>
      <c r="G165" s="14">
        <f>$L$4/(($F$4-1)*$P$4)*100</f>
        <v>15.72580645</v>
      </c>
      <c r="H165" s="16">
        <f>$L$8/(($F$8-1)*$P$8)*100</f>
        <v>2.125506073</v>
      </c>
      <c r="I165" s="13">
        <f>$L$12/(($F$12-1)*$P$12)*100</f>
        <v>11.98224852</v>
      </c>
      <c r="J165" s="12">
        <f>$L$16/(($F$16-1)*$P$16)*100</f>
        <v>5.612244898</v>
      </c>
      <c r="L165" s="14">
        <f>$L$5/(($F$5-1)*$P$5)*100</f>
        <v>16.85222672</v>
      </c>
      <c r="M165" s="16">
        <f>$L$9/(($F$9-1)*$P$9)*100</f>
        <v>1.820020222</v>
      </c>
      <c r="N165" s="12">
        <f>$L$13/(($F$13-1)*$P$13)*100</f>
        <v>8.074074074</v>
      </c>
      <c r="O165" s="15">
        <f>$L$17/(($F$17-1)*$P$17)*100</f>
        <v>8.163265306</v>
      </c>
    </row>
    <row r="166" ht="15.75" customHeight="1">
      <c r="A166" s="11" t="s">
        <v>73</v>
      </c>
      <c r="B166" s="12">
        <f>$L$19/(($F$19-1)*$P$19)*100</f>
        <v>4.214360042</v>
      </c>
      <c r="C166" s="21">
        <f>$L$23/(($F$23-1)*$P$23)*100</f>
        <v>0.4115226337</v>
      </c>
      <c r="D166" s="17">
        <f>$L$27/(($F$27-1)*$P$27)*100</f>
        <v>10.46686747</v>
      </c>
      <c r="E166" s="15">
        <f>$L$31/(($F$31-1)*$P$31)*100</f>
        <v>4.712041885</v>
      </c>
      <c r="F166" s="8"/>
      <c r="G166" s="15">
        <f>$L$20/(($F$20-1)*$P$20)*100</f>
        <v>4.253112033</v>
      </c>
      <c r="H166" s="22">
        <f>$L$24/(($F$24-1)*$P$24)*100</f>
        <v>0.6735751295</v>
      </c>
      <c r="I166" s="14">
        <f>$L$28/(($F$28-1)*$P$28)*100</f>
        <v>10.43543544</v>
      </c>
      <c r="J166" s="12">
        <f>$L$32/(($F$32-1)*$P$32)*100</f>
        <v>3.684210526</v>
      </c>
      <c r="L166" s="12">
        <f>$L$21/(($F$21-1)*$P$21)*100</f>
        <v>2.476780186</v>
      </c>
      <c r="M166" s="21">
        <f>$L$25/(($F$25-1)*$P$25)*100</f>
        <v>0.5186721992</v>
      </c>
      <c r="N166" s="14">
        <f>$L$29/(($F$29-1)*$P$29)*100</f>
        <v>10.04531722</v>
      </c>
      <c r="O166" s="12">
        <f>$L$33/(($F$33-1)*$P$33)*100</f>
        <v>3.703703704</v>
      </c>
    </row>
    <row r="167" ht="15.75" customHeight="1">
      <c r="A167" s="11" t="s">
        <v>76</v>
      </c>
      <c r="B167" s="18">
        <f>$L$35/(($F$35-1)*$P$35)*100</f>
        <v>23.65056818</v>
      </c>
      <c r="C167" s="15">
        <f>$L$39/(($F$39-1)*$P$39)*100</f>
        <v>1.510333863</v>
      </c>
      <c r="D167" s="12">
        <f>$L$43/(($F$43-1)*$P$43)*100</f>
        <v>9.921414538</v>
      </c>
      <c r="E167" s="13">
        <f>$L$47/(($F$47-1)*$P$47)*100</f>
        <v>27.06766917</v>
      </c>
      <c r="F167" s="8"/>
      <c r="G167" s="13">
        <f>$L$36/(($F$36-1)*$P$36)*100</f>
        <v>17.65601218</v>
      </c>
      <c r="H167" s="12">
        <f>$L$40/(($F$40-1)*$P$40)*100</f>
        <v>1.409618574</v>
      </c>
      <c r="I167" s="14">
        <f>$L$44/(($F$44-1)*$P$44)*100</f>
        <v>10.2</v>
      </c>
      <c r="J167" s="18">
        <f>$L$48/(($F$48-1)*$P$48)*100</f>
        <v>30.21582734</v>
      </c>
      <c r="L167" s="13">
        <f>$L$37/(($F$37-1)*$P$37)*100</f>
        <v>20.99841521</v>
      </c>
      <c r="M167" s="12">
        <f>$L$41/(($F$41-1)*$P$41)*100</f>
        <v>1.28</v>
      </c>
      <c r="N167" s="18">
        <f>$L$45/(($F$45-1)*$P$45)*100</f>
        <v>11.8627451</v>
      </c>
      <c r="O167" s="13">
        <f>$L$49/(($F$49-1)*$P$49)*100</f>
        <v>28.04054054</v>
      </c>
      <c r="Q167" s="30" t="s">
        <v>153</v>
      </c>
      <c r="R167" s="31" t="s">
        <v>154</v>
      </c>
      <c r="S167" s="32"/>
      <c r="T167" s="32"/>
      <c r="U167" s="32"/>
      <c r="V167" s="8"/>
      <c r="W167" s="31" t="s">
        <v>155</v>
      </c>
      <c r="X167" s="32"/>
      <c r="Y167" s="32"/>
      <c r="Z167" s="32"/>
      <c r="AB167" s="31" t="s">
        <v>156</v>
      </c>
      <c r="AC167" s="32"/>
      <c r="AD167" s="32"/>
      <c r="AE167" s="32"/>
    </row>
    <row r="168" ht="15.75" customHeight="1">
      <c r="A168" s="72"/>
      <c r="B168" s="60">
        <f t="shared" ref="B168:E168" si="53">SUM(B153+B157+B161+B165)</f>
        <v>100</v>
      </c>
      <c r="C168" s="60">
        <f t="shared" si="53"/>
        <v>100</v>
      </c>
      <c r="D168" s="60">
        <f t="shared" si="53"/>
        <v>100</v>
      </c>
      <c r="E168" s="60">
        <f t="shared" si="53"/>
        <v>100</v>
      </c>
      <c r="F168" s="60"/>
      <c r="G168" s="60">
        <f t="shared" ref="G168:J168" si="54">SUM(G153+G157+G161+G165)</f>
        <v>100</v>
      </c>
      <c r="H168" s="60">
        <f t="shared" si="54"/>
        <v>100</v>
      </c>
      <c r="I168" s="60">
        <f t="shared" si="54"/>
        <v>100</v>
      </c>
      <c r="J168" s="60">
        <f t="shared" si="54"/>
        <v>100</v>
      </c>
      <c r="K168" s="60"/>
      <c r="L168" s="60">
        <f t="shared" ref="L168:O168" si="55">SUM(L153+L157+L161+L165)</f>
        <v>100</v>
      </c>
      <c r="M168" s="60">
        <f t="shared" si="55"/>
        <v>100</v>
      </c>
      <c r="N168" s="60">
        <f t="shared" si="55"/>
        <v>100</v>
      </c>
      <c r="O168" s="60">
        <f t="shared" si="55"/>
        <v>100</v>
      </c>
      <c r="R168" s="8" t="s">
        <v>63</v>
      </c>
      <c r="S168" s="8" t="s">
        <v>64</v>
      </c>
      <c r="T168" s="8" t="s">
        <v>65</v>
      </c>
      <c r="U168" s="8" t="s">
        <v>66</v>
      </c>
      <c r="W168" s="8" t="s">
        <v>63</v>
      </c>
      <c r="X168" s="8" t="s">
        <v>64</v>
      </c>
      <c r="Y168" s="8" t="s">
        <v>65</v>
      </c>
      <c r="Z168" s="8" t="s">
        <v>66</v>
      </c>
      <c r="AA168" s="59"/>
      <c r="AB168" s="8" t="s">
        <v>63</v>
      </c>
      <c r="AC168" s="8" t="s">
        <v>64</v>
      </c>
      <c r="AD168" s="8" t="s">
        <v>65</v>
      </c>
      <c r="AE168" s="8" t="s">
        <v>66</v>
      </c>
    </row>
    <row r="169" ht="15.75" customHeight="1">
      <c r="A169" s="11"/>
      <c r="B169" s="14">
        <f t="shared" ref="B169:E169" si="56">SUM(B154+B158+B162+B166)</f>
        <v>100</v>
      </c>
      <c r="C169" s="14">
        <f t="shared" si="56"/>
        <v>100</v>
      </c>
      <c r="D169" s="14">
        <f t="shared" si="56"/>
        <v>100</v>
      </c>
      <c r="E169" s="14">
        <f t="shared" si="56"/>
        <v>100</v>
      </c>
      <c r="F169" s="14"/>
      <c r="G169" s="14">
        <f t="shared" ref="G169:J169" si="57">SUM(G154+G158+G162+G166)</f>
        <v>100</v>
      </c>
      <c r="H169" s="14">
        <f t="shared" si="57"/>
        <v>100</v>
      </c>
      <c r="I169" s="14">
        <f t="shared" si="57"/>
        <v>100</v>
      </c>
      <c r="J169" s="14">
        <f t="shared" si="57"/>
        <v>100</v>
      </c>
      <c r="K169" s="14"/>
      <c r="L169" s="14">
        <f t="shared" ref="L169:O169" si="58">SUM(L154+L158+L162+L166)</f>
        <v>100</v>
      </c>
      <c r="M169" s="14">
        <f t="shared" si="58"/>
        <v>100</v>
      </c>
      <c r="N169" s="14">
        <f t="shared" si="58"/>
        <v>100</v>
      </c>
      <c r="O169" s="14">
        <f t="shared" si="58"/>
        <v>100</v>
      </c>
      <c r="Q169" s="11" t="s">
        <v>68</v>
      </c>
      <c r="R169" s="33">
        <f t="shared" ref="R169:U169" si="59">B153+B157</f>
        <v>64.12060302</v>
      </c>
      <c r="S169" s="29">
        <f t="shared" si="59"/>
        <v>23.66026289</v>
      </c>
      <c r="T169" s="33">
        <f t="shared" si="59"/>
        <v>58.46953938</v>
      </c>
      <c r="U169" s="33">
        <f t="shared" si="59"/>
        <v>64.97461929</v>
      </c>
      <c r="V169" s="33"/>
      <c r="W169" s="33">
        <f t="shared" ref="W169:Z169" si="60">G153+G157</f>
        <v>64.2641129</v>
      </c>
      <c r="X169" s="29">
        <f t="shared" si="60"/>
        <v>22.1659919</v>
      </c>
      <c r="Y169" s="33">
        <f t="shared" si="60"/>
        <v>56.21301775</v>
      </c>
      <c r="Z169" s="33">
        <f t="shared" si="60"/>
        <v>58.92857143</v>
      </c>
      <c r="AA169" s="33"/>
      <c r="AB169" s="33">
        <f t="shared" ref="AB169:AE169" si="61">L153+L157</f>
        <v>62.9048583</v>
      </c>
      <c r="AC169" s="29">
        <f t="shared" si="61"/>
        <v>27.45197169</v>
      </c>
      <c r="AD169" s="33">
        <f t="shared" si="61"/>
        <v>64</v>
      </c>
      <c r="AE169" s="33">
        <f t="shared" si="61"/>
        <v>63.7755102</v>
      </c>
      <c r="AF169" s="33">
        <f t="shared" ref="AF169:AF171" si="68">AVERAGE(R169:U169,W169:Z169,AB169:AE169)</f>
        <v>52.57742156</v>
      </c>
      <c r="AG169" s="33"/>
    </row>
    <row r="170" ht="15.75" customHeight="1">
      <c r="A170" s="11"/>
      <c r="B170" s="14">
        <f t="shared" ref="B170:E170" si="62">SUM(B155+B159+B163+B167)</f>
        <v>100</v>
      </c>
      <c r="C170" s="14">
        <f t="shared" si="62"/>
        <v>100</v>
      </c>
      <c r="D170" s="14">
        <f t="shared" si="62"/>
        <v>100</v>
      </c>
      <c r="E170" s="14">
        <f t="shared" si="62"/>
        <v>100</v>
      </c>
      <c r="F170" s="14"/>
      <c r="G170" s="14">
        <f t="shared" ref="G170:J170" si="63">SUM(G155+G159+G163+G167)</f>
        <v>100</v>
      </c>
      <c r="H170" s="14">
        <f t="shared" si="63"/>
        <v>100</v>
      </c>
      <c r="I170" s="14">
        <f t="shared" si="63"/>
        <v>100</v>
      </c>
      <c r="J170" s="14">
        <f t="shared" si="63"/>
        <v>100</v>
      </c>
      <c r="K170" s="14"/>
      <c r="L170" s="14">
        <f t="shared" ref="L170:O170" si="64">SUM(L155+L159+L163+L167)</f>
        <v>100</v>
      </c>
      <c r="M170" s="14">
        <f t="shared" si="64"/>
        <v>100</v>
      </c>
      <c r="N170" s="14">
        <f t="shared" si="64"/>
        <v>100</v>
      </c>
      <c r="O170" s="14">
        <f t="shared" si="64"/>
        <v>100</v>
      </c>
      <c r="Q170" s="11" t="s">
        <v>73</v>
      </c>
      <c r="R170" s="33">
        <f t="shared" ref="R170:U170" si="65">B154+B158</f>
        <v>78.92819979</v>
      </c>
      <c r="S170" s="29">
        <f t="shared" si="65"/>
        <v>28.44650206</v>
      </c>
      <c r="T170" s="33">
        <f t="shared" si="65"/>
        <v>56.47590361</v>
      </c>
      <c r="U170" s="33">
        <f t="shared" si="65"/>
        <v>73.29842932</v>
      </c>
      <c r="V170" s="33"/>
      <c r="W170" s="33">
        <f t="shared" ref="W170:Z170" si="66">G154+G158</f>
        <v>76.24481328</v>
      </c>
      <c r="X170" s="29">
        <f t="shared" si="66"/>
        <v>18.13471503</v>
      </c>
      <c r="Y170" s="33">
        <f t="shared" si="66"/>
        <v>52.55255255</v>
      </c>
      <c r="Z170" s="33">
        <f t="shared" si="66"/>
        <v>62.63157895</v>
      </c>
      <c r="AA170" s="33"/>
      <c r="AB170" s="33">
        <f t="shared" ref="AB170:AE170" si="67">L154+L158</f>
        <v>78.48297214</v>
      </c>
      <c r="AC170" s="29">
        <f t="shared" si="67"/>
        <v>15.6120332</v>
      </c>
      <c r="AD170" s="33">
        <f t="shared" si="67"/>
        <v>52.41691843</v>
      </c>
      <c r="AE170" s="33">
        <f t="shared" si="67"/>
        <v>60.05291005</v>
      </c>
      <c r="AF170" s="33">
        <f t="shared" si="68"/>
        <v>54.43979403</v>
      </c>
      <c r="AG170" s="33"/>
    </row>
    <row r="171" ht="15.75" customHeight="1">
      <c r="A171" s="11"/>
      <c r="B171" s="12"/>
      <c r="C171" s="17"/>
      <c r="D171" s="17"/>
      <c r="E171" s="14"/>
      <c r="G171" s="15"/>
      <c r="H171" s="12"/>
      <c r="I171" s="14"/>
      <c r="J171" s="12"/>
      <c r="L171" s="12"/>
      <c r="M171" s="12"/>
      <c r="N171" s="14"/>
      <c r="O171" s="17"/>
      <c r="Q171" s="23" t="s">
        <v>76</v>
      </c>
      <c r="R171" s="33">
        <f t="shared" ref="R171:U171" si="69">B155+B159</f>
        <v>49.71590909</v>
      </c>
      <c r="S171" s="29">
        <f t="shared" si="69"/>
        <v>32.75039746</v>
      </c>
      <c r="T171" s="33">
        <f t="shared" si="69"/>
        <v>61.29666012</v>
      </c>
      <c r="U171" s="33">
        <f t="shared" si="69"/>
        <v>62.40601504</v>
      </c>
      <c r="V171" s="33"/>
      <c r="W171" s="33">
        <f t="shared" ref="W171:Z171" si="70">G155+G159</f>
        <v>54.71841705</v>
      </c>
      <c r="X171" s="29">
        <f t="shared" si="70"/>
        <v>15.67164179</v>
      </c>
      <c r="Y171" s="33">
        <f t="shared" si="70"/>
        <v>49.4</v>
      </c>
      <c r="Z171" s="33">
        <f t="shared" si="70"/>
        <v>59.71223022</v>
      </c>
      <c r="AA171" s="33"/>
      <c r="AB171" s="33">
        <f t="shared" ref="AB171:AE171" si="71">L155+L159</f>
        <v>51.26782884</v>
      </c>
      <c r="AC171" s="29">
        <f t="shared" si="71"/>
        <v>15.44</v>
      </c>
      <c r="AD171" s="33">
        <f t="shared" si="71"/>
        <v>49.50980392</v>
      </c>
      <c r="AE171" s="33">
        <f t="shared" si="71"/>
        <v>64.52702703</v>
      </c>
      <c r="AF171" s="33">
        <f t="shared" si="68"/>
        <v>47.20132755</v>
      </c>
      <c r="AG171" s="33"/>
    </row>
    <row r="172" ht="15.75" customHeight="1">
      <c r="Q172" s="11" t="s">
        <v>92</v>
      </c>
      <c r="R172" s="33">
        <f t="shared" ref="R172:U172" si="72">AVERAGE(R169:R171)</f>
        <v>64.25490397</v>
      </c>
      <c r="S172" s="29">
        <f t="shared" si="72"/>
        <v>28.2857208</v>
      </c>
      <c r="T172" s="33">
        <f t="shared" si="72"/>
        <v>58.7473677</v>
      </c>
      <c r="U172" s="33">
        <f t="shared" si="72"/>
        <v>66.89302122</v>
      </c>
      <c r="V172" s="33"/>
      <c r="W172" s="33">
        <f t="shared" ref="W172:Z172" si="73">AVERAGE(W169:W171)</f>
        <v>65.07578108</v>
      </c>
      <c r="X172" s="29">
        <f t="shared" si="73"/>
        <v>18.65744957</v>
      </c>
      <c r="Y172" s="33">
        <f t="shared" si="73"/>
        <v>52.72185677</v>
      </c>
      <c r="Z172" s="33">
        <f t="shared" si="73"/>
        <v>60.42412686</v>
      </c>
      <c r="AA172" s="33"/>
      <c r="AB172" s="33">
        <f t="shared" ref="AB172:AE172" si="74">AVERAGE(AB169:AB171)</f>
        <v>64.21855309</v>
      </c>
      <c r="AC172" s="29">
        <f t="shared" si="74"/>
        <v>19.50133496</v>
      </c>
      <c r="AD172" s="33">
        <f t="shared" si="74"/>
        <v>55.30890745</v>
      </c>
      <c r="AE172" s="33">
        <f t="shared" si="74"/>
        <v>62.78514909</v>
      </c>
    </row>
    <row r="173" ht="15.75" customHeight="1">
      <c r="A173" s="76" t="s">
        <v>202</v>
      </c>
      <c r="B173" s="9" t="s">
        <v>154</v>
      </c>
      <c r="G173" s="9" t="s">
        <v>155</v>
      </c>
      <c r="L173" s="9" t="s">
        <v>156</v>
      </c>
      <c r="S173" s="33">
        <f>AVERAGE(R172:U172)</f>
        <v>54.54525342</v>
      </c>
      <c r="X173" s="33">
        <f>AVERAGE(W172:Z172)</f>
        <v>49.21980357</v>
      </c>
      <c r="AC173" s="33">
        <f>AVERAGE(AB172:AE172)</f>
        <v>50.45348615</v>
      </c>
    </row>
    <row r="174" ht="15.75" customHeight="1">
      <c r="B174" s="32"/>
      <c r="C174" s="32"/>
      <c r="D174" s="32"/>
      <c r="E174" s="32"/>
      <c r="F174" s="8"/>
      <c r="G174" s="32"/>
      <c r="H174" s="32"/>
      <c r="I174" s="32"/>
      <c r="J174" s="32"/>
      <c r="L174" s="32"/>
      <c r="M174" s="32"/>
      <c r="N174" s="32"/>
      <c r="O174" s="32"/>
    </row>
    <row r="175" ht="15.75" customHeight="1">
      <c r="A175" s="32"/>
      <c r="B175" s="51" t="s">
        <v>63</v>
      </c>
      <c r="C175" s="51" t="s">
        <v>64</v>
      </c>
      <c r="D175" s="51" t="s">
        <v>65</v>
      </c>
      <c r="E175" s="51" t="s">
        <v>66</v>
      </c>
      <c r="F175" s="32"/>
      <c r="G175" s="51" t="s">
        <v>63</v>
      </c>
      <c r="H175" s="51" t="s">
        <v>64</v>
      </c>
      <c r="I175" s="51" t="s">
        <v>65</v>
      </c>
      <c r="J175" s="51" t="s">
        <v>66</v>
      </c>
      <c r="K175" s="59"/>
      <c r="L175" s="51" t="s">
        <v>63</v>
      </c>
      <c r="M175" s="51" t="s">
        <v>64</v>
      </c>
      <c r="N175" s="51" t="s">
        <v>65</v>
      </c>
      <c r="O175" s="51" t="s">
        <v>66</v>
      </c>
    </row>
    <row r="176" ht="15.75" customHeight="1">
      <c r="A176" s="10" t="s">
        <v>203</v>
      </c>
    </row>
    <row r="177" ht="15.75" customHeight="1">
      <c r="A177" s="11" t="s">
        <v>73</v>
      </c>
      <c r="B177" s="77">
        <f t="shared" ref="B177:E177" si="75">B154</f>
        <v>34.33922997</v>
      </c>
      <c r="C177" s="77">
        <f t="shared" si="75"/>
        <v>21.24485597</v>
      </c>
      <c r="D177" s="77">
        <f t="shared" si="75"/>
        <v>14.38253012</v>
      </c>
      <c r="E177" s="77">
        <f t="shared" si="75"/>
        <v>47.12041885</v>
      </c>
      <c r="F177" s="78">
        <f t="shared" ref="F177:F178" si="78">AVERAGE(B177,D177:E177)</f>
        <v>31.94739298</v>
      </c>
      <c r="G177" s="79">
        <f t="shared" ref="G177:J177" si="76">G154</f>
        <v>32.05394191</v>
      </c>
      <c r="H177" s="77">
        <f t="shared" si="76"/>
        <v>11.24352332</v>
      </c>
      <c r="I177" s="77">
        <f t="shared" si="76"/>
        <v>10.58558559</v>
      </c>
      <c r="J177" s="77">
        <f t="shared" si="76"/>
        <v>35.78947368</v>
      </c>
      <c r="K177" s="78">
        <f t="shared" ref="K177:K178" si="79">AVERAGE(G177,I177:J177)</f>
        <v>26.14300039</v>
      </c>
      <c r="L177" s="77">
        <f t="shared" ref="L177:O177" si="77">L154</f>
        <v>32.6625387</v>
      </c>
      <c r="M177" s="80">
        <f t="shared" si="77"/>
        <v>8.661825726</v>
      </c>
      <c r="N177" s="79">
        <f t="shared" si="77"/>
        <v>10.19637462</v>
      </c>
      <c r="O177" s="79">
        <f t="shared" si="77"/>
        <v>33.5978836</v>
      </c>
      <c r="P177" s="78">
        <f t="shared" ref="P177:P178" si="80">AVERAGE(L177,N177:O177)</f>
        <v>25.48559897</v>
      </c>
    </row>
    <row r="178" ht="15.75" customHeight="1">
      <c r="A178" s="11" t="s">
        <v>205</v>
      </c>
      <c r="B178" s="81">
        <f>$H$115/(($F$115-1)*$P$115)*100</f>
        <v>3.067484663</v>
      </c>
      <c r="C178" s="82">
        <f>$H$119/(($F$119-1)*$P$119)*100</f>
        <v>0.6802721088</v>
      </c>
      <c r="D178" s="83">
        <f>$H$123/(($F$123-1)*$P$123)*100</f>
        <v>7.547169811</v>
      </c>
      <c r="E178" s="84">
        <f>$H$127/(($F$127-1)*$P$127)*100</f>
        <v>12.5</v>
      </c>
      <c r="F178" s="78">
        <f t="shared" si="78"/>
        <v>7.704884825</v>
      </c>
      <c r="G178" s="83">
        <f>$H$116/(($F$116-1)*$P$116)*100</f>
        <v>2.380952381</v>
      </c>
      <c r="H178" s="85">
        <f>$H$120/(($F$120-1)*$P$120)*100</f>
        <v>0.9345794393</v>
      </c>
      <c r="I178" s="81">
        <f>$H$124/(($F$124-1)*$P$124)*100</f>
        <v>8.385093168</v>
      </c>
      <c r="J178" s="84">
        <f>$H$128/(($F$128-1)*$P$128)*100</f>
        <v>12</v>
      </c>
      <c r="K178" s="78">
        <f t="shared" si="79"/>
        <v>7.58868185</v>
      </c>
      <c r="L178" s="81">
        <f>$H$117/(($F$117-1)*$P$117)*100</f>
        <v>3.823529412</v>
      </c>
      <c r="M178" s="81">
        <f>$H$121/(($F$121-1)*$P$121)*100</f>
        <v>1.219512195</v>
      </c>
      <c r="N178" s="81">
        <f>$H$125/(($F$125-1)*$P$125)*100</f>
        <v>7.90960452</v>
      </c>
      <c r="O178" s="86">
        <f>$H$129/(($F$129-1)*$P$129)*100</f>
        <v>10.0877193</v>
      </c>
      <c r="P178" s="78">
        <f t="shared" si="80"/>
        <v>7.273617743</v>
      </c>
      <c r="Q178" s="42" t="s">
        <v>153</v>
      </c>
      <c r="R178" s="43" t="s">
        <v>154</v>
      </c>
      <c r="S178" s="32"/>
      <c r="T178" s="32"/>
      <c r="U178" s="32"/>
      <c r="W178" s="31" t="s">
        <v>208</v>
      </c>
      <c r="X178" s="32"/>
      <c r="Y178" s="32"/>
      <c r="Z178" s="32"/>
      <c r="AB178" s="43" t="s">
        <v>209</v>
      </c>
      <c r="AC178" s="32"/>
      <c r="AD178" s="32"/>
      <c r="AE178" s="32"/>
    </row>
    <row r="179" ht="15.75" customHeight="1">
      <c r="A179" s="10" t="s">
        <v>210</v>
      </c>
      <c r="B179" s="87"/>
      <c r="C179" s="87"/>
      <c r="D179" s="87"/>
      <c r="E179" s="87"/>
      <c r="F179" s="88"/>
      <c r="G179" s="87"/>
      <c r="H179" s="87"/>
      <c r="I179" s="87"/>
      <c r="J179" s="87"/>
      <c r="K179" s="88"/>
      <c r="L179" s="87"/>
      <c r="M179" s="87"/>
      <c r="N179" s="87"/>
      <c r="O179" s="87"/>
      <c r="R179" s="44" t="s">
        <v>63</v>
      </c>
      <c r="S179" s="44" t="s">
        <v>64</v>
      </c>
      <c r="T179" s="44" t="s">
        <v>65</v>
      </c>
      <c r="U179" s="44" t="s">
        <v>66</v>
      </c>
      <c r="W179" s="8" t="s">
        <v>63</v>
      </c>
      <c r="X179" s="8" t="s">
        <v>64</v>
      </c>
      <c r="Y179" s="8" t="s">
        <v>65</v>
      </c>
      <c r="Z179" s="8" t="s">
        <v>66</v>
      </c>
      <c r="AB179" s="44" t="s">
        <v>63</v>
      </c>
      <c r="AC179" s="44" t="s">
        <v>64</v>
      </c>
      <c r="AD179" s="44" t="s">
        <v>65</v>
      </c>
      <c r="AE179" s="44" t="s">
        <v>66</v>
      </c>
    </row>
    <row r="180" ht="15.75" customHeight="1">
      <c r="A180" s="11" t="s">
        <v>73</v>
      </c>
      <c r="B180" s="84">
        <f t="shared" ref="B180:E180" si="81">B158</f>
        <v>44.58896982</v>
      </c>
      <c r="C180" s="89">
        <f t="shared" si="81"/>
        <v>7.201646091</v>
      </c>
      <c r="D180" s="77">
        <f t="shared" si="81"/>
        <v>42.09337349</v>
      </c>
      <c r="E180" s="86">
        <f t="shared" si="81"/>
        <v>26.17801047</v>
      </c>
      <c r="F180" s="78">
        <f t="shared" ref="F180:F181" si="84">AVERAGE(B180,D180:E180)</f>
        <v>37.62011793</v>
      </c>
      <c r="G180" s="86">
        <f t="shared" ref="G180:J180" si="82">G158</f>
        <v>44.19087137</v>
      </c>
      <c r="H180" s="80">
        <f t="shared" si="82"/>
        <v>6.89119171</v>
      </c>
      <c r="I180" s="79">
        <f t="shared" si="82"/>
        <v>41.96696697</v>
      </c>
      <c r="J180" s="84">
        <f t="shared" si="82"/>
        <v>26.84210526</v>
      </c>
      <c r="K180" s="78">
        <f t="shared" ref="K180:K181" si="85">AVERAGE(G180,I180:J180)</f>
        <v>37.66664787</v>
      </c>
      <c r="L180" s="84">
        <f t="shared" ref="L180:O180" si="83">L158</f>
        <v>45.82043344</v>
      </c>
      <c r="M180" s="89">
        <f t="shared" si="83"/>
        <v>6.950207469</v>
      </c>
      <c r="N180" s="84">
        <f t="shared" si="83"/>
        <v>42.22054381</v>
      </c>
      <c r="O180" s="84">
        <f t="shared" si="83"/>
        <v>26.45502646</v>
      </c>
      <c r="P180" s="78">
        <f t="shared" ref="P180:P181" si="86">AVERAGE(L180,N180:O180)</f>
        <v>38.16533457</v>
      </c>
      <c r="Q180" s="47" t="s">
        <v>68</v>
      </c>
      <c r="R180" s="90">
        <v>64.1</v>
      </c>
      <c r="S180" s="91">
        <v>23.66</v>
      </c>
      <c r="T180" s="90">
        <v>58.5</v>
      </c>
      <c r="U180" s="90">
        <v>65.0</v>
      </c>
      <c r="W180" s="90">
        <v>66.6</v>
      </c>
      <c r="X180" s="91">
        <v>26.95</v>
      </c>
      <c r="Y180" s="90">
        <v>55.1</v>
      </c>
      <c r="Z180" s="90">
        <v>59.2</v>
      </c>
      <c r="AB180" s="90">
        <v>72.7</v>
      </c>
      <c r="AC180" s="91">
        <v>8.57</v>
      </c>
      <c r="AD180" s="90">
        <v>40.6</v>
      </c>
      <c r="AE180" s="90">
        <v>57.0</v>
      </c>
      <c r="AI180" s="2">
        <f>(AF192-AF170)/AF170*100</f>
        <v>7.937225724</v>
      </c>
    </row>
    <row r="181" ht="15.75" customHeight="1">
      <c r="A181" s="11" t="s">
        <v>205</v>
      </c>
      <c r="B181" s="79">
        <f>$N$115/(($F$115-1)*$P$115)*100</f>
        <v>58.58895706</v>
      </c>
      <c r="C181" s="83">
        <f>$N$119/(($F$119-1)*$P$119)*100</f>
        <v>4.081632653</v>
      </c>
      <c r="D181" s="84">
        <f>$N$123/(($F$123-1)*$P$123)*100</f>
        <v>37.10691824</v>
      </c>
      <c r="E181" s="79">
        <f>$N$127/(($F$127-1)*$P$127)*100</f>
        <v>27.88461538</v>
      </c>
      <c r="F181" s="78">
        <f t="shared" si="84"/>
        <v>41.19349689</v>
      </c>
      <c r="G181" s="77">
        <f>$N$116/(($F$116-1)*$P$116)*100</f>
        <v>71.42857143</v>
      </c>
      <c r="H181" s="81">
        <f>$N$120/(($F$120-1)*$P$120)*100</f>
        <v>4.672897196</v>
      </c>
      <c r="I181" s="86">
        <f>$N$124/(($F$124-1)*$P$124)*100</f>
        <v>34.62732919</v>
      </c>
      <c r="J181" s="77">
        <f>$N$128/(($F$128-1)*$P$128)*100</f>
        <v>38.5</v>
      </c>
      <c r="K181" s="78">
        <f t="shared" si="85"/>
        <v>48.18530021</v>
      </c>
      <c r="L181" s="77">
        <f>$N$117/(($F$117-1)*$P$117)*100</f>
        <v>70</v>
      </c>
      <c r="M181" s="81">
        <f>$N$121/(($F$121-1)*$P$121)*100</f>
        <v>4.115853659</v>
      </c>
      <c r="N181" s="77">
        <f>$N$125/(($F$125-1)*$P$125)*100</f>
        <v>43.6440678</v>
      </c>
      <c r="O181" s="77">
        <f>$N$129/(($F$129-1)*$P$129)*100</f>
        <v>39.47368421</v>
      </c>
      <c r="P181" s="78">
        <f t="shared" si="86"/>
        <v>51.03925067</v>
      </c>
      <c r="Q181" s="47" t="s">
        <v>73</v>
      </c>
      <c r="R181" s="90">
        <v>78.9</v>
      </c>
      <c r="S181" s="91">
        <v>28.45</v>
      </c>
      <c r="T181" s="90">
        <v>56.5</v>
      </c>
      <c r="U181" s="90">
        <v>73.3</v>
      </c>
      <c r="W181" s="90">
        <v>71.5</v>
      </c>
      <c r="X181" s="91">
        <v>38.28</v>
      </c>
      <c r="Y181" s="90">
        <v>55.1</v>
      </c>
      <c r="Z181" s="90">
        <v>79.3</v>
      </c>
      <c r="AB181" s="90">
        <v>75.1</v>
      </c>
      <c r="AC181" s="91">
        <v>9.22</v>
      </c>
      <c r="AD181" s="90">
        <v>48.1</v>
      </c>
      <c r="AE181" s="92">
        <v>43.9</v>
      </c>
    </row>
    <row r="182" ht="15.75" customHeight="1">
      <c r="A182" s="10" t="s">
        <v>213</v>
      </c>
      <c r="B182" s="87"/>
      <c r="C182" s="87"/>
      <c r="D182" s="87"/>
      <c r="E182" s="87"/>
      <c r="F182" s="88"/>
      <c r="G182" s="87"/>
      <c r="H182" s="87"/>
      <c r="I182" s="87"/>
      <c r="J182" s="87"/>
      <c r="K182" s="88"/>
      <c r="L182" s="87"/>
      <c r="M182" s="87"/>
      <c r="N182" s="87"/>
      <c r="O182" s="87"/>
      <c r="Q182" s="93" t="s">
        <v>76</v>
      </c>
      <c r="R182" s="90">
        <v>49.7</v>
      </c>
      <c r="S182" s="91">
        <v>32.75</v>
      </c>
      <c r="T182" s="90">
        <v>61.3</v>
      </c>
      <c r="U182" s="90">
        <v>62.4</v>
      </c>
      <c r="W182" s="90">
        <v>46.1</v>
      </c>
      <c r="X182" s="91">
        <v>34.28</v>
      </c>
      <c r="Y182" s="90">
        <v>53.9</v>
      </c>
      <c r="Z182" s="90">
        <v>52.9</v>
      </c>
      <c r="AB182" s="92">
        <v>63.1</v>
      </c>
      <c r="AC182" s="91">
        <v>7.03</v>
      </c>
      <c r="AD182" s="90">
        <v>40.7</v>
      </c>
      <c r="AE182" s="90">
        <v>69.2</v>
      </c>
    </row>
    <row r="183" ht="15.75" customHeight="1">
      <c r="A183" s="11" t="s">
        <v>73</v>
      </c>
      <c r="B183" s="84">
        <f t="array" ref="B183:E183">B162:E162</f>
        <v>16.85744017</v>
      </c>
      <c r="C183" s="77">
        <v>71.14197530864197</v>
      </c>
      <c r="D183" s="77">
        <v>33.05722891566265</v>
      </c>
      <c r="E183" s="77">
        <v>21.98952879581152</v>
      </c>
      <c r="F183" s="94"/>
      <c r="G183" s="86">
        <f t="array" ref="G183:J183">G162:J162</f>
        <v>19.50207469</v>
      </c>
      <c r="H183" s="77">
        <v>81.1917098445596</v>
      </c>
      <c r="I183" s="77">
        <v>37.012012012012015</v>
      </c>
      <c r="J183" s="84">
        <v>33.68421052631579</v>
      </c>
      <c r="K183" s="94"/>
      <c r="L183" s="84">
        <f t="array" ref="L183:O183">L162:O162</f>
        <v>19.04024768</v>
      </c>
      <c r="M183" s="79">
        <v>83.86929460580913</v>
      </c>
      <c r="N183" s="79">
        <v>37.53776435045317</v>
      </c>
      <c r="O183" s="79">
        <v>36.24338624338625</v>
      </c>
      <c r="Q183" s="47" t="s">
        <v>92</v>
      </c>
      <c r="R183" s="90">
        <v>64.3</v>
      </c>
      <c r="S183" s="91">
        <v>28.29</v>
      </c>
      <c r="T183" s="90">
        <v>58.7</v>
      </c>
      <c r="U183" s="90">
        <v>66.9</v>
      </c>
      <c r="W183" s="90">
        <v>61.4</v>
      </c>
      <c r="X183" s="91">
        <v>33.17</v>
      </c>
      <c r="Y183" s="90">
        <v>54.7</v>
      </c>
      <c r="Z183" s="90">
        <v>63.8</v>
      </c>
      <c r="AB183" s="96">
        <v>70.3</v>
      </c>
      <c r="AC183" s="97">
        <v>8.27</v>
      </c>
      <c r="AD183" s="98">
        <v>43.1</v>
      </c>
      <c r="AE183" s="98">
        <v>56.7</v>
      </c>
    </row>
    <row r="184" ht="15.75" customHeight="1">
      <c r="A184" s="11" t="s">
        <v>205</v>
      </c>
      <c r="B184" s="79">
        <f>($I$115+$J$115)/(($F$115-1)*$P$115)*100</f>
        <v>16.56441718</v>
      </c>
      <c r="C184" s="86">
        <f>($I$119+$J$119)/(($F$119-1)*$P$119)*100</f>
        <v>93.19727891</v>
      </c>
      <c r="D184" s="84">
        <f>($I$123+$J$123)/(($F$123-1)*$P$123)*100</f>
        <v>40.56603774</v>
      </c>
      <c r="E184" s="86">
        <f>($I$127+$J$127)/(($F$127-1)*$P$127)*100</f>
        <v>37.5</v>
      </c>
      <c r="F184" s="78"/>
      <c r="G184" s="77">
        <f>($I$116+$J$116)/(($F$116-1)*$P$116)*100</f>
        <v>12.5</v>
      </c>
      <c r="H184" s="84">
        <f>($I$120+$J$120)/(($F$120-1)*$P$120)*100</f>
        <v>90.96573209</v>
      </c>
      <c r="I184" s="86">
        <f>($I$124+$J$124)/(($F$124-1)*$P$124)*100</f>
        <v>44.09937888</v>
      </c>
      <c r="J184" s="77">
        <f>($I$128+$J$128)/(($F$128-1)*$P$128)*100</f>
        <v>32</v>
      </c>
      <c r="K184" s="78"/>
      <c r="L184" s="77">
        <f>($I$117+$J$117)/(($F$117-1)*$P$117)*100</f>
        <v>10.29411765</v>
      </c>
      <c r="M184" s="84">
        <f>($I$121+$J$121)/(($F$121-1)*$P$121)*100</f>
        <v>91.46341463</v>
      </c>
      <c r="N184" s="84">
        <f>($I$125+$J$125)/(($F$125-1)*$P$125)*100</f>
        <v>38.98305085</v>
      </c>
      <c r="O184" s="84">
        <f>($I$129+$J$129)/(($F$129-1)*$P$129)*100</f>
        <v>36.40350877</v>
      </c>
      <c r="Q184" s="45"/>
      <c r="R184" s="45"/>
      <c r="S184" s="90">
        <v>54.5</v>
      </c>
      <c r="T184" s="45"/>
      <c r="U184" s="45"/>
    </row>
    <row r="185" ht="15.75" customHeight="1">
      <c r="A185" s="10" t="s">
        <v>221</v>
      </c>
      <c r="B185" s="87"/>
      <c r="C185" s="87"/>
      <c r="D185" s="87"/>
      <c r="E185" s="87"/>
      <c r="F185" s="88"/>
      <c r="G185" s="87"/>
      <c r="H185" s="87"/>
      <c r="I185" s="87"/>
      <c r="J185" s="87"/>
      <c r="K185" s="88"/>
      <c r="L185" s="87"/>
      <c r="M185" s="87"/>
      <c r="N185" s="87"/>
      <c r="O185" s="87"/>
    </row>
    <row r="186" ht="15.75" customHeight="1">
      <c r="A186" s="11" t="s">
        <v>73</v>
      </c>
      <c r="B186" s="89">
        <f t="shared" ref="B186:E186" si="87">B166</f>
        <v>4.214360042</v>
      </c>
      <c r="C186" s="99">
        <f t="shared" si="87"/>
        <v>0.4115226337</v>
      </c>
      <c r="D186" s="79">
        <f t="shared" si="87"/>
        <v>10.46686747</v>
      </c>
      <c r="E186" s="80">
        <f t="shared" si="87"/>
        <v>4.712041885</v>
      </c>
      <c r="F186" s="78">
        <f t="shared" ref="F186:F187" si="90">AVERAGE(B186,D186:E186)</f>
        <v>6.464423132</v>
      </c>
      <c r="G186" s="80">
        <f t="shared" ref="G186:J186" si="88">G166</f>
        <v>4.253112033</v>
      </c>
      <c r="H186" s="100">
        <f t="shared" si="88"/>
        <v>0.6735751295</v>
      </c>
      <c r="I186" s="77">
        <f t="shared" si="88"/>
        <v>10.43543544</v>
      </c>
      <c r="J186" s="89">
        <f t="shared" si="88"/>
        <v>3.684210526</v>
      </c>
      <c r="K186" s="78">
        <f t="shared" ref="K186:K187" si="91">AVERAGE(G186,I186:J186)</f>
        <v>6.124252665</v>
      </c>
      <c r="L186" s="89">
        <f t="shared" ref="L186:O186" si="89">L166</f>
        <v>2.476780186</v>
      </c>
      <c r="M186" s="99">
        <f t="shared" si="89"/>
        <v>0.5186721992</v>
      </c>
      <c r="N186" s="84">
        <f t="shared" si="89"/>
        <v>10.04531722</v>
      </c>
      <c r="O186" s="89">
        <f t="shared" si="89"/>
        <v>3.703703704</v>
      </c>
      <c r="P186" s="78">
        <f t="shared" ref="P186:P187" si="92">AVERAGE(L186,N186:O186)</f>
        <v>5.40860037</v>
      </c>
    </row>
    <row r="187" ht="15.75" customHeight="1">
      <c r="A187" s="11" t="s">
        <v>205</v>
      </c>
      <c r="B187" s="86">
        <f>$L$115/(($F$115-1)*$P$115)*100</f>
        <v>21.7791411</v>
      </c>
      <c r="C187" s="81">
        <f>$L$119/(($F$119-1)*$P$119)*100</f>
        <v>2.040816327</v>
      </c>
      <c r="D187" s="86">
        <f>$L$123/(($F$123-1)*$P$123)*100</f>
        <v>14.77987421</v>
      </c>
      <c r="E187" s="86">
        <f>$L$127/(($F$127-1)*$P$127)*100</f>
        <v>22.11538462</v>
      </c>
      <c r="F187" s="78">
        <f t="shared" si="90"/>
        <v>19.55813331</v>
      </c>
      <c r="G187" s="84">
        <f>$L$116/(($F$116-1)*$P$116)*100</f>
        <v>13.69047619</v>
      </c>
      <c r="H187" s="83">
        <f>$L$120/(($F$120-1)*$P$120)*100</f>
        <v>3.426791277</v>
      </c>
      <c r="I187" s="84">
        <f>$L$124/(($F$124-1)*$P$124)*100</f>
        <v>12.88819876</v>
      </c>
      <c r="J187" s="84">
        <f>$L$128/(($F$128-1)*$P$128)*100</f>
        <v>17.5</v>
      </c>
      <c r="K187" s="78">
        <f t="shared" si="91"/>
        <v>14.69289165</v>
      </c>
      <c r="L187" s="84">
        <f>$L$117/(($F$117-1)*$P$117)*100</f>
        <v>15.88235294</v>
      </c>
      <c r="M187" s="81">
        <f>$L$121/(($F$121-1)*$P$121)*100</f>
        <v>3.201219512</v>
      </c>
      <c r="N187" s="89">
        <f>$L$125/(($F$125-1)*$P$125)*100</f>
        <v>9.463276836</v>
      </c>
      <c r="O187" s="84">
        <f>$L$129/(($F$129-1)*$P$129)*100</f>
        <v>14.03508772</v>
      </c>
      <c r="P187" s="78">
        <f t="shared" si="92"/>
        <v>13.12690583</v>
      </c>
    </row>
    <row r="188" ht="15.75" customHeight="1">
      <c r="A188" s="72"/>
      <c r="B188" s="56">
        <f t="shared" ref="B188:E188" si="93">SUM(B177,B180,B183,B186)</f>
        <v>100</v>
      </c>
      <c r="C188" s="56">
        <f t="shared" si="93"/>
        <v>100</v>
      </c>
      <c r="D188" s="56">
        <f t="shared" si="93"/>
        <v>100</v>
      </c>
      <c r="E188" s="56">
        <f t="shared" si="93"/>
        <v>100</v>
      </c>
      <c r="F188" s="60"/>
      <c r="G188" s="56">
        <f t="shared" ref="G188:J188" si="94">SUM(G177,G180,G183,G186)</f>
        <v>100</v>
      </c>
      <c r="H188" s="56">
        <f t="shared" si="94"/>
        <v>100</v>
      </c>
      <c r="I188" s="56">
        <f t="shared" si="94"/>
        <v>100</v>
      </c>
      <c r="J188" s="56">
        <f t="shared" si="94"/>
        <v>100</v>
      </c>
      <c r="K188" s="60"/>
      <c r="L188" s="56">
        <f t="shared" ref="L188:O188" si="95">SUM(L177,L180,L183,L186)</f>
        <v>100</v>
      </c>
      <c r="M188" s="56">
        <f t="shared" si="95"/>
        <v>100</v>
      </c>
      <c r="N188" s="56">
        <f t="shared" si="95"/>
        <v>100</v>
      </c>
      <c r="O188" s="56">
        <f t="shared" si="95"/>
        <v>100</v>
      </c>
    </row>
    <row r="189" ht="15.75" customHeight="1">
      <c r="A189" s="11"/>
      <c r="B189" s="33">
        <f t="shared" ref="B189:E189" si="96">SUM(B178,B181,B184,B187)</f>
        <v>100</v>
      </c>
      <c r="C189" s="33">
        <f t="shared" si="96"/>
        <v>100</v>
      </c>
      <c r="D189" s="33">
        <f t="shared" si="96"/>
        <v>100</v>
      </c>
      <c r="E189" s="33">
        <f t="shared" si="96"/>
        <v>100</v>
      </c>
      <c r="F189" s="14"/>
      <c r="G189" s="33">
        <f t="shared" ref="G189:J189" si="97">SUM(G178,G181,G184,G187)</f>
        <v>100</v>
      </c>
      <c r="H189" s="33">
        <f t="shared" si="97"/>
        <v>100</v>
      </c>
      <c r="I189" s="33">
        <f t="shared" si="97"/>
        <v>100</v>
      </c>
      <c r="J189" s="33">
        <f t="shared" si="97"/>
        <v>100</v>
      </c>
      <c r="K189" s="14"/>
      <c r="L189" s="33">
        <f t="shared" ref="L189:O189" si="98">SUM(L178,L181,L184,L187)</f>
        <v>100</v>
      </c>
      <c r="M189" s="33">
        <f t="shared" si="98"/>
        <v>100</v>
      </c>
      <c r="N189" s="33">
        <f t="shared" si="98"/>
        <v>100</v>
      </c>
      <c r="O189" s="33">
        <f t="shared" si="98"/>
        <v>100</v>
      </c>
      <c r="Q189" s="30" t="s">
        <v>223</v>
      </c>
      <c r="R189" s="31" t="s">
        <v>208</v>
      </c>
      <c r="S189" s="32"/>
      <c r="T189" s="32"/>
      <c r="U189" s="32"/>
      <c r="V189" s="8"/>
      <c r="W189" s="31" t="s">
        <v>224</v>
      </c>
      <c r="X189" s="32"/>
      <c r="Y189" s="32"/>
      <c r="Z189" s="32"/>
      <c r="AB189" s="31" t="s">
        <v>225</v>
      </c>
      <c r="AC189" s="32"/>
      <c r="AD189" s="32"/>
      <c r="AE189" s="32"/>
      <c r="AF189" s="2" t="s">
        <v>92</v>
      </c>
    </row>
    <row r="190" ht="15.75" customHeight="1">
      <c r="R190" s="8" t="s">
        <v>63</v>
      </c>
      <c r="S190" s="8" t="s">
        <v>64</v>
      </c>
      <c r="T190" s="8" t="s">
        <v>65</v>
      </c>
      <c r="U190" s="8" t="s">
        <v>66</v>
      </c>
      <c r="W190" s="8" t="s">
        <v>63</v>
      </c>
      <c r="X190" s="8" t="s">
        <v>64</v>
      </c>
      <c r="Y190" s="8" t="s">
        <v>65</v>
      </c>
      <c r="Z190" s="8" t="s">
        <v>66</v>
      </c>
      <c r="AA190" s="59"/>
      <c r="AB190" s="8" t="s">
        <v>63</v>
      </c>
      <c r="AC190" s="8" t="s">
        <v>64</v>
      </c>
      <c r="AD190" s="8" t="s">
        <v>65</v>
      </c>
      <c r="AE190" s="8" t="s">
        <v>66</v>
      </c>
    </row>
    <row r="191" ht="15.75" customHeight="1">
      <c r="Q191" s="11" t="s">
        <v>68</v>
      </c>
      <c r="R191" s="33">
        <f t="shared" ref="R191:U191" si="99">B197+B201</f>
        <v>66.63306452</v>
      </c>
      <c r="S191" s="29">
        <f t="shared" si="99"/>
        <v>26.95035461</v>
      </c>
      <c r="T191" s="33">
        <f t="shared" si="99"/>
        <v>55.05952381</v>
      </c>
      <c r="U191" s="33">
        <f t="shared" si="99"/>
        <v>59.18367347</v>
      </c>
      <c r="V191" s="33"/>
      <c r="W191" s="33">
        <f t="shared" ref="W191:Z191" si="100">G197+G201</f>
        <v>67.61133603</v>
      </c>
      <c r="X191" s="29">
        <f t="shared" si="100"/>
        <v>26.68711656</v>
      </c>
      <c r="Y191" s="33">
        <f t="shared" si="100"/>
        <v>61.72465961</v>
      </c>
      <c r="Z191" s="33">
        <f t="shared" si="100"/>
        <v>59.69387755</v>
      </c>
      <c r="AA191" s="33"/>
      <c r="AB191" s="33">
        <f t="shared" ref="AB191:AE191" si="101">L197+L201</f>
        <v>66.29213483</v>
      </c>
      <c r="AC191" s="29">
        <f t="shared" si="101"/>
        <v>26.09137056</v>
      </c>
      <c r="AD191" s="33">
        <f t="shared" si="101"/>
        <v>59.28677563</v>
      </c>
      <c r="AE191" s="33">
        <f t="shared" si="101"/>
        <v>59.89847716</v>
      </c>
      <c r="AF191" s="33">
        <f t="shared" ref="AF191:AF193" si="105">AVERAGE(R191:U191,W191:Z191,AB191:AE191)</f>
        <v>52.92603036</v>
      </c>
      <c r="AG191" s="33"/>
    </row>
    <row r="192" ht="15.75" customHeight="1">
      <c r="Q192" s="11" t="s">
        <v>73</v>
      </c>
      <c r="R192" s="33">
        <f t="shared" ref="R192:U192" si="102">B198+B202</f>
        <v>71.49270483</v>
      </c>
      <c r="S192" s="29">
        <f t="shared" si="102"/>
        <v>38.28451883</v>
      </c>
      <c r="T192" s="33">
        <f t="shared" si="102"/>
        <v>55.13016845</v>
      </c>
      <c r="U192" s="33">
        <f t="shared" si="102"/>
        <v>79.25531915</v>
      </c>
      <c r="V192" s="33"/>
      <c r="W192" s="33">
        <f t="shared" ref="W192:Z192" si="103">G198+G202</f>
        <v>76.72131148</v>
      </c>
      <c r="X192" s="29">
        <f t="shared" si="103"/>
        <v>35.1659751</v>
      </c>
      <c r="Y192" s="33">
        <f t="shared" si="103"/>
        <v>54.43425076</v>
      </c>
      <c r="Z192" s="33">
        <f t="shared" si="103"/>
        <v>73.68421053</v>
      </c>
      <c r="AA192" s="33"/>
      <c r="AB192" s="33">
        <f t="shared" ref="AB192:AE192" si="104">L198+L202</f>
        <v>78.9359392</v>
      </c>
      <c r="AC192" s="29">
        <f t="shared" si="104"/>
        <v>22.85115304</v>
      </c>
      <c r="AD192" s="33">
        <f t="shared" si="104"/>
        <v>53.38461538</v>
      </c>
      <c r="AE192" s="33">
        <f t="shared" si="104"/>
        <v>65.78947368</v>
      </c>
      <c r="AF192" s="33">
        <f t="shared" si="105"/>
        <v>58.76080337</v>
      </c>
      <c r="AG192" s="33"/>
    </row>
    <row r="193" ht="15.75" customHeight="1">
      <c r="Q193" s="23" t="s">
        <v>76</v>
      </c>
      <c r="R193" s="33">
        <f t="shared" ref="R193:U193" si="106">B199+B203</f>
        <v>46.10169492</v>
      </c>
      <c r="S193" s="29">
        <f t="shared" si="106"/>
        <v>34.28063943</v>
      </c>
      <c r="T193" s="33">
        <f t="shared" si="106"/>
        <v>53.86266094</v>
      </c>
      <c r="U193" s="33">
        <f t="shared" si="106"/>
        <v>52.85714286</v>
      </c>
      <c r="V193" s="33"/>
      <c r="W193" s="33">
        <f t="shared" ref="W193:Z193" si="107">G199+G203</f>
        <v>52.99295775</v>
      </c>
      <c r="X193" s="29">
        <f t="shared" si="107"/>
        <v>37.5</v>
      </c>
      <c r="Y193" s="33">
        <f t="shared" si="107"/>
        <v>54.64362851</v>
      </c>
      <c r="Z193" s="33">
        <f t="shared" si="107"/>
        <v>56.64335664</v>
      </c>
      <c r="AA193" s="33"/>
      <c r="AB193" s="33">
        <f t="shared" ref="AB193:AE193" si="108">L199+L203</f>
        <v>55.8490566</v>
      </c>
      <c r="AC193" s="29">
        <f t="shared" si="108"/>
        <v>21.45454545</v>
      </c>
      <c r="AD193" s="33">
        <f t="shared" si="108"/>
        <v>46.17169374</v>
      </c>
      <c r="AE193" s="33">
        <f t="shared" si="108"/>
        <v>56.25</v>
      </c>
      <c r="AF193" s="33">
        <f t="shared" si="105"/>
        <v>47.38394807</v>
      </c>
      <c r="AG193" s="33"/>
    </row>
    <row r="194" ht="15.75" customHeight="1">
      <c r="A194" s="30" t="s">
        <v>223</v>
      </c>
      <c r="B194" s="31" t="s">
        <v>208</v>
      </c>
      <c r="C194" s="32"/>
      <c r="D194" s="32"/>
      <c r="E194" s="32"/>
      <c r="F194" s="8"/>
      <c r="G194" s="31" t="s">
        <v>224</v>
      </c>
      <c r="H194" s="32"/>
      <c r="I194" s="32"/>
      <c r="J194" s="32"/>
      <c r="L194" s="31" t="s">
        <v>225</v>
      </c>
      <c r="M194" s="32"/>
      <c r="N194" s="32"/>
      <c r="O194" s="32"/>
      <c r="Q194" s="11" t="s">
        <v>92</v>
      </c>
      <c r="R194" s="33">
        <f t="shared" ref="R194:U194" si="109">AVERAGE(R191:R193)</f>
        <v>61.40915475</v>
      </c>
      <c r="S194" s="29">
        <f t="shared" si="109"/>
        <v>33.17183762</v>
      </c>
      <c r="T194" s="33">
        <f t="shared" si="109"/>
        <v>54.68411774</v>
      </c>
      <c r="U194" s="33">
        <f t="shared" si="109"/>
        <v>63.76537849</v>
      </c>
      <c r="V194" s="33"/>
      <c r="W194" s="33">
        <f t="shared" ref="W194:Z194" si="110">AVERAGE(W191:W193)</f>
        <v>65.77520175</v>
      </c>
      <c r="X194" s="29">
        <f t="shared" si="110"/>
        <v>33.11769722</v>
      </c>
      <c r="Y194" s="33">
        <f t="shared" si="110"/>
        <v>56.93417963</v>
      </c>
      <c r="Z194" s="33">
        <f t="shared" si="110"/>
        <v>63.34048157</v>
      </c>
      <c r="AA194" s="33"/>
      <c r="AB194" s="33">
        <f t="shared" ref="AB194:AE194" si="111">AVERAGE(AB191:AB193)</f>
        <v>67.02571021</v>
      </c>
      <c r="AC194" s="29">
        <f t="shared" si="111"/>
        <v>23.46568968</v>
      </c>
      <c r="AD194" s="33">
        <f t="shared" si="111"/>
        <v>52.94769492</v>
      </c>
      <c r="AE194" s="33">
        <f t="shared" si="111"/>
        <v>60.64598361</v>
      </c>
    </row>
    <row r="195" ht="15.75" customHeight="1">
      <c r="B195" s="8" t="s">
        <v>63</v>
      </c>
      <c r="C195" s="8" t="s">
        <v>64</v>
      </c>
      <c r="D195" s="8" t="s">
        <v>65</v>
      </c>
      <c r="E195" s="8" t="s">
        <v>66</v>
      </c>
      <c r="G195" s="8" t="s">
        <v>63</v>
      </c>
      <c r="H195" s="8" t="s">
        <v>64</v>
      </c>
      <c r="I195" s="8" t="s">
        <v>65</v>
      </c>
      <c r="J195" s="8" t="s">
        <v>66</v>
      </c>
      <c r="K195" s="59"/>
      <c r="L195" s="8" t="s">
        <v>63</v>
      </c>
      <c r="M195" s="8" t="s">
        <v>64</v>
      </c>
      <c r="N195" s="8" t="s">
        <v>65</v>
      </c>
      <c r="O195" s="8" t="s">
        <v>66</v>
      </c>
      <c r="S195" s="33">
        <f>AVERAGE(R194:U194)</f>
        <v>53.25762215</v>
      </c>
      <c r="X195" s="33">
        <f>AVERAGE(W194:Z194)</f>
        <v>54.79189004</v>
      </c>
      <c r="AC195" s="33">
        <f>AVERAGE(AB194:AE194)</f>
        <v>51.02126961</v>
      </c>
    </row>
    <row r="196" ht="15.75" customHeight="1">
      <c r="A196" s="10" t="s">
        <v>7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1" t="s">
        <v>68</v>
      </c>
      <c r="B197" s="14">
        <f>$H$51/(($F$51-2)*$P$51)*100</f>
        <v>13.91129032</v>
      </c>
      <c r="C197" s="13">
        <f>$H$55/(($F$55-2)*$P$55)*100</f>
        <v>21.68186424</v>
      </c>
      <c r="D197" s="17">
        <f>$H$59/(($F$59-2)*$P$59)*100</f>
        <v>27.23214286</v>
      </c>
      <c r="E197" s="18">
        <f>$H$63/(($F$63-2)*$P$63)*100</f>
        <v>16.32653061</v>
      </c>
      <c r="F197" s="33">
        <f t="shared" ref="F197:F199" si="112">AVERAGE(B197:E197)</f>
        <v>19.78795701</v>
      </c>
      <c r="G197" s="14">
        <f>$H$52/(($F$52-2)*$P$52)*100</f>
        <v>16.59919028</v>
      </c>
      <c r="H197" s="13">
        <f>$H$56/(($F$56-2)*$P$56)*100</f>
        <v>21.98364008</v>
      </c>
      <c r="I197" s="14">
        <f>$H$60/(($F$60-2)*$P$60)*100</f>
        <v>30.40847201</v>
      </c>
      <c r="J197" s="13">
        <f>$H$64/(($F$64-2)*$P$64)*100</f>
        <v>20.40816327</v>
      </c>
      <c r="K197" s="33">
        <f t="shared" ref="K197:K199" si="113">AVERAGE(G197:J197)</f>
        <v>22.34986641</v>
      </c>
      <c r="L197" s="17">
        <f>$H$53/(($F$53-2)*$P$53)*100</f>
        <v>12.87027579</v>
      </c>
      <c r="M197" s="17">
        <f>$H$57/(($F$57-2)*$P$57)*100</f>
        <v>21.21827411</v>
      </c>
      <c r="N197" s="14">
        <f>$H$61/(($F$61-2)*$P$61)*100</f>
        <v>27.9346211</v>
      </c>
      <c r="O197" s="14">
        <f>$H$65/(($F$65-2)*$P$65)*100</f>
        <v>20.81218274</v>
      </c>
      <c r="P197" s="33">
        <f t="shared" ref="P197:P199" si="114">AVERAGE(L197:O197)</f>
        <v>20.70883844</v>
      </c>
    </row>
    <row r="198" ht="15.75" customHeight="1">
      <c r="A198" s="11" t="s">
        <v>73</v>
      </c>
      <c r="B198" s="17">
        <f>$H$67/(($F$67-2)*$P$67)*100</f>
        <v>30.86419753</v>
      </c>
      <c r="C198" s="14">
        <f>$H$71/(($F$71-2)*$P$71)*100</f>
        <v>30.9623431</v>
      </c>
      <c r="D198" s="13">
        <f>$H$75/(($F$75-2)*$P$75)*100</f>
        <v>16.23277182</v>
      </c>
      <c r="E198" s="14">
        <f>$H$79/(($F$79-2)*$P$79)*100</f>
        <v>51.59574468</v>
      </c>
      <c r="F198" s="33">
        <f t="shared" si="112"/>
        <v>32.41376428</v>
      </c>
      <c r="G198" s="14">
        <f>$H$68/(($F$68-2)*$P$68)*100</f>
        <v>33.66120219</v>
      </c>
      <c r="H198" s="14">
        <f>$H$72/(($F$72-2)*$P$72)*100</f>
        <v>27.593361</v>
      </c>
      <c r="I198" s="13">
        <f>$H$76/(($F$76-2)*$P$76)*100</f>
        <v>15.74923547</v>
      </c>
      <c r="J198" s="14">
        <f>$H$80/(($F$80-2)*$P$80)*100</f>
        <v>48.94736842</v>
      </c>
      <c r="K198" s="33">
        <f t="shared" si="113"/>
        <v>31.48779177</v>
      </c>
      <c r="L198" s="14">
        <f>$H$69/(($F$69-2)*$P$69)*100</f>
        <v>35.28773073</v>
      </c>
      <c r="M198" s="18">
        <f>$H$73/(($F$73-2)*$P$73)*100</f>
        <v>15.51362683</v>
      </c>
      <c r="N198" s="18">
        <f>$H$77/(($F$77-2)*$P$77)*100</f>
        <v>10.46153846</v>
      </c>
      <c r="O198" s="17">
        <f>$H$81/(($F$81-2)*$P$81)*100</f>
        <v>39.47368421</v>
      </c>
      <c r="P198" s="33">
        <f t="shared" si="114"/>
        <v>25.18414506</v>
      </c>
    </row>
    <row r="199" ht="15.75" customHeight="1">
      <c r="A199" s="11" t="s">
        <v>76</v>
      </c>
      <c r="B199" s="16">
        <f>$H$83/(($F$83-2)*$P$83)*100</f>
        <v>9.322033898</v>
      </c>
      <c r="C199" s="14">
        <f>$H$87/(($F$87-2)*$P$87)*100</f>
        <v>28.41918295</v>
      </c>
      <c r="D199" s="14">
        <f>$H$91/(($F$91-2)*$P$91)*100</f>
        <v>18.6695279</v>
      </c>
      <c r="E199" s="14">
        <f>$H$95/(($F$95-2)*$P$95)*100</f>
        <v>22.85714286</v>
      </c>
      <c r="F199" s="33">
        <f t="shared" si="112"/>
        <v>19.8169719</v>
      </c>
      <c r="G199" s="20">
        <f>$H$84/(($F$84-2)*$P$84)*100</f>
        <v>7.922535211</v>
      </c>
      <c r="H199" s="14">
        <f>$H$88/(($F$88-2)*$P$88)*100</f>
        <v>30.90277778</v>
      </c>
      <c r="I199" s="14">
        <f>$H$92/(($F$92-2)*$P$92)*100</f>
        <v>19.87041037</v>
      </c>
      <c r="J199" s="14">
        <f>$H$96/(($F$96-2)*$P$96)*100</f>
        <v>20.97902098</v>
      </c>
      <c r="K199" s="33">
        <f t="shared" si="113"/>
        <v>19.91868608</v>
      </c>
      <c r="L199" s="16">
        <f>$H$85/(($F$85-2)*$P$85)*100</f>
        <v>8.867924528</v>
      </c>
      <c r="M199" s="17">
        <f>$H$89/(($F$89-2)*$P$89)*100</f>
        <v>15.63636364</v>
      </c>
      <c r="N199" s="17">
        <f>$H$93/(($F$93-2)*$P$93)*100</f>
        <v>11.36890951</v>
      </c>
      <c r="O199" s="18">
        <f>$H$97/(($F$97-2)*$P$97)*100</f>
        <v>20.3125</v>
      </c>
      <c r="P199" s="33">
        <f t="shared" si="114"/>
        <v>14.04642442</v>
      </c>
      <c r="R199" s="42" t="s">
        <v>153</v>
      </c>
      <c r="S199" s="9" t="s">
        <v>154</v>
      </c>
      <c r="T199" s="101" t="s">
        <v>155</v>
      </c>
      <c r="U199" s="101" t="s">
        <v>156</v>
      </c>
      <c r="V199" s="9"/>
      <c r="X199" s="9"/>
      <c r="Y199" s="9"/>
      <c r="Z199" s="9"/>
      <c r="AA199" s="9"/>
      <c r="AC199" s="9"/>
      <c r="AD199" s="9"/>
      <c r="AE199" s="9"/>
      <c r="AF199" s="9"/>
    </row>
    <row r="200" ht="15.75" customHeight="1">
      <c r="A200" s="10" t="s">
        <v>13</v>
      </c>
      <c r="B200" s="24"/>
      <c r="C200" s="24"/>
      <c r="D200" s="24"/>
      <c r="E200" s="24"/>
      <c r="F200" s="60">
        <f>AVERAGE(F197:F199)</f>
        <v>24.00623106</v>
      </c>
      <c r="G200" s="24"/>
      <c r="H200" s="24"/>
      <c r="I200" s="24"/>
      <c r="J200" s="24"/>
      <c r="K200" s="60">
        <f>AVERAGE(K197:K199)</f>
        <v>24.58544809</v>
      </c>
      <c r="L200" s="24"/>
      <c r="M200" s="24"/>
      <c r="N200" s="24"/>
      <c r="O200" s="24"/>
      <c r="P200" s="60">
        <f>AVERAGE(P197:P199)</f>
        <v>19.97980264</v>
      </c>
      <c r="S200" s="32"/>
      <c r="T200" s="32"/>
      <c r="U200" s="32"/>
      <c r="V200" s="31"/>
      <c r="W200" s="8"/>
      <c r="X200" s="9"/>
      <c r="Y200" s="9"/>
      <c r="Z200" s="9"/>
      <c r="AA200" s="9"/>
      <c r="AC200" s="9"/>
      <c r="AD200" s="9"/>
      <c r="AE200" s="9"/>
      <c r="AF200" s="9"/>
    </row>
    <row r="201" ht="15.75" customHeight="1">
      <c r="A201" s="11" t="s">
        <v>68</v>
      </c>
      <c r="B201" s="14">
        <f>$N$51/(($F$51-2)*$P$51)*100</f>
        <v>52.72177419</v>
      </c>
      <c r="C201" s="16">
        <f>$N$55/(($F$55-2)*$P$55)*100</f>
        <v>5.268490375</v>
      </c>
      <c r="D201" s="18">
        <f>$N$59/(($F$59-2)*$P$59)*100</f>
        <v>27.82738095</v>
      </c>
      <c r="E201" s="14">
        <f>$N$63/(($F$63-2)*$P$63)*100</f>
        <v>42.85714286</v>
      </c>
      <c r="F201" s="8"/>
      <c r="G201" s="17">
        <f>$N$52/(($F$52-2)*$P$52)*100</f>
        <v>51.01214575</v>
      </c>
      <c r="H201" s="20">
        <f>$N$56/(($F$56-2)*$P$56)*100</f>
        <v>4.703476483</v>
      </c>
      <c r="I201" s="13">
        <f>$N$60/(($F$60-2)*$P$60)*100</f>
        <v>31.31618759</v>
      </c>
      <c r="J201" s="14">
        <f>$N$64/(($F$64-2)*$P$64)*100</f>
        <v>39.28571429</v>
      </c>
      <c r="L201" s="14">
        <f>$N$53/(($F$53-2)*$P$53)*100</f>
        <v>53.42185904</v>
      </c>
      <c r="M201" s="16">
        <f>$N$57/(($F$57-2)*$P$57)*100</f>
        <v>4.873096447</v>
      </c>
      <c r="N201" s="13">
        <f>$N$61/(($F$61-2)*$P$61)*100</f>
        <v>31.35215453</v>
      </c>
      <c r="O201" s="17">
        <f>$N$65/(($F$65-2)*$P$65)*100</f>
        <v>39.08629442</v>
      </c>
      <c r="R201" s="102" t="s">
        <v>239</v>
      </c>
      <c r="S201" s="103">
        <f t="shared" ref="S201:S202" si="115">SUM(F177,F180)</f>
        <v>69.56751091</v>
      </c>
      <c r="T201" s="103">
        <f t="shared" ref="T201:T202" si="116">SUM(K177,K180)</f>
        <v>63.80964826</v>
      </c>
      <c r="U201" s="103">
        <f t="shared" ref="U201:U202" si="117">SUM(P177,P180)</f>
        <v>63.65093354</v>
      </c>
      <c r="V201" s="51"/>
      <c r="W201" s="8"/>
      <c r="X201" s="8"/>
      <c r="Y201" s="8"/>
      <c r="Z201" s="8"/>
      <c r="AA201" s="8"/>
      <c r="AB201" s="104"/>
      <c r="AC201" s="8"/>
      <c r="AD201" s="8"/>
      <c r="AE201" s="8"/>
      <c r="AF201" s="8"/>
    </row>
    <row r="202" ht="15.75" customHeight="1">
      <c r="A202" s="11" t="s">
        <v>73</v>
      </c>
      <c r="B202" s="17">
        <f>$N$67/(($F$67-2)*$P$67)*100</f>
        <v>40.6285073</v>
      </c>
      <c r="C202" s="15">
        <f>$N$71/(($F$71-2)*$P$71)*100</f>
        <v>7.322175732</v>
      </c>
      <c r="D202" s="14">
        <f>$N$75/(($F$75-2)*$P$75)*100</f>
        <v>38.89739663</v>
      </c>
      <c r="E202" s="13">
        <f>$N$79/(($F$79-2)*$P$79)*100</f>
        <v>27.65957447</v>
      </c>
      <c r="F202" s="8"/>
      <c r="G202" s="13">
        <f>$N$68/(($F$68-2)*$P$68)*100</f>
        <v>43.06010929</v>
      </c>
      <c r="H202" s="12">
        <f>$N$72/(($F$72-2)*$P$72)*100</f>
        <v>7.572614108</v>
      </c>
      <c r="I202" s="17">
        <f>$N$76/(($F$76-2)*$P$76)*100</f>
        <v>38.68501529</v>
      </c>
      <c r="J202" s="18">
        <f>$N$80/(($F$80-2)*$P$80)*100</f>
        <v>24.73684211</v>
      </c>
      <c r="L202" s="13">
        <f>$N$69/(($F$69-2)*$P$69)*100</f>
        <v>43.64820847</v>
      </c>
      <c r="M202" s="12">
        <f>$N$73/(($F$73-2)*$P$73)*100</f>
        <v>7.337526205</v>
      </c>
      <c r="N202" s="14">
        <f>$N$77/(($F$77-2)*$P$77)*100</f>
        <v>42.92307692</v>
      </c>
      <c r="O202" s="13">
        <f>$N$81/(($F$81-2)*$P$81)*100</f>
        <v>26.31578947</v>
      </c>
      <c r="R202" s="102" t="s">
        <v>242</v>
      </c>
      <c r="S202" s="70">
        <f t="shared" si="115"/>
        <v>48.89838172</v>
      </c>
      <c r="T202" s="70">
        <f t="shared" si="116"/>
        <v>55.77398206</v>
      </c>
      <c r="U202" s="70">
        <f t="shared" si="117"/>
        <v>58.31286841</v>
      </c>
    </row>
    <row r="203" ht="15.75" customHeight="1">
      <c r="A203" s="11" t="s">
        <v>76</v>
      </c>
      <c r="B203" s="18">
        <f>$N$83/(($F$83-2)*$P$83)*100</f>
        <v>36.77966102</v>
      </c>
      <c r="C203" s="12">
        <f>$N$87/(($F$87-2)*$P$87)*100</f>
        <v>5.861456483</v>
      </c>
      <c r="D203" s="14">
        <f>$N$91/(($F$91-2)*$P$91)*100</f>
        <v>35.19313305</v>
      </c>
      <c r="E203" s="17">
        <f>$N$95/(($F$95-2)*$P$95)*100</f>
        <v>30</v>
      </c>
      <c r="F203" s="8"/>
      <c r="G203" s="14">
        <f>$N$84/(($F$84-2)*$P$84)*100</f>
        <v>45.07042254</v>
      </c>
      <c r="H203" s="12">
        <f>$N$88/(($F$88-2)*$P$88)*100</f>
        <v>6.597222222</v>
      </c>
      <c r="I203" s="17">
        <f>$N$92/(($F$92-2)*$P$92)*100</f>
        <v>34.77321814</v>
      </c>
      <c r="J203" s="14">
        <f>$N$96/(($F$96-2)*$P$96)*100</f>
        <v>35.66433566</v>
      </c>
      <c r="L203" s="14">
        <f>$N$85/(($F$85-2)*$P$85)*100</f>
        <v>46.98113208</v>
      </c>
      <c r="M203" s="15">
        <f>$N$89/(($F$89-2)*$P$89)*100</f>
        <v>5.818181818</v>
      </c>
      <c r="N203" s="17">
        <f>$N$93/(($F$93-2)*$P$93)*100</f>
        <v>34.80278422</v>
      </c>
      <c r="O203" s="14">
        <f>$N$97/(($F$97-2)*$P$97)*100</f>
        <v>35.9375</v>
      </c>
      <c r="R203" s="106" t="s">
        <v>247</v>
      </c>
      <c r="S203" s="107"/>
      <c r="T203" s="107"/>
      <c r="U203" s="107"/>
    </row>
    <row r="204" ht="15.75" customHeight="1">
      <c r="A204" s="10" t="s">
        <v>79</v>
      </c>
      <c r="B204" s="24"/>
      <c r="C204" s="24"/>
      <c r="D204" s="24"/>
      <c r="E204" s="24"/>
      <c r="F204" s="24"/>
      <c r="G204" s="24"/>
      <c r="H204" s="24"/>
      <c r="I204" s="24"/>
      <c r="J204" s="24"/>
      <c r="K204" s="10"/>
      <c r="L204" s="24"/>
      <c r="M204" s="24"/>
      <c r="N204" s="24"/>
      <c r="O204" s="24"/>
      <c r="R204" s="102" t="s">
        <v>239</v>
      </c>
      <c r="S204" s="103">
        <f t="shared" ref="S204:S205" si="118">F177</f>
        <v>31.94739298</v>
      </c>
      <c r="T204" s="103">
        <f t="shared" ref="T204:T205" si="119">K177</f>
        <v>26.14300039</v>
      </c>
      <c r="U204" s="103">
        <f t="shared" ref="U204:U205" si="120">P177</f>
        <v>25.48559897</v>
      </c>
    </row>
    <row r="205" ht="15.75" customHeight="1">
      <c r="A205" s="11" t="s">
        <v>68</v>
      </c>
      <c r="B205" s="14">
        <f>($I$51+$J$51)/(($F$51-2)*$P$51)*100</f>
        <v>18.85080645</v>
      </c>
      <c r="C205" s="13">
        <f>($I$55+$J$55)/(($F$55-2)*$P$55)*100</f>
        <v>70.61803445</v>
      </c>
      <c r="D205" s="14">
        <f>($I$59+$J$59)/(($F$59-2)*$P$59)*100</f>
        <v>31.10119048</v>
      </c>
      <c r="E205" s="13">
        <f>($I$63+$J$63)/(($F$63-2)*$P$63)*100</f>
        <v>32.65306122</v>
      </c>
      <c r="F205" s="8"/>
      <c r="G205" s="14">
        <f>($I$52+$J$52)/(($F$52-2)*$P$52)*100</f>
        <v>16.19433198</v>
      </c>
      <c r="H205" s="13">
        <f>($I$56+$J$56)/(($F$56-2)*$P$56)*100</f>
        <v>70.34764826</v>
      </c>
      <c r="I205" s="17">
        <f>($I$60+$J$60)/(($F$60-2)*$P$60)*100</f>
        <v>27.68532526</v>
      </c>
      <c r="J205" s="13">
        <f>($I$64+$J$64)/(($F$64-2)*$P$64)*100</f>
        <v>28.06122449</v>
      </c>
      <c r="L205" s="17">
        <f>($I$53+$J$53)/(($F$53-2)*$P$53)*100</f>
        <v>20.12257406</v>
      </c>
      <c r="M205" s="17">
        <f>($I$57+$J$57)/(($F$57-2)*$P$57)*100</f>
        <v>71.26903553</v>
      </c>
      <c r="N205" s="14">
        <f>($I$61+$J$61)/(($F$61-2)*$P$61)*100</f>
        <v>30.46062407</v>
      </c>
      <c r="O205" s="17">
        <f>($I$65+$J$65)/(($F$65-2)*$P$65)*100</f>
        <v>27.91878173</v>
      </c>
      <c r="R205" s="102" t="s">
        <v>242</v>
      </c>
      <c r="S205" s="108">
        <f t="shared" si="118"/>
        <v>7.704884825</v>
      </c>
      <c r="T205" s="108">
        <f t="shared" si="119"/>
        <v>7.58868185</v>
      </c>
      <c r="U205" s="108">
        <f t="shared" si="120"/>
        <v>7.273617743</v>
      </c>
    </row>
    <row r="206" ht="15.75" customHeight="1">
      <c r="A206" s="11" t="s">
        <v>73</v>
      </c>
      <c r="B206" s="14">
        <f>($I$67+$J$67)/(($F$67-2)*$P$67)*100</f>
        <v>20.87542088</v>
      </c>
      <c r="C206" s="14">
        <f>($I$71+$J$71)/(($F$71-2)*$P$71)*100</f>
        <v>61.40167364</v>
      </c>
      <c r="D206" s="14">
        <f>($I$75+$J$75)/(($F$75-2)*$P$75)*100</f>
        <v>31.08728943</v>
      </c>
      <c r="E206" s="14">
        <f>($I$79+$J$79)/(($F$79-2)*$P$79)*100</f>
        <v>17.0212766</v>
      </c>
      <c r="F206" s="8"/>
      <c r="G206" s="14">
        <f>($I$68+$J$68)/(($F$68-2)*$P$68)*100</f>
        <v>17.92349727</v>
      </c>
      <c r="H206" s="14">
        <f>($I$72+$J$72)/(($F$72-2)*$P$72)*100</f>
        <v>64.62655602</v>
      </c>
      <c r="I206" s="14">
        <f>($I$76+$J$76)/(($F$76-2)*$P$76)*100</f>
        <v>31.65137615</v>
      </c>
      <c r="J206" s="14">
        <f>($I$80+$J$80)/(($F$80-2)*$P$80)*100</f>
        <v>20.52631579</v>
      </c>
      <c r="L206" s="17">
        <f>($I$69+$J$69)/(($F$69-2)*$P$69)*100</f>
        <v>16.93811075</v>
      </c>
      <c r="M206" s="17">
        <f>($I$73+$J$73)/(($F$73-2)*$P$73)*100</f>
        <v>76.93920335</v>
      </c>
      <c r="N206" s="18">
        <f>($I$77+$J$77)/(($F$77-2)*$P$77)*100</f>
        <v>36.92307692</v>
      </c>
      <c r="O206" s="18">
        <f>($I$81+$J$81)/(($F$81-2)*$P$81)*100</f>
        <v>29.47368421</v>
      </c>
      <c r="R206" s="106" t="s">
        <v>251</v>
      </c>
    </row>
    <row r="207" ht="15.75" customHeight="1">
      <c r="A207" s="11" t="s">
        <v>76</v>
      </c>
      <c r="B207" s="13">
        <f>($I$83+$J$83)/(($F$83-2)*$P$83)*100</f>
        <v>26.44067797</v>
      </c>
      <c r="C207" s="14">
        <f>($I$87+$J$87)/(($F$87-2)*$P$87)*100</f>
        <v>63.94316163</v>
      </c>
      <c r="D207" s="13">
        <f>($I$91+$J$91)/(($F$91-2)*$P$91)*100</f>
        <v>36.05150215</v>
      </c>
      <c r="E207" s="14">
        <f>($I$95+$J$95)/(($F$95-2)*$P$95)*100</f>
        <v>12.14285714</v>
      </c>
      <c r="F207" s="8"/>
      <c r="G207" s="13">
        <f>($I$84+$J$84)/(($F$84-2)*$P$84)*100</f>
        <v>25.70422535</v>
      </c>
      <c r="H207" s="14">
        <f>($I$88+$J$88)/(($F$88-2)*$P$88)*100</f>
        <v>60.76388889</v>
      </c>
      <c r="I207" s="13">
        <f>($I$92+$J$92)/(($F$92-2)*$P$92)*100</f>
        <v>34.55723542</v>
      </c>
      <c r="J207" s="14">
        <f>($I$96+$J$96)/(($F$96-2)*$P$96)*100</f>
        <v>11.18881119</v>
      </c>
      <c r="K207" s="59"/>
      <c r="L207" s="13">
        <f>($I$85+$J$85)/(($F$85-2)*$P$85)*100</f>
        <v>26.41509434</v>
      </c>
      <c r="M207" s="13">
        <f>($I$89+$J$89)/(($F$89-2)*$P$89)*100</f>
        <v>77.63636364</v>
      </c>
      <c r="N207" s="14">
        <f>($I$93+$J$93)/(($F$93-2)*$P$93)*100</f>
        <v>44.77958237</v>
      </c>
      <c r="O207" s="14">
        <f>($I$97+$J$97)/(($F$97-2)*$P$97)*100</f>
        <v>10.9375</v>
      </c>
      <c r="R207" s="102" t="s">
        <v>239</v>
      </c>
      <c r="S207" s="110">
        <f t="shared" ref="S207:S208" si="121">F186</f>
        <v>6.464423132</v>
      </c>
      <c r="T207" s="110">
        <f t="shared" ref="T207:T208" si="122">K186</f>
        <v>6.124252665</v>
      </c>
      <c r="U207" s="110">
        <f t="shared" ref="U207:U208" si="123">P186</f>
        <v>5.40860037</v>
      </c>
    </row>
    <row r="208" ht="15.75" customHeight="1">
      <c r="A208" s="10" t="s">
        <v>11</v>
      </c>
      <c r="B208" s="24"/>
      <c r="C208" s="24"/>
      <c r="D208" s="24"/>
      <c r="E208" s="24"/>
      <c r="F208" s="24"/>
      <c r="G208" s="24"/>
      <c r="H208" s="24"/>
      <c r="I208" s="24"/>
      <c r="J208" s="24"/>
      <c r="L208" s="24"/>
      <c r="M208" s="24"/>
      <c r="N208" s="24"/>
      <c r="O208" s="24"/>
      <c r="R208" s="102" t="s">
        <v>242</v>
      </c>
      <c r="S208" s="103">
        <f t="shared" si="121"/>
        <v>19.55813331</v>
      </c>
      <c r="T208" s="103">
        <f t="shared" si="122"/>
        <v>14.69289165</v>
      </c>
      <c r="U208" s="103">
        <f t="shared" si="123"/>
        <v>13.12690583</v>
      </c>
    </row>
    <row r="209" ht="15.75" customHeight="1">
      <c r="A209" s="11" t="s">
        <v>68</v>
      </c>
      <c r="B209" s="14">
        <f>$L$51/(($F$51-2)*$P$51)*100</f>
        <v>14.51612903</v>
      </c>
      <c r="C209" s="12">
        <f>$L$55/(($F$55-2)*$P$55)*100</f>
        <v>2.431610942</v>
      </c>
      <c r="D209" s="18">
        <f>$L$59/(($F$59-2)*$P$59)*100</f>
        <v>13.83928571</v>
      </c>
      <c r="E209" s="12">
        <f>$L$63/(($F$63-2)*$P$63)*100</f>
        <v>8.163265306</v>
      </c>
      <c r="F209" s="8"/>
      <c r="G209" s="17">
        <f>$L$52/(($F$52-2)*$P$52)*100</f>
        <v>16.19433198</v>
      </c>
      <c r="H209" s="20">
        <f>$L$56/(($F$56-2)*$P$56)*100</f>
        <v>2.965235174</v>
      </c>
      <c r="I209" s="14">
        <f>$L$60/(($F$60-2)*$P$60)*100</f>
        <v>10.59001513</v>
      </c>
      <c r="J209" s="17">
        <f>$L$64/(($F$64-2)*$P$64)*100</f>
        <v>12.24489796</v>
      </c>
      <c r="L209" s="14">
        <f>$L$53/(($F$53-2)*$P$53)*100</f>
        <v>13.58529111</v>
      </c>
      <c r="M209" s="16">
        <f>$L$57/(($F$57-2)*$P$57)*100</f>
        <v>2.639593909</v>
      </c>
      <c r="N209" s="14">
        <f>$L$61/(($F$61-2)*$P$61)*100</f>
        <v>10.2526003</v>
      </c>
      <c r="O209" s="17">
        <f>$L$65/(($F$65-2)*$P$65)*100</f>
        <v>12.18274112</v>
      </c>
    </row>
    <row r="210" ht="15.75" customHeight="1">
      <c r="A210" s="11" t="s">
        <v>73</v>
      </c>
      <c r="B210" s="15">
        <f>$L$67/(($F$67-2)*$P$67)*100</f>
        <v>7.631874299</v>
      </c>
      <c r="C210" s="22">
        <f>$L$71/(($F$71-2)*$P$71)*100</f>
        <v>0.3138075314</v>
      </c>
      <c r="D210" s="13">
        <f>$L$75/(($F$75-2)*$P$75)*100</f>
        <v>13.78254211</v>
      </c>
      <c r="E210" s="12">
        <f>$L$79/(($F$79-2)*$P$79)*100</f>
        <v>3.723404255</v>
      </c>
      <c r="F210" s="8"/>
      <c r="G210" s="12">
        <f>$L$68/(($F$68-2)*$P$68)*100</f>
        <v>5.355191257</v>
      </c>
      <c r="H210" s="21">
        <f>$L$72/(($F$72-2)*$P$72)*100</f>
        <v>0.2074688797</v>
      </c>
      <c r="I210" s="18">
        <f>$L$76/(($F$76-2)*$P$76)*100</f>
        <v>13.91437309</v>
      </c>
      <c r="J210" s="15">
        <f>$L$80/(($F$80-2)*$P$80)*100</f>
        <v>5.789473684</v>
      </c>
      <c r="L210" s="12">
        <f>$L$69/(($F$69-2)*$P$69)*100</f>
        <v>4.125950054</v>
      </c>
      <c r="M210" s="21">
        <f>$L$73/(($F$73-2)*$P$73)*100</f>
        <v>0.2096436059</v>
      </c>
      <c r="N210" s="16">
        <f>$L$77/(($F$77-2)*$P$77)*100</f>
        <v>9.692307692</v>
      </c>
      <c r="O210" s="12">
        <f>$L$81/(($F$81-2)*$P$81)*100</f>
        <v>4.736842105</v>
      </c>
    </row>
    <row r="211" ht="15.75" customHeight="1">
      <c r="A211" s="11" t="s">
        <v>76</v>
      </c>
      <c r="B211" s="18">
        <f>$L$83/(($F$83-2)*$P$83)*100</f>
        <v>27.45762712</v>
      </c>
      <c r="C211" s="20">
        <f>$L$87/(($F$87-2)*$P$87)*100</f>
        <v>1.776198934</v>
      </c>
      <c r="D211" s="14">
        <f>$L$91/(($F$91-2)*$P$91)*100</f>
        <v>10.08583691</v>
      </c>
      <c r="E211" s="18">
        <f>$L$95/(($F$95-2)*$P$95)*100</f>
        <v>35</v>
      </c>
      <c r="F211" s="8"/>
      <c r="G211" s="13">
        <f>$L$84/(($F$84-2)*$P$84)*100</f>
        <v>21.3028169</v>
      </c>
      <c r="H211" s="12">
        <f>$L$88/(($F$88-2)*$P$88)*100</f>
        <v>1.736111111</v>
      </c>
      <c r="I211" s="17">
        <f>$L$92/(($F$92-2)*$P$92)*100</f>
        <v>10.79913607</v>
      </c>
      <c r="J211" s="13">
        <f>$L$96/(($F$96-2)*$P$96)*100</f>
        <v>32.16783217</v>
      </c>
      <c r="L211" s="13">
        <f>$L$85/(($F$85-2)*$P$85)*100</f>
        <v>17.73584906</v>
      </c>
      <c r="M211" s="21">
        <f>$L$89/(($F$89-2)*$P$89)*100</f>
        <v>0.9090909091</v>
      </c>
      <c r="N211" s="12">
        <f>$L$93/(($F$93-2)*$P$93)*100</f>
        <v>9.048723898</v>
      </c>
      <c r="O211" s="13">
        <f>$L$97/(($F$97-2)*$P$97)*100</f>
        <v>32.8125</v>
      </c>
    </row>
    <row r="212" ht="15.75" customHeight="1">
      <c r="A212" s="72"/>
      <c r="B212" s="60">
        <f t="shared" ref="B212:E212" si="124">SUM(B197+B201+B205+B209)</f>
        <v>100</v>
      </c>
      <c r="C212" s="60">
        <f t="shared" si="124"/>
        <v>100</v>
      </c>
      <c r="D212" s="60">
        <f t="shared" si="124"/>
        <v>100</v>
      </c>
      <c r="E212" s="60">
        <f t="shared" si="124"/>
        <v>100</v>
      </c>
      <c r="F212" s="60"/>
      <c r="G212" s="60">
        <f t="shared" ref="G212:J212" si="125">SUM(G197+G201+G205+G209)</f>
        <v>100</v>
      </c>
      <c r="H212" s="60">
        <f t="shared" si="125"/>
        <v>100</v>
      </c>
      <c r="I212" s="60">
        <f t="shared" si="125"/>
        <v>100</v>
      </c>
      <c r="J212" s="60">
        <f t="shared" si="125"/>
        <v>100</v>
      </c>
      <c r="K212" s="60"/>
      <c r="L212" s="60">
        <f t="shared" ref="L212:O212" si="126">SUM(L197+L201+L205+L209)</f>
        <v>100</v>
      </c>
      <c r="M212" s="60">
        <f t="shared" si="126"/>
        <v>100</v>
      </c>
      <c r="N212" s="60">
        <f t="shared" si="126"/>
        <v>100</v>
      </c>
      <c r="O212" s="60">
        <f t="shared" si="126"/>
        <v>100</v>
      </c>
    </row>
    <row r="213" ht="15.75" customHeight="1">
      <c r="A213" s="11"/>
      <c r="B213" s="14">
        <f t="shared" ref="B213:E213" si="127">SUM(B198+B202+B206+B210)</f>
        <v>100</v>
      </c>
      <c r="C213" s="14">
        <f t="shared" si="127"/>
        <v>100</v>
      </c>
      <c r="D213" s="14">
        <f t="shared" si="127"/>
        <v>100</v>
      </c>
      <c r="E213" s="14">
        <f t="shared" si="127"/>
        <v>100</v>
      </c>
      <c r="F213" s="14"/>
      <c r="G213" s="14">
        <f t="shared" ref="G213:J213" si="128">SUM(G198+G202+G206+G210)</f>
        <v>100</v>
      </c>
      <c r="H213" s="14">
        <f t="shared" si="128"/>
        <v>100</v>
      </c>
      <c r="I213" s="14">
        <f t="shared" si="128"/>
        <v>100</v>
      </c>
      <c r="J213" s="14">
        <f t="shared" si="128"/>
        <v>100</v>
      </c>
      <c r="K213" s="14"/>
      <c r="L213" s="14">
        <f t="shared" ref="L213:O213" si="129">SUM(L198+L202+L206+L210)</f>
        <v>100</v>
      </c>
      <c r="M213" s="14">
        <f t="shared" si="129"/>
        <v>100</v>
      </c>
      <c r="N213" s="14">
        <f t="shared" si="129"/>
        <v>100</v>
      </c>
      <c r="O213" s="14">
        <f t="shared" si="129"/>
        <v>100</v>
      </c>
    </row>
    <row r="214" ht="15.75" customHeight="1">
      <c r="A214" s="11"/>
      <c r="B214" s="14">
        <f t="shared" ref="B214:E214" si="130">SUM(B199+B203+B207+B211)</f>
        <v>100</v>
      </c>
      <c r="C214" s="14">
        <f t="shared" si="130"/>
        <v>100</v>
      </c>
      <c r="D214" s="14">
        <f t="shared" si="130"/>
        <v>100</v>
      </c>
      <c r="E214" s="14">
        <f t="shared" si="130"/>
        <v>100</v>
      </c>
      <c r="F214" s="14"/>
      <c r="G214" s="14">
        <f t="shared" ref="G214:J214" si="131">SUM(G199+G203+G207+G211)</f>
        <v>100</v>
      </c>
      <c r="H214" s="14">
        <f t="shared" si="131"/>
        <v>100</v>
      </c>
      <c r="I214" s="14">
        <f t="shared" si="131"/>
        <v>100</v>
      </c>
      <c r="J214" s="14">
        <f t="shared" si="131"/>
        <v>100</v>
      </c>
      <c r="K214" s="14"/>
      <c r="L214" s="14">
        <f t="shared" ref="L214:O214" si="132">SUM(L199+L203+L207+L211)</f>
        <v>100</v>
      </c>
      <c r="M214" s="14">
        <f t="shared" si="132"/>
        <v>100</v>
      </c>
      <c r="N214" s="14">
        <f t="shared" si="132"/>
        <v>100</v>
      </c>
      <c r="O214" s="14">
        <f t="shared" si="132"/>
        <v>100</v>
      </c>
    </row>
    <row r="215" ht="15.75" customHeight="1"/>
    <row r="216" ht="15.75" customHeight="1"/>
    <row r="217" ht="15.75" customHeight="1">
      <c r="A217" s="76" t="s">
        <v>256</v>
      </c>
      <c r="B217" s="9" t="s">
        <v>208</v>
      </c>
      <c r="G217" s="9" t="s">
        <v>224</v>
      </c>
      <c r="L217" s="9" t="s">
        <v>225</v>
      </c>
    </row>
    <row r="218" ht="15.75" customHeight="1">
      <c r="B218" s="32"/>
      <c r="C218" s="32"/>
      <c r="D218" s="32"/>
      <c r="E218" s="32"/>
      <c r="F218" s="8"/>
      <c r="G218" s="32"/>
      <c r="H218" s="32"/>
      <c r="I218" s="32"/>
      <c r="J218" s="32"/>
      <c r="L218" s="32"/>
      <c r="M218" s="32"/>
      <c r="N218" s="32"/>
      <c r="O218" s="32"/>
    </row>
    <row r="219" ht="15.75" customHeight="1">
      <c r="A219" s="32"/>
      <c r="B219" s="51" t="s">
        <v>63</v>
      </c>
      <c r="C219" s="51" t="s">
        <v>64</v>
      </c>
      <c r="D219" s="51" t="s">
        <v>65</v>
      </c>
      <c r="E219" s="51" t="s">
        <v>66</v>
      </c>
      <c r="F219" s="32"/>
      <c r="G219" s="51" t="s">
        <v>63</v>
      </c>
      <c r="H219" s="51" t="s">
        <v>64</v>
      </c>
      <c r="I219" s="51" t="s">
        <v>65</v>
      </c>
      <c r="J219" s="51" t="s">
        <v>66</v>
      </c>
      <c r="K219" s="59"/>
      <c r="L219" s="51" t="s">
        <v>63</v>
      </c>
      <c r="M219" s="51" t="s">
        <v>64</v>
      </c>
      <c r="N219" s="51" t="s">
        <v>65</v>
      </c>
      <c r="O219" s="51" t="s">
        <v>66</v>
      </c>
    </row>
    <row r="220" ht="15.75" customHeight="1">
      <c r="A220" s="10" t="s">
        <v>203</v>
      </c>
      <c r="R220" s="109" t="s">
        <v>223</v>
      </c>
      <c r="S220" s="9" t="s">
        <v>208</v>
      </c>
      <c r="T220" s="9" t="s">
        <v>224</v>
      </c>
      <c r="U220" s="9" t="s">
        <v>225</v>
      </c>
      <c r="V220" s="9"/>
    </row>
    <row r="221" ht="15.75" customHeight="1">
      <c r="A221" s="11" t="s">
        <v>73</v>
      </c>
      <c r="B221" s="79">
        <f t="shared" ref="B221:E221" si="133">B198</f>
        <v>30.86419753</v>
      </c>
      <c r="C221" s="77">
        <f t="shared" si="133"/>
        <v>30.9623431</v>
      </c>
      <c r="D221" s="77">
        <f t="shared" si="133"/>
        <v>16.23277182</v>
      </c>
      <c r="E221" s="77">
        <f t="shared" si="133"/>
        <v>51.59574468</v>
      </c>
      <c r="F221" s="77">
        <f t="shared" ref="F221:F222" si="136">AVERAGE(B221,D221:E221)</f>
        <v>32.89757134</v>
      </c>
      <c r="G221" s="77">
        <f t="shared" ref="G221:J221" si="134">G198</f>
        <v>33.66120219</v>
      </c>
      <c r="H221" s="84">
        <f t="shared" si="134"/>
        <v>27.593361</v>
      </c>
      <c r="I221" s="84">
        <f t="shared" si="134"/>
        <v>15.74923547</v>
      </c>
      <c r="J221" s="77">
        <f t="shared" si="134"/>
        <v>48.94736842</v>
      </c>
      <c r="K221" s="77">
        <f t="shared" ref="K221:K222" si="137">AVERAGE(G221,I221:J221)</f>
        <v>32.78593536</v>
      </c>
      <c r="L221" s="77">
        <f t="shared" ref="L221:O221" si="135">L198</f>
        <v>35.28773073</v>
      </c>
      <c r="M221" s="86">
        <f t="shared" si="135"/>
        <v>15.51362683</v>
      </c>
      <c r="N221" s="86">
        <f t="shared" si="135"/>
        <v>10.46153846</v>
      </c>
      <c r="O221" s="79">
        <f t="shared" si="135"/>
        <v>39.47368421</v>
      </c>
      <c r="P221" s="77">
        <f t="shared" ref="P221:P222" si="138">AVERAGE(L221,N221:O221)</f>
        <v>28.40765113</v>
      </c>
      <c r="S221" s="32"/>
      <c r="T221" s="32"/>
      <c r="U221" s="32"/>
      <c r="V221" s="31"/>
    </row>
    <row r="222" ht="15.75" customHeight="1">
      <c r="A222" s="11" t="s">
        <v>205</v>
      </c>
      <c r="B222" s="83">
        <f>$H$131/(($F$131-2)*$P$131)*100</f>
        <v>3.296703297</v>
      </c>
      <c r="C222" s="83">
        <f>$H$135/(($F$135-2)*$P$135)*100</f>
        <v>0</v>
      </c>
      <c r="D222" s="86">
        <f>$H$139/(($F$139-2)*$P$139)*100</f>
        <v>13.87283237</v>
      </c>
      <c r="E222" s="83">
        <f>$H$143/(($F$143-2)*$P$143)*100</f>
        <v>9.230769231</v>
      </c>
      <c r="F222" s="89">
        <f t="shared" si="136"/>
        <v>8.800101632</v>
      </c>
      <c r="G222" s="84">
        <f>$H$132/(($F$132-2)*$P$132)*100</f>
        <v>11.76470588</v>
      </c>
      <c r="H222" s="77">
        <f>$H$136/(($F$136-2)*$P$136)*100</f>
        <v>32.72727273</v>
      </c>
      <c r="I222" s="77">
        <f>$H$140/(($F$140-2)*$P$140)*100</f>
        <v>32.5</v>
      </c>
      <c r="J222" s="84">
        <f>$H$144/(($F$144-2)*$P$144)*100</f>
        <v>31.57894737</v>
      </c>
      <c r="K222" s="77">
        <f t="shared" si="137"/>
        <v>25.28121775</v>
      </c>
      <c r="L222" s="81">
        <f>$H$133/(($F$133-2)*$P$133)*100</f>
        <v>8.333333333</v>
      </c>
      <c r="M222" s="77">
        <f>$H$137/(($F$137-2)*$P$137)*100</f>
        <v>21.91780822</v>
      </c>
      <c r="N222" s="77">
        <f>$H$141/(($F$141-2)*$P$141)*100</f>
        <v>20.40816327</v>
      </c>
      <c r="O222" s="84">
        <f>$H$145/(($F$145-2)*$P$145)*100</f>
        <v>22.3880597</v>
      </c>
      <c r="P222" s="89">
        <f t="shared" si="138"/>
        <v>17.04318543</v>
      </c>
      <c r="R222" s="102" t="s">
        <v>239</v>
      </c>
      <c r="S222" s="103">
        <f t="shared" ref="S222:S223" si="139">SUM(F221,F224)</f>
        <v>68.62606414</v>
      </c>
      <c r="T222" s="70">
        <f t="shared" ref="T222:T223" si="140">SUM(K221,K224)</f>
        <v>68.27992426</v>
      </c>
      <c r="U222" s="70">
        <f t="shared" ref="U222:U223" si="141">SUM(P221,P224)</f>
        <v>66.03667609</v>
      </c>
      <c r="V222" s="51"/>
    </row>
    <row r="223" ht="15.75" customHeight="1">
      <c r="A223" s="10" t="s">
        <v>210</v>
      </c>
      <c r="B223" s="87"/>
      <c r="C223" s="87"/>
      <c r="D223" s="87"/>
      <c r="E223" s="87"/>
      <c r="F223" s="88"/>
      <c r="G223" s="87"/>
      <c r="H223" s="87"/>
      <c r="I223" s="87"/>
      <c r="J223" s="87"/>
      <c r="K223" s="88"/>
      <c r="L223" s="87"/>
      <c r="M223" s="87"/>
      <c r="N223" s="87"/>
      <c r="O223" s="87"/>
      <c r="R223" s="102" t="s">
        <v>242</v>
      </c>
      <c r="S223" s="70">
        <f t="shared" si="139"/>
        <v>41.36145165</v>
      </c>
      <c r="T223" s="103">
        <f t="shared" si="140"/>
        <v>75.11386309</v>
      </c>
      <c r="U223" s="103">
        <f t="shared" si="141"/>
        <v>68.2327309</v>
      </c>
    </row>
    <row r="224" ht="15.75" customHeight="1">
      <c r="A224" s="11" t="s">
        <v>73</v>
      </c>
      <c r="B224" s="86">
        <f t="shared" ref="B224:E224" si="142">B202</f>
        <v>40.6285073</v>
      </c>
      <c r="C224" s="80">
        <f t="shared" si="142"/>
        <v>7.322175732</v>
      </c>
      <c r="D224" s="77">
        <f t="shared" si="142"/>
        <v>38.89739663</v>
      </c>
      <c r="E224" s="77">
        <f t="shared" si="142"/>
        <v>27.65957447</v>
      </c>
      <c r="F224" s="77">
        <f t="shared" ref="F224:F225" si="145">AVERAGE(B224,D224:E224)</f>
        <v>35.7284928</v>
      </c>
      <c r="G224" s="84">
        <f t="shared" ref="G224:J224" si="143">G202</f>
        <v>43.06010929</v>
      </c>
      <c r="H224" s="81">
        <f t="shared" si="143"/>
        <v>7.572614108</v>
      </c>
      <c r="I224" s="86">
        <f t="shared" si="143"/>
        <v>38.68501529</v>
      </c>
      <c r="J224" s="86">
        <f t="shared" si="143"/>
        <v>24.73684211</v>
      </c>
      <c r="K224" s="77">
        <f t="shared" ref="K224:K225" si="146">AVERAGE(G224,I224:J224)</f>
        <v>35.4939889</v>
      </c>
      <c r="L224" s="84">
        <f t="shared" ref="L224:O224" si="144">L202</f>
        <v>43.64820847</v>
      </c>
      <c r="M224" s="81">
        <f t="shared" si="144"/>
        <v>7.337526205</v>
      </c>
      <c r="N224" s="77">
        <f t="shared" si="144"/>
        <v>42.92307692</v>
      </c>
      <c r="O224" s="84">
        <f t="shared" si="144"/>
        <v>26.31578947</v>
      </c>
      <c r="P224" s="77">
        <f t="shared" ref="P224:P225" si="147">AVERAGE(L224,N224:O224)</f>
        <v>37.62902496</v>
      </c>
      <c r="R224" s="106" t="s">
        <v>247</v>
      </c>
      <c r="S224" s="107"/>
      <c r="T224" s="107"/>
      <c r="U224" s="107"/>
    </row>
    <row r="225" ht="15.75" customHeight="1">
      <c r="A225" s="11" t="s">
        <v>205</v>
      </c>
      <c r="B225" s="79">
        <f>$N$131/(($F$131-2)*$P$131)*100</f>
        <v>47.25274725</v>
      </c>
      <c r="C225" s="83">
        <f>$N$135/(($F$135-2)*$P$135)*100</f>
        <v>4.188481675</v>
      </c>
      <c r="D225" s="86">
        <f>$N$139/(($F$139-2)*$P$139)*100</f>
        <v>24.27745665</v>
      </c>
      <c r="E225" s="86">
        <f>$N$143/(($F$143-2)*$P$143)*100</f>
        <v>26.15384615</v>
      </c>
      <c r="F225" s="77">
        <f t="shared" si="145"/>
        <v>32.56135002</v>
      </c>
      <c r="G225" s="77">
        <f>$N$132/(($F$132-2)*$P$132)*100</f>
        <v>67.64705882</v>
      </c>
      <c r="H225" s="77">
        <f>$N$136/(($F$136-2)*$P$136)*100</f>
        <v>12.72727273</v>
      </c>
      <c r="I225" s="77">
        <f>$N$140/(($F$140-2)*$P$140)*100</f>
        <v>41.5</v>
      </c>
      <c r="J225" s="77">
        <f>$N$144/(($F$144-2)*$P$144)*100</f>
        <v>40.35087719</v>
      </c>
      <c r="K225" s="77">
        <f t="shared" si="146"/>
        <v>49.83264534</v>
      </c>
      <c r="L225" s="77">
        <f>$N$133/(($F$133-2)*$P$133)*100</f>
        <v>70.83333333</v>
      </c>
      <c r="M225" s="77">
        <f>$N$137/(($F$137-2)*$P$137)*100</f>
        <v>17.80821918</v>
      </c>
      <c r="N225" s="84">
        <f>$N$141/(($F$141-2)*$P$141)*100</f>
        <v>37.95918367</v>
      </c>
      <c r="O225" s="77">
        <f>$N$145/(($F$145-2)*$P$145)*100</f>
        <v>44.7761194</v>
      </c>
      <c r="P225" s="77">
        <f t="shared" si="147"/>
        <v>51.18954547</v>
      </c>
      <c r="R225" s="102" t="s">
        <v>239</v>
      </c>
      <c r="S225" s="103">
        <f t="shared" ref="S225:S226" si="148">F221</f>
        <v>32.89757134</v>
      </c>
      <c r="T225" s="103">
        <f t="shared" ref="T225:T226" si="149">K221</f>
        <v>32.78593536</v>
      </c>
      <c r="U225" s="103">
        <f t="shared" ref="U225:U226" si="150">P221</f>
        <v>28.40765113</v>
      </c>
    </row>
    <row r="226" ht="15.75" customHeight="1">
      <c r="A226" s="10" t="s">
        <v>213</v>
      </c>
      <c r="B226" s="87"/>
      <c r="C226" s="87"/>
      <c r="D226" s="87"/>
      <c r="E226" s="87"/>
      <c r="F226" s="88"/>
      <c r="G226" s="87"/>
      <c r="H226" s="87"/>
      <c r="I226" s="87"/>
      <c r="J226" s="87"/>
      <c r="K226" s="88"/>
      <c r="L226" s="87"/>
      <c r="M226" s="87"/>
      <c r="N226" s="87"/>
      <c r="O226" s="87"/>
      <c r="R226" s="102" t="s">
        <v>242</v>
      </c>
      <c r="S226" s="111">
        <f t="shared" si="148"/>
        <v>8.800101632</v>
      </c>
      <c r="T226" s="70">
        <f t="shared" si="149"/>
        <v>25.28121775</v>
      </c>
      <c r="U226" s="70">
        <f t="shared" si="150"/>
        <v>17.04318543</v>
      </c>
    </row>
    <row r="227" ht="15.75" customHeight="1">
      <c r="A227" s="11" t="s">
        <v>73</v>
      </c>
      <c r="B227" s="84">
        <f t="array" ref="B227:E227">B206:E206</f>
        <v>20.87542088</v>
      </c>
      <c r="C227" s="77">
        <v>61.40167364016737</v>
      </c>
      <c r="D227" s="77">
        <v>31.08728943338438</v>
      </c>
      <c r="E227" s="77">
        <v>17.02127659574468</v>
      </c>
      <c r="F227" s="112"/>
      <c r="G227" s="84">
        <f t="array" ref="G227:J227">G206:J206</f>
        <v>17.92349727</v>
      </c>
      <c r="H227" s="84">
        <v>64.62655601659752</v>
      </c>
      <c r="I227" s="84">
        <v>31.65137614678899</v>
      </c>
      <c r="J227" s="84">
        <v>20.526315789473685</v>
      </c>
      <c r="K227" s="94"/>
      <c r="L227" s="86">
        <f t="array" ref="L227:O227">L206:O206</f>
        <v>16.93811075</v>
      </c>
      <c r="M227" s="86">
        <v>76.93920335429769</v>
      </c>
      <c r="N227" s="86">
        <v>36.92307692307693</v>
      </c>
      <c r="O227" s="86">
        <v>29.47368421052631</v>
      </c>
      <c r="R227" s="106" t="s">
        <v>251</v>
      </c>
    </row>
    <row r="228" ht="15.75" customHeight="1">
      <c r="A228" s="11" t="s">
        <v>205</v>
      </c>
      <c r="B228" s="79">
        <f>($I$131+$J$131)/(($F$131-2)*$P$131)*100</f>
        <v>17.58241758</v>
      </c>
      <c r="C228" s="86">
        <f>($I$135+$J$135)/(($F$135-2)*$P$135)*100</f>
        <v>93.71727749</v>
      </c>
      <c r="D228" s="86">
        <f>($I$139+$J$139)/(($F$139-2)*$P$139)*100</f>
        <v>39.88439306</v>
      </c>
      <c r="E228" s="86">
        <f>($I$143+$J$143)/(($F$143-2)*$P$143)*100</f>
        <v>40</v>
      </c>
      <c r="F228" s="112"/>
      <c r="G228" s="89">
        <f>($I$132+$J$132)/(($F$132-2)*$P$132)*100</f>
        <v>8.823529412</v>
      </c>
      <c r="H228" s="77">
        <f>($I$136+$J$136)/(($F$136-2)*$P$136)*100</f>
        <v>52.72727273</v>
      </c>
      <c r="I228" s="77">
        <f>($I$140+$J$140)/(($F$140-2)*$P$140)*100</f>
        <v>20.5</v>
      </c>
      <c r="J228" s="77">
        <f>($I$144+$J$144)/(($F$144-2)*$P$144)*100</f>
        <v>19.29824561</v>
      </c>
      <c r="K228" s="78">
        <f>AVERAGE(G228:J228)</f>
        <v>25.33726194</v>
      </c>
      <c r="L228" s="77">
        <f>($I$133+$J$133)/(($F$133-2)*$P$133)*100</f>
        <v>12.5</v>
      </c>
      <c r="M228" s="77">
        <f>($I$137+$J$137)/(($F$137-2)*$P$137)*100</f>
        <v>56.16438356</v>
      </c>
      <c r="N228" s="77">
        <f>($I$141+$J$141)/(($F$141-2)*$P$141)*100</f>
        <v>32.24489796</v>
      </c>
      <c r="O228" s="77">
        <f>($I$145+$J$145)/(($F$145-2)*$P$145)*100</f>
        <v>28.35820896</v>
      </c>
      <c r="R228" s="102" t="s">
        <v>239</v>
      </c>
      <c r="S228" s="111">
        <f t="shared" ref="S228:S229" si="151">F230</f>
        <v>8.379273556</v>
      </c>
      <c r="T228" s="111">
        <f t="shared" ref="T228:T229" si="152">K230</f>
        <v>8.353012677</v>
      </c>
      <c r="U228" s="111">
        <f t="shared" ref="U228:U229" si="153">P230</f>
        <v>6.185033284</v>
      </c>
    </row>
    <row r="229" ht="15.75" customHeight="1">
      <c r="A229" s="10" t="s">
        <v>221</v>
      </c>
      <c r="B229" s="87"/>
      <c r="C229" s="87"/>
      <c r="D229" s="87"/>
      <c r="E229" s="87"/>
      <c r="F229" s="88"/>
      <c r="G229" s="87"/>
      <c r="H229" s="87"/>
      <c r="I229" s="87"/>
      <c r="J229" s="87"/>
      <c r="K229" s="88"/>
      <c r="L229" s="87"/>
      <c r="M229" s="87"/>
      <c r="N229" s="87"/>
      <c r="O229" s="87"/>
      <c r="R229" s="102" t="s">
        <v>242</v>
      </c>
      <c r="S229" s="103">
        <f t="shared" si="151"/>
        <v>26.14961147</v>
      </c>
      <c r="T229" s="103">
        <f t="shared" si="152"/>
        <v>8.678878569</v>
      </c>
      <c r="U229" s="103">
        <f t="shared" si="153"/>
        <v>7.399566792</v>
      </c>
    </row>
    <row r="230" ht="15.75" customHeight="1">
      <c r="A230" s="11" t="s">
        <v>73</v>
      </c>
      <c r="B230" s="80">
        <f t="shared" ref="B230:E230" si="154">B210</f>
        <v>7.631874299</v>
      </c>
      <c r="C230" s="100">
        <f t="shared" si="154"/>
        <v>0.3138075314</v>
      </c>
      <c r="D230" s="77">
        <f t="shared" si="154"/>
        <v>13.78254211</v>
      </c>
      <c r="E230" s="89">
        <f t="shared" si="154"/>
        <v>3.723404255</v>
      </c>
      <c r="F230" s="89">
        <f t="shared" ref="F230:F231" si="157">AVERAGE(B230,D230:E230)</f>
        <v>8.379273556</v>
      </c>
      <c r="G230" s="89">
        <f t="shared" ref="G230:J230" si="155">G210</f>
        <v>5.355191257</v>
      </c>
      <c r="H230" s="99">
        <f t="shared" si="155"/>
        <v>0.2074688797</v>
      </c>
      <c r="I230" s="86">
        <f t="shared" si="155"/>
        <v>13.91437309</v>
      </c>
      <c r="J230" s="80">
        <f t="shared" si="155"/>
        <v>5.789473684</v>
      </c>
      <c r="K230" s="89">
        <f t="shared" ref="K230:K231" si="158">AVERAGE(G230,I230:J230)</f>
        <v>8.353012677</v>
      </c>
      <c r="L230" s="89">
        <f t="shared" ref="L230:O230" si="156">L210</f>
        <v>4.125950054</v>
      </c>
      <c r="M230" s="99">
        <f t="shared" si="156"/>
        <v>0.2096436059</v>
      </c>
      <c r="N230" s="81">
        <f t="shared" si="156"/>
        <v>9.692307692</v>
      </c>
      <c r="O230" s="81">
        <f t="shared" si="156"/>
        <v>4.736842105</v>
      </c>
      <c r="P230" s="89">
        <f t="shared" ref="P230:P231" si="159">AVERAGE(L230,N230:O230)</f>
        <v>6.185033284</v>
      </c>
    </row>
    <row r="231" ht="15.75" customHeight="1">
      <c r="A231" s="11" t="s">
        <v>205</v>
      </c>
      <c r="B231" s="86">
        <f>$L$131/(($F$131-2)*$P$131)*100</f>
        <v>31.86813187</v>
      </c>
      <c r="C231" s="81">
        <f>$L$135/(($F$135-2)*$P$135)*100</f>
        <v>2.094240838</v>
      </c>
      <c r="D231" s="86">
        <f>$L$139/(($F$139-2)*$P$139)*100</f>
        <v>21.96531792</v>
      </c>
      <c r="E231" s="86">
        <f>$L$143/(($F$143-2)*$P$143)*100</f>
        <v>24.61538462</v>
      </c>
      <c r="F231" s="77">
        <f t="shared" si="157"/>
        <v>26.14961147</v>
      </c>
      <c r="G231" s="84">
        <f>$L$132/(($F$132-2)*$P$132)*100</f>
        <v>11.76470588</v>
      </c>
      <c r="H231" s="113">
        <v>0.447</v>
      </c>
      <c r="I231" s="89">
        <f>$L$140/(($F$140-2)*$P$140)*100</f>
        <v>5.5</v>
      </c>
      <c r="J231" s="81">
        <f>$L$144/(($F$144-2)*$P$144)*100</f>
        <v>8.771929825</v>
      </c>
      <c r="K231" s="77">
        <f t="shared" si="158"/>
        <v>8.678878569</v>
      </c>
      <c r="L231" s="81">
        <f>$L$133/(($F$133-2)*$P$133)*100</f>
        <v>8.333333333</v>
      </c>
      <c r="M231" s="83">
        <f>$L$137/(($F$137-2)*$P$137)*100</f>
        <v>4.109589041</v>
      </c>
      <c r="N231" s="89">
        <f>$L$141/(($F$141-2)*$P$141)*100</f>
        <v>9.387755102</v>
      </c>
      <c r="O231" s="89">
        <f>$L$145/(($F$145-2)*$P$145)*100</f>
        <v>4.47761194</v>
      </c>
      <c r="P231" s="89">
        <f t="shared" si="159"/>
        <v>7.399566792</v>
      </c>
      <c r="Q231" s="30" t="s">
        <v>153</v>
      </c>
      <c r="R231" s="31" t="s">
        <v>154</v>
      </c>
      <c r="S231" s="32"/>
      <c r="T231" s="32"/>
      <c r="U231" s="32"/>
      <c r="V231" s="8"/>
      <c r="W231" s="31" t="s">
        <v>155</v>
      </c>
      <c r="X231" s="32"/>
      <c r="Y231" s="32"/>
      <c r="Z231" s="32"/>
      <c r="AB231" s="31" t="s">
        <v>156</v>
      </c>
      <c r="AC231" s="32"/>
      <c r="AD231" s="32"/>
      <c r="AE231" s="32"/>
      <c r="AH231" s="43" t="s">
        <v>266</v>
      </c>
      <c r="AI231" s="32"/>
      <c r="AJ231" s="32"/>
      <c r="AK231" s="32"/>
    </row>
    <row r="232" ht="15.75" customHeight="1">
      <c r="A232" s="72"/>
      <c r="B232" s="56">
        <f t="shared" ref="B232:E232" si="160">SUM(B221,B224,B227,B230)</f>
        <v>100</v>
      </c>
      <c r="C232" s="56">
        <f t="shared" si="160"/>
        <v>100</v>
      </c>
      <c r="D232" s="56">
        <f t="shared" si="160"/>
        <v>100</v>
      </c>
      <c r="E232" s="56">
        <f t="shared" si="160"/>
        <v>100</v>
      </c>
      <c r="F232" s="60"/>
      <c r="G232" s="56">
        <f t="shared" ref="G232:J232" si="161">SUM(G221,G224,G227,G230)</f>
        <v>100</v>
      </c>
      <c r="H232" s="56">
        <f t="shared" si="161"/>
        <v>100</v>
      </c>
      <c r="I232" s="56">
        <f t="shared" si="161"/>
        <v>100</v>
      </c>
      <c r="J232" s="56">
        <f t="shared" si="161"/>
        <v>100</v>
      </c>
      <c r="K232" s="60"/>
      <c r="L232" s="56">
        <f t="shared" ref="L232:O232" si="162">SUM(L221,L224,L227,L230)</f>
        <v>100</v>
      </c>
      <c r="M232" s="56">
        <f t="shared" si="162"/>
        <v>100</v>
      </c>
      <c r="N232" s="56">
        <f t="shared" si="162"/>
        <v>100</v>
      </c>
      <c r="O232" s="56">
        <f t="shared" si="162"/>
        <v>100</v>
      </c>
      <c r="R232" s="8" t="s">
        <v>63</v>
      </c>
      <c r="S232" s="8" t="s">
        <v>64</v>
      </c>
      <c r="T232" s="8" t="s">
        <v>65</v>
      </c>
      <c r="U232" s="8" t="s">
        <v>66</v>
      </c>
      <c r="W232" s="8" t="s">
        <v>63</v>
      </c>
      <c r="X232" s="8" t="s">
        <v>64</v>
      </c>
      <c r="Y232" s="8" t="s">
        <v>65</v>
      </c>
      <c r="Z232" s="8" t="s">
        <v>66</v>
      </c>
      <c r="AA232" s="59"/>
      <c r="AB232" s="8" t="s">
        <v>63</v>
      </c>
      <c r="AC232" s="8" t="s">
        <v>64</v>
      </c>
      <c r="AD232" s="8" t="s">
        <v>65</v>
      </c>
      <c r="AE232" s="8" t="s">
        <v>66</v>
      </c>
      <c r="AH232" s="44" t="s">
        <v>63</v>
      </c>
      <c r="AI232" s="44" t="s">
        <v>64</v>
      </c>
      <c r="AJ232" s="44" t="s">
        <v>65</v>
      </c>
      <c r="AK232" s="44" t="s">
        <v>66</v>
      </c>
    </row>
    <row r="233" ht="15.75" customHeight="1">
      <c r="A233" s="11"/>
      <c r="B233" s="33">
        <f t="shared" ref="B233:E233" si="163">SUM(B222,B225,B228,B231)</f>
        <v>100</v>
      </c>
      <c r="C233" s="33">
        <f t="shared" si="163"/>
        <v>100</v>
      </c>
      <c r="D233" s="33">
        <f t="shared" si="163"/>
        <v>100</v>
      </c>
      <c r="E233" s="33">
        <f t="shared" si="163"/>
        <v>100</v>
      </c>
      <c r="F233" s="14"/>
      <c r="G233" s="33">
        <f>SUM(G222,G225,G228,G231)</f>
        <v>100</v>
      </c>
      <c r="H233" s="33">
        <f>SUM(H222,H225,H228,H237)</f>
        <v>98.18181818</v>
      </c>
      <c r="I233" s="33">
        <f t="shared" ref="I233:J233" si="164">SUM(I222,I225,I228,I231)</f>
        <v>100</v>
      </c>
      <c r="J233" s="33">
        <f t="shared" si="164"/>
        <v>100</v>
      </c>
      <c r="K233" s="14"/>
      <c r="L233" s="33">
        <f t="shared" ref="L233:O233" si="165">SUM(L222,L225,L228,L231)</f>
        <v>100</v>
      </c>
      <c r="M233" s="33">
        <f t="shared" si="165"/>
        <v>100</v>
      </c>
      <c r="N233" s="33">
        <f t="shared" si="165"/>
        <v>100</v>
      </c>
      <c r="O233" s="33">
        <f t="shared" si="165"/>
        <v>100</v>
      </c>
      <c r="Q233" s="10" t="s">
        <v>7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H233" s="114"/>
      <c r="AI233" s="114"/>
      <c r="AJ233" s="114"/>
      <c r="AK233" s="114"/>
    </row>
    <row r="234" ht="15.75" customHeight="1">
      <c r="Q234" s="11" t="s">
        <v>68</v>
      </c>
      <c r="R234" s="17">
        <f>$H$3/(($F$3-1)*$P$3)*100</f>
        <v>13.76884422</v>
      </c>
      <c r="S234" s="14">
        <f>$H$7/(($F$7-1)*$P$7)*100</f>
        <v>19.26188069</v>
      </c>
      <c r="T234" s="13">
        <f>$H$11/(($F$11-1)*$P$11)*100</f>
        <v>29.94056464</v>
      </c>
      <c r="U234" s="14">
        <f>$H$15/(($F$15-1)*$P$15)*100</f>
        <v>19.79695431</v>
      </c>
      <c r="W234" s="14">
        <f>$H$4/(($F$4-1)*$P$4)*100</f>
        <v>12.85282258</v>
      </c>
      <c r="X234" s="14">
        <f>$H$8/(($F$8-1)*$P$8)*100</f>
        <v>16.80161943</v>
      </c>
      <c r="Y234" s="14">
        <f>$H$12/(($F$12-1)*$P$12)*100</f>
        <v>26.18343195</v>
      </c>
      <c r="Z234" s="14">
        <f>$H$16/(($F$16-1)*$P$16)*100</f>
        <v>13.52040816</v>
      </c>
      <c r="AB234" s="14">
        <f>$H$5/(($F$5-1)*$P$5)*100</f>
        <v>12.65182186</v>
      </c>
      <c r="AC234" s="17">
        <f>$H$9/(($F$9-1)*$P$9)*100</f>
        <v>21.58746208</v>
      </c>
      <c r="AD234" s="17">
        <f>$H$13/(($F$13-1)*$P$13)*100</f>
        <v>30</v>
      </c>
      <c r="AE234" s="17">
        <f>$H$17/(($F$17-1)*$P$17)*100</f>
        <v>20.91836735</v>
      </c>
      <c r="AH234" s="54">
        <v>8.73</v>
      </c>
      <c r="AI234" s="54">
        <v>1.54</v>
      </c>
      <c r="AJ234" s="115">
        <v>12.3</v>
      </c>
      <c r="AK234" s="53">
        <v>13.8</v>
      </c>
    </row>
    <row r="235" ht="15.75" customHeight="1">
      <c r="Q235" s="11" t="s">
        <v>73</v>
      </c>
      <c r="R235" s="18">
        <f>$H$19/(($F$19-1)*$P$19)*100</f>
        <v>34.33922997</v>
      </c>
      <c r="S235" s="17">
        <f>$H$23/(($F$23-1)*$P$23)*100</f>
        <v>21.24485597</v>
      </c>
      <c r="T235" s="17">
        <f>$H$27/(($F$27-1)*$P$27)*100</f>
        <v>14.38253012</v>
      </c>
      <c r="U235" s="18">
        <f>$H$31/(($F$31-1)*$P$31)*100</f>
        <v>47.12041885</v>
      </c>
      <c r="V235" s="8"/>
      <c r="W235" s="13">
        <f>$H$20/(($F$20-1)*$P$20)*100</f>
        <v>32.05394191</v>
      </c>
      <c r="X235" s="14">
        <f>$H$24/(($F$24-1)*$P$24)*100</f>
        <v>11.24352332</v>
      </c>
      <c r="Y235" s="14">
        <f>$H$28/(($F$28-1)*$P$28)*100</f>
        <v>10.58558559</v>
      </c>
      <c r="Z235" s="14">
        <f>$H$32/(($F$32-1)*$P$32)*100</f>
        <v>35.78947368</v>
      </c>
      <c r="AB235" s="14">
        <f>$H$21/(($F$21-1)*$P$21)*100</f>
        <v>32.6625387</v>
      </c>
      <c r="AC235" s="12">
        <f>$H$25/(($F$25-1)*$P$25)*100</f>
        <v>8.661825726</v>
      </c>
      <c r="AD235" s="14">
        <f>$H$29/(($F$29-1)*$P$29)*100</f>
        <v>10.19637462</v>
      </c>
      <c r="AE235" s="14">
        <f>$H$33/(($F$33-1)*$P$33)*100</f>
        <v>33.5978836</v>
      </c>
      <c r="AH235" s="117">
        <v>29.4</v>
      </c>
      <c r="AI235" s="121">
        <v>2.01</v>
      </c>
      <c r="AJ235" s="119">
        <v>4.36</v>
      </c>
      <c r="AK235" s="117">
        <v>18.5</v>
      </c>
    </row>
    <row r="236" ht="15.75" customHeight="1">
      <c r="Q236" s="11" t="s">
        <v>76</v>
      </c>
      <c r="R236" s="12">
        <f>$H$35/(($F$35-1)*$P$35)*100</f>
        <v>7.599431818</v>
      </c>
      <c r="S236" s="18">
        <f>$H$39/(($F$39-1)*$P$39)*100</f>
        <v>26.47058824</v>
      </c>
      <c r="T236" s="17">
        <f>$H$43/(($F$43-1)*$P$43)*100</f>
        <v>24.06679764</v>
      </c>
      <c r="U236" s="17">
        <f>$H$47/(($F$47-1)*$P$47)*100</f>
        <v>26.31578947</v>
      </c>
      <c r="V236" s="8"/>
      <c r="W236" s="15">
        <f>$H$36/(($F$36-1)*$P$36)*100</f>
        <v>7.686453577</v>
      </c>
      <c r="X236" s="12">
        <f>$H$40/(($F$40-1)*$P$40)*100</f>
        <v>9.784411277</v>
      </c>
      <c r="Y236" s="14">
        <f>$H$44/(($F$44-1)*$P$44)*100</f>
        <v>13.4</v>
      </c>
      <c r="Z236" s="14">
        <f>$H$48/(($F$48-1)*$P$48)*100</f>
        <v>20.86330935</v>
      </c>
      <c r="AB236" s="12">
        <f>$H$37/(($F$37-1)*$P$37)*100</f>
        <v>6.973058637</v>
      </c>
      <c r="AC236" s="12">
        <f>$H$41/(($F$41-1)*$P$41)*100</f>
        <v>9.84</v>
      </c>
      <c r="AD236" s="14">
        <f>$H$45/(($F$45-1)*$P$45)*100</f>
        <v>13.92156863</v>
      </c>
      <c r="AE236" s="14">
        <f>$H$49/(($F$49-1)*$P$49)*100</f>
        <v>25.67567568</v>
      </c>
      <c r="AH236" s="54">
        <v>6.21</v>
      </c>
      <c r="AI236" s="118">
        <v>0.731</v>
      </c>
      <c r="AJ236" s="54">
        <v>5.69</v>
      </c>
      <c r="AK236" s="54">
        <v>8.74</v>
      </c>
    </row>
    <row r="237" ht="15.75" customHeight="1">
      <c r="R237" s="33">
        <f t="shared" ref="R237:U237" si="166">AVERAGE(R234:R236)</f>
        <v>18.56916867</v>
      </c>
      <c r="S237" s="33">
        <f t="shared" si="166"/>
        <v>22.32577496</v>
      </c>
      <c r="T237" s="33">
        <f t="shared" si="166"/>
        <v>22.7966308</v>
      </c>
      <c r="U237" s="33">
        <f t="shared" si="166"/>
        <v>31.07772088</v>
      </c>
      <c r="V237" s="35">
        <f>AVERAGE(R237:U237)</f>
        <v>23.69232383</v>
      </c>
      <c r="W237" s="33">
        <f t="shared" ref="W237:Z237" si="167">AVERAGE(W234:W236)</f>
        <v>17.53107269</v>
      </c>
      <c r="X237" s="33">
        <f t="shared" si="167"/>
        <v>12.60985134</v>
      </c>
      <c r="Y237" s="33">
        <f t="shared" si="167"/>
        <v>16.72300585</v>
      </c>
      <c r="Z237" s="33">
        <f t="shared" si="167"/>
        <v>23.39106373</v>
      </c>
      <c r="AA237" s="35">
        <f>AVERAGE(W237:Z237)</f>
        <v>17.5637484</v>
      </c>
      <c r="AB237" s="33">
        <f t="shared" ref="AB237:AE237" si="168">AVERAGE(AB234:AB236)</f>
        <v>17.42913973</v>
      </c>
      <c r="AC237" s="33">
        <f t="shared" si="168"/>
        <v>13.36309594</v>
      </c>
      <c r="AD237" s="33">
        <f t="shared" si="168"/>
        <v>18.03931442</v>
      </c>
      <c r="AE237" s="33">
        <f t="shared" si="168"/>
        <v>26.73064221</v>
      </c>
      <c r="AF237" s="35">
        <f>AVERAGE(AB237:AE237)</f>
        <v>18.89054807</v>
      </c>
      <c r="AH237" s="33">
        <f t="shared" ref="AH237:AK237" si="169">AVERAGE(AH234:AH236)</f>
        <v>14.78</v>
      </c>
      <c r="AI237" s="33">
        <f t="shared" si="169"/>
        <v>1.427</v>
      </c>
      <c r="AJ237" s="33">
        <f t="shared" si="169"/>
        <v>7.45</v>
      </c>
      <c r="AK237" s="33">
        <f t="shared" si="169"/>
        <v>13.68</v>
      </c>
      <c r="AL237" s="33">
        <f>AVERAGE(AH237:AK237)</f>
        <v>9.33425</v>
      </c>
    </row>
    <row r="238" ht="15.75" customHeight="1"/>
    <row r="239" ht="15.75" customHeight="1">
      <c r="AI239" s="2">
        <f>(AC234-AI234)/AI234*100</f>
        <v>1301.783252</v>
      </c>
    </row>
    <row r="240" ht="15.75" customHeight="1">
      <c r="A240" s="42" t="s">
        <v>153</v>
      </c>
      <c r="B240" s="43" t="s">
        <v>154</v>
      </c>
      <c r="C240" s="32"/>
      <c r="D240" s="32"/>
      <c r="E240" s="32"/>
      <c r="G240" s="43" t="s">
        <v>225</v>
      </c>
      <c r="H240" s="32"/>
      <c r="I240" s="32"/>
      <c r="J240" s="32"/>
      <c r="AI240" s="29">
        <f t="shared" ref="AI240:AI241" si="170">(S235-AI235)/AI235*100</f>
        <v>956.9580083</v>
      </c>
    </row>
    <row r="241" ht="15.75" customHeight="1">
      <c r="A241" s="32"/>
      <c r="B241" s="44" t="s">
        <v>63</v>
      </c>
      <c r="C241" s="44" t="s">
        <v>64</v>
      </c>
      <c r="D241" s="44" t="s">
        <v>65</v>
      </c>
      <c r="E241" s="44" t="s">
        <v>66</v>
      </c>
      <c r="G241" s="44" t="s">
        <v>63</v>
      </c>
      <c r="H241" s="44" t="s">
        <v>64</v>
      </c>
      <c r="I241" s="44" t="s">
        <v>65</v>
      </c>
      <c r="J241" s="44" t="s">
        <v>66</v>
      </c>
      <c r="AI241" s="2">
        <f t="shared" si="170"/>
        <v>3521.147501</v>
      </c>
    </row>
    <row r="242" ht="15.75" customHeight="1">
      <c r="A242" s="114" t="s">
        <v>203</v>
      </c>
      <c r="B242" s="114"/>
      <c r="C242" s="114"/>
      <c r="D242" s="114"/>
      <c r="E242" s="114"/>
      <c r="G242" s="114"/>
      <c r="H242" s="114"/>
      <c r="I242" s="114"/>
      <c r="J242" s="114"/>
    </row>
    <row r="243" ht="15.75" customHeight="1">
      <c r="A243" s="47" t="s">
        <v>68</v>
      </c>
      <c r="B243" s="53">
        <v>13.8</v>
      </c>
      <c r="C243" s="115">
        <v>19.3</v>
      </c>
      <c r="D243" s="53">
        <v>29.9</v>
      </c>
      <c r="E243" s="115">
        <v>19.8</v>
      </c>
      <c r="G243" s="120">
        <v>12.9</v>
      </c>
      <c r="H243" s="53">
        <v>21.2</v>
      </c>
      <c r="I243" s="120">
        <v>27.9</v>
      </c>
      <c r="J243" s="53">
        <v>20.8</v>
      </c>
    </row>
    <row r="244" ht="15.75" customHeight="1">
      <c r="A244" s="47" t="s">
        <v>73</v>
      </c>
      <c r="B244" s="120">
        <v>34.3</v>
      </c>
      <c r="C244" s="53">
        <v>21.2</v>
      </c>
      <c r="D244" s="117">
        <v>14.4</v>
      </c>
      <c r="E244" s="53">
        <v>47.1</v>
      </c>
      <c r="G244" s="53">
        <v>35.3</v>
      </c>
      <c r="H244" s="115">
        <v>15.5</v>
      </c>
      <c r="I244" s="115">
        <v>10.5</v>
      </c>
      <c r="J244" s="120">
        <v>39.5</v>
      </c>
    </row>
    <row r="245" ht="15.75" customHeight="1">
      <c r="A245" s="47" t="s">
        <v>76</v>
      </c>
      <c r="B245" s="121">
        <v>7.6</v>
      </c>
      <c r="C245" s="53">
        <v>26.5</v>
      </c>
      <c r="D245" s="53">
        <v>24.1</v>
      </c>
      <c r="E245" s="53">
        <v>26.3</v>
      </c>
      <c r="G245" s="116">
        <v>8.87</v>
      </c>
      <c r="H245" s="120">
        <v>15.6</v>
      </c>
      <c r="I245" s="120">
        <v>11.4</v>
      </c>
      <c r="J245" s="115">
        <v>20.3</v>
      </c>
    </row>
    <row r="246" ht="15.75" customHeight="1">
      <c r="A246" s="114" t="s">
        <v>210</v>
      </c>
      <c r="B246" s="148"/>
      <c r="C246" s="148"/>
      <c r="D246" s="148"/>
      <c r="E246" s="148"/>
      <c r="G246" s="95"/>
      <c r="H246" s="95"/>
      <c r="I246" s="95"/>
      <c r="J246" s="95"/>
    </row>
    <row r="247" ht="15.75" customHeight="1">
      <c r="A247" s="47" t="s">
        <v>68</v>
      </c>
      <c r="B247" s="120">
        <v>50.4</v>
      </c>
      <c r="C247" s="121">
        <v>4.4</v>
      </c>
      <c r="D247" s="115">
        <v>28.5</v>
      </c>
      <c r="E247" s="53">
        <v>45.2</v>
      </c>
      <c r="G247" s="53">
        <v>53.4</v>
      </c>
      <c r="H247" s="116">
        <v>4.87</v>
      </c>
      <c r="I247" s="117">
        <v>31.4</v>
      </c>
      <c r="J247" s="120">
        <v>39.1</v>
      </c>
    </row>
    <row r="248" ht="15.75" customHeight="1">
      <c r="A248" s="47" t="s">
        <v>73</v>
      </c>
      <c r="B248" s="53">
        <v>44.6</v>
      </c>
      <c r="C248" s="119">
        <v>7.2</v>
      </c>
      <c r="D248" s="120">
        <v>42.1</v>
      </c>
      <c r="E248" s="115">
        <v>26.2</v>
      </c>
      <c r="G248" s="115">
        <v>43.6</v>
      </c>
      <c r="H248" s="54">
        <v>7.34</v>
      </c>
      <c r="I248" s="53">
        <v>42.9</v>
      </c>
      <c r="J248" s="117">
        <v>26.3</v>
      </c>
      <c r="Q248" s="132" t="s">
        <v>275</v>
      </c>
      <c r="R248" s="133"/>
      <c r="S248" s="133"/>
      <c r="T248" s="133"/>
    </row>
    <row r="249" ht="15.75" customHeight="1">
      <c r="A249" s="47" t="s">
        <v>76</v>
      </c>
      <c r="B249" s="115">
        <v>42.1</v>
      </c>
      <c r="C249" s="54">
        <v>6.28</v>
      </c>
      <c r="D249" s="53">
        <v>37.2</v>
      </c>
      <c r="E249" s="53">
        <v>36.1</v>
      </c>
      <c r="G249" s="53">
        <v>47.0</v>
      </c>
      <c r="H249" s="119">
        <v>5.82</v>
      </c>
      <c r="I249" s="120">
        <v>34.8</v>
      </c>
      <c r="J249" s="120">
        <v>35.9</v>
      </c>
      <c r="Q249" s="44" t="s">
        <v>63</v>
      </c>
      <c r="R249" s="44" t="s">
        <v>64</v>
      </c>
      <c r="S249" s="44" t="s">
        <v>65</v>
      </c>
      <c r="T249" s="44" t="s">
        <v>66</v>
      </c>
    </row>
    <row r="250" ht="15.75" customHeight="1">
      <c r="A250" s="114" t="s">
        <v>213</v>
      </c>
      <c r="B250" s="95"/>
      <c r="C250" s="95"/>
      <c r="D250" s="95"/>
      <c r="E250" s="95"/>
      <c r="G250" s="95"/>
      <c r="H250" s="95"/>
      <c r="I250" s="95"/>
      <c r="J250" s="95"/>
      <c r="Q250" s="114"/>
      <c r="R250" s="114"/>
      <c r="S250" s="114"/>
      <c r="T250" s="114"/>
    </row>
    <row r="251" ht="15.75" customHeight="1">
      <c r="A251" s="47" t="s">
        <v>68</v>
      </c>
      <c r="B251" s="53">
        <v>18.9</v>
      </c>
      <c r="C251" s="115">
        <v>73.4</v>
      </c>
      <c r="D251" s="120">
        <v>28.5</v>
      </c>
      <c r="E251" s="117">
        <v>28.9</v>
      </c>
      <c r="G251" s="120">
        <v>20.1</v>
      </c>
      <c r="H251" s="53">
        <v>71.3</v>
      </c>
      <c r="I251" s="53">
        <v>30.5</v>
      </c>
      <c r="J251" s="120">
        <v>27.9</v>
      </c>
      <c r="Q251" s="54">
        <v>8.73</v>
      </c>
      <c r="R251" s="54">
        <v>1.54</v>
      </c>
      <c r="S251" s="53">
        <v>12.3</v>
      </c>
      <c r="T251" s="53">
        <v>13.8</v>
      </c>
    </row>
    <row r="252" ht="15.75" customHeight="1">
      <c r="A252" s="47" t="s">
        <v>73</v>
      </c>
      <c r="B252" s="120">
        <v>16.9</v>
      </c>
      <c r="C252" s="53">
        <v>71.1</v>
      </c>
      <c r="D252" s="115">
        <v>33.1</v>
      </c>
      <c r="E252" s="120">
        <v>22.0</v>
      </c>
      <c r="G252" s="53">
        <v>16.9</v>
      </c>
      <c r="H252" s="120">
        <v>76.9</v>
      </c>
      <c r="I252" s="117">
        <v>36.9</v>
      </c>
      <c r="J252" s="117">
        <v>29.5</v>
      </c>
      <c r="Q252" s="53">
        <v>29.4</v>
      </c>
      <c r="R252" s="54">
        <v>2.01</v>
      </c>
      <c r="S252" s="116">
        <v>4.36</v>
      </c>
      <c r="T252" s="53">
        <v>18.5</v>
      </c>
    </row>
    <row r="253" ht="15.75" customHeight="1">
      <c r="A253" s="47" t="s">
        <v>76</v>
      </c>
      <c r="B253" s="115">
        <v>26.6</v>
      </c>
      <c r="C253" s="53">
        <v>65.7</v>
      </c>
      <c r="D253" s="120">
        <v>28.8</v>
      </c>
      <c r="E253" s="53">
        <v>10.5</v>
      </c>
      <c r="G253" s="117">
        <v>26.4</v>
      </c>
      <c r="H253" s="115">
        <v>77.6</v>
      </c>
      <c r="I253" s="53">
        <v>44.8</v>
      </c>
      <c r="J253" s="120">
        <v>10.9</v>
      </c>
      <c r="Q253" s="142">
        <v>6.21</v>
      </c>
      <c r="R253" s="143">
        <v>0.731</v>
      </c>
      <c r="S253" s="54">
        <v>5.69</v>
      </c>
      <c r="T253" s="116">
        <v>8.74</v>
      </c>
    </row>
    <row r="254" ht="15.75" customHeight="1">
      <c r="A254" s="114" t="s">
        <v>221</v>
      </c>
      <c r="B254" s="95"/>
      <c r="C254" s="95"/>
      <c r="D254" s="95"/>
      <c r="E254" s="95"/>
      <c r="G254" s="95"/>
      <c r="H254" s="95"/>
      <c r="I254" s="95"/>
      <c r="J254" s="95"/>
      <c r="Q254" s="45"/>
      <c r="R254" s="114"/>
      <c r="S254" s="114"/>
      <c r="T254" s="114"/>
    </row>
    <row r="255" ht="15.75" customHeight="1">
      <c r="A255" s="47" t="s">
        <v>68</v>
      </c>
      <c r="B255" s="120">
        <v>17.0</v>
      </c>
      <c r="C255" s="121">
        <v>2.98</v>
      </c>
      <c r="D255" s="115">
        <v>13.1</v>
      </c>
      <c r="E255" s="54">
        <v>6.09</v>
      </c>
      <c r="G255" s="53">
        <v>13.6</v>
      </c>
      <c r="H255" s="116">
        <v>2.64</v>
      </c>
      <c r="I255" s="53">
        <v>10.3</v>
      </c>
      <c r="J255" s="120">
        <v>12.2</v>
      </c>
      <c r="Q255" s="53">
        <v>63.9</v>
      </c>
      <c r="R255" s="54">
        <v>7.03</v>
      </c>
      <c r="S255" s="117">
        <v>28.3</v>
      </c>
      <c r="T255" s="53">
        <v>43.2</v>
      </c>
    </row>
    <row r="256" ht="15.75" customHeight="1">
      <c r="A256" s="47" t="s">
        <v>73</v>
      </c>
      <c r="B256" s="119">
        <v>4.21</v>
      </c>
      <c r="C256" s="122">
        <v>0.412</v>
      </c>
      <c r="D256" s="120">
        <v>10.5</v>
      </c>
      <c r="E256" s="54">
        <v>4.71</v>
      </c>
      <c r="G256" s="54">
        <v>4.13</v>
      </c>
      <c r="H256" s="118">
        <v>0.21</v>
      </c>
      <c r="I256" s="116">
        <v>9.69</v>
      </c>
      <c r="J256" s="119">
        <v>4.74</v>
      </c>
      <c r="Q256" s="117">
        <v>45.7</v>
      </c>
      <c r="R256" s="54">
        <v>7.21</v>
      </c>
      <c r="S256" s="53">
        <v>43.8</v>
      </c>
      <c r="T256" s="117">
        <v>25.3</v>
      </c>
    </row>
    <row r="257" ht="15.75" customHeight="1">
      <c r="A257" s="11" t="s">
        <v>76</v>
      </c>
      <c r="B257" s="115">
        <v>23.7</v>
      </c>
      <c r="C257" s="119">
        <v>1.51</v>
      </c>
      <c r="D257" s="119">
        <v>9.92</v>
      </c>
      <c r="E257" s="117">
        <v>27.1</v>
      </c>
      <c r="G257" s="117">
        <v>17.7</v>
      </c>
      <c r="H257" s="118">
        <v>0.909</v>
      </c>
      <c r="I257" s="54">
        <v>9.05</v>
      </c>
      <c r="J257" s="115">
        <v>32.8</v>
      </c>
      <c r="Q257" s="129">
        <v>56.9</v>
      </c>
      <c r="R257" s="142">
        <v>6.3</v>
      </c>
      <c r="S257" s="129">
        <v>35.0</v>
      </c>
      <c r="T257" s="129">
        <v>60.5</v>
      </c>
    </row>
    <row r="258" ht="15.75" customHeight="1">
      <c r="Q258" s="44"/>
      <c r="R258" s="44"/>
      <c r="S258" s="44"/>
      <c r="T258" s="44"/>
    </row>
    <row r="259" ht="15.75" customHeight="1">
      <c r="Q259" s="53">
        <v>24.1</v>
      </c>
      <c r="R259" s="53">
        <v>90.8</v>
      </c>
      <c r="S259" s="53">
        <v>46.1</v>
      </c>
      <c r="T259" s="53">
        <v>34.7</v>
      </c>
    </row>
    <row r="260" ht="15.75" customHeight="1">
      <c r="Q260" s="53">
        <v>22.2</v>
      </c>
      <c r="R260" s="53">
        <v>90.1</v>
      </c>
      <c r="S260" s="53">
        <v>43.2</v>
      </c>
      <c r="T260" s="117">
        <v>50.3</v>
      </c>
    </row>
    <row r="261" ht="15.75" customHeight="1">
      <c r="A261" s="30" t="s">
        <v>153</v>
      </c>
      <c r="B261" s="31" t="s">
        <v>154</v>
      </c>
      <c r="C261" s="32"/>
      <c r="D261" s="32"/>
      <c r="E261" s="32"/>
      <c r="F261" s="8"/>
      <c r="G261" s="31" t="s">
        <v>155</v>
      </c>
      <c r="H261" s="32"/>
      <c r="I261" s="32"/>
      <c r="J261" s="32"/>
      <c r="L261" s="31" t="s">
        <v>156</v>
      </c>
      <c r="M261" s="32"/>
      <c r="N261" s="32"/>
      <c r="O261" s="32"/>
      <c r="Q261" s="131">
        <v>28.9</v>
      </c>
      <c r="R261" s="131">
        <v>91.7</v>
      </c>
      <c r="S261" s="131">
        <v>50.9</v>
      </c>
      <c r="T261" s="129">
        <v>21.6</v>
      </c>
    </row>
    <row r="262" ht="15.75" customHeight="1">
      <c r="B262" s="8" t="s">
        <v>63</v>
      </c>
      <c r="C262" s="8" t="s">
        <v>64</v>
      </c>
      <c r="D262" s="8" t="s">
        <v>65</v>
      </c>
      <c r="E262" s="8" t="s">
        <v>66</v>
      </c>
      <c r="G262" s="8" t="s">
        <v>63</v>
      </c>
      <c r="H262" s="8" t="s">
        <v>64</v>
      </c>
      <c r="I262" s="8" t="s">
        <v>65</v>
      </c>
      <c r="J262" s="8" t="s">
        <v>66</v>
      </c>
      <c r="K262" s="59"/>
      <c r="L262" s="8" t="s">
        <v>63</v>
      </c>
      <c r="M262" s="8" t="s">
        <v>64</v>
      </c>
      <c r="N262" s="8" t="s">
        <v>65</v>
      </c>
      <c r="O262" s="8" t="s">
        <v>66</v>
      </c>
      <c r="Q262" s="44"/>
      <c r="R262" s="44"/>
      <c r="S262" s="44"/>
      <c r="T262" s="44"/>
    </row>
    <row r="263" ht="15.75" customHeight="1">
      <c r="A263" s="114" t="s">
        <v>203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Q263" s="54">
        <v>3.28</v>
      </c>
      <c r="R263" s="118">
        <v>0.602</v>
      </c>
      <c r="S263" s="117">
        <v>13.3</v>
      </c>
      <c r="T263" s="54">
        <v>8.33</v>
      </c>
    </row>
    <row r="264" ht="15.75" customHeight="1">
      <c r="A264" s="47" t="s">
        <v>68</v>
      </c>
      <c r="B264" s="14">
        <f>$H$3/(($F$3-1)*$P$3)*100</f>
        <v>13.76884422</v>
      </c>
      <c r="C264" s="13">
        <f>$H$7/(($F$7-1)*$P$7)*100</f>
        <v>19.26188069</v>
      </c>
      <c r="D264" s="14">
        <f>$H$11/(($F$11-1)*$P$11)*100</f>
        <v>29.94056464</v>
      </c>
      <c r="E264" s="13">
        <f>$H$15/(($F$15-1)*$P$15)*100</f>
        <v>19.79695431</v>
      </c>
      <c r="G264" s="14">
        <f>$H$4/(($F$4-1)*$P$4)*100</f>
        <v>12.85282258</v>
      </c>
      <c r="H264" s="17">
        <f>$H$8/(($F$8-1)*$P$8)*100</f>
        <v>16.80161943</v>
      </c>
      <c r="I264" s="17">
        <f>$H$12/(($F$12-1)*$P$12)*100</f>
        <v>26.18343195</v>
      </c>
      <c r="J264" s="149">
        <f>$H$16/(($F$16-1)*$P$16)*100</f>
        <v>13.52040816</v>
      </c>
      <c r="L264" s="17">
        <f>$H$5/(($F$5-1)*$P$5)*100</f>
        <v>12.65182186</v>
      </c>
      <c r="M264" s="14">
        <f>$H$9/(($F$9-1)*$P$9)*100</f>
        <v>21.58746208</v>
      </c>
      <c r="N264" s="14">
        <f>$H$13/(($F$13-1)*$P$13)*100</f>
        <v>30</v>
      </c>
      <c r="O264" s="13">
        <f>$H$17/(($F$17-1)*$P$17)*100</f>
        <v>20.91836735</v>
      </c>
      <c r="Q264" s="54">
        <v>2.65</v>
      </c>
      <c r="R264" s="118">
        <v>0.637</v>
      </c>
      <c r="S264" s="54">
        <v>8.66</v>
      </c>
      <c r="T264" s="54">
        <v>5.78</v>
      </c>
    </row>
    <row r="265" ht="15.75" customHeight="1">
      <c r="A265" s="47" t="s">
        <v>73</v>
      </c>
      <c r="B265" s="14">
        <f>$H$19/(($F$19-1)*$P$19)*100</f>
        <v>34.33922997</v>
      </c>
      <c r="C265" s="14">
        <f>$H$23/(($F$23-1)*$P$23)*100</f>
        <v>21.24485597</v>
      </c>
      <c r="D265" s="13">
        <f>$H$27/(($F$27-1)*$P$27)*100</f>
        <v>14.38253012</v>
      </c>
      <c r="E265" s="14">
        <f>$H$31/(($F$31-1)*$P$31)*100</f>
        <v>47.12041885</v>
      </c>
      <c r="F265" s="8"/>
      <c r="G265" s="17">
        <f>$H$20/(($F$20-1)*$P$20)*100</f>
        <v>32.05394191</v>
      </c>
      <c r="H265" s="14">
        <f>$H$24/(($F$24-1)*$P$24)*100</f>
        <v>11.24352332</v>
      </c>
      <c r="I265" s="13">
        <f>$H$28/(($F$28-1)*$P$28)*100</f>
        <v>10.58558559</v>
      </c>
      <c r="J265" s="14">
        <f>$H$32/(($F$32-1)*$P$32)*100</f>
        <v>35.78947368</v>
      </c>
      <c r="L265" s="14">
        <f>$H$21/(($F$21-1)*$P$21)*100</f>
        <v>32.6625387</v>
      </c>
      <c r="M265" s="20">
        <f>$H$25/(($F$25-1)*$P$25)*100</f>
        <v>8.661825726</v>
      </c>
      <c r="N265" s="18">
        <f>$H$29/(($F$29-1)*$P$29)*100</f>
        <v>10.19637462</v>
      </c>
      <c r="O265" s="17">
        <f>$H$33/(($F$33-1)*$P$33)*100</f>
        <v>33.5978836</v>
      </c>
      <c r="Q265" s="116">
        <v>8.02</v>
      </c>
      <c r="R265" s="116">
        <v>1.23</v>
      </c>
      <c r="S265" s="54">
        <v>8.37</v>
      </c>
      <c r="T265" s="116">
        <v>9.2</v>
      </c>
    </row>
    <row r="266" ht="15.75" customHeight="1">
      <c r="A266" s="47" t="s">
        <v>76</v>
      </c>
      <c r="B266" s="16">
        <f>$H$35/(($F$35-1)*$P$35)*100</f>
        <v>7.599431818</v>
      </c>
      <c r="C266" s="14">
        <f>$H$39/(($F$39-1)*$P$39)*100</f>
        <v>26.47058824</v>
      </c>
      <c r="D266" s="14">
        <f>$H$43/(($F$43-1)*$P$43)*100</f>
        <v>24.06679764</v>
      </c>
      <c r="E266" s="14">
        <f>$H$47/(($F$47-1)*$P$47)*100</f>
        <v>26.31578947</v>
      </c>
      <c r="F266" s="8"/>
      <c r="G266" s="16">
        <f>$H$36/(($F$36-1)*$P$36)*100</f>
        <v>7.686453577</v>
      </c>
      <c r="H266" s="20">
        <f>$H$40/(($F$40-1)*$P$40)*100</f>
        <v>9.784411277</v>
      </c>
      <c r="I266" s="17">
        <f>$H$44/(($F$44-1)*$P$44)*100</f>
        <v>13.4</v>
      </c>
      <c r="J266" s="17">
        <f>$H$48/(($F$48-1)*$P$48)*100</f>
        <v>20.86330935</v>
      </c>
      <c r="L266" s="20">
        <f>$H$37/(($F$37-1)*$P$37)*100</f>
        <v>6.973058637</v>
      </c>
      <c r="M266" s="12">
        <f>$H$41/(($F$41-1)*$P$41)*100</f>
        <v>9.84</v>
      </c>
      <c r="N266" s="14">
        <f>$H$45/(($F$45-1)*$P$45)*100</f>
        <v>13.92156863</v>
      </c>
      <c r="O266" s="14">
        <f>$H$49/(($F$49-1)*$P$49)*100</f>
        <v>25.67567568</v>
      </c>
    </row>
    <row r="267" ht="15.75" customHeight="1">
      <c r="A267" s="114" t="s">
        <v>210</v>
      </c>
      <c r="B267" s="60"/>
      <c r="C267" s="60"/>
      <c r="D267" s="60"/>
      <c r="E267" s="60"/>
      <c r="F267" s="24"/>
      <c r="G267" s="60"/>
      <c r="H267" s="60"/>
      <c r="I267" s="60"/>
      <c r="J267" s="60"/>
      <c r="K267" s="10"/>
      <c r="L267" s="60"/>
      <c r="M267" s="60"/>
      <c r="N267" s="60"/>
      <c r="O267" s="60"/>
    </row>
    <row r="268" ht="15.75" customHeight="1">
      <c r="A268" s="47" t="s">
        <v>68</v>
      </c>
      <c r="B268" s="150">
        <f>$N$3/(($F$3-1)*$P$3)*100</f>
        <v>50.35175879</v>
      </c>
      <c r="C268" s="151">
        <f>$N$7/(($F$7-1)*$P$7)*100</f>
        <v>4.398382204</v>
      </c>
      <c r="D268" s="18">
        <f>$N$11/(($F$11-1)*$P$11)*100</f>
        <v>28.52897474</v>
      </c>
      <c r="E268" s="14">
        <f>$N$15/(($F$15-1)*$P$15)*100</f>
        <v>45.17766497</v>
      </c>
      <c r="F268" s="14"/>
      <c r="G268" s="150">
        <f>$N$4/(($F$4-1)*$P$4)*100</f>
        <v>51.41129032</v>
      </c>
      <c r="H268" s="153">
        <f>$N$8/(($F$8-1)*$P$8)*100</f>
        <v>5.36437247</v>
      </c>
      <c r="I268" s="13">
        <f>$N$12/(($F$12-1)*$P$12)*100</f>
        <v>30.0295858</v>
      </c>
      <c r="J268" s="14">
        <f>$N$16/(($F$16-1)*$P$16)*100</f>
        <v>45.40816327</v>
      </c>
      <c r="K268" s="14"/>
      <c r="L268" s="154">
        <f>$N$5/(($F$5-1)*$P$5)*100</f>
        <v>50.25303644</v>
      </c>
      <c r="M268" s="155">
        <f>$N$9/(($F$9-1)*$P$9)*100</f>
        <v>5.864509606</v>
      </c>
      <c r="N268" s="13">
        <f>$N$13/(($F$13-1)*$P$13)*100</f>
        <v>34</v>
      </c>
      <c r="O268" s="154">
        <f>$N$17/(($F$17-1)*$P$17)*100</f>
        <v>42.85714286</v>
      </c>
    </row>
    <row r="269" ht="15.75" customHeight="1">
      <c r="A269" s="47" t="s">
        <v>73</v>
      </c>
      <c r="B269" s="150">
        <f>$N$19/(($F$19-1)*$P$19)*100</f>
        <v>44.58896982</v>
      </c>
      <c r="C269" s="155">
        <f>$N$23/(($F$23-1)*$P$23)*100</f>
        <v>7.201646091</v>
      </c>
      <c r="D269" s="150">
        <f>$N$27/(($F$27-1)*$P$27)*100</f>
        <v>42.09337349</v>
      </c>
      <c r="E269" s="18">
        <f>$N$31/(($F$31-1)*$P$31)*100</f>
        <v>26.17801047</v>
      </c>
      <c r="F269" s="14"/>
      <c r="G269" s="18">
        <f>$N$20/(($F$20-1)*$P$20)*100</f>
        <v>44.19087137</v>
      </c>
      <c r="H269" s="158">
        <f>$N$24/(($F$24-1)*$P$24)*100</f>
        <v>6.89119171</v>
      </c>
      <c r="I269" s="154">
        <f>$N$28/(($F$28-1)*$P$28)*100</f>
        <v>41.96696697</v>
      </c>
      <c r="J269" s="13">
        <f>$N$32/(($F$32-1)*$P$32)*100</f>
        <v>26.84210526</v>
      </c>
      <c r="K269" s="14"/>
      <c r="L269" s="14">
        <f>$N$21/(($F$21-1)*$P$21)*100</f>
        <v>45.82043344</v>
      </c>
      <c r="M269" s="155">
        <f>$N$25/(($F$25-1)*$P$25)*100</f>
        <v>6.950207469</v>
      </c>
      <c r="N269" s="150">
        <f>$N$29/(($F$29-1)*$P$29)*100</f>
        <v>42.22054381</v>
      </c>
      <c r="O269" s="13">
        <f>$N$33/(($F$33-1)*$P$33)*100</f>
        <v>26.45502646</v>
      </c>
    </row>
    <row r="270" ht="15.75" customHeight="1">
      <c r="A270" s="47" t="s">
        <v>76</v>
      </c>
      <c r="B270" s="149">
        <f>$N$35/(($F$35-1)*$P$35)*100</f>
        <v>42.11647727</v>
      </c>
      <c r="C270" s="155">
        <f>$N$39/(($F$39-1)*$P$39)*100</f>
        <v>6.279809221</v>
      </c>
      <c r="D270" s="14">
        <f>$N$43/(($F$43-1)*$P$43)*100</f>
        <v>37.22986248</v>
      </c>
      <c r="E270" s="154">
        <f>$N$47/(($F$47-1)*$P$47)*100</f>
        <v>36.09022556</v>
      </c>
      <c r="F270" s="14"/>
      <c r="G270" s="150">
        <f>$N$36/(($F$36-1)*$P$36)*100</f>
        <v>47.03196347</v>
      </c>
      <c r="H270" s="155">
        <f>$N$40/(($F$40-1)*$P$40)*100</f>
        <v>5.887230514</v>
      </c>
      <c r="I270" s="14">
        <f>$N$44/(($F$44-1)*$P$44)*100</f>
        <v>36</v>
      </c>
      <c r="J270" s="150">
        <f>$N$48/(($F$48-1)*$P$48)*100</f>
        <v>38.84892086</v>
      </c>
      <c r="K270" s="14"/>
      <c r="L270" s="159">
        <f>$N$37/(($F$37-1)*$P$37)*100</f>
        <v>44.29477021</v>
      </c>
      <c r="M270" s="151">
        <f>$N$41/(($F$41-1)*$P$41)*100</f>
        <v>5.6</v>
      </c>
      <c r="N270" s="17">
        <f>$N$45/(($F$45-1)*$P$45)*100</f>
        <v>35.58823529</v>
      </c>
      <c r="O270" s="150">
        <f>$N$49/(($F$49-1)*$P$49)*100</f>
        <v>38.85135135</v>
      </c>
    </row>
    <row r="271" ht="15.75" customHeight="1">
      <c r="A271" s="114" t="s">
        <v>213</v>
      </c>
      <c r="B271" s="24"/>
      <c r="C271" s="24"/>
      <c r="D271" s="24"/>
      <c r="E271" s="24"/>
      <c r="F271" s="14"/>
      <c r="G271" s="24"/>
      <c r="H271" s="24"/>
      <c r="I271" s="24"/>
      <c r="J271" s="24"/>
      <c r="K271" s="10"/>
      <c r="L271" s="24"/>
      <c r="M271" s="24"/>
      <c r="N271" s="24"/>
      <c r="O271" s="24"/>
    </row>
    <row r="272" ht="15.75" customHeight="1">
      <c r="A272" s="47" t="s">
        <v>68</v>
      </c>
      <c r="B272" s="14">
        <f>($I$3+$J$3)/(($F$3-1)*$P$3)*100</f>
        <v>18.89447236</v>
      </c>
      <c r="C272" s="13">
        <f>($I$7+$J$7)/(($F$7-1)*$P$7)*100</f>
        <v>73.35692619</v>
      </c>
      <c r="D272" s="14">
        <f>($I$11+$J$11)/(($F$11-1)*$P$11)*100</f>
        <v>28.45468053</v>
      </c>
      <c r="E272" s="13">
        <f>($I$15+$J$15)/(($F$15-1)*$P$15)*100</f>
        <v>28.93401015</v>
      </c>
      <c r="F272" s="8"/>
      <c r="G272" s="14">
        <f>($I$4+$J$4)/(($F$4-1)*$P$4)*100</f>
        <v>20.01008065</v>
      </c>
      <c r="H272" s="17">
        <f>($I$8+$J$8)/(($F$8-1)*$P$8)*100</f>
        <v>75.70850202</v>
      </c>
      <c r="I272" s="17">
        <f>($I$12+$J$12)/(($F$12-1)*$P$12)*100</f>
        <v>31.80473373</v>
      </c>
      <c r="J272" s="149">
        <f>($I$16+$J$16)/(($F$16-1)*$P$16)*100</f>
        <v>35.45918367</v>
      </c>
      <c r="L272" s="17">
        <f>($I$5+$J$5)/(($F$5-1)*$P$5)*100</f>
        <v>20.24291498</v>
      </c>
      <c r="M272" s="14">
        <f>($I$9+$J$9)/(($F$9-1)*$P$9)*100</f>
        <v>70.72800809</v>
      </c>
      <c r="N272" s="14">
        <f>($I$13+$J$13)/(($F$13-1)*$P$13)*100</f>
        <v>27.92592593</v>
      </c>
      <c r="O272" s="14">
        <f>($I$17+$J$17)/(($F$17-1)*$P$17)*100</f>
        <v>28.06122449</v>
      </c>
    </row>
    <row r="273" ht="15.75" customHeight="1">
      <c r="A273" s="47" t="s">
        <v>73</v>
      </c>
      <c r="B273" s="14">
        <f>($I$19+$J$19)/(($F$19-1)*$P$19)*100</f>
        <v>16.85744017</v>
      </c>
      <c r="C273" s="14">
        <f>($I$23+$J$23)/(($F$23-1)*$P$23)*100</f>
        <v>71.14197531</v>
      </c>
      <c r="D273" s="13">
        <f>($I$27+$J$27)/(($F$27-1)*$P$27)*100</f>
        <v>33.05722892</v>
      </c>
      <c r="E273" s="14">
        <f>($I$31+$J$31)/(($F$31-1)*$P$31)*100</f>
        <v>21.9895288</v>
      </c>
      <c r="F273" s="8"/>
      <c r="G273" s="17">
        <f>($I$20+$J$20)/(($F$20-1)*$P$20)*100</f>
        <v>19.50207469</v>
      </c>
      <c r="H273" s="14">
        <f>($I$24+$J$24)/(($F$24-1)*$P$24)*100</f>
        <v>81.19170984</v>
      </c>
      <c r="I273" s="14">
        <f>($I$28+$J$28)/(($F$28-1)*$P$28)*100</f>
        <v>37.01201201</v>
      </c>
      <c r="J273" s="14">
        <f>($I$32+$J$32)/(($F$32-1)*$P$32)*100</f>
        <v>33.68421053</v>
      </c>
      <c r="L273" s="14">
        <f>($I$21+$J$21)/(($F$21-1)*$P$21)*100</f>
        <v>19.04024768</v>
      </c>
      <c r="M273" s="18">
        <f>($I$25+$J$25)/(($F$25-1)*$P$25)*100</f>
        <v>83.86929461</v>
      </c>
      <c r="N273" s="17">
        <f>($I$29+$J$29)/(($F$29-1)*$P$29)*100</f>
        <v>37.53776435</v>
      </c>
      <c r="O273" s="18">
        <f>($I$33+$J$33)/(($F$33-1)*$P$33)*100</f>
        <v>36.24338624</v>
      </c>
    </row>
    <row r="274" ht="15.75" customHeight="1">
      <c r="A274" s="47" t="s">
        <v>76</v>
      </c>
      <c r="B274" s="13">
        <f>($I$35+$J$35)/(($F$35-1)*$P$35)*100</f>
        <v>26.63352273</v>
      </c>
      <c r="C274" s="14">
        <f>($I$39+$J$39)/(($F$39-1)*$P$39)*100</f>
        <v>65.73926868</v>
      </c>
      <c r="D274" s="14">
        <f>($I$43+$J$43)/(($F$43-1)*$P$43)*100</f>
        <v>28.78192534</v>
      </c>
      <c r="E274" s="14">
        <f>($I$47+$J$47)/(($F$47-1)*$P$47)*100</f>
        <v>10.52631579</v>
      </c>
      <c r="F274" s="8"/>
      <c r="G274" s="13">
        <f>($I$36+$J$36)/(($F$36-1)*$P$36)*100</f>
        <v>27.62557078</v>
      </c>
      <c r="H274" s="13">
        <f>($I$40+$J$40)/(($F$40-1)*$P$40)*100</f>
        <v>82.91873964</v>
      </c>
      <c r="I274" s="13">
        <f>($I$44+$J$44)/(($F$44-1)*$P$44)*100</f>
        <v>40.4</v>
      </c>
      <c r="J274" s="14">
        <f>($I$48+$J$48)/(($F$48-1)*$P$48)*100</f>
        <v>10.07194245</v>
      </c>
      <c r="K274" s="59"/>
      <c r="L274" s="13">
        <f>($I$37+$J$37)/(($F$37-1)*$P$37)*100</f>
        <v>27.73375594</v>
      </c>
      <c r="M274" s="14">
        <f>($I$41+$J$41)/(($F$41-1)*$P$41)*100</f>
        <v>83.28</v>
      </c>
      <c r="N274" s="13">
        <f>($I$45+$J$45)/(($F$45-1)*$P$45)*100</f>
        <v>38.62745098</v>
      </c>
      <c r="O274" s="12">
        <f>($I$49+$J$49)/(($F$49-1)*$P$49)*100</f>
        <v>7.432432432</v>
      </c>
    </row>
    <row r="275" ht="15.75" customHeight="1">
      <c r="A275" s="114" t="s">
        <v>221</v>
      </c>
      <c r="B275" s="24"/>
      <c r="C275" s="24"/>
      <c r="D275" s="24"/>
      <c r="E275" s="24"/>
      <c r="F275" s="24"/>
      <c r="G275" s="24"/>
      <c r="H275" s="24"/>
      <c r="I275" s="24"/>
      <c r="J275" s="24"/>
      <c r="L275" s="24"/>
      <c r="M275" s="24"/>
      <c r="N275" s="24"/>
      <c r="O275" s="24"/>
    </row>
    <row r="276" ht="15.75" customHeight="1">
      <c r="A276" s="47" t="s">
        <v>68</v>
      </c>
      <c r="B276" s="154">
        <f>$L$3/(($F$3-1)*$P$3)*100</f>
        <v>16.98492462</v>
      </c>
      <c r="C276" s="151">
        <f>$L$7/(($F$7-1)*$P$7)*100</f>
        <v>2.98281092</v>
      </c>
      <c r="D276" s="18">
        <f>$L$11/(($F$11-1)*$P$11)*100</f>
        <v>13.07578009</v>
      </c>
      <c r="E276" s="12">
        <f>$L$15/(($F$15-1)*$P$15)*100</f>
        <v>6.091370558</v>
      </c>
      <c r="F276" s="8"/>
      <c r="G276" s="14">
        <f>$L$4/(($F$4-1)*$P$4)*100</f>
        <v>15.72580645</v>
      </c>
      <c r="H276" s="153">
        <f>$L$8/(($F$8-1)*$P$8)*100</f>
        <v>2.125506073</v>
      </c>
      <c r="I276" s="159">
        <f>$L$12/(($F$12-1)*$P$12)*100</f>
        <v>11.98224852</v>
      </c>
      <c r="J276" s="12">
        <f>$L$16/(($F$16-1)*$P$16)*100</f>
        <v>5.612244898</v>
      </c>
      <c r="L276" s="150">
        <f>$L$5/(($F$5-1)*$P$5)*100</f>
        <v>16.85222672</v>
      </c>
      <c r="M276" s="153">
        <f>$L$9/(($F$9-1)*$P$9)*100</f>
        <v>1.820020222</v>
      </c>
      <c r="N276" s="12">
        <f>$L$13/(($F$13-1)*$P$13)*100</f>
        <v>8.074074074</v>
      </c>
      <c r="O276" s="15">
        <f>$L$17/(($F$17-1)*$P$17)*100</f>
        <v>8.163265306</v>
      </c>
    </row>
    <row r="277" ht="15.75" customHeight="1">
      <c r="A277" s="47" t="s">
        <v>73</v>
      </c>
      <c r="B277" s="155">
        <f>$L$19/(($F$19-1)*$P$19)*100</f>
        <v>4.214360042</v>
      </c>
      <c r="C277" s="21">
        <f>$L$23/(($F$23-1)*$P$23)*100</f>
        <v>0.4115226337</v>
      </c>
      <c r="D277" s="154">
        <f>$L$27/(($F$27-1)*$P$27)*100</f>
        <v>10.46686747</v>
      </c>
      <c r="E277" s="15">
        <f>$L$31/(($F$31-1)*$P$31)*100</f>
        <v>4.712041885</v>
      </c>
      <c r="F277" s="8"/>
      <c r="G277" s="158">
        <f>$L$20/(($F$20-1)*$P$20)*100</f>
        <v>4.253112033</v>
      </c>
      <c r="H277" s="164">
        <f>$L$24/(($F$24-1)*$P$24)*100</f>
        <v>0.6735751295</v>
      </c>
      <c r="I277" s="150">
        <f>$L$28/(($F$28-1)*$P$28)*100</f>
        <v>10.43543544</v>
      </c>
      <c r="J277" s="12">
        <f>$L$32/(($F$32-1)*$P$32)*100</f>
        <v>3.684210526</v>
      </c>
      <c r="L277" s="12">
        <f>$L$21/(($F$21-1)*$P$21)*100</f>
        <v>2.476780186</v>
      </c>
      <c r="M277" s="21">
        <f>$L$25/(($F$25-1)*$P$25)*100</f>
        <v>0.5186721992</v>
      </c>
      <c r="N277" s="150">
        <f>$L$29/(($F$29-1)*$P$29)*100</f>
        <v>10.04531722</v>
      </c>
      <c r="O277" s="12">
        <f>$L$33/(($F$33-1)*$P$33)*100</f>
        <v>3.703703704</v>
      </c>
    </row>
    <row r="278" ht="15.75" customHeight="1">
      <c r="A278" s="11" t="s">
        <v>76</v>
      </c>
      <c r="B278" s="149">
        <f>$L$35/(($F$35-1)*$P$35)*100</f>
        <v>23.65056818</v>
      </c>
      <c r="C278" s="158">
        <f>$L$39/(($F$39-1)*$P$39)*100</f>
        <v>1.510333863</v>
      </c>
      <c r="D278" s="155">
        <f>$L$43/(($F$43-1)*$P$43)*100</f>
        <v>9.921414538</v>
      </c>
      <c r="E278" s="159">
        <f>$L$47/(($F$47-1)*$P$47)*100</f>
        <v>27.06766917</v>
      </c>
      <c r="F278" s="8"/>
      <c r="G278" s="13">
        <f>$L$36/(($F$36-1)*$P$36)*100</f>
        <v>17.65601218</v>
      </c>
      <c r="H278" s="155">
        <f>$L$40/(($F$40-1)*$P$40)*100</f>
        <v>1.409618574</v>
      </c>
      <c r="I278" s="14">
        <f>$L$44/(($F$44-1)*$P$44)*100</f>
        <v>10.2</v>
      </c>
      <c r="J278" s="149">
        <f>$L$48/(($F$48-1)*$P$48)*100</f>
        <v>30.21582734</v>
      </c>
      <c r="L278" s="159">
        <f>$L$37/(($F$37-1)*$P$37)*100</f>
        <v>20.99841521</v>
      </c>
      <c r="M278" s="155">
        <f>$L$41/(($F$41-1)*$P$41)*100</f>
        <v>1.28</v>
      </c>
      <c r="N278" s="149">
        <f>$L$45/(($F$45-1)*$P$45)*100</f>
        <v>11.8627451</v>
      </c>
      <c r="O278" s="159">
        <f>$L$49/(($F$49-1)*$P$49)*100</f>
        <v>28.04054054</v>
      </c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Q189:Q190"/>
    <mergeCell ref="R189:U189"/>
    <mergeCell ref="V189:V190"/>
    <mergeCell ref="W189:Z189"/>
    <mergeCell ref="AB189:AE189"/>
    <mergeCell ref="G173:J174"/>
    <mergeCell ref="L173:O174"/>
    <mergeCell ref="A150:A151"/>
    <mergeCell ref="B150:E150"/>
    <mergeCell ref="F150:F151"/>
    <mergeCell ref="G150:J150"/>
    <mergeCell ref="L150:O150"/>
    <mergeCell ref="A173:A175"/>
    <mergeCell ref="B173:E174"/>
    <mergeCell ref="F174:F175"/>
    <mergeCell ref="W178:Z178"/>
    <mergeCell ref="R178:U178"/>
    <mergeCell ref="AH231:AK231"/>
    <mergeCell ref="Q248:T248"/>
    <mergeCell ref="V231:V232"/>
    <mergeCell ref="U220:U221"/>
    <mergeCell ref="S220:S221"/>
    <mergeCell ref="T220:T221"/>
    <mergeCell ref="Q231:Q232"/>
    <mergeCell ref="R231:U231"/>
    <mergeCell ref="R199:R200"/>
    <mergeCell ref="S199:S200"/>
    <mergeCell ref="T199:T200"/>
    <mergeCell ref="U199:U200"/>
    <mergeCell ref="R220:R221"/>
    <mergeCell ref="R167:U167"/>
    <mergeCell ref="W167:Z167"/>
    <mergeCell ref="AB167:AE167"/>
    <mergeCell ref="Q167:Q168"/>
    <mergeCell ref="V167:V168"/>
    <mergeCell ref="AB178:AE178"/>
    <mergeCell ref="Q178:Q179"/>
    <mergeCell ref="AB231:AE231"/>
    <mergeCell ref="W231:Z231"/>
    <mergeCell ref="G261:J261"/>
    <mergeCell ref="A261:A262"/>
    <mergeCell ref="B261:E261"/>
    <mergeCell ref="F261:F262"/>
    <mergeCell ref="A240:A241"/>
    <mergeCell ref="B240:E240"/>
    <mergeCell ref="A217:A219"/>
    <mergeCell ref="B217:E218"/>
    <mergeCell ref="G217:J218"/>
    <mergeCell ref="L217:O218"/>
    <mergeCell ref="B194:E194"/>
    <mergeCell ref="F194:F195"/>
    <mergeCell ref="G194:J194"/>
    <mergeCell ref="L194:O194"/>
    <mergeCell ref="A194:A195"/>
    <mergeCell ref="L261:O261"/>
    <mergeCell ref="G240:J240"/>
    <mergeCell ref="F218:F21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71"/>
    <col customWidth="1" min="2" max="2" width="20.0"/>
    <col customWidth="1" min="3" max="3" width="8.0"/>
    <col customWidth="1" min="4" max="4" width="12.0"/>
    <col customWidth="1" min="5" max="5" width="39.29"/>
    <col customWidth="1" min="6" max="6" width="12.0"/>
    <col customWidth="1" min="7" max="7" width="18.0"/>
    <col customWidth="1" min="8" max="8" width="15.0"/>
    <col customWidth="1" min="9" max="9" width="27.29"/>
    <col customWidth="1" min="10" max="10" width="18.0"/>
    <col customWidth="1" min="11" max="11" width="20.0"/>
    <col customWidth="1" min="12" max="12" width="15.0"/>
    <col customWidth="1" min="13" max="13" width="20.0"/>
    <col customWidth="1" min="14" max="14" width="17.0"/>
    <col customWidth="1" min="15" max="15" width="20.0"/>
    <col customWidth="1" min="16" max="16" width="18.71"/>
    <col customWidth="1" min="17" max="17" width="17.0"/>
    <col customWidth="1" min="18" max="18" width="28.43"/>
    <col customWidth="1" min="19" max="19" width="33.86"/>
    <col customWidth="1" min="20" max="20" width="20.0"/>
    <col customWidth="1" min="21" max="21" width="16.86"/>
    <col customWidth="1" min="22" max="22" width="17.86"/>
    <col customWidth="1" min="23" max="23" width="13.14"/>
    <col customWidth="1" min="24" max="24" width="20.0"/>
    <col customWidth="1" min="25" max="49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124</v>
      </c>
      <c r="I1" s="1" t="s">
        <v>8</v>
      </c>
      <c r="J1" s="1" t="s">
        <v>9</v>
      </c>
      <c r="K1" s="1" t="s">
        <v>10</v>
      </c>
      <c r="L1" s="1" t="s">
        <v>125</v>
      </c>
      <c r="M1" s="1" t="s">
        <v>12</v>
      </c>
      <c r="N1" s="1" t="s">
        <v>126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39</v>
      </c>
    </row>
    <row r="2">
      <c r="A2" s="2" t="s">
        <v>69</v>
      </c>
      <c r="B2" s="2" t="s">
        <v>21</v>
      </c>
      <c r="C2" s="2" t="s">
        <v>22</v>
      </c>
      <c r="D2" s="2" t="s">
        <v>23</v>
      </c>
      <c r="E2" s="2" t="s">
        <v>127</v>
      </c>
      <c r="F2" s="2">
        <v>3.0</v>
      </c>
      <c r="G2" s="2" t="s">
        <v>25</v>
      </c>
      <c r="H2" s="2">
        <v>81.0</v>
      </c>
      <c r="I2" s="2">
        <v>6.0</v>
      </c>
      <c r="J2" s="2">
        <v>198.0</v>
      </c>
      <c r="K2" s="2">
        <v>0.0</v>
      </c>
      <c r="L2" s="2">
        <v>49.0</v>
      </c>
      <c r="M2" s="2">
        <v>0.0</v>
      </c>
      <c r="N2" s="2">
        <v>254.0</v>
      </c>
      <c r="O2" s="2">
        <v>0.0</v>
      </c>
      <c r="P2" s="2">
        <v>196.0</v>
      </c>
      <c r="Q2" s="2">
        <v>0.0</v>
      </c>
      <c r="R2" s="2">
        <v>0.0</v>
      </c>
      <c r="S2" s="2">
        <v>0.0</v>
      </c>
      <c r="T2" s="2">
        <v>0.0</v>
      </c>
      <c r="U2" s="4"/>
      <c r="V2" s="55">
        <f>(O2+M2+N2)*2/3</f>
        <v>169.3333333</v>
      </c>
    </row>
    <row r="3">
      <c r="A3" s="2" t="s">
        <v>69</v>
      </c>
      <c r="B3" s="2" t="s">
        <v>21</v>
      </c>
      <c r="C3" s="2" t="s">
        <v>22</v>
      </c>
      <c r="D3" s="2" t="s">
        <v>23</v>
      </c>
      <c r="E3" s="2" t="s">
        <v>128</v>
      </c>
      <c r="F3" s="2">
        <v>3.0</v>
      </c>
      <c r="G3" s="2" t="s">
        <v>45</v>
      </c>
      <c r="H3" s="2">
        <v>25.0</v>
      </c>
      <c r="I3" s="2">
        <v>13.0</v>
      </c>
      <c r="J3" s="2">
        <v>4.0</v>
      </c>
      <c r="K3" s="2">
        <v>26.0</v>
      </c>
      <c r="L3" s="2">
        <v>2.0</v>
      </c>
      <c r="M3" s="2">
        <v>63.0</v>
      </c>
      <c r="N3" s="2">
        <v>103.0</v>
      </c>
      <c r="O3" s="2">
        <v>89.0</v>
      </c>
      <c r="P3" s="2">
        <v>118.0</v>
      </c>
      <c r="Q3" s="2">
        <v>0.0</v>
      </c>
      <c r="R3" s="2">
        <v>48.0</v>
      </c>
      <c r="S3" s="2">
        <v>1.0</v>
      </c>
      <c r="T3" s="2">
        <v>29.0</v>
      </c>
      <c r="U3" s="5">
        <f t="shared" ref="U3:U5" si="1">SUM($R3:$T3)/($P3+(SUM($R3:$T3)))</f>
        <v>0.3979591837</v>
      </c>
      <c r="V3" s="2">
        <f t="shared" ref="V3:V5" si="2">(O3+M3+N3)</f>
        <v>255</v>
      </c>
      <c r="W3" s="4">
        <f t="shared" ref="W3:W5" si="3">(V$2-V3)/V$2</f>
        <v>-0.5059055118</v>
      </c>
    </row>
    <row r="4">
      <c r="A4" s="2" t="s">
        <v>69</v>
      </c>
      <c r="B4" s="2" t="s">
        <v>21</v>
      </c>
      <c r="C4" s="2" t="s">
        <v>22</v>
      </c>
      <c r="D4" s="2" t="s">
        <v>23</v>
      </c>
      <c r="E4" s="2" t="s">
        <v>129</v>
      </c>
      <c r="F4" s="2">
        <v>3.0</v>
      </c>
      <c r="G4" s="2" t="s">
        <v>47</v>
      </c>
      <c r="H4" s="2">
        <v>27.0</v>
      </c>
      <c r="I4" s="2">
        <v>13.0</v>
      </c>
      <c r="J4" s="2">
        <v>4.0</v>
      </c>
      <c r="K4" s="2">
        <v>32.0</v>
      </c>
      <c r="L4" s="2">
        <v>4.0</v>
      </c>
      <c r="M4" s="2">
        <v>49.0</v>
      </c>
      <c r="N4" s="2">
        <v>119.0</v>
      </c>
      <c r="O4" s="2">
        <v>81.0</v>
      </c>
      <c r="P4" s="2">
        <v>124.0</v>
      </c>
      <c r="Q4" s="2">
        <v>0.0</v>
      </c>
      <c r="R4" s="2">
        <v>43.0</v>
      </c>
      <c r="S4" s="2">
        <v>1.0</v>
      </c>
      <c r="T4" s="2">
        <v>28.0</v>
      </c>
      <c r="U4" s="5">
        <f t="shared" si="1"/>
        <v>0.3673469388</v>
      </c>
      <c r="V4" s="2">
        <f t="shared" si="2"/>
        <v>249</v>
      </c>
      <c r="W4" s="4">
        <f t="shared" si="3"/>
        <v>-0.4704724409</v>
      </c>
    </row>
    <row r="5">
      <c r="A5" s="2" t="s">
        <v>69</v>
      </c>
      <c r="B5" s="2" t="s">
        <v>21</v>
      </c>
      <c r="C5" s="2" t="s">
        <v>22</v>
      </c>
      <c r="D5" s="2" t="s">
        <v>23</v>
      </c>
      <c r="E5" s="2" t="s">
        <v>131</v>
      </c>
      <c r="F5" s="2">
        <v>3.0</v>
      </c>
      <c r="G5" s="2" t="s">
        <v>51</v>
      </c>
      <c r="H5" s="2">
        <v>43.0</v>
      </c>
      <c r="I5" s="2">
        <v>20.0</v>
      </c>
      <c r="J5" s="2">
        <v>14.0</v>
      </c>
      <c r="K5" s="2">
        <v>15.0</v>
      </c>
      <c r="L5" s="2">
        <v>20.0</v>
      </c>
      <c r="M5" s="2">
        <v>44.0</v>
      </c>
      <c r="N5" s="2">
        <v>114.0</v>
      </c>
      <c r="O5" s="2">
        <v>59.0</v>
      </c>
      <c r="P5" s="2">
        <v>135.0</v>
      </c>
      <c r="Q5" s="2">
        <v>0.0</v>
      </c>
      <c r="R5" s="2">
        <v>32.0</v>
      </c>
      <c r="S5" s="2">
        <v>1.0</v>
      </c>
      <c r="T5" s="2">
        <v>25.0</v>
      </c>
      <c r="U5" s="5">
        <f t="shared" si="1"/>
        <v>0.3005181347</v>
      </c>
      <c r="V5" s="2">
        <f t="shared" si="2"/>
        <v>217</v>
      </c>
      <c r="W5" s="4">
        <f t="shared" si="3"/>
        <v>-0.281496063</v>
      </c>
    </row>
    <row r="6">
      <c r="A6" s="2" t="s">
        <v>132</v>
      </c>
      <c r="B6" s="2" t="s">
        <v>21</v>
      </c>
      <c r="C6" s="2" t="s">
        <v>22</v>
      </c>
      <c r="D6" s="2" t="s">
        <v>133</v>
      </c>
      <c r="E6" s="2" t="s">
        <v>134</v>
      </c>
      <c r="F6" s="2">
        <v>3.0</v>
      </c>
      <c r="G6" s="2" t="s">
        <v>25</v>
      </c>
      <c r="H6" s="2">
        <v>61.0</v>
      </c>
      <c r="I6" s="2">
        <v>56.0</v>
      </c>
      <c r="J6" s="2">
        <v>168.0</v>
      </c>
      <c r="K6" s="2">
        <v>0.0</v>
      </c>
      <c r="L6" s="2">
        <v>70.0</v>
      </c>
      <c r="M6" s="2">
        <v>0.0</v>
      </c>
      <c r="N6" s="2">
        <v>233.0</v>
      </c>
      <c r="O6" s="2">
        <v>0.0</v>
      </c>
      <c r="P6" s="2">
        <v>196.0</v>
      </c>
      <c r="Q6" s="2">
        <v>0.0</v>
      </c>
      <c r="R6" s="2">
        <v>0.0</v>
      </c>
      <c r="S6" s="2">
        <v>0.0</v>
      </c>
      <c r="T6" s="2">
        <v>0.0</v>
      </c>
      <c r="U6" s="5"/>
      <c r="V6" s="55">
        <f>(O6+M6+N6)*2/3</f>
        <v>155.3333333</v>
      </c>
    </row>
    <row r="7">
      <c r="A7" s="2" t="s">
        <v>132</v>
      </c>
      <c r="B7" s="2" t="s">
        <v>21</v>
      </c>
      <c r="C7" s="2" t="s">
        <v>22</v>
      </c>
      <c r="D7" s="2" t="s">
        <v>133</v>
      </c>
      <c r="E7" s="2" t="s">
        <v>135</v>
      </c>
      <c r="F7" s="2">
        <v>3.0</v>
      </c>
      <c r="G7" s="2" t="s">
        <v>45</v>
      </c>
      <c r="H7" s="2">
        <v>26.0</v>
      </c>
      <c r="I7" s="2">
        <v>13.0</v>
      </c>
      <c r="J7" s="2">
        <v>10.0</v>
      </c>
      <c r="K7" s="2">
        <v>13.0</v>
      </c>
      <c r="L7" s="2">
        <v>9.0</v>
      </c>
      <c r="M7" s="2">
        <v>10.0</v>
      </c>
      <c r="N7" s="2">
        <v>163.0</v>
      </c>
      <c r="O7" s="2">
        <v>23.0</v>
      </c>
      <c r="P7" s="2">
        <v>122.0</v>
      </c>
      <c r="Q7" s="2">
        <v>0.0</v>
      </c>
      <c r="R7" s="2">
        <v>30.0</v>
      </c>
      <c r="S7" s="2">
        <v>1.0</v>
      </c>
      <c r="T7" s="2">
        <v>42.0</v>
      </c>
      <c r="U7" s="5">
        <f t="shared" ref="U7:U9" si="4">SUM($R7:$T7)/($P7+(SUM($R7:$T7)))</f>
        <v>0.3743589744</v>
      </c>
      <c r="V7" s="2">
        <f t="shared" ref="V7:V9" si="5">(O7+M7+N7)</f>
        <v>196</v>
      </c>
      <c r="W7" s="4">
        <f t="shared" ref="W7:W9" si="6">(V$6-V7)/V$6</f>
        <v>-0.2618025751</v>
      </c>
    </row>
    <row r="8">
      <c r="A8" s="2" t="s">
        <v>132</v>
      </c>
      <c r="B8" s="2" t="s">
        <v>21</v>
      </c>
      <c r="C8" s="2" t="s">
        <v>22</v>
      </c>
      <c r="D8" s="2" t="s">
        <v>133</v>
      </c>
      <c r="E8" s="2" t="s">
        <v>136</v>
      </c>
      <c r="F8" s="2">
        <v>3.0</v>
      </c>
      <c r="G8" s="2" t="s">
        <v>47</v>
      </c>
      <c r="H8" s="2">
        <v>16.0</v>
      </c>
      <c r="I8" s="2">
        <v>14.0</v>
      </c>
      <c r="J8" s="2">
        <v>2.0</v>
      </c>
      <c r="K8" s="2">
        <v>22.0</v>
      </c>
      <c r="L8" s="2">
        <v>26.0</v>
      </c>
      <c r="M8" s="2">
        <v>20.0</v>
      </c>
      <c r="N8" s="2">
        <v>128.0</v>
      </c>
      <c r="O8" s="2">
        <v>42.0</v>
      </c>
      <c r="P8" s="2">
        <v>114.0</v>
      </c>
      <c r="Q8" s="2">
        <v>0.0</v>
      </c>
      <c r="R8" s="2">
        <v>46.0</v>
      </c>
      <c r="S8" s="2">
        <v>1.0</v>
      </c>
      <c r="T8" s="2">
        <v>34.0</v>
      </c>
      <c r="U8" s="5">
        <f t="shared" si="4"/>
        <v>0.4153846154</v>
      </c>
      <c r="V8" s="2">
        <f t="shared" si="5"/>
        <v>190</v>
      </c>
      <c r="W8" s="4">
        <f t="shared" si="6"/>
        <v>-0.2231759657</v>
      </c>
    </row>
    <row r="9">
      <c r="A9" s="2" t="s">
        <v>132</v>
      </c>
      <c r="B9" s="2" t="s">
        <v>21</v>
      </c>
      <c r="C9" s="2" t="s">
        <v>22</v>
      </c>
      <c r="D9" s="2" t="s">
        <v>133</v>
      </c>
      <c r="E9" s="2" t="s">
        <v>137</v>
      </c>
      <c r="F9" s="2">
        <v>3.0</v>
      </c>
      <c r="G9" s="2" t="s">
        <v>51</v>
      </c>
      <c r="H9" s="2">
        <v>15.0</v>
      </c>
      <c r="I9" s="2">
        <v>9.0</v>
      </c>
      <c r="J9" s="2">
        <v>6.0</v>
      </c>
      <c r="K9" s="2">
        <v>26.0</v>
      </c>
      <c r="L9" s="2">
        <v>14.0</v>
      </c>
      <c r="M9" s="2">
        <v>25.0</v>
      </c>
      <c r="N9" s="2">
        <v>141.0</v>
      </c>
      <c r="O9" s="2">
        <v>51.0</v>
      </c>
      <c r="P9" s="2">
        <v>118.0</v>
      </c>
      <c r="Q9" s="2">
        <v>0.0</v>
      </c>
      <c r="R9" s="2">
        <v>51.0</v>
      </c>
      <c r="S9" s="2">
        <v>1.0</v>
      </c>
      <c r="T9" s="2">
        <v>23.0</v>
      </c>
      <c r="U9" s="5">
        <f t="shared" si="4"/>
        <v>0.3886010363</v>
      </c>
      <c r="V9" s="2">
        <f t="shared" si="5"/>
        <v>217</v>
      </c>
      <c r="W9" s="4">
        <f t="shared" si="6"/>
        <v>-0.3969957082</v>
      </c>
    </row>
    <row r="10">
      <c r="A10" s="2" t="s">
        <v>80</v>
      </c>
      <c r="B10" s="2" t="s">
        <v>32</v>
      </c>
      <c r="C10" s="2" t="s">
        <v>22</v>
      </c>
      <c r="D10" s="2" t="s">
        <v>23</v>
      </c>
      <c r="E10" s="2" t="s">
        <v>127</v>
      </c>
      <c r="F10" s="2">
        <v>3.0</v>
      </c>
      <c r="G10" s="2" t="s">
        <v>25</v>
      </c>
      <c r="H10" s="2">
        <v>109.0</v>
      </c>
      <c r="I10" s="2">
        <v>155.0</v>
      </c>
      <c r="J10" s="2">
        <v>141.0</v>
      </c>
      <c r="K10" s="2">
        <v>0.0</v>
      </c>
      <c r="L10" s="2">
        <v>34.0</v>
      </c>
      <c r="M10" s="2">
        <v>0.0</v>
      </c>
      <c r="N10" s="2">
        <v>149.0</v>
      </c>
      <c r="O10" s="2">
        <v>0.0</v>
      </c>
      <c r="P10" s="2">
        <v>196.0</v>
      </c>
      <c r="Q10" s="2">
        <v>0.0</v>
      </c>
      <c r="R10" s="2">
        <v>0.0</v>
      </c>
      <c r="S10" s="2">
        <v>0.0</v>
      </c>
      <c r="T10" s="2">
        <v>0.0</v>
      </c>
      <c r="U10" s="5"/>
      <c r="V10" s="55">
        <f>(O10+M10+N10)*2/3</f>
        <v>99.33333333</v>
      </c>
    </row>
    <row r="11">
      <c r="A11" s="2" t="s">
        <v>80</v>
      </c>
      <c r="B11" s="2" t="s">
        <v>32</v>
      </c>
      <c r="C11" s="2" t="s">
        <v>22</v>
      </c>
      <c r="D11" s="2" t="s">
        <v>23</v>
      </c>
      <c r="E11" s="2" t="s">
        <v>128</v>
      </c>
      <c r="F11" s="2">
        <v>3.0</v>
      </c>
      <c r="G11" s="2" t="s">
        <v>45</v>
      </c>
      <c r="H11" s="2">
        <v>53.0</v>
      </c>
      <c r="I11" s="2">
        <v>96.0</v>
      </c>
      <c r="J11" s="2">
        <v>8.0</v>
      </c>
      <c r="K11" s="2">
        <v>37.0</v>
      </c>
      <c r="L11" s="2">
        <v>18.0</v>
      </c>
      <c r="M11" s="2">
        <v>11.0</v>
      </c>
      <c r="N11" s="2">
        <v>79.0</v>
      </c>
      <c r="O11" s="2">
        <v>48.0</v>
      </c>
      <c r="P11" s="2">
        <v>151.0</v>
      </c>
      <c r="Q11" s="2">
        <v>0.0</v>
      </c>
      <c r="R11" s="2">
        <v>5.0</v>
      </c>
      <c r="S11" s="2">
        <v>1.0</v>
      </c>
      <c r="T11" s="2">
        <v>29.0</v>
      </c>
      <c r="U11" s="5">
        <f t="shared" ref="U11:U13" si="7">SUM($R11:$T11)/($P11+(SUM($R11:$T11)))</f>
        <v>0.188172043</v>
      </c>
      <c r="V11" s="2">
        <f t="shared" ref="V11:V13" si="8">(O11+M11+N11)</f>
        <v>138</v>
      </c>
      <c r="W11" s="4">
        <f t="shared" ref="W11:W13" si="9">(V$10-V11)/V$10</f>
        <v>-0.389261745</v>
      </c>
    </row>
    <row r="12">
      <c r="A12" s="2" t="s">
        <v>80</v>
      </c>
      <c r="B12" s="2" t="s">
        <v>32</v>
      </c>
      <c r="C12" s="2" t="s">
        <v>22</v>
      </c>
      <c r="D12" s="2" t="s">
        <v>23</v>
      </c>
      <c r="E12" s="2" t="s">
        <v>129</v>
      </c>
      <c r="F12" s="2">
        <v>3.0</v>
      </c>
      <c r="G12" s="2" t="s">
        <v>47</v>
      </c>
      <c r="H12" s="2">
        <v>47.0</v>
      </c>
      <c r="I12" s="2">
        <v>52.0</v>
      </c>
      <c r="J12" s="2">
        <v>0.0</v>
      </c>
      <c r="K12" s="2">
        <v>33.0</v>
      </c>
      <c r="L12" s="2">
        <v>6.0</v>
      </c>
      <c r="M12" s="2">
        <v>13.0</v>
      </c>
      <c r="N12" s="2">
        <v>69.0</v>
      </c>
      <c r="O12" s="2">
        <v>46.0</v>
      </c>
      <c r="P12" s="2">
        <v>110.0</v>
      </c>
      <c r="Q12" s="2">
        <v>0.0</v>
      </c>
      <c r="R12" s="2">
        <v>12.0</v>
      </c>
      <c r="S12" s="2">
        <v>1.0</v>
      </c>
      <c r="T12" s="2">
        <v>67.0</v>
      </c>
      <c r="U12" s="5">
        <f t="shared" si="7"/>
        <v>0.4210526316</v>
      </c>
      <c r="V12" s="2">
        <f t="shared" si="8"/>
        <v>128</v>
      </c>
      <c r="W12" s="4">
        <f t="shared" si="9"/>
        <v>-0.288590604</v>
      </c>
    </row>
    <row r="13">
      <c r="A13" s="2" t="s">
        <v>80</v>
      </c>
      <c r="B13" s="2" t="s">
        <v>32</v>
      </c>
      <c r="C13" s="2" t="s">
        <v>22</v>
      </c>
      <c r="D13" s="2" t="s">
        <v>23</v>
      </c>
      <c r="E13" s="2" t="s">
        <v>131</v>
      </c>
      <c r="F13" s="2">
        <v>3.0</v>
      </c>
      <c r="G13" s="2" t="s">
        <v>51</v>
      </c>
      <c r="H13" s="2">
        <v>41.0</v>
      </c>
      <c r="I13" s="2">
        <v>66.0</v>
      </c>
      <c r="J13" s="2">
        <v>4.0</v>
      </c>
      <c r="K13" s="2">
        <v>27.0</v>
      </c>
      <c r="L13" s="2">
        <v>9.0</v>
      </c>
      <c r="M13" s="2">
        <v>5.0</v>
      </c>
      <c r="N13" s="2">
        <v>68.0</v>
      </c>
      <c r="O13" s="2">
        <v>32.0</v>
      </c>
      <c r="P13" s="2">
        <v>110.0</v>
      </c>
      <c r="Q13" s="2">
        <v>0.0</v>
      </c>
      <c r="R13" s="2">
        <v>11.0</v>
      </c>
      <c r="S13" s="2">
        <v>1.0</v>
      </c>
      <c r="T13" s="2">
        <v>66.0</v>
      </c>
      <c r="U13" s="5">
        <f t="shared" si="7"/>
        <v>0.414893617</v>
      </c>
      <c r="V13" s="2">
        <f t="shared" si="8"/>
        <v>105</v>
      </c>
      <c r="W13" s="4">
        <f t="shared" si="9"/>
        <v>-0.05704697987</v>
      </c>
    </row>
    <row r="14">
      <c r="A14" s="2" t="s">
        <v>138</v>
      </c>
      <c r="B14" s="2" t="s">
        <v>32</v>
      </c>
      <c r="C14" s="2" t="s">
        <v>22</v>
      </c>
      <c r="D14" s="2" t="s">
        <v>133</v>
      </c>
      <c r="E14" s="2" t="s">
        <v>134</v>
      </c>
      <c r="F14" s="2">
        <v>3.0</v>
      </c>
      <c r="G14" s="2" t="s">
        <v>25</v>
      </c>
      <c r="H14" s="2">
        <v>806.0</v>
      </c>
      <c r="I14" s="2">
        <v>583.0</v>
      </c>
      <c r="J14" s="2">
        <v>162.0</v>
      </c>
      <c r="K14" s="2">
        <v>0.0</v>
      </c>
      <c r="L14" s="2">
        <v>84.0</v>
      </c>
      <c r="M14" s="2">
        <v>0.0</v>
      </c>
      <c r="N14" s="2">
        <v>1359.0</v>
      </c>
      <c r="O14" s="2">
        <v>0.0</v>
      </c>
      <c r="P14" s="2">
        <v>998.0</v>
      </c>
      <c r="Q14" s="2">
        <v>0.0</v>
      </c>
      <c r="R14" s="2">
        <v>0.0</v>
      </c>
      <c r="S14" s="2">
        <v>0.0</v>
      </c>
      <c r="T14" s="2">
        <v>0.0</v>
      </c>
      <c r="U14" s="5"/>
      <c r="V14" s="3">
        <f>(O14+M14+N14)*2/3</f>
        <v>906</v>
      </c>
    </row>
    <row r="15">
      <c r="A15" s="2" t="s">
        <v>138</v>
      </c>
      <c r="B15" s="2" t="s">
        <v>32</v>
      </c>
      <c r="C15" s="2" t="s">
        <v>22</v>
      </c>
      <c r="D15" s="2" t="s">
        <v>133</v>
      </c>
      <c r="E15" s="2" t="s">
        <v>135</v>
      </c>
      <c r="F15" s="2">
        <v>3.0</v>
      </c>
      <c r="G15" s="2" t="s">
        <v>45</v>
      </c>
      <c r="H15" s="2">
        <v>42.0</v>
      </c>
      <c r="I15" s="2">
        <v>107.0</v>
      </c>
      <c r="J15" s="2">
        <v>18.0</v>
      </c>
      <c r="K15" s="2">
        <v>35.0</v>
      </c>
      <c r="L15" s="2">
        <v>19.0</v>
      </c>
      <c r="M15" s="2">
        <v>12.0</v>
      </c>
      <c r="N15" s="2">
        <v>73.0</v>
      </c>
      <c r="O15" s="2">
        <v>47.0</v>
      </c>
      <c r="P15" s="2">
        <v>153.0</v>
      </c>
      <c r="Q15" s="2">
        <v>0.0</v>
      </c>
      <c r="R15" s="2">
        <v>0.0</v>
      </c>
      <c r="S15" s="2">
        <v>0.0</v>
      </c>
      <c r="T15" s="2">
        <v>30.0</v>
      </c>
      <c r="U15" s="5">
        <f t="shared" ref="U15:U17" si="10">SUM($R15:$T15)/($P15+(SUM($R15:$T15)))</f>
        <v>0.1639344262</v>
      </c>
      <c r="V15" s="2">
        <f t="shared" ref="V15:V17" si="11">(O15+M15+N15)</f>
        <v>132</v>
      </c>
      <c r="W15" s="4">
        <f t="shared" ref="W15:W17" si="12">(V$14-V15)/V$14</f>
        <v>0.8543046358</v>
      </c>
    </row>
    <row r="16">
      <c r="A16" s="2" t="s">
        <v>138</v>
      </c>
      <c r="B16" s="2" t="s">
        <v>32</v>
      </c>
      <c r="C16" s="2" t="s">
        <v>22</v>
      </c>
      <c r="D16" s="2" t="s">
        <v>133</v>
      </c>
      <c r="E16" s="2" t="s">
        <v>136</v>
      </c>
      <c r="F16" s="2">
        <v>3.0</v>
      </c>
      <c r="G16" s="2" t="s">
        <v>47</v>
      </c>
      <c r="H16" s="2">
        <v>50.0</v>
      </c>
      <c r="I16" s="2">
        <v>79.0</v>
      </c>
      <c r="J16" s="2">
        <v>18.0</v>
      </c>
      <c r="K16" s="2">
        <v>41.0</v>
      </c>
      <c r="L16" s="2">
        <v>11.0</v>
      </c>
      <c r="M16" s="2">
        <v>11.0</v>
      </c>
      <c r="N16" s="2">
        <v>72.0</v>
      </c>
      <c r="O16" s="2">
        <v>52.0</v>
      </c>
      <c r="P16" s="2">
        <v>141.0</v>
      </c>
      <c r="Q16" s="2">
        <v>0.0</v>
      </c>
      <c r="R16" s="2">
        <v>0.0</v>
      </c>
      <c r="S16" s="2">
        <v>0.0</v>
      </c>
      <c r="T16" s="2">
        <v>48.0</v>
      </c>
      <c r="U16" s="5">
        <f t="shared" si="10"/>
        <v>0.253968254</v>
      </c>
      <c r="V16" s="2">
        <f t="shared" si="11"/>
        <v>135</v>
      </c>
      <c r="W16" s="4">
        <f t="shared" si="12"/>
        <v>0.8509933775</v>
      </c>
    </row>
    <row r="17">
      <c r="A17" s="2" t="s">
        <v>138</v>
      </c>
      <c r="B17" s="2" t="s">
        <v>32</v>
      </c>
      <c r="C17" s="2" t="s">
        <v>22</v>
      </c>
      <c r="D17" s="2" t="s">
        <v>133</v>
      </c>
      <c r="E17" s="2" t="s">
        <v>137</v>
      </c>
      <c r="F17" s="2">
        <v>3.0</v>
      </c>
      <c r="G17" s="2" t="s">
        <v>51</v>
      </c>
      <c r="H17" s="2">
        <v>49.0</v>
      </c>
      <c r="I17" s="2">
        <v>71.0</v>
      </c>
      <c r="J17" s="2">
        <v>22.0</v>
      </c>
      <c r="K17" s="2">
        <v>36.0</v>
      </c>
      <c r="L17" s="2">
        <v>27.0</v>
      </c>
      <c r="M17" s="2">
        <v>10.0</v>
      </c>
      <c r="N17" s="2">
        <v>61.0</v>
      </c>
      <c r="O17" s="2">
        <v>46.0</v>
      </c>
      <c r="P17" s="2">
        <v>138.0</v>
      </c>
      <c r="Q17" s="2">
        <v>0.0</v>
      </c>
      <c r="R17" s="2">
        <v>0.0</v>
      </c>
      <c r="S17" s="2">
        <v>0.0</v>
      </c>
      <c r="T17" s="2">
        <v>52.0</v>
      </c>
      <c r="U17" s="5">
        <f t="shared" si="10"/>
        <v>0.2736842105</v>
      </c>
      <c r="V17" s="2">
        <f t="shared" si="11"/>
        <v>117</v>
      </c>
      <c r="W17" s="4">
        <f t="shared" si="12"/>
        <v>0.8708609272</v>
      </c>
    </row>
    <row r="18">
      <c r="A18" s="3" t="s">
        <v>119</v>
      </c>
      <c r="B18" s="3" t="s">
        <v>113</v>
      </c>
      <c r="C18" s="3" t="s">
        <v>22</v>
      </c>
      <c r="D18" s="3" t="s">
        <v>23</v>
      </c>
      <c r="E18" s="3" t="s">
        <v>127</v>
      </c>
      <c r="F18" s="3">
        <v>3.0</v>
      </c>
      <c r="G18" s="3" t="s">
        <v>25</v>
      </c>
      <c r="H18" s="3">
        <v>46.0</v>
      </c>
      <c r="I18" s="3">
        <v>20.0</v>
      </c>
      <c r="J18" s="3">
        <v>156.0</v>
      </c>
      <c r="K18" s="3">
        <v>0.0</v>
      </c>
      <c r="L18" s="3">
        <v>41.0</v>
      </c>
      <c r="M18" s="3">
        <v>0.0</v>
      </c>
      <c r="N18" s="3">
        <v>235.0</v>
      </c>
      <c r="O18" s="3">
        <v>0.0</v>
      </c>
      <c r="P18" s="3">
        <v>166.0</v>
      </c>
      <c r="Q18" s="3">
        <v>0.0</v>
      </c>
      <c r="R18" s="3">
        <v>0.0</v>
      </c>
      <c r="S18" s="3">
        <v>0.0</v>
      </c>
      <c r="T18" s="3">
        <v>0.0</v>
      </c>
      <c r="U18" s="19"/>
      <c r="V18" s="55">
        <f>(O18+M18+N18)*2/3</f>
        <v>156.6666667</v>
      </c>
    </row>
    <row r="19">
      <c r="A19" s="3" t="s">
        <v>119</v>
      </c>
      <c r="B19" s="3" t="s">
        <v>113</v>
      </c>
      <c r="C19" s="3" t="s">
        <v>22</v>
      </c>
      <c r="D19" s="3" t="s">
        <v>23</v>
      </c>
      <c r="E19" s="3" t="s">
        <v>128</v>
      </c>
      <c r="F19" s="3">
        <v>3.0</v>
      </c>
      <c r="G19" s="3" t="s">
        <v>45</v>
      </c>
      <c r="H19" s="3">
        <v>14.0</v>
      </c>
      <c r="I19" s="3">
        <v>20.0</v>
      </c>
      <c r="J19" s="3">
        <v>4.0</v>
      </c>
      <c r="K19" s="3">
        <v>26.0</v>
      </c>
      <c r="L19" s="3">
        <v>22.0</v>
      </c>
      <c r="M19" s="3">
        <v>20.0</v>
      </c>
      <c r="N19" s="3">
        <v>38.0</v>
      </c>
      <c r="O19" s="3">
        <v>46.0</v>
      </c>
      <c r="P19" s="3">
        <v>72.0</v>
      </c>
      <c r="Q19" s="3">
        <v>0.0</v>
      </c>
      <c r="R19" s="3">
        <v>10.0</v>
      </c>
      <c r="S19" s="3">
        <v>10.0</v>
      </c>
      <c r="T19" s="3">
        <v>12.0</v>
      </c>
      <c r="U19" s="19">
        <f t="shared" ref="U19:U21" si="13">SUM($R19:$T19)/($P19+(SUM($R19:$T19)))</f>
        <v>0.3076923077</v>
      </c>
      <c r="V19" s="2">
        <f t="shared" ref="V19:V21" si="14">(O19+M19+N19)</f>
        <v>104</v>
      </c>
      <c r="W19" s="4">
        <f t="shared" ref="W19:W21" si="15">(V$18-V19)/V$18</f>
        <v>0.3361702128</v>
      </c>
    </row>
    <row r="20">
      <c r="A20" s="3" t="s">
        <v>119</v>
      </c>
      <c r="B20" s="3" t="s">
        <v>113</v>
      </c>
      <c r="C20" s="3" t="s">
        <v>22</v>
      </c>
      <c r="D20" s="3" t="s">
        <v>23</v>
      </c>
      <c r="E20" s="3" t="s">
        <v>129</v>
      </c>
      <c r="F20" s="3">
        <v>3.0</v>
      </c>
      <c r="G20" s="3" t="s">
        <v>47</v>
      </c>
      <c r="H20" s="3">
        <v>1.0</v>
      </c>
      <c r="I20" s="3">
        <v>13.0</v>
      </c>
      <c r="J20" s="3">
        <v>6.0</v>
      </c>
      <c r="K20" s="3">
        <v>8.0</v>
      </c>
      <c r="L20" s="3">
        <v>7.0</v>
      </c>
      <c r="M20" s="3">
        <v>11.0</v>
      </c>
      <c r="N20" s="3">
        <v>44.0</v>
      </c>
      <c r="O20" s="3">
        <v>19.0</v>
      </c>
      <c r="P20" s="3">
        <v>45.0</v>
      </c>
      <c r="Q20" s="3">
        <v>0.0</v>
      </c>
      <c r="R20" s="3">
        <v>15.0</v>
      </c>
      <c r="S20" s="3">
        <v>7.0</v>
      </c>
      <c r="T20" s="3">
        <v>33.0</v>
      </c>
      <c r="U20" s="19">
        <f t="shared" si="13"/>
        <v>0.55</v>
      </c>
      <c r="V20" s="2">
        <f t="shared" si="14"/>
        <v>74</v>
      </c>
      <c r="W20" s="4">
        <f t="shared" si="15"/>
        <v>0.5276595745</v>
      </c>
    </row>
    <row r="21" ht="15.75" customHeight="1">
      <c r="A21" s="3" t="s">
        <v>119</v>
      </c>
      <c r="B21" s="3" t="s">
        <v>113</v>
      </c>
      <c r="C21" s="3" t="s">
        <v>22</v>
      </c>
      <c r="D21" s="3" t="s">
        <v>23</v>
      </c>
      <c r="E21" s="3" t="s">
        <v>131</v>
      </c>
      <c r="F21" s="3">
        <v>3.0</v>
      </c>
      <c r="G21" s="3" t="s">
        <v>51</v>
      </c>
      <c r="H21" s="3">
        <v>3.0</v>
      </c>
      <c r="I21" s="3">
        <v>15.0</v>
      </c>
      <c r="J21" s="3">
        <v>4.0</v>
      </c>
      <c r="K21" s="3">
        <v>8.0</v>
      </c>
      <c r="L21" s="3">
        <v>2.0</v>
      </c>
      <c r="M21" s="3">
        <v>18.0</v>
      </c>
      <c r="N21" s="3">
        <v>48.0</v>
      </c>
      <c r="O21" s="3">
        <v>26.0</v>
      </c>
      <c r="P21" s="3">
        <v>49.0</v>
      </c>
      <c r="Q21" s="3">
        <v>0.0</v>
      </c>
      <c r="R21" s="3">
        <v>21.0</v>
      </c>
      <c r="S21" s="3">
        <v>4.0</v>
      </c>
      <c r="T21" s="3">
        <v>40.0</v>
      </c>
      <c r="U21" s="19">
        <f t="shared" si="13"/>
        <v>0.5701754386</v>
      </c>
      <c r="V21" s="2">
        <f t="shared" si="14"/>
        <v>92</v>
      </c>
      <c r="W21" s="4">
        <f t="shared" si="15"/>
        <v>0.4127659574</v>
      </c>
    </row>
    <row r="22" ht="15.75" customHeight="1">
      <c r="A22" s="2" t="s">
        <v>91</v>
      </c>
      <c r="B22" s="2" t="s">
        <v>43</v>
      </c>
      <c r="C22" s="2" t="s">
        <v>22</v>
      </c>
      <c r="D22" s="2" t="s">
        <v>23</v>
      </c>
      <c r="E22" s="2" t="s">
        <v>127</v>
      </c>
      <c r="F22" s="2">
        <v>3.0</v>
      </c>
      <c r="G22" s="2" t="s">
        <v>25</v>
      </c>
      <c r="H22" s="2">
        <v>38.0</v>
      </c>
      <c r="I22" s="2">
        <v>7.0</v>
      </c>
      <c r="J22" s="2">
        <v>87.0</v>
      </c>
      <c r="K22" s="2">
        <v>0.0</v>
      </c>
      <c r="L22" s="2">
        <v>40.0</v>
      </c>
      <c r="M22" s="2">
        <v>0.0</v>
      </c>
      <c r="N22" s="2">
        <v>263.0</v>
      </c>
      <c r="O22" s="2">
        <v>0.0</v>
      </c>
      <c r="P22" s="2">
        <v>145.0</v>
      </c>
      <c r="Q22" s="2">
        <v>0.0</v>
      </c>
      <c r="R22" s="2">
        <v>0.0</v>
      </c>
      <c r="S22" s="2">
        <v>0.0</v>
      </c>
      <c r="T22" s="2">
        <v>0.0</v>
      </c>
      <c r="U22" s="5"/>
      <c r="V22" s="55">
        <f>(O22+M22+N22)*2/3</f>
        <v>175.3333333</v>
      </c>
    </row>
    <row r="23" ht="15.75" customHeight="1">
      <c r="A23" s="2" t="s">
        <v>91</v>
      </c>
      <c r="B23" s="2" t="s">
        <v>43</v>
      </c>
      <c r="C23" s="2" t="s">
        <v>22</v>
      </c>
      <c r="D23" s="2" t="s">
        <v>23</v>
      </c>
      <c r="E23" s="2" t="s">
        <v>128</v>
      </c>
      <c r="F23" s="2">
        <v>3.0</v>
      </c>
      <c r="G23" s="2" t="s">
        <v>45</v>
      </c>
      <c r="H23" s="2">
        <v>24.0</v>
      </c>
      <c r="I23" s="2">
        <v>20.0</v>
      </c>
      <c r="J23" s="2">
        <v>6.0</v>
      </c>
      <c r="K23" s="2">
        <v>4.0</v>
      </c>
      <c r="L23" s="2">
        <v>56.0</v>
      </c>
      <c r="M23" s="2">
        <v>17.0</v>
      </c>
      <c r="N23" s="2">
        <v>59.0</v>
      </c>
      <c r="O23" s="2">
        <v>21.0</v>
      </c>
      <c r="P23" s="2">
        <v>93.0</v>
      </c>
      <c r="Q23" s="2">
        <v>0.0</v>
      </c>
      <c r="R23" s="2">
        <v>11.0</v>
      </c>
      <c r="S23" s="2">
        <v>38.0</v>
      </c>
      <c r="T23" s="2">
        <v>2.0</v>
      </c>
      <c r="U23" s="5">
        <f t="shared" ref="U23:U25" si="16">SUM($R23:$T23)/($P23+(SUM($R23:$T23)))</f>
        <v>0.3541666667</v>
      </c>
      <c r="V23" s="2">
        <f t="shared" ref="V23:V25" si="17">(O23+M23+N23)</f>
        <v>97</v>
      </c>
      <c r="W23" s="4">
        <f t="shared" ref="W23:W25" si="18">(V$22-V23)/V$22</f>
        <v>0.4467680608</v>
      </c>
    </row>
    <row r="24" ht="15.75" customHeight="1">
      <c r="A24" s="2" t="s">
        <v>91</v>
      </c>
      <c r="B24" s="2" t="s">
        <v>43</v>
      </c>
      <c r="C24" s="2" t="s">
        <v>22</v>
      </c>
      <c r="D24" s="2" t="s">
        <v>23</v>
      </c>
      <c r="E24" s="2" t="s">
        <v>129</v>
      </c>
      <c r="F24" s="2">
        <v>3.0</v>
      </c>
      <c r="G24" s="2" t="s">
        <v>47</v>
      </c>
      <c r="H24" s="2">
        <v>30.0</v>
      </c>
      <c r="I24" s="2">
        <v>25.0</v>
      </c>
      <c r="J24" s="2">
        <v>4.0</v>
      </c>
      <c r="K24" s="2">
        <v>1.0</v>
      </c>
      <c r="L24" s="2">
        <v>50.0</v>
      </c>
      <c r="M24" s="2">
        <v>9.0</v>
      </c>
      <c r="N24" s="2">
        <v>67.0</v>
      </c>
      <c r="O24" s="2">
        <v>10.0</v>
      </c>
      <c r="P24" s="2">
        <v>93.0</v>
      </c>
      <c r="Q24" s="2">
        <v>0.0</v>
      </c>
      <c r="R24" s="2">
        <v>2.0</v>
      </c>
      <c r="S24" s="2">
        <v>32.0</v>
      </c>
      <c r="T24" s="2">
        <v>6.0</v>
      </c>
      <c r="U24" s="5">
        <f t="shared" si="16"/>
        <v>0.3007518797</v>
      </c>
      <c r="V24" s="2">
        <f t="shared" si="17"/>
        <v>86</v>
      </c>
      <c r="W24" s="4">
        <f t="shared" si="18"/>
        <v>0.5095057034</v>
      </c>
    </row>
    <row r="25" ht="15.75" customHeight="1">
      <c r="A25" s="2" t="s">
        <v>91</v>
      </c>
      <c r="B25" s="2" t="s">
        <v>43</v>
      </c>
      <c r="C25" s="2" t="s">
        <v>22</v>
      </c>
      <c r="D25" s="2" t="s">
        <v>23</v>
      </c>
      <c r="E25" s="2" t="s">
        <v>131</v>
      </c>
      <c r="F25" s="2">
        <v>3.0</v>
      </c>
      <c r="G25" s="2" t="s">
        <v>51</v>
      </c>
      <c r="H25" s="2">
        <v>30.0</v>
      </c>
      <c r="I25" s="2">
        <v>21.0</v>
      </c>
      <c r="J25" s="2">
        <v>4.0</v>
      </c>
      <c r="K25" s="2">
        <v>3.0</v>
      </c>
      <c r="L25" s="2">
        <v>59.0</v>
      </c>
      <c r="M25" s="2">
        <v>21.0</v>
      </c>
      <c r="N25" s="2">
        <v>62.0</v>
      </c>
      <c r="O25" s="2">
        <v>24.0</v>
      </c>
      <c r="P25" s="2">
        <v>100.0</v>
      </c>
      <c r="Q25" s="2">
        <v>0.0</v>
      </c>
      <c r="R25" s="2">
        <v>3.0</v>
      </c>
      <c r="S25" s="2">
        <v>31.0</v>
      </c>
      <c r="T25" s="2">
        <v>5.0</v>
      </c>
      <c r="U25" s="5">
        <f t="shared" si="16"/>
        <v>0.2805755396</v>
      </c>
      <c r="V25" s="2">
        <f t="shared" si="17"/>
        <v>107</v>
      </c>
      <c r="W25" s="4">
        <f t="shared" si="18"/>
        <v>0.3897338403</v>
      </c>
    </row>
    <row r="26" ht="15.75" customHeight="1">
      <c r="A26" s="2" t="s">
        <v>140</v>
      </c>
      <c r="B26" s="2" t="s">
        <v>43</v>
      </c>
      <c r="C26" s="2" t="s">
        <v>22</v>
      </c>
      <c r="D26" s="2" t="s">
        <v>133</v>
      </c>
      <c r="E26" s="2" t="s">
        <v>134</v>
      </c>
      <c r="F26" s="2">
        <v>3.0</v>
      </c>
      <c r="G26" s="2" t="s">
        <v>25</v>
      </c>
      <c r="H26" s="2">
        <v>63.0</v>
      </c>
      <c r="I26" s="2">
        <v>15.0</v>
      </c>
      <c r="J26" s="2">
        <v>60.0</v>
      </c>
      <c r="K26" s="2">
        <v>0.0</v>
      </c>
      <c r="L26" s="2">
        <v>64.0</v>
      </c>
      <c r="M26" s="2">
        <v>0.0</v>
      </c>
      <c r="N26" s="2">
        <v>263.0</v>
      </c>
      <c r="O26" s="2">
        <v>0.0</v>
      </c>
      <c r="P26" s="2">
        <v>155.0</v>
      </c>
      <c r="Q26" s="2">
        <v>0.0</v>
      </c>
      <c r="R26" s="2">
        <v>0.0</v>
      </c>
      <c r="S26" s="2">
        <v>0.0</v>
      </c>
      <c r="T26" s="2">
        <v>0.0</v>
      </c>
      <c r="U26" s="5"/>
      <c r="V26" s="55">
        <f>(O26+M26+N26)*2/3</f>
        <v>175.3333333</v>
      </c>
    </row>
    <row r="27" ht="15.75" customHeight="1">
      <c r="A27" s="2" t="s">
        <v>140</v>
      </c>
      <c r="B27" s="2" t="s">
        <v>43</v>
      </c>
      <c r="C27" s="2" t="s">
        <v>22</v>
      </c>
      <c r="D27" s="2" t="s">
        <v>133</v>
      </c>
      <c r="E27" s="2" t="s">
        <v>135</v>
      </c>
      <c r="F27" s="2">
        <v>3.0</v>
      </c>
      <c r="G27" s="2" t="s">
        <v>45</v>
      </c>
      <c r="H27" s="2">
        <v>29.0</v>
      </c>
      <c r="I27" s="2">
        <v>21.0</v>
      </c>
      <c r="J27" s="2">
        <v>2.0</v>
      </c>
      <c r="K27" s="2">
        <v>10.0</v>
      </c>
      <c r="L27" s="2">
        <v>55.0</v>
      </c>
      <c r="M27" s="2">
        <v>15.0</v>
      </c>
      <c r="N27" s="2">
        <v>80.0</v>
      </c>
      <c r="O27" s="2">
        <v>25.0</v>
      </c>
      <c r="P27" s="2">
        <v>106.0</v>
      </c>
      <c r="Q27" s="2">
        <v>0.0</v>
      </c>
      <c r="R27" s="2">
        <v>10.0</v>
      </c>
      <c r="S27" s="2">
        <v>18.0</v>
      </c>
      <c r="T27" s="2">
        <v>4.0</v>
      </c>
      <c r="U27" s="5">
        <f t="shared" ref="U27:U29" si="19">SUM($R27:$T27)/($P27+(SUM($R27:$T27)))</f>
        <v>0.231884058</v>
      </c>
      <c r="V27" s="2">
        <f t="shared" ref="V27:V29" si="20">(O27+M27+N27)</f>
        <v>120</v>
      </c>
      <c r="W27" s="4">
        <f t="shared" ref="W27:W29" si="21">(V$26-V27)/V$26</f>
        <v>0.3155893536</v>
      </c>
    </row>
    <row r="28" ht="15.75" customHeight="1">
      <c r="A28" s="2" t="s">
        <v>140</v>
      </c>
      <c r="B28" s="2" t="s">
        <v>43</v>
      </c>
      <c r="C28" s="2" t="s">
        <v>22</v>
      </c>
      <c r="D28" s="2" t="s">
        <v>133</v>
      </c>
      <c r="E28" s="2" t="s">
        <v>136</v>
      </c>
      <c r="F28" s="2">
        <v>3.0</v>
      </c>
      <c r="G28" s="2" t="s">
        <v>47</v>
      </c>
      <c r="H28" s="2">
        <v>27.0</v>
      </c>
      <c r="I28" s="2">
        <v>20.0</v>
      </c>
      <c r="J28" s="2">
        <v>6.0</v>
      </c>
      <c r="K28" s="2">
        <v>13.0</v>
      </c>
      <c r="L28" s="2">
        <v>72.0</v>
      </c>
      <c r="M28" s="2">
        <v>15.0</v>
      </c>
      <c r="N28" s="2">
        <v>69.0</v>
      </c>
      <c r="O28" s="2">
        <v>28.0</v>
      </c>
      <c r="P28" s="2">
        <v>111.0</v>
      </c>
      <c r="Q28" s="2">
        <v>0.0</v>
      </c>
      <c r="R28" s="2">
        <v>0.0</v>
      </c>
      <c r="S28" s="2">
        <v>20.0</v>
      </c>
      <c r="T28" s="2">
        <v>5.0</v>
      </c>
      <c r="U28" s="5">
        <f t="shared" si="19"/>
        <v>0.1838235294</v>
      </c>
      <c r="V28" s="2">
        <f t="shared" si="20"/>
        <v>112</v>
      </c>
      <c r="W28" s="4">
        <f t="shared" si="21"/>
        <v>0.36121673</v>
      </c>
    </row>
    <row r="29" ht="15.75" customHeight="1">
      <c r="A29" s="2" t="s">
        <v>140</v>
      </c>
      <c r="B29" s="2" t="s">
        <v>43</v>
      </c>
      <c r="C29" s="2" t="s">
        <v>22</v>
      </c>
      <c r="D29" s="2" t="s">
        <v>133</v>
      </c>
      <c r="E29" s="2" t="s">
        <v>137</v>
      </c>
      <c r="F29" s="2">
        <v>3.0</v>
      </c>
      <c r="G29" s="2" t="s">
        <v>51</v>
      </c>
      <c r="H29" s="2">
        <v>24.0</v>
      </c>
      <c r="I29" s="2">
        <v>22.0</v>
      </c>
      <c r="J29" s="2">
        <v>2.0</v>
      </c>
      <c r="K29" s="2">
        <v>16.0</v>
      </c>
      <c r="L29" s="2">
        <v>63.0</v>
      </c>
      <c r="M29" s="2">
        <v>26.0</v>
      </c>
      <c r="N29" s="2">
        <v>57.0</v>
      </c>
      <c r="O29" s="2">
        <v>42.0</v>
      </c>
      <c r="P29" s="2">
        <v>105.0</v>
      </c>
      <c r="Q29" s="2">
        <v>0.0</v>
      </c>
      <c r="R29" s="2">
        <v>3.0</v>
      </c>
      <c r="S29" s="2">
        <v>24.0</v>
      </c>
      <c r="T29" s="2">
        <v>1.0</v>
      </c>
      <c r="U29" s="5">
        <f t="shared" si="19"/>
        <v>0.2105263158</v>
      </c>
      <c r="V29" s="2">
        <f t="shared" si="20"/>
        <v>125</v>
      </c>
      <c r="W29" s="4">
        <f t="shared" si="21"/>
        <v>0.2870722433</v>
      </c>
    </row>
    <row r="30" ht="15.75" customHeight="1">
      <c r="A30" s="2" t="s">
        <v>40</v>
      </c>
      <c r="B30" s="2" t="s">
        <v>21</v>
      </c>
      <c r="C30" s="2" t="s">
        <v>22</v>
      </c>
      <c r="D30" s="2" t="s">
        <v>23</v>
      </c>
      <c r="E30" s="2" t="s">
        <v>141</v>
      </c>
      <c r="F30" s="2">
        <v>3.0</v>
      </c>
      <c r="G30" s="2" t="s">
        <v>25</v>
      </c>
      <c r="H30" s="2">
        <v>261.0</v>
      </c>
      <c r="I30" s="2">
        <v>234.0</v>
      </c>
      <c r="J30" s="2">
        <v>486.0</v>
      </c>
      <c r="K30" s="2">
        <v>0.0</v>
      </c>
      <c r="L30" s="2">
        <v>98.0</v>
      </c>
      <c r="M30" s="2">
        <v>0.0</v>
      </c>
      <c r="N30" s="2">
        <v>1912.0</v>
      </c>
      <c r="O30" s="2">
        <v>0.0</v>
      </c>
      <c r="P30" s="2">
        <v>997.0</v>
      </c>
      <c r="Q30" s="2">
        <v>0.0</v>
      </c>
      <c r="R30" s="2">
        <v>0.0</v>
      </c>
      <c r="S30" s="2">
        <v>0.0</v>
      </c>
      <c r="T30" s="2">
        <v>0.0</v>
      </c>
      <c r="U30" s="5"/>
      <c r="V30" s="55">
        <f>(O30+M30+N30)*2/3</f>
        <v>1274.666667</v>
      </c>
    </row>
    <row r="31" ht="15.75" customHeight="1">
      <c r="A31" s="2" t="s">
        <v>40</v>
      </c>
      <c r="B31" s="2" t="s">
        <v>21</v>
      </c>
      <c r="C31" s="2" t="s">
        <v>22</v>
      </c>
      <c r="D31" s="2" t="s">
        <v>23</v>
      </c>
      <c r="E31" s="2" t="s">
        <v>142</v>
      </c>
      <c r="F31" s="2">
        <v>3.0</v>
      </c>
      <c r="G31" s="2" t="s">
        <v>45</v>
      </c>
      <c r="H31" s="2">
        <v>198.0</v>
      </c>
      <c r="I31" s="2">
        <v>280.0</v>
      </c>
      <c r="J31" s="2">
        <v>28.0</v>
      </c>
      <c r="K31" s="2">
        <v>110.0</v>
      </c>
      <c r="L31" s="2">
        <v>362.0</v>
      </c>
      <c r="M31" s="2">
        <v>134.0</v>
      </c>
      <c r="N31" s="2">
        <v>776.0</v>
      </c>
      <c r="O31" s="2">
        <v>244.0</v>
      </c>
      <c r="P31" s="2">
        <v>944.0</v>
      </c>
      <c r="Q31" s="2">
        <v>0.0</v>
      </c>
      <c r="R31" s="2">
        <v>14.0</v>
      </c>
      <c r="S31" s="2">
        <v>3.0</v>
      </c>
      <c r="T31" s="2">
        <v>30.0</v>
      </c>
      <c r="U31" s="5">
        <f t="shared" ref="U31:U33" si="22">SUM($R31:$T31)/($P31+(SUM($R31:$T31)))</f>
        <v>0.04742684157</v>
      </c>
      <c r="V31" s="2">
        <f t="shared" ref="V31:V33" si="23">(O31+M31+N31)</f>
        <v>1154</v>
      </c>
      <c r="W31" s="4">
        <f t="shared" ref="W31:W33" si="24">(V$30-V31)/V$30</f>
        <v>0.09466527197</v>
      </c>
    </row>
    <row r="32" ht="15.75" customHeight="1">
      <c r="A32" s="2" t="s">
        <v>40</v>
      </c>
      <c r="B32" s="2" t="s">
        <v>21</v>
      </c>
      <c r="C32" s="2" t="s">
        <v>22</v>
      </c>
      <c r="D32" s="2" t="s">
        <v>23</v>
      </c>
      <c r="E32" s="2" t="s">
        <v>143</v>
      </c>
      <c r="F32" s="2">
        <v>3.0</v>
      </c>
      <c r="G32" s="2" t="s">
        <v>47</v>
      </c>
      <c r="H32" s="2">
        <v>185.0</v>
      </c>
      <c r="I32" s="2">
        <v>294.0</v>
      </c>
      <c r="J32" s="2">
        <v>54.0</v>
      </c>
      <c r="K32" s="2">
        <v>93.0</v>
      </c>
      <c r="L32" s="2">
        <v>327.0</v>
      </c>
      <c r="M32" s="2">
        <v>96.0</v>
      </c>
      <c r="N32" s="2">
        <v>865.0</v>
      </c>
      <c r="O32" s="2">
        <v>189.0</v>
      </c>
      <c r="P32" s="2">
        <v>957.0</v>
      </c>
      <c r="Q32" s="2">
        <v>0.0</v>
      </c>
      <c r="R32" s="2">
        <v>9.0</v>
      </c>
      <c r="S32" s="2">
        <v>3.0</v>
      </c>
      <c r="T32" s="2">
        <v>16.0</v>
      </c>
      <c r="U32" s="5">
        <f t="shared" si="22"/>
        <v>0.02842639594</v>
      </c>
      <c r="V32" s="2">
        <f t="shared" si="23"/>
        <v>1150</v>
      </c>
      <c r="W32" s="4">
        <f t="shared" si="24"/>
        <v>0.09780334728</v>
      </c>
    </row>
    <row r="33" ht="15.75" customHeight="1">
      <c r="A33" s="2" t="s">
        <v>40</v>
      </c>
      <c r="B33" s="2" t="s">
        <v>21</v>
      </c>
      <c r="C33" s="2" t="s">
        <v>22</v>
      </c>
      <c r="D33" s="2" t="s">
        <v>23</v>
      </c>
      <c r="E33" s="2" t="s">
        <v>144</v>
      </c>
      <c r="F33" s="2">
        <v>3.0</v>
      </c>
      <c r="G33" s="2" t="s">
        <v>51</v>
      </c>
      <c r="H33" s="2">
        <v>164.0</v>
      </c>
      <c r="I33" s="2">
        <v>339.0</v>
      </c>
      <c r="J33" s="2">
        <v>22.0</v>
      </c>
      <c r="K33" s="2">
        <v>89.0</v>
      </c>
      <c r="L33" s="2">
        <v>485.0</v>
      </c>
      <c r="M33" s="2">
        <v>106.0</v>
      </c>
      <c r="N33" s="2">
        <v>701.0</v>
      </c>
      <c r="O33" s="2">
        <v>195.0</v>
      </c>
      <c r="P33" s="2">
        <v>953.0</v>
      </c>
      <c r="Q33" s="2">
        <v>0.0</v>
      </c>
      <c r="R33" s="2">
        <v>14.0</v>
      </c>
      <c r="S33" s="2">
        <v>3.0</v>
      </c>
      <c r="T33" s="2">
        <v>9.0</v>
      </c>
      <c r="U33" s="5">
        <f t="shared" si="22"/>
        <v>0.02655771195</v>
      </c>
      <c r="V33" s="2">
        <f t="shared" si="23"/>
        <v>1002</v>
      </c>
      <c r="W33" s="4">
        <f t="shared" si="24"/>
        <v>0.2139121339</v>
      </c>
    </row>
    <row r="34" ht="15.75" customHeight="1">
      <c r="A34" s="2" t="s">
        <v>145</v>
      </c>
      <c r="B34" s="2" t="s">
        <v>21</v>
      </c>
      <c r="C34" s="2" t="s">
        <v>22</v>
      </c>
      <c r="D34" s="2" t="s">
        <v>133</v>
      </c>
      <c r="E34" s="2" t="s">
        <v>146</v>
      </c>
      <c r="F34" s="2">
        <v>3.0</v>
      </c>
      <c r="G34" s="2" t="s">
        <v>25</v>
      </c>
      <c r="H34" s="2">
        <v>222.0</v>
      </c>
      <c r="I34" s="2">
        <v>360.0</v>
      </c>
      <c r="J34" s="2">
        <v>399.0</v>
      </c>
      <c r="K34" s="2">
        <v>0.0</v>
      </c>
      <c r="L34" s="2">
        <v>63.0</v>
      </c>
      <c r="M34" s="2">
        <v>0.0</v>
      </c>
      <c r="N34" s="2">
        <v>1950.0</v>
      </c>
      <c r="O34" s="2">
        <v>0.0</v>
      </c>
      <c r="P34" s="2">
        <v>998.0</v>
      </c>
      <c r="Q34" s="2">
        <v>0.0</v>
      </c>
      <c r="R34" s="2">
        <v>0.0</v>
      </c>
      <c r="S34" s="2">
        <v>0.0</v>
      </c>
      <c r="T34" s="2">
        <v>0.0</v>
      </c>
      <c r="U34" s="5"/>
      <c r="V34" s="55">
        <f>(O34+M34+N34)*2/3</f>
        <v>1300</v>
      </c>
    </row>
    <row r="35" ht="15.75" customHeight="1">
      <c r="A35" s="2" t="s">
        <v>145</v>
      </c>
      <c r="B35" s="2" t="s">
        <v>21</v>
      </c>
      <c r="C35" s="2" t="s">
        <v>22</v>
      </c>
      <c r="D35" s="2" t="s">
        <v>133</v>
      </c>
      <c r="E35" s="2" t="s">
        <v>147</v>
      </c>
      <c r="F35" s="2">
        <v>3.0</v>
      </c>
      <c r="G35" s="2" t="s">
        <v>45</v>
      </c>
      <c r="H35" s="2">
        <v>169.0</v>
      </c>
      <c r="I35" s="2">
        <v>302.0</v>
      </c>
      <c r="J35" s="2">
        <v>86.0</v>
      </c>
      <c r="K35" s="2">
        <v>55.0</v>
      </c>
      <c r="L35" s="2">
        <v>103.0</v>
      </c>
      <c r="M35" s="2">
        <v>36.0</v>
      </c>
      <c r="N35" s="2">
        <v>1123.0</v>
      </c>
      <c r="O35" s="2">
        <v>91.0</v>
      </c>
      <c r="P35" s="2">
        <v>937.0</v>
      </c>
      <c r="Q35" s="2">
        <v>0.0</v>
      </c>
      <c r="R35" s="2">
        <v>18.0</v>
      </c>
      <c r="S35" s="2">
        <v>2.0</v>
      </c>
      <c r="T35" s="2">
        <v>31.0</v>
      </c>
      <c r="U35" s="5">
        <f t="shared" ref="U35:U37" si="25">SUM($R35:$T35)/($P35+(SUM($R35:$T35)))</f>
        <v>0.0516194332</v>
      </c>
      <c r="V35" s="2">
        <f t="shared" ref="V35:V37" si="26">(O35+M35+N35)</f>
        <v>1250</v>
      </c>
      <c r="W35" s="26">
        <f t="shared" ref="W35:W37" si="27">(V$34-V35)/V$34</f>
        <v>0.03846153846</v>
      </c>
    </row>
    <row r="36" ht="15.75" customHeight="1">
      <c r="A36" s="2" t="s">
        <v>145</v>
      </c>
      <c r="B36" s="2" t="s">
        <v>21</v>
      </c>
      <c r="C36" s="2" t="s">
        <v>22</v>
      </c>
      <c r="D36" s="2" t="s">
        <v>133</v>
      </c>
      <c r="E36" s="2" t="s">
        <v>148</v>
      </c>
      <c r="F36" s="2">
        <v>3.0</v>
      </c>
      <c r="G36" s="2" t="s">
        <v>47</v>
      </c>
      <c r="H36" s="2">
        <v>172.0</v>
      </c>
      <c r="I36" s="2">
        <v>281.0</v>
      </c>
      <c r="J36" s="2">
        <v>82.0</v>
      </c>
      <c r="K36" s="2">
        <v>61.0</v>
      </c>
      <c r="L36" s="2">
        <v>113.0</v>
      </c>
      <c r="M36" s="2">
        <v>46.0</v>
      </c>
      <c r="N36" s="2">
        <v>1087.0</v>
      </c>
      <c r="O36" s="2">
        <v>107.0</v>
      </c>
      <c r="P36" s="2">
        <v>921.0</v>
      </c>
      <c r="Q36" s="2">
        <v>0.0</v>
      </c>
      <c r="R36" s="2">
        <v>24.0</v>
      </c>
      <c r="S36" s="2">
        <v>2.0</v>
      </c>
      <c r="T36" s="2">
        <v>32.0</v>
      </c>
      <c r="U36" s="5">
        <f t="shared" si="25"/>
        <v>0.05924412666</v>
      </c>
      <c r="V36" s="2">
        <f t="shared" si="26"/>
        <v>1240</v>
      </c>
      <c r="W36" s="26">
        <f t="shared" si="27"/>
        <v>0.04615384615</v>
      </c>
    </row>
    <row r="37" ht="15.75" customHeight="1">
      <c r="A37" s="2" t="s">
        <v>145</v>
      </c>
      <c r="B37" s="2" t="s">
        <v>21</v>
      </c>
      <c r="C37" s="2" t="s">
        <v>22</v>
      </c>
      <c r="D37" s="2" t="s">
        <v>133</v>
      </c>
      <c r="E37" s="2" t="s">
        <v>149</v>
      </c>
      <c r="F37" s="2">
        <v>3.0</v>
      </c>
      <c r="G37" s="2" t="s">
        <v>51</v>
      </c>
      <c r="H37" s="2">
        <v>160.0</v>
      </c>
      <c r="I37" s="2">
        <v>312.0</v>
      </c>
      <c r="J37" s="2">
        <v>36.0</v>
      </c>
      <c r="K37" s="2">
        <v>58.0</v>
      </c>
      <c r="L37" s="2">
        <v>197.0</v>
      </c>
      <c r="M37" s="2">
        <v>60.0</v>
      </c>
      <c r="N37" s="2">
        <v>1027.0</v>
      </c>
      <c r="O37" s="2">
        <v>118.0</v>
      </c>
      <c r="P37" s="2">
        <v>925.0</v>
      </c>
      <c r="Q37" s="2">
        <v>0.0</v>
      </c>
      <c r="R37" s="2">
        <v>29.0</v>
      </c>
      <c r="S37" s="2">
        <v>1.0</v>
      </c>
      <c r="T37" s="2">
        <v>20.0</v>
      </c>
      <c r="U37" s="5">
        <f t="shared" si="25"/>
        <v>0.05128205128</v>
      </c>
      <c r="V37" s="2">
        <f t="shared" si="26"/>
        <v>1205</v>
      </c>
      <c r="W37" s="26">
        <f t="shared" si="27"/>
        <v>0.07307692308</v>
      </c>
    </row>
    <row r="38" ht="15.75" customHeight="1">
      <c r="A38" s="2" t="s">
        <v>75</v>
      </c>
      <c r="B38" s="2" t="s">
        <v>32</v>
      </c>
      <c r="C38" s="2" t="s">
        <v>22</v>
      </c>
      <c r="D38" s="2" t="s">
        <v>23</v>
      </c>
      <c r="E38" s="2" t="s">
        <v>141</v>
      </c>
      <c r="F38" s="2">
        <v>3.0</v>
      </c>
      <c r="G38" s="2" t="s">
        <v>25</v>
      </c>
      <c r="H38" s="2">
        <v>879.0</v>
      </c>
      <c r="I38" s="2">
        <v>483.0</v>
      </c>
      <c r="J38" s="2">
        <v>180.0</v>
      </c>
      <c r="K38" s="2">
        <v>0.0</v>
      </c>
      <c r="L38" s="2">
        <v>79.0</v>
      </c>
      <c r="M38" s="2">
        <v>0.0</v>
      </c>
      <c r="N38" s="2">
        <v>1364.0</v>
      </c>
      <c r="O38" s="2">
        <v>0.0</v>
      </c>
      <c r="P38" s="2">
        <v>995.0</v>
      </c>
      <c r="Q38" s="2">
        <v>0.0</v>
      </c>
      <c r="R38" s="2">
        <v>0.0</v>
      </c>
      <c r="S38" s="2">
        <v>0.0</v>
      </c>
      <c r="T38" s="2">
        <v>0.0</v>
      </c>
      <c r="U38" s="5"/>
      <c r="V38" s="55">
        <f>(O38+M38+N38)*2/3</f>
        <v>909.3333333</v>
      </c>
    </row>
    <row r="39" ht="15.75" customHeight="1">
      <c r="A39" s="2" t="s">
        <v>75</v>
      </c>
      <c r="B39" s="2" t="s">
        <v>32</v>
      </c>
      <c r="C39" s="2" t="s">
        <v>22</v>
      </c>
      <c r="D39" s="2" t="s">
        <v>23</v>
      </c>
      <c r="E39" s="2" t="s">
        <v>142</v>
      </c>
      <c r="F39" s="2">
        <v>3.0</v>
      </c>
      <c r="G39" s="2" t="s">
        <v>45</v>
      </c>
      <c r="H39" s="2">
        <v>430.0</v>
      </c>
      <c r="I39" s="2">
        <v>364.0</v>
      </c>
      <c r="J39" s="2">
        <v>22.0</v>
      </c>
      <c r="K39" s="2">
        <v>102.0</v>
      </c>
      <c r="L39" s="2">
        <v>109.0</v>
      </c>
      <c r="M39" s="2">
        <v>58.0</v>
      </c>
      <c r="N39" s="2">
        <v>697.0</v>
      </c>
      <c r="O39" s="2">
        <v>160.0</v>
      </c>
      <c r="P39" s="2">
        <v>891.0</v>
      </c>
      <c r="Q39" s="2">
        <v>0.0</v>
      </c>
      <c r="R39" s="2">
        <v>11.0</v>
      </c>
      <c r="S39" s="2">
        <v>4.0</v>
      </c>
      <c r="T39" s="2">
        <v>54.0</v>
      </c>
      <c r="U39" s="5">
        <f t="shared" ref="U39:U41" si="28">SUM($R39:$T39)/($P39+(SUM($R39:$T39)))</f>
        <v>0.071875</v>
      </c>
      <c r="V39" s="2">
        <f t="shared" ref="V39:V41" si="29">(O39+M39+N39)</f>
        <v>915</v>
      </c>
      <c r="W39" s="26">
        <f t="shared" ref="W39:W41" si="30">(V$38-V39)/V$38</f>
        <v>-0.006231671554</v>
      </c>
    </row>
    <row r="40" ht="15.75" customHeight="1">
      <c r="A40" s="2" t="s">
        <v>75</v>
      </c>
      <c r="B40" s="2" t="s">
        <v>32</v>
      </c>
      <c r="C40" s="2" t="s">
        <v>22</v>
      </c>
      <c r="D40" s="2" t="s">
        <v>23</v>
      </c>
      <c r="E40" s="2" t="s">
        <v>143</v>
      </c>
      <c r="F40" s="2">
        <v>3.0</v>
      </c>
      <c r="G40" s="2" t="s">
        <v>47</v>
      </c>
      <c r="H40" s="2">
        <v>449.0</v>
      </c>
      <c r="I40" s="2">
        <v>357.0</v>
      </c>
      <c r="J40" s="2">
        <v>24.0</v>
      </c>
      <c r="K40" s="2">
        <v>80.0</v>
      </c>
      <c r="L40" s="2">
        <v>95.0</v>
      </c>
      <c r="M40" s="2">
        <v>46.0</v>
      </c>
      <c r="N40" s="2">
        <v>699.0</v>
      </c>
      <c r="O40" s="2">
        <v>126.0</v>
      </c>
      <c r="P40" s="2">
        <v>875.0</v>
      </c>
      <c r="Q40" s="2">
        <v>0.0</v>
      </c>
      <c r="R40" s="2">
        <v>20.0</v>
      </c>
      <c r="S40" s="2">
        <v>3.0</v>
      </c>
      <c r="T40" s="2">
        <v>64.0</v>
      </c>
      <c r="U40" s="5">
        <f t="shared" si="28"/>
        <v>0.09043659044</v>
      </c>
      <c r="V40" s="2">
        <f t="shared" si="29"/>
        <v>871</v>
      </c>
      <c r="W40" s="26">
        <f t="shared" si="30"/>
        <v>0.04215542522</v>
      </c>
    </row>
    <row r="41" ht="15.75" customHeight="1">
      <c r="A41" s="2" t="s">
        <v>75</v>
      </c>
      <c r="B41" s="2" t="s">
        <v>32</v>
      </c>
      <c r="C41" s="2" t="s">
        <v>22</v>
      </c>
      <c r="D41" s="2" t="s">
        <v>23</v>
      </c>
      <c r="E41" s="2" t="s">
        <v>144</v>
      </c>
      <c r="F41" s="2">
        <v>3.0</v>
      </c>
      <c r="G41" s="2" t="s">
        <v>51</v>
      </c>
      <c r="H41" s="2">
        <v>473.0</v>
      </c>
      <c r="I41" s="2">
        <v>379.0</v>
      </c>
      <c r="J41" s="2">
        <v>28.0</v>
      </c>
      <c r="K41" s="2">
        <v>62.0</v>
      </c>
      <c r="L41" s="2">
        <v>86.0</v>
      </c>
      <c r="M41" s="2">
        <v>49.0</v>
      </c>
      <c r="N41" s="2">
        <v>755.0</v>
      </c>
      <c r="O41" s="2">
        <v>111.0</v>
      </c>
      <c r="P41" s="2">
        <v>916.0</v>
      </c>
      <c r="Q41" s="2">
        <v>0.0</v>
      </c>
      <c r="R41" s="2">
        <v>9.0</v>
      </c>
      <c r="S41" s="2">
        <v>3.0</v>
      </c>
      <c r="T41" s="2">
        <v>36.0</v>
      </c>
      <c r="U41" s="5">
        <f t="shared" si="28"/>
        <v>0.04979253112</v>
      </c>
      <c r="V41" s="2">
        <f t="shared" si="29"/>
        <v>915</v>
      </c>
      <c r="W41" s="26">
        <f t="shared" si="30"/>
        <v>-0.006231671554</v>
      </c>
    </row>
    <row r="42" ht="15.75" customHeight="1">
      <c r="A42" s="2" t="s">
        <v>151</v>
      </c>
      <c r="B42" s="2" t="s">
        <v>32</v>
      </c>
      <c r="C42" s="2" t="s">
        <v>22</v>
      </c>
      <c r="D42" s="2" t="s">
        <v>133</v>
      </c>
      <c r="E42" s="2" t="s">
        <v>146</v>
      </c>
      <c r="F42" s="2">
        <v>3.0</v>
      </c>
      <c r="G42" s="2" t="s">
        <v>25</v>
      </c>
      <c r="H42" s="2">
        <v>806.0</v>
      </c>
      <c r="I42" s="2">
        <v>583.0</v>
      </c>
      <c r="J42" s="2">
        <v>162.0</v>
      </c>
      <c r="K42" s="2">
        <v>0.0</v>
      </c>
      <c r="L42" s="2">
        <v>84.0</v>
      </c>
      <c r="M42" s="2">
        <v>0.0</v>
      </c>
      <c r="N42" s="2">
        <v>1359.0</v>
      </c>
      <c r="O42" s="2">
        <v>0.0</v>
      </c>
      <c r="P42" s="2">
        <v>998.0</v>
      </c>
      <c r="Q42" s="2">
        <v>0.0</v>
      </c>
      <c r="R42" s="2">
        <v>0.0</v>
      </c>
      <c r="S42" s="2">
        <v>0.0</v>
      </c>
      <c r="T42" s="2">
        <v>0.0</v>
      </c>
      <c r="U42" s="5"/>
      <c r="V42" s="55">
        <f>(O42+M42+N42)*2/3</f>
        <v>906</v>
      </c>
    </row>
    <row r="43" ht="15.75" customHeight="1">
      <c r="A43" s="2" t="s">
        <v>151</v>
      </c>
      <c r="B43" s="2" t="s">
        <v>32</v>
      </c>
      <c r="C43" s="2" t="s">
        <v>22</v>
      </c>
      <c r="D43" s="2" t="s">
        <v>133</v>
      </c>
      <c r="E43" s="2" t="s">
        <v>147</v>
      </c>
      <c r="F43" s="2">
        <v>3.0</v>
      </c>
      <c r="G43" s="2" t="s">
        <v>45</v>
      </c>
      <c r="H43" s="2">
        <v>416.0</v>
      </c>
      <c r="I43" s="2">
        <v>395.0</v>
      </c>
      <c r="J43" s="2">
        <v>26.0</v>
      </c>
      <c r="K43" s="2">
        <v>67.0</v>
      </c>
      <c r="L43" s="2">
        <v>100.0</v>
      </c>
      <c r="M43" s="2">
        <v>37.0</v>
      </c>
      <c r="N43" s="2">
        <v>655.0</v>
      </c>
      <c r="O43" s="2">
        <v>104.0</v>
      </c>
      <c r="P43" s="2">
        <v>848.0</v>
      </c>
      <c r="Q43" s="2">
        <v>0.0</v>
      </c>
      <c r="R43" s="2">
        <v>21.0</v>
      </c>
      <c r="S43" s="2">
        <v>1.0</v>
      </c>
      <c r="T43" s="2">
        <v>107.0</v>
      </c>
      <c r="U43" s="5">
        <f t="shared" ref="U43:U45" si="31">SUM($R43:$T43)/($P43+(SUM($R43:$T43)))</f>
        <v>0.1320368475</v>
      </c>
      <c r="V43" s="2">
        <f t="shared" ref="V43:V45" si="32">(O43+M43+N43)</f>
        <v>796</v>
      </c>
      <c r="W43" s="26">
        <f t="shared" ref="W43:W45" si="33">(V$42-V43)/V$42</f>
        <v>0.1214128035</v>
      </c>
    </row>
    <row r="44" ht="15.75" customHeight="1">
      <c r="A44" s="2" t="s">
        <v>151</v>
      </c>
      <c r="B44" s="2" t="s">
        <v>32</v>
      </c>
      <c r="C44" s="2" t="s">
        <v>22</v>
      </c>
      <c r="D44" s="2" t="s">
        <v>133</v>
      </c>
      <c r="E44" s="2" t="s">
        <v>148</v>
      </c>
      <c r="F44" s="2">
        <v>3.0</v>
      </c>
      <c r="G44" s="2" t="s">
        <v>47</v>
      </c>
      <c r="H44" s="2">
        <v>449.0</v>
      </c>
      <c r="I44" s="2">
        <v>410.0</v>
      </c>
      <c r="J44" s="2">
        <v>18.0</v>
      </c>
      <c r="K44" s="2">
        <v>55.0</v>
      </c>
      <c r="L44" s="2">
        <v>94.0</v>
      </c>
      <c r="M44" s="2">
        <v>27.0</v>
      </c>
      <c r="N44" s="2">
        <v>689.0</v>
      </c>
      <c r="O44" s="2">
        <v>82.0</v>
      </c>
      <c r="P44" s="2">
        <v>871.0</v>
      </c>
      <c r="Q44" s="2">
        <v>0.0</v>
      </c>
      <c r="R44" s="2">
        <v>19.0</v>
      </c>
      <c r="S44" s="2">
        <v>1.0</v>
      </c>
      <c r="T44" s="2">
        <v>89.0</v>
      </c>
      <c r="U44" s="5">
        <f t="shared" si="31"/>
        <v>0.1112244898</v>
      </c>
      <c r="V44" s="2">
        <f t="shared" si="32"/>
        <v>798</v>
      </c>
      <c r="W44" s="4">
        <f t="shared" si="33"/>
        <v>0.119205298</v>
      </c>
    </row>
    <row r="45" ht="15.75" customHeight="1">
      <c r="A45" s="2" t="s">
        <v>151</v>
      </c>
      <c r="B45" s="2" t="s">
        <v>32</v>
      </c>
      <c r="C45" s="2" t="s">
        <v>22</v>
      </c>
      <c r="D45" s="2" t="s">
        <v>133</v>
      </c>
      <c r="E45" s="2" t="s">
        <v>149</v>
      </c>
      <c r="F45" s="2">
        <v>3.0</v>
      </c>
      <c r="G45" s="2" t="s">
        <v>51</v>
      </c>
      <c r="H45" s="2">
        <v>448.0</v>
      </c>
      <c r="I45" s="2">
        <v>380.0</v>
      </c>
      <c r="J45" s="2">
        <v>38.0</v>
      </c>
      <c r="K45" s="2">
        <v>60.0</v>
      </c>
      <c r="L45" s="2">
        <v>89.0</v>
      </c>
      <c r="M45" s="2">
        <v>43.0</v>
      </c>
      <c r="N45" s="2">
        <v>648.0</v>
      </c>
      <c r="O45" s="2">
        <v>103.0</v>
      </c>
      <c r="P45" s="2">
        <v>853.0</v>
      </c>
      <c r="Q45" s="2">
        <v>0.0</v>
      </c>
      <c r="R45" s="2">
        <v>22.0</v>
      </c>
      <c r="S45" s="2">
        <v>0.0</v>
      </c>
      <c r="T45" s="2">
        <v>111.0</v>
      </c>
      <c r="U45" s="5">
        <f t="shared" si="31"/>
        <v>0.1348884381</v>
      </c>
      <c r="V45" s="2">
        <f t="shared" si="32"/>
        <v>794</v>
      </c>
      <c r="W45" s="26">
        <f t="shared" si="33"/>
        <v>0.1236203091</v>
      </c>
    </row>
    <row r="46" ht="15.75" customHeight="1">
      <c r="A46" s="3" t="s">
        <v>112</v>
      </c>
      <c r="B46" s="3" t="s">
        <v>113</v>
      </c>
      <c r="C46" s="3" t="s">
        <v>22</v>
      </c>
      <c r="D46" s="3" t="s">
        <v>23</v>
      </c>
      <c r="E46" s="3" t="s">
        <v>141</v>
      </c>
      <c r="F46" s="3">
        <v>3.0</v>
      </c>
      <c r="G46" s="3" t="s">
        <v>25</v>
      </c>
      <c r="H46" s="3">
        <v>41.0</v>
      </c>
      <c r="I46" s="3">
        <v>106.0</v>
      </c>
      <c r="J46" s="3">
        <v>57.0</v>
      </c>
      <c r="K46" s="3">
        <v>0.0</v>
      </c>
      <c r="L46" s="3">
        <v>133.0</v>
      </c>
      <c r="M46" s="3">
        <v>0.0</v>
      </c>
      <c r="N46" s="3">
        <v>1514.0</v>
      </c>
      <c r="O46" s="3">
        <v>0.0</v>
      </c>
      <c r="P46" s="3">
        <v>617.0</v>
      </c>
      <c r="Q46" s="3">
        <v>0.0</v>
      </c>
      <c r="R46" s="3">
        <v>0.0</v>
      </c>
      <c r="S46" s="3">
        <v>0.0</v>
      </c>
      <c r="T46" s="3">
        <v>0.0</v>
      </c>
      <c r="U46" s="19"/>
      <c r="V46" s="55">
        <f>(O46+M46+N46)*2/3</f>
        <v>1009.333333</v>
      </c>
    </row>
    <row r="47" ht="15.75" customHeight="1">
      <c r="A47" s="3" t="s">
        <v>112</v>
      </c>
      <c r="B47" s="3" t="s">
        <v>113</v>
      </c>
      <c r="C47" s="3" t="s">
        <v>22</v>
      </c>
      <c r="D47" s="3" t="s">
        <v>23</v>
      </c>
      <c r="E47" s="3" t="s">
        <v>142</v>
      </c>
      <c r="F47" s="3">
        <v>3.0</v>
      </c>
      <c r="G47" s="3" t="s">
        <v>45</v>
      </c>
      <c r="H47" s="3">
        <v>8.0</v>
      </c>
      <c r="I47" s="3">
        <v>25.0</v>
      </c>
      <c r="J47" s="3">
        <v>2.0</v>
      </c>
      <c r="K47" s="3">
        <v>5.0</v>
      </c>
      <c r="L47" s="3">
        <v>35.0</v>
      </c>
      <c r="M47" s="3">
        <v>21.0</v>
      </c>
      <c r="N47" s="3">
        <v>82.0</v>
      </c>
      <c r="O47" s="3">
        <v>26.0</v>
      </c>
      <c r="P47" s="3">
        <v>89.0</v>
      </c>
      <c r="Q47" s="3">
        <v>0.0</v>
      </c>
      <c r="R47" s="3">
        <v>5.0</v>
      </c>
      <c r="S47" s="3">
        <v>19.0</v>
      </c>
      <c r="T47" s="3">
        <v>50.0</v>
      </c>
      <c r="U47" s="19">
        <f t="shared" ref="U47:U49" si="34">SUM($R47:$T47)/($P47+(SUM($R47:$T47)))</f>
        <v>0.4539877301</v>
      </c>
      <c r="V47" s="2">
        <f t="shared" ref="V47:V49" si="35">(O47+M47+N47)</f>
        <v>129</v>
      </c>
      <c r="W47" s="26">
        <f t="shared" ref="W47:W49" si="36">(V$46-V47)/V$46</f>
        <v>0.8721928666</v>
      </c>
    </row>
    <row r="48" ht="15.75" customHeight="1">
      <c r="A48" s="3" t="s">
        <v>112</v>
      </c>
      <c r="B48" s="3" t="s">
        <v>113</v>
      </c>
      <c r="C48" s="3" t="s">
        <v>22</v>
      </c>
      <c r="D48" s="3" t="s">
        <v>23</v>
      </c>
      <c r="E48" s="3" t="s">
        <v>143</v>
      </c>
      <c r="F48" s="3">
        <v>3.0</v>
      </c>
      <c r="G48" s="3" t="s">
        <v>47</v>
      </c>
      <c r="H48" s="3">
        <v>2.0</v>
      </c>
      <c r="I48" s="3">
        <v>6.0</v>
      </c>
      <c r="J48" s="3">
        <v>4.0</v>
      </c>
      <c r="K48" s="3">
        <v>12.0</v>
      </c>
      <c r="L48" s="3">
        <v>19.0</v>
      </c>
      <c r="M48" s="3">
        <v>17.0</v>
      </c>
      <c r="N48" s="3">
        <v>94.0</v>
      </c>
      <c r="O48" s="3">
        <v>29.0</v>
      </c>
      <c r="P48" s="3">
        <v>77.0</v>
      </c>
      <c r="Q48" s="3">
        <v>0.0</v>
      </c>
      <c r="R48" s="3">
        <v>8.0</v>
      </c>
      <c r="S48" s="3">
        <v>23.0</v>
      </c>
      <c r="T48" s="3">
        <v>60.0</v>
      </c>
      <c r="U48" s="19">
        <f t="shared" si="34"/>
        <v>0.5416666667</v>
      </c>
      <c r="V48" s="2">
        <f t="shared" si="35"/>
        <v>140</v>
      </c>
      <c r="W48" s="4">
        <f t="shared" si="36"/>
        <v>0.8612945839</v>
      </c>
    </row>
    <row r="49" ht="15.75" customHeight="1">
      <c r="A49" s="3" t="s">
        <v>112</v>
      </c>
      <c r="B49" s="3" t="s">
        <v>113</v>
      </c>
      <c r="C49" s="3" t="s">
        <v>22</v>
      </c>
      <c r="D49" s="3" t="s">
        <v>23</v>
      </c>
      <c r="E49" s="3" t="s">
        <v>144</v>
      </c>
      <c r="F49" s="3">
        <v>3.0</v>
      </c>
      <c r="G49" s="3" t="s">
        <v>51</v>
      </c>
      <c r="H49" s="3">
        <v>6.0</v>
      </c>
      <c r="I49" s="3">
        <v>18.0</v>
      </c>
      <c r="J49" s="3">
        <v>4.0</v>
      </c>
      <c r="K49" s="3">
        <v>6.0</v>
      </c>
      <c r="L49" s="3">
        <v>22.0</v>
      </c>
      <c r="M49" s="3">
        <v>17.0</v>
      </c>
      <c r="N49" s="3">
        <v>113.0</v>
      </c>
      <c r="O49" s="3">
        <v>23.0</v>
      </c>
      <c r="P49" s="3">
        <v>93.0</v>
      </c>
      <c r="Q49" s="3">
        <v>0.0</v>
      </c>
      <c r="R49" s="3">
        <v>2.0</v>
      </c>
      <c r="S49" s="3">
        <v>15.0</v>
      </c>
      <c r="T49" s="3">
        <v>60.0</v>
      </c>
      <c r="U49" s="19">
        <f t="shared" si="34"/>
        <v>0.4529411765</v>
      </c>
      <c r="V49" s="2">
        <f t="shared" si="35"/>
        <v>153</v>
      </c>
      <c r="W49" s="4">
        <f t="shared" si="36"/>
        <v>0.8484147952</v>
      </c>
    </row>
    <row r="50" ht="15.75" customHeight="1">
      <c r="A50" s="2" t="s">
        <v>87</v>
      </c>
      <c r="B50" s="2" t="s">
        <v>43</v>
      </c>
      <c r="C50" s="2" t="s">
        <v>22</v>
      </c>
      <c r="D50" s="2" t="s">
        <v>23</v>
      </c>
      <c r="E50" s="2" t="s">
        <v>141</v>
      </c>
      <c r="F50" s="2">
        <v>3.0</v>
      </c>
      <c r="G50" s="2" t="s">
        <v>25</v>
      </c>
      <c r="H50" s="2">
        <v>162.0</v>
      </c>
      <c r="I50" s="2">
        <v>312.0</v>
      </c>
      <c r="J50" s="2">
        <v>441.0</v>
      </c>
      <c r="K50" s="2">
        <v>0.0</v>
      </c>
      <c r="L50" s="2">
        <v>209.0</v>
      </c>
      <c r="M50" s="2">
        <v>0.0</v>
      </c>
      <c r="N50" s="2">
        <v>1483.0</v>
      </c>
      <c r="O50" s="2">
        <v>0.0</v>
      </c>
      <c r="P50" s="2">
        <v>869.0</v>
      </c>
      <c r="Q50" s="2">
        <v>0.0</v>
      </c>
      <c r="R50" s="2">
        <v>0.0</v>
      </c>
      <c r="S50" s="2">
        <v>0.0</v>
      </c>
      <c r="T50" s="2">
        <v>0.0</v>
      </c>
      <c r="U50" s="5"/>
      <c r="V50" s="55">
        <f>(O50+M50+N50)*1/3</f>
        <v>494.3333333</v>
      </c>
    </row>
    <row r="51" ht="15.75" customHeight="1">
      <c r="A51" s="2" t="s">
        <v>87</v>
      </c>
      <c r="B51" s="2" t="s">
        <v>43</v>
      </c>
      <c r="C51" s="2" t="s">
        <v>22</v>
      </c>
      <c r="D51" s="2" t="s">
        <v>23</v>
      </c>
      <c r="E51" s="2" t="s">
        <v>142</v>
      </c>
      <c r="F51" s="2">
        <v>3.0</v>
      </c>
      <c r="G51" s="2" t="s">
        <v>45</v>
      </c>
      <c r="H51" s="2">
        <v>70.0</v>
      </c>
      <c r="I51" s="2">
        <v>320.0</v>
      </c>
      <c r="J51" s="2">
        <v>14.0</v>
      </c>
      <c r="K51" s="2">
        <v>44.0</v>
      </c>
      <c r="L51" s="2">
        <v>265.0</v>
      </c>
      <c r="M51" s="2">
        <v>48.0</v>
      </c>
      <c r="N51" s="2">
        <v>469.0</v>
      </c>
      <c r="O51" s="2">
        <v>92.0</v>
      </c>
      <c r="P51" s="2">
        <v>615.0</v>
      </c>
      <c r="Q51" s="2">
        <v>0.0</v>
      </c>
      <c r="R51" s="2">
        <v>7.0</v>
      </c>
      <c r="S51" s="2">
        <v>70.0</v>
      </c>
      <c r="T51" s="2">
        <v>9.0</v>
      </c>
      <c r="U51" s="5">
        <f t="shared" ref="U51:U53" si="37">SUM($R51:$T51)/($P51+(SUM($R51:$T51)))</f>
        <v>0.122681883</v>
      </c>
      <c r="V51" s="2">
        <f t="shared" ref="V51:V53" si="38">(O51+M51+N51)</f>
        <v>609</v>
      </c>
      <c r="W51" s="4">
        <f t="shared" ref="W51:W53" si="39">(V$50-V51)/V$50</f>
        <v>-0.2319622387</v>
      </c>
    </row>
    <row r="52" ht="15.75" customHeight="1">
      <c r="A52" s="2" t="s">
        <v>87</v>
      </c>
      <c r="B52" s="2" t="s">
        <v>43</v>
      </c>
      <c r="C52" s="2" t="s">
        <v>22</v>
      </c>
      <c r="D52" s="2" t="s">
        <v>23</v>
      </c>
      <c r="E52" s="2" t="s">
        <v>143</v>
      </c>
      <c r="F52" s="2">
        <v>3.0</v>
      </c>
      <c r="G52" s="2" t="s">
        <v>47</v>
      </c>
      <c r="H52" s="2">
        <v>52.0</v>
      </c>
      <c r="I52" s="2">
        <v>320.0</v>
      </c>
      <c r="J52" s="2">
        <v>8.0</v>
      </c>
      <c r="K52" s="2">
        <v>42.0</v>
      </c>
      <c r="L52" s="2">
        <v>243.0</v>
      </c>
      <c r="M52" s="2">
        <v>61.0</v>
      </c>
      <c r="N52" s="2">
        <v>442.0</v>
      </c>
      <c r="O52" s="2">
        <v>103.0</v>
      </c>
      <c r="P52" s="2">
        <v>584.0</v>
      </c>
      <c r="Q52" s="2">
        <v>0.0</v>
      </c>
      <c r="R52" s="2">
        <v>4.0</v>
      </c>
      <c r="S52" s="2">
        <v>56.0</v>
      </c>
      <c r="T52" s="2">
        <v>12.0</v>
      </c>
      <c r="U52" s="5">
        <f t="shared" si="37"/>
        <v>0.1097560976</v>
      </c>
      <c r="V52" s="2">
        <f t="shared" si="38"/>
        <v>606</v>
      </c>
      <c r="W52" s="4">
        <f t="shared" si="39"/>
        <v>-0.2258934592</v>
      </c>
    </row>
    <row r="53" ht="15.75" customHeight="1">
      <c r="A53" s="2" t="s">
        <v>87</v>
      </c>
      <c r="B53" s="2" t="s">
        <v>43</v>
      </c>
      <c r="C53" s="2" t="s">
        <v>22</v>
      </c>
      <c r="D53" s="2" t="s">
        <v>23</v>
      </c>
      <c r="E53" s="2" t="s">
        <v>144</v>
      </c>
      <c r="F53" s="2">
        <v>3.0</v>
      </c>
      <c r="G53" s="2" t="s">
        <v>51</v>
      </c>
      <c r="H53" s="2">
        <v>59.0</v>
      </c>
      <c r="I53" s="2">
        <v>287.0</v>
      </c>
      <c r="J53" s="2">
        <v>12.0</v>
      </c>
      <c r="K53" s="2">
        <v>32.0</v>
      </c>
      <c r="L53" s="2">
        <v>233.0</v>
      </c>
      <c r="M53" s="2">
        <v>46.0</v>
      </c>
      <c r="N53" s="2">
        <v>435.0</v>
      </c>
      <c r="O53" s="2">
        <v>78.0</v>
      </c>
      <c r="P53" s="2">
        <v>552.0</v>
      </c>
      <c r="Q53" s="2">
        <v>0.0</v>
      </c>
      <c r="R53" s="2">
        <v>2.0</v>
      </c>
      <c r="S53" s="2">
        <v>53.0</v>
      </c>
      <c r="T53" s="2">
        <v>11.0</v>
      </c>
      <c r="U53" s="5">
        <f t="shared" si="37"/>
        <v>0.1067961165</v>
      </c>
      <c r="V53" s="2">
        <f t="shared" si="38"/>
        <v>559</v>
      </c>
      <c r="W53" s="4">
        <f t="shared" si="39"/>
        <v>-0.1308159137</v>
      </c>
    </row>
    <row r="54" ht="15.75" customHeight="1">
      <c r="A54" s="2" t="s">
        <v>157</v>
      </c>
      <c r="B54" s="2" t="s">
        <v>43</v>
      </c>
      <c r="C54" s="2" t="s">
        <v>22</v>
      </c>
      <c r="D54" s="2" t="s">
        <v>133</v>
      </c>
      <c r="E54" s="2" t="s">
        <v>146</v>
      </c>
      <c r="F54" s="2">
        <v>3.0</v>
      </c>
      <c r="G54" s="2" t="s">
        <v>25</v>
      </c>
      <c r="H54" s="2">
        <v>110.0</v>
      </c>
      <c r="I54" s="2">
        <v>355.0</v>
      </c>
      <c r="J54" s="2">
        <v>351.0</v>
      </c>
      <c r="K54" s="2">
        <v>0.0</v>
      </c>
      <c r="L54" s="2">
        <v>115.0</v>
      </c>
      <c r="M54" s="2">
        <v>0.0</v>
      </c>
      <c r="N54" s="2">
        <v>1547.0</v>
      </c>
      <c r="O54" s="2">
        <v>0.0</v>
      </c>
      <c r="P54" s="2">
        <v>826.0</v>
      </c>
      <c r="Q54" s="2">
        <v>0.0</v>
      </c>
      <c r="R54" s="2">
        <v>0.0</v>
      </c>
      <c r="S54" s="2">
        <v>0.0</v>
      </c>
      <c r="T54" s="2">
        <v>0.0</v>
      </c>
      <c r="U54" s="5"/>
      <c r="V54" s="55">
        <f>(O54+M54+N54)*1/3</f>
        <v>515.6666667</v>
      </c>
    </row>
    <row r="55" ht="15.75" customHeight="1">
      <c r="A55" s="2" t="s">
        <v>157</v>
      </c>
      <c r="B55" s="2" t="s">
        <v>43</v>
      </c>
      <c r="C55" s="2" t="s">
        <v>22</v>
      </c>
      <c r="D55" s="2" t="s">
        <v>133</v>
      </c>
      <c r="E55" s="2" t="s">
        <v>147</v>
      </c>
      <c r="F55" s="2">
        <v>3.0</v>
      </c>
      <c r="G55" s="2" t="s">
        <v>45</v>
      </c>
      <c r="H55" s="2">
        <v>72.0</v>
      </c>
      <c r="I55" s="2">
        <v>215.0</v>
      </c>
      <c r="J55" s="2">
        <v>46.0</v>
      </c>
      <c r="K55" s="2">
        <v>23.0</v>
      </c>
      <c r="L55" s="2">
        <v>74.0</v>
      </c>
      <c r="M55" s="2">
        <v>17.0</v>
      </c>
      <c r="N55" s="2">
        <v>643.0</v>
      </c>
      <c r="O55" s="2">
        <v>40.0</v>
      </c>
      <c r="P55" s="2">
        <v>545.0</v>
      </c>
      <c r="Q55" s="2">
        <v>0.0</v>
      </c>
      <c r="R55" s="2">
        <v>15.0</v>
      </c>
      <c r="S55" s="2">
        <v>62.0</v>
      </c>
      <c r="T55" s="2">
        <v>9.0</v>
      </c>
      <c r="U55" s="5">
        <f t="shared" ref="U55:U57" si="40">SUM($R55:$T55)/($P55+(SUM($R55:$T55)))</f>
        <v>0.1362916006</v>
      </c>
      <c r="V55" s="2">
        <f t="shared" ref="V55:V57" si="41">(O55+M55+N55)</f>
        <v>700</v>
      </c>
      <c r="W55" s="4">
        <f t="shared" ref="W55:W57" si="42">(V$54-V55)/V$54</f>
        <v>-0.3574660633</v>
      </c>
    </row>
    <row r="56" ht="15.75" customHeight="1">
      <c r="A56" s="2" t="s">
        <v>157</v>
      </c>
      <c r="B56" s="2" t="s">
        <v>43</v>
      </c>
      <c r="C56" s="2" t="s">
        <v>22</v>
      </c>
      <c r="D56" s="2" t="s">
        <v>133</v>
      </c>
      <c r="E56" s="2" t="s">
        <v>148</v>
      </c>
      <c r="F56" s="2">
        <v>3.0</v>
      </c>
      <c r="G56" s="2" t="s">
        <v>47</v>
      </c>
      <c r="H56" s="2">
        <v>67.0</v>
      </c>
      <c r="I56" s="2">
        <v>214.0</v>
      </c>
      <c r="J56" s="2">
        <v>38.0</v>
      </c>
      <c r="K56" s="2">
        <v>17.0</v>
      </c>
      <c r="L56" s="2">
        <v>83.0</v>
      </c>
      <c r="M56" s="2">
        <v>8.0</v>
      </c>
      <c r="N56" s="2">
        <v>637.0</v>
      </c>
      <c r="O56" s="2">
        <v>25.0</v>
      </c>
      <c r="P56" s="2">
        <v>532.0</v>
      </c>
      <c r="Q56" s="2">
        <v>0.0</v>
      </c>
      <c r="R56" s="2">
        <v>5.0</v>
      </c>
      <c r="S56" s="2">
        <v>54.0</v>
      </c>
      <c r="T56" s="2">
        <v>10.0</v>
      </c>
      <c r="U56" s="5">
        <f t="shared" si="40"/>
        <v>0.1148086522</v>
      </c>
      <c r="V56" s="2">
        <f t="shared" si="41"/>
        <v>670</v>
      </c>
      <c r="W56" s="4">
        <f t="shared" si="42"/>
        <v>-0.2992889463</v>
      </c>
    </row>
    <row r="57" ht="15.75" customHeight="1">
      <c r="A57" s="2" t="s">
        <v>157</v>
      </c>
      <c r="B57" s="2" t="s">
        <v>43</v>
      </c>
      <c r="C57" s="2" t="s">
        <v>22</v>
      </c>
      <c r="D57" s="2" t="s">
        <v>133</v>
      </c>
      <c r="E57" s="2" t="s">
        <v>149</v>
      </c>
      <c r="F57" s="2">
        <v>3.0</v>
      </c>
      <c r="G57" s="2" t="s">
        <v>51</v>
      </c>
      <c r="H57" s="2">
        <v>62.0</v>
      </c>
      <c r="I57" s="2">
        <v>232.0</v>
      </c>
      <c r="J57" s="2">
        <v>18.0</v>
      </c>
      <c r="K57" s="2">
        <v>18.0</v>
      </c>
      <c r="L57" s="2">
        <v>68.0</v>
      </c>
      <c r="M57" s="2">
        <v>12.0</v>
      </c>
      <c r="N57" s="2">
        <v>632.0</v>
      </c>
      <c r="O57" s="2">
        <v>30.0</v>
      </c>
      <c r="P57" s="2">
        <v>521.0</v>
      </c>
      <c r="Q57" s="2">
        <v>0.0</v>
      </c>
      <c r="R57" s="2">
        <v>6.0</v>
      </c>
      <c r="S57" s="2">
        <v>69.0</v>
      </c>
      <c r="T57" s="2">
        <v>12.0</v>
      </c>
      <c r="U57" s="5">
        <f t="shared" si="40"/>
        <v>0.1430921053</v>
      </c>
      <c r="V57" s="2">
        <f t="shared" si="41"/>
        <v>674</v>
      </c>
      <c r="W57" s="4">
        <f t="shared" si="42"/>
        <v>-0.3070458953</v>
      </c>
    </row>
    <row r="58" ht="15.75" customHeight="1">
      <c r="A58" s="2" t="s">
        <v>52</v>
      </c>
      <c r="B58" s="2" t="s">
        <v>21</v>
      </c>
      <c r="C58" s="2" t="s">
        <v>22</v>
      </c>
      <c r="D58" s="2" t="s">
        <v>23</v>
      </c>
      <c r="E58" s="2" t="s">
        <v>159</v>
      </c>
      <c r="F58" s="2">
        <v>3.0</v>
      </c>
      <c r="G58" s="2" t="s">
        <v>25</v>
      </c>
      <c r="H58" s="2">
        <v>46.0</v>
      </c>
      <c r="I58" s="2">
        <v>1505.0</v>
      </c>
      <c r="J58" s="2">
        <v>1209.0</v>
      </c>
      <c r="K58" s="2">
        <v>0.0</v>
      </c>
      <c r="L58" s="2">
        <v>18.0</v>
      </c>
      <c r="M58" s="2">
        <v>0.0</v>
      </c>
      <c r="N58" s="2">
        <v>210.0</v>
      </c>
      <c r="O58" s="2">
        <v>0.0</v>
      </c>
      <c r="P58" s="2">
        <v>996.0</v>
      </c>
      <c r="Q58" s="2">
        <v>0.0</v>
      </c>
      <c r="R58" s="2">
        <v>0.0</v>
      </c>
      <c r="S58" s="2">
        <v>0.0</v>
      </c>
      <c r="T58" s="2">
        <v>0.0</v>
      </c>
      <c r="U58" s="5"/>
      <c r="V58" s="55">
        <f>(O58+M58+N58)*1/3</f>
        <v>70</v>
      </c>
    </row>
    <row r="59" ht="15.75" customHeight="1">
      <c r="A59" s="2" t="s">
        <v>52</v>
      </c>
      <c r="B59" s="2" t="s">
        <v>21</v>
      </c>
      <c r="C59" s="2" t="s">
        <v>22</v>
      </c>
      <c r="D59" s="2" t="s">
        <v>23</v>
      </c>
      <c r="E59" s="2" t="s">
        <v>160</v>
      </c>
      <c r="F59" s="2">
        <v>3.0</v>
      </c>
      <c r="G59" s="2" t="s">
        <v>45</v>
      </c>
      <c r="H59" s="2">
        <v>46.0</v>
      </c>
      <c r="I59" s="2">
        <v>1441.0</v>
      </c>
      <c r="J59" s="2">
        <v>72.0</v>
      </c>
      <c r="K59" s="2">
        <v>251.0</v>
      </c>
      <c r="L59" s="2">
        <v>44.0</v>
      </c>
      <c r="M59" s="2">
        <v>20.0</v>
      </c>
      <c r="N59" s="2">
        <v>84.0</v>
      </c>
      <c r="O59" s="2">
        <v>271.0</v>
      </c>
      <c r="P59" s="2">
        <v>979.0</v>
      </c>
      <c r="Q59" s="2">
        <v>0.0</v>
      </c>
      <c r="R59" s="2">
        <v>6.0</v>
      </c>
      <c r="S59" s="2">
        <v>2.0</v>
      </c>
      <c r="T59" s="2">
        <v>1.0</v>
      </c>
      <c r="U59" s="5">
        <f t="shared" ref="U59:U61" si="43">SUM($R59:$T59)/($P59+(SUM($R59:$T59)))</f>
        <v>0.009109311741</v>
      </c>
      <c r="V59" s="2">
        <f t="shared" ref="V59:V61" si="44">(O59+M59+N59)</f>
        <v>375</v>
      </c>
      <c r="W59" s="4">
        <f t="shared" ref="W59:W61" si="45">(V$58-V59)/V$58</f>
        <v>-4.357142857</v>
      </c>
    </row>
    <row r="60" ht="15.75" customHeight="1">
      <c r="A60" s="2" t="s">
        <v>52</v>
      </c>
      <c r="B60" s="2" t="s">
        <v>21</v>
      </c>
      <c r="C60" s="2" t="s">
        <v>22</v>
      </c>
      <c r="D60" s="2" t="s">
        <v>23</v>
      </c>
      <c r="E60" s="2" t="s">
        <v>161</v>
      </c>
      <c r="F60" s="2">
        <v>3.0</v>
      </c>
      <c r="G60" s="2" t="s">
        <v>47</v>
      </c>
      <c r="H60" s="2">
        <v>29.0</v>
      </c>
      <c r="I60" s="2">
        <v>1388.0</v>
      </c>
      <c r="J60" s="2">
        <v>86.0</v>
      </c>
      <c r="K60" s="2">
        <v>277.0</v>
      </c>
      <c r="L60" s="2">
        <v>27.0</v>
      </c>
      <c r="M60" s="2">
        <v>32.0</v>
      </c>
      <c r="N60" s="2">
        <v>89.0</v>
      </c>
      <c r="O60" s="2">
        <v>309.0</v>
      </c>
      <c r="P60" s="2">
        <v>964.0</v>
      </c>
      <c r="Q60" s="2">
        <v>0.0</v>
      </c>
      <c r="R60" s="2">
        <v>17.0</v>
      </c>
      <c r="S60" s="2">
        <v>2.0</v>
      </c>
      <c r="T60" s="2">
        <v>1.0</v>
      </c>
      <c r="U60" s="5">
        <f t="shared" si="43"/>
        <v>0.02032520325</v>
      </c>
      <c r="V60" s="2">
        <f t="shared" si="44"/>
        <v>430</v>
      </c>
      <c r="W60" s="4">
        <f t="shared" si="45"/>
        <v>-5.142857143</v>
      </c>
    </row>
    <row r="61" ht="15.75" customHeight="1">
      <c r="A61" s="2" t="s">
        <v>52</v>
      </c>
      <c r="B61" s="2" t="s">
        <v>21</v>
      </c>
      <c r="C61" s="2" t="s">
        <v>22</v>
      </c>
      <c r="D61" s="2" t="s">
        <v>23</v>
      </c>
      <c r="E61" s="2" t="s">
        <v>162</v>
      </c>
      <c r="F61" s="2">
        <v>3.0</v>
      </c>
      <c r="G61" s="2" t="s">
        <v>51</v>
      </c>
      <c r="H61" s="2">
        <v>26.0</v>
      </c>
      <c r="I61" s="2">
        <v>1492.0</v>
      </c>
      <c r="J61" s="2">
        <v>58.0</v>
      </c>
      <c r="K61" s="2">
        <v>194.0</v>
      </c>
      <c r="L61" s="2">
        <v>64.0</v>
      </c>
      <c r="M61" s="2">
        <v>10.0</v>
      </c>
      <c r="N61" s="2">
        <v>68.0</v>
      </c>
      <c r="O61" s="2">
        <v>204.0</v>
      </c>
      <c r="P61" s="2">
        <v>956.0</v>
      </c>
      <c r="Q61" s="2">
        <v>0.0</v>
      </c>
      <c r="R61" s="2">
        <v>8.0</v>
      </c>
      <c r="S61" s="2">
        <v>2.0</v>
      </c>
      <c r="T61" s="2">
        <v>3.0</v>
      </c>
      <c r="U61" s="5">
        <f t="shared" si="43"/>
        <v>0.01341589267</v>
      </c>
      <c r="V61" s="2">
        <f t="shared" si="44"/>
        <v>282</v>
      </c>
      <c r="W61" s="4">
        <f t="shared" si="45"/>
        <v>-3.028571429</v>
      </c>
    </row>
    <row r="62" ht="15.75" customHeight="1">
      <c r="A62" s="2" t="s">
        <v>163</v>
      </c>
      <c r="B62" s="2" t="s">
        <v>21</v>
      </c>
      <c r="C62" s="2" t="s">
        <v>22</v>
      </c>
      <c r="D62" s="2" t="s">
        <v>133</v>
      </c>
      <c r="E62" s="2" t="s">
        <v>164</v>
      </c>
      <c r="F62" s="2">
        <v>3.0</v>
      </c>
      <c r="G62" s="2" t="s">
        <v>25</v>
      </c>
      <c r="H62" s="2">
        <v>55.0</v>
      </c>
      <c r="I62" s="2">
        <v>1679.0</v>
      </c>
      <c r="J62" s="2">
        <v>1023.0</v>
      </c>
      <c r="K62" s="2">
        <v>0.0</v>
      </c>
      <c r="L62" s="2">
        <v>25.0</v>
      </c>
      <c r="M62" s="2">
        <v>0.0</v>
      </c>
      <c r="N62" s="2">
        <v>200.0</v>
      </c>
      <c r="O62" s="2">
        <v>0.0</v>
      </c>
      <c r="P62" s="2">
        <v>994.0</v>
      </c>
      <c r="Q62" s="2">
        <v>0.0</v>
      </c>
      <c r="R62" s="2">
        <v>0.0</v>
      </c>
      <c r="S62" s="2">
        <v>0.0</v>
      </c>
      <c r="T62" s="2">
        <v>0.0</v>
      </c>
      <c r="U62" s="5"/>
      <c r="V62" s="55">
        <f>(O62+M62+N62)*1/3</f>
        <v>66.66666667</v>
      </c>
    </row>
    <row r="63" ht="15.75" customHeight="1">
      <c r="A63" s="2" t="s">
        <v>163</v>
      </c>
      <c r="B63" s="2" t="s">
        <v>21</v>
      </c>
      <c r="C63" s="2" t="s">
        <v>22</v>
      </c>
      <c r="D63" s="2" t="s">
        <v>133</v>
      </c>
      <c r="E63" s="2" t="s">
        <v>165</v>
      </c>
      <c r="F63" s="2">
        <v>3.0</v>
      </c>
      <c r="G63" s="2" t="s">
        <v>45</v>
      </c>
      <c r="H63" s="2">
        <v>37.0</v>
      </c>
      <c r="I63" s="2">
        <v>1349.0</v>
      </c>
      <c r="J63" s="2">
        <v>128.0</v>
      </c>
      <c r="K63" s="2">
        <v>274.0</v>
      </c>
      <c r="L63" s="2">
        <v>16.0</v>
      </c>
      <c r="M63" s="2">
        <v>22.0</v>
      </c>
      <c r="N63" s="2">
        <v>104.0</v>
      </c>
      <c r="O63" s="2">
        <v>296.0</v>
      </c>
      <c r="P63" s="2">
        <v>965.0</v>
      </c>
      <c r="Q63" s="2">
        <v>0.0</v>
      </c>
      <c r="R63" s="2">
        <v>5.0</v>
      </c>
      <c r="S63" s="2">
        <v>4.0</v>
      </c>
      <c r="T63" s="2">
        <v>2.0</v>
      </c>
      <c r="U63" s="5">
        <f t="shared" ref="U63:U65" si="46">SUM($R63:$T63)/($P63+(SUM($R63:$T63)))</f>
        <v>0.0112704918</v>
      </c>
      <c r="V63" s="2">
        <f t="shared" ref="V63:V65" si="47">(O63+M63+N63)</f>
        <v>422</v>
      </c>
      <c r="W63" s="4">
        <f t="shared" ref="W63:W65" si="48">(V$62-V63)/V$62</f>
        <v>-5.33</v>
      </c>
    </row>
    <row r="64" ht="15.75" customHeight="1">
      <c r="A64" s="2" t="s">
        <v>163</v>
      </c>
      <c r="B64" s="2" t="s">
        <v>21</v>
      </c>
      <c r="C64" s="2" t="s">
        <v>22</v>
      </c>
      <c r="D64" s="2" t="s">
        <v>133</v>
      </c>
      <c r="E64" s="2" t="s">
        <v>166</v>
      </c>
      <c r="F64" s="2">
        <v>3.0</v>
      </c>
      <c r="G64" s="2" t="s">
        <v>47</v>
      </c>
      <c r="H64" s="2">
        <v>28.0</v>
      </c>
      <c r="I64" s="2">
        <v>1317.0</v>
      </c>
      <c r="J64" s="2">
        <v>94.0</v>
      </c>
      <c r="K64" s="2">
        <v>299.0</v>
      </c>
      <c r="L64" s="2">
        <v>36.0</v>
      </c>
      <c r="M64" s="2">
        <v>18.0</v>
      </c>
      <c r="N64" s="2">
        <v>90.0</v>
      </c>
      <c r="O64" s="2">
        <v>317.0</v>
      </c>
      <c r="P64" s="2">
        <v>941.0</v>
      </c>
      <c r="Q64" s="2">
        <v>0.0</v>
      </c>
      <c r="R64" s="2">
        <v>29.0</v>
      </c>
      <c r="S64" s="2">
        <v>3.0</v>
      </c>
      <c r="T64" s="2">
        <v>1.0</v>
      </c>
      <c r="U64" s="5">
        <f t="shared" si="46"/>
        <v>0.03388090349</v>
      </c>
      <c r="V64" s="2">
        <f t="shared" si="47"/>
        <v>425</v>
      </c>
      <c r="W64" s="4">
        <f t="shared" si="48"/>
        <v>-5.375</v>
      </c>
    </row>
    <row r="65" ht="15.75" customHeight="1">
      <c r="A65" s="2" t="s">
        <v>163</v>
      </c>
      <c r="B65" s="2" t="s">
        <v>21</v>
      </c>
      <c r="C65" s="2" t="s">
        <v>22</v>
      </c>
      <c r="D65" s="2" t="s">
        <v>133</v>
      </c>
      <c r="E65" s="2" t="s">
        <v>167</v>
      </c>
      <c r="F65" s="2">
        <v>3.0</v>
      </c>
      <c r="G65" s="2" t="s">
        <v>51</v>
      </c>
      <c r="H65" s="2">
        <v>30.0</v>
      </c>
      <c r="I65" s="2">
        <v>1380.0</v>
      </c>
      <c r="J65" s="2">
        <v>86.0</v>
      </c>
      <c r="K65" s="2">
        <v>270.0</v>
      </c>
      <c r="L65" s="2">
        <v>36.0</v>
      </c>
      <c r="M65" s="2">
        <v>10.0</v>
      </c>
      <c r="N65" s="2">
        <v>98.0</v>
      </c>
      <c r="O65" s="2">
        <v>280.0</v>
      </c>
      <c r="P65" s="2">
        <v>955.0</v>
      </c>
      <c r="Q65" s="2">
        <v>0.0</v>
      </c>
      <c r="R65" s="2">
        <v>13.0</v>
      </c>
      <c r="S65" s="2">
        <v>4.0</v>
      </c>
      <c r="T65" s="2">
        <v>2.0</v>
      </c>
      <c r="U65" s="5">
        <f t="shared" si="46"/>
        <v>0.01950718686</v>
      </c>
      <c r="V65" s="2">
        <f t="shared" si="47"/>
        <v>388</v>
      </c>
      <c r="W65" s="4">
        <f t="shared" si="48"/>
        <v>-4.82</v>
      </c>
    </row>
    <row r="66" ht="15.75" customHeight="1">
      <c r="A66" s="2" t="s">
        <v>77</v>
      </c>
      <c r="B66" s="2" t="s">
        <v>32</v>
      </c>
      <c r="C66" s="2" t="s">
        <v>22</v>
      </c>
      <c r="D66" s="2" t="s">
        <v>23</v>
      </c>
      <c r="E66" s="2" t="s">
        <v>159</v>
      </c>
      <c r="F66" s="2">
        <v>3.0</v>
      </c>
      <c r="G66" s="2" t="s">
        <v>25</v>
      </c>
      <c r="H66" s="2">
        <v>60.0</v>
      </c>
      <c r="I66" s="2">
        <v>1479.0</v>
      </c>
      <c r="J66" s="2">
        <v>1209.0</v>
      </c>
      <c r="K66" s="2">
        <v>0.0</v>
      </c>
      <c r="L66" s="2">
        <v>19.0</v>
      </c>
      <c r="M66" s="2">
        <v>0.0</v>
      </c>
      <c r="N66" s="2">
        <v>215.0</v>
      </c>
      <c r="O66" s="2">
        <v>0.0</v>
      </c>
      <c r="P66" s="2">
        <v>994.0</v>
      </c>
      <c r="Q66" s="2">
        <v>0.0</v>
      </c>
      <c r="R66" s="2">
        <v>0.0</v>
      </c>
      <c r="S66" s="2">
        <v>0.0</v>
      </c>
      <c r="T66" s="2">
        <v>0.0</v>
      </c>
      <c r="U66" s="5"/>
      <c r="V66" s="55">
        <f>(O66+M66+N66)*1/3</f>
        <v>71.66666667</v>
      </c>
    </row>
    <row r="67" ht="15.75" customHeight="1">
      <c r="A67" s="2" t="s">
        <v>77</v>
      </c>
      <c r="B67" s="2" t="s">
        <v>32</v>
      </c>
      <c r="C67" s="2" t="s">
        <v>22</v>
      </c>
      <c r="D67" s="2" t="s">
        <v>23</v>
      </c>
      <c r="E67" s="2" t="s">
        <v>160</v>
      </c>
      <c r="F67" s="2">
        <v>3.0</v>
      </c>
      <c r="G67" s="2" t="s">
        <v>45</v>
      </c>
      <c r="H67" s="2">
        <v>47.0</v>
      </c>
      <c r="I67" s="2">
        <v>1256.0</v>
      </c>
      <c r="J67" s="2">
        <v>106.0</v>
      </c>
      <c r="K67" s="2">
        <v>341.0</v>
      </c>
      <c r="L67" s="2">
        <v>26.0</v>
      </c>
      <c r="M67" s="2">
        <v>8.0</v>
      </c>
      <c r="N67" s="2">
        <v>98.0</v>
      </c>
      <c r="O67" s="2">
        <v>349.0</v>
      </c>
      <c r="P67" s="2">
        <v>941.0</v>
      </c>
      <c r="Q67" s="2">
        <v>0.0</v>
      </c>
      <c r="R67" s="2">
        <v>10.0</v>
      </c>
      <c r="S67" s="2">
        <v>4.0</v>
      </c>
      <c r="T67" s="2">
        <v>9.0</v>
      </c>
      <c r="U67" s="5">
        <f t="shared" ref="U67:U69" si="49">SUM($R67:$T67)/($P67+(SUM($R67:$T67)))</f>
        <v>0.02385892116</v>
      </c>
      <c r="V67" s="2">
        <f t="shared" ref="V67:V69" si="50">(O67+M67+N67)</f>
        <v>455</v>
      </c>
      <c r="W67" s="26">
        <f t="shared" ref="W67:W69" si="51">(V$66-V67)/V$66</f>
        <v>-5.348837209</v>
      </c>
    </row>
    <row r="68" ht="15.75" customHeight="1">
      <c r="A68" s="2" t="s">
        <v>77</v>
      </c>
      <c r="B68" s="2" t="s">
        <v>32</v>
      </c>
      <c r="C68" s="2" t="s">
        <v>22</v>
      </c>
      <c r="D68" s="2" t="s">
        <v>23</v>
      </c>
      <c r="E68" s="2" t="s">
        <v>161</v>
      </c>
      <c r="F68" s="2">
        <v>3.0</v>
      </c>
      <c r="G68" s="2" t="s">
        <v>47</v>
      </c>
      <c r="H68" s="2">
        <v>36.0</v>
      </c>
      <c r="I68" s="2">
        <v>1318.0</v>
      </c>
      <c r="J68" s="2">
        <v>96.0</v>
      </c>
      <c r="K68" s="2">
        <v>230.0</v>
      </c>
      <c r="L68" s="2">
        <v>17.0</v>
      </c>
      <c r="M68" s="2">
        <v>8.0</v>
      </c>
      <c r="N68" s="2">
        <v>97.0</v>
      </c>
      <c r="O68" s="2">
        <v>238.0</v>
      </c>
      <c r="P68" s="2">
        <v>901.0</v>
      </c>
      <c r="Q68" s="2">
        <v>0.0</v>
      </c>
      <c r="R68" s="2">
        <v>43.0</v>
      </c>
      <c r="S68" s="2">
        <v>4.0</v>
      </c>
      <c r="T68" s="2">
        <v>15.0</v>
      </c>
      <c r="U68" s="5">
        <f t="shared" si="49"/>
        <v>0.06438213915</v>
      </c>
      <c r="V68" s="2">
        <f t="shared" si="50"/>
        <v>343</v>
      </c>
      <c r="W68" s="4">
        <f t="shared" si="51"/>
        <v>-3.786046512</v>
      </c>
    </row>
    <row r="69" ht="15.75" customHeight="1">
      <c r="A69" s="2" t="s">
        <v>77</v>
      </c>
      <c r="B69" s="2" t="s">
        <v>32</v>
      </c>
      <c r="C69" s="2" t="s">
        <v>22</v>
      </c>
      <c r="D69" s="2" t="s">
        <v>23</v>
      </c>
      <c r="E69" s="2" t="s">
        <v>162</v>
      </c>
      <c r="F69" s="2">
        <v>3.0</v>
      </c>
      <c r="G69" s="2" t="s">
        <v>51</v>
      </c>
      <c r="H69" s="2">
        <v>41.0</v>
      </c>
      <c r="I69" s="2">
        <v>1378.0</v>
      </c>
      <c r="J69" s="2">
        <v>138.0</v>
      </c>
      <c r="K69" s="2">
        <v>181.0</v>
      </c>
      <c r="L69" s="2">
        <v>19.0</v>
      </c>
      <c r="M69" s="2">
        <v>14.0</v>
      </c>
      <c r="N69" s="2">
        <v>103.0</v>
      </c>
      <c r="O69" s="2">
        <v>195.0</v>
      </c>
      <c r="P69" s="2">
        <v>937.0</v>
      </c>
      <c r="Q69" s="2">
        <v>0.0</v>
      </c>
      <c r="R69" s="2">
        <v>21.0</v>
      </c>
      <c r="S69" s="2">
        <v>4.0</v>
      </c>
      <c r="T69" s="2">
        <v>9.0</v>
      </c>
      <c r="U69" s="5">
        <f t="shared" si="49"/>
        <v>0.03501544799</v>
      </c>
      <c r="V69" s="2">
        <f t="shared" si="50"/>
        <v>312</v>
      </c>
      <c r="W69" s="4">
        <f t="shared" si="51"/>
        <v>-3.353488372</v>
      </c>
    </row>
    <row r="70" ht="15.75" customHeight="1">
      <c r="A70" s="2" t="s">
        <v>173</v>
      </c>
      <c r="B70" s="2" t="s">
        <v>32</v>
      </c>
      <c r="C70" s="2" t="s">
        <v>22</v>
      </c>
      <c r="D70" s="2" t="s">
        <v>133</v>
      </c>
      <c r="E70" s="2" t="s">
        <v>164</v>
      </c>
      <c r="F70" s="2">
        <v>3.0</v>
      </c>
      <c r="G70" s="2" t="s">
        <v>25</v>
      </c>
      <c r="H70" s="2">
        <v>49.0</v>
      </c>
      <c r="I70" s="2">
        <v>1559.0</v>
      </c>
      <c r="J70" s="2">
        <v>1149.0</v>
      </c>
      <c r="K70" s="2">
        <v>0.0</v>
      </c>
      <c r="L70" s="2">
        <v>18.0</v>
      </c>
      <c r="M70" s="2">
        <v>0.0</v>
      </c>
      <c r="N70" s="2">
        <v>213.0</v>
      </c>
      <c r="O70" s="2">
        <v>0.0</v>
      </c>
      <c r="P70" s="2">
        <v>996.0</v>
      </c>
      <c r="Q70" s="2">
        <v>0.0</v>
      </c>
      <c r="R70" s="2">
        <v>0.0</v>
      </c>
      <c r="S70" s="2">
        <v>0.0</v>
      </c>
      <c r="T70" s="2">
        <v>0.0</v>
      </c>
      <c r="U70" s="5"/>
      <c r="V70" s="55">
        <f>(O70+M70+N70)*1/3</f>
        <v>71</v>
      </c>
    </row>
    <row r="71" ht="15.75" customHeight="1">
      <c r="A71" s="2" t="s">
        <v>173</v>
      </c>
      <c r="B71" s="2" t="s">
        <v>32</v>
      </c>
      <c r="C71" s="2" t="s">
        <v>22</v>
      </c>
      <c r="D71" s="2" t="s">
        <v>133</v>
      </c>
      <c r="E71" s="2" t="s">
        <v>165</v>
      </c>
      <c r="F71" s="2">
        <v>3.0</v>
      </c>
      <c r="G71" s="2" t="s">
        <v>45</v>
      </c>
      <c r="H71" s="2">
        <v>27.0</v>
      </c>
      <c r="I71" s="2">
        <v>1334.0</v>
      </c>
      <c r="J71" s="2">
        <v>118.0</v>
      </c>
      <c r="K71" s="2">
        <v>275.0</v>
      </c>
      <c r="L71" s="2">
        <v>8.0</v>
      </c>
      <c r="M71" s="2">
        <v>8.0</v>
      </c>
      <c r="N71" s="2">
        <v>114.0</v>
      </c>
      <c r="O71" s="2">
        <v>283.0</v>
      </c>
      <c r="P71" s="2">
        <v>942.0</v>
      </c>
      <c r="Q71" s="2">
        <v>0.0</v>
      </c>
      <c r="R71" s="2">
        <v>15.0</v>
      </c>
      <c r="S71" s="2">
        <v>3.0</v>
      </c>
      <c r="T71" s="2">
        <v>12.0</v>
      </c>
      <c r="U71" s="5">
        <f t="shared" ref="U71:U73" si="52">SUM($R71:$T71)/($P71+(SUM($R71:$T71)))</f>
        <v>0.03086419753</v>
      </c>
      <c r="V71" s="2">
        <f t="shared" ref="V71:V73" si="53">(O71+M71+N71)</f>
        <v>405</v>
      </c>
      <c r="W71" s="4">
        <f t="shared" ref="W71:W73" si="54">(V$70-V71)/V$70</f>
        <v>-4.704225352</v>
      </c>
    </row>
    <row r="72" ht="15.75" customHeight="1">
      <c r="A72" s="2" t="s">
        <v>173</v>
      </c>
      <c r="B72" s="2" t="s">
        <v>32</v>
      </c>
      <c r="C72" s="2" t="s">
        <v>22</v>
      </c>
      <c r="D72" s="2" t="s">
        <v>133</v>
      </c>
      <c r="E72" s="2" t="s">
        <v>166</v>
      </c>
      <c r="F72" s="2">
        <v>3.0</v>
      </c>
      <c r="G72" s="2" t="s">
        <v>47</v>
      </c>
      <c r="H72" s="2">
        <v>25.0</v>
      </c>
      <c r="I72" s="2">
        <v>1350.0</v>
      </c>
      <c r="J72" s="2">
        <v>142.0</v>
      </c>
      <c r="K72" s="2">
        <v>179.0</v>
      </c>
      <c r="L72" s="2">
        <v>6.0</v>
      </c>
      <c r="M72" s="2">
        <v>6.0</v>
      </c>
      <c r="N72" s="2">
        <v>112.0</v>
      </c>
      <c r="O72" s="2">
        <v>185.0</v>
      </c>
      <c r="P72" s="2">
        <v>910.0</v>
      </c>
      <c r="Q72" s="2">
        <v>0.0</v>
      </c>
      <c r="R72" s="2">
        <v>42.0</v>
      </c>
      <c r="S72" s="2">
        <v>3.0</v>
      </c>
      <c r="T72" s="2">
        <v>15.0</v>
      </c>
      <c r="U72" s="5">
        <f t="shared" si="52"/>
        <v>0.0618556701</v>
      </c>
      <c r="V72" s="2">
        <f t="shared" si="53"/>
        <v>303</v>
      </c>
      <c r="W72" s="4">
        <f t="shared" si="54"/>
        <v>-3.267605634</v>
      </c>
    </row>
    <row r="73" ht="15.75" customHeight="1">
      <c r="A73" s="2" t="s">
        <v>173</v>
      </c>
      <c r="B73" s="2" t="s">
        <v>32</v>
      </c>
      <c r="C73" s="2" t="s">
        <v>22</v>
      </c>
      <c r="D73" s="2" t="s">
        <v>133</v>
      </c>
      <c r="E73" s="2" t="s">
        <v>167</v>
      </c>
      <c r="F73" s="2">
        <v>3.0</v>
      </c>
      <c r="G73" s="2" t="s">
        <v>51</v>
      </c>
      <c r="H73" s="2">
        <v>38.0</v>
      </c>
      <c r="I73" s="2">
        <v>1349.0</v>
      </c>
      <c r="J73" s="2">
        <v>108.0</v>
      </c>
      <c r="K73" s="2">
        <v>215.0</v>
      </c>
      <c r="L73" s="2">
        <v>10.0</v>
      </c>
      <c r="M73" s="2">
        <v>5.0</v>
      </c>
      <c r="N73" s="2">
        <v>111.0</v>
      </c>
      <c r="O73" s="2">
        <v>220.0</v>
      </c>
      <c r="P73" s="2">
        <v>918.0</v>
      </c>
      <c r="Q73" s="2">
        <v>0.0</v>
      </c>
      <c r="R73" s="2">
        <v>36.0</v>
      </c>
      <c r="S73" s="2">
        <v>3.0</v>
      </c>
      <c r="T73" s="2">
        <v>15.0</v>
      </c>
      <c r="U73" s="5">
        <f t="shared" si="52"/>
        <v>0.05555555556</v>
      </c>
      <c r="V73" s="2">
        <f t="shared" si="53"/>
        <v>336</v>
      </c>
      <c r="W73" s="4">
        <f t="shared" si="54"/>
        <v>-3.732394366</v>
      </c>
    </row>
    <row r="74" ht="15.75" customHeight="1">
      <c r="A74" s="3" t="s">
        <v>114</v>
      </c>
      <c r="B74" s="3" t="s">
        <v>113</v>
      </c>
      <c r="C74" s="3" t="s">
        <v>22</v>
      </c>
      <c r="D74" s="3" t="s">
        <v>23</v>
      </c>
      <c r="E74" s="3" t="s">
        <v>159</v>
      </c>
      <c r="F74" s="3">
        <v>3.0</v>
      </c>
      <c r="G74" s="3" t="s">
        <v>25</v>
      </c>
      <c r="H74" s="3">
        <v>9.0</v>
      </c>
      <c r="I74" s="3">
        <v>510.0</v>
      </c>
      <c r="J74" s="3">
        <v>975.0</v>
      </c>
      <c r="K74" s="3">
        <v>0.0</v>
      </c>
      <c r="L74" s="3">
        <v>5.0</v>
      </c>
      <c r="M74" s="3">
        <v>0.0</v>
      </c>
      <c r="N74" s="3">
        <v>124.0</v>
      </c>
      <c r="O74" s="3">
        <v>0.0</v>
      </c>
      <c r="P74" s="3">
        <v>541.0</v>
      </c>
      <c r="Q74" s="3">
        <v>0.0</v>
      </c>
      <c r="R74" s="3">
        <v>0.0</v>
      </c>
      <c r="S74" s="3">
        <v>0.0</v>
      </c>
      <c r="T74" s="3">
        <v>0.0</v>
      </c>
      <c r="U74" s="19"/>
      <c r="V74" s="55">
        <f>(O74+M74+N74)*1/3</f>
        <v>41.33333333</v>
      </c>
    </row>
    <row r="75" ht="15.75" customHeight="1">
      <c r="A75" s="3" t="s">
        <v>114</v>
      </c>
      <c r="B75" s="3" t="s">
        <v>113</v>
      </c>
      <c r="C75" s="3" t="s">
        <v>22</v>
      </c>
      <c r="D75" s="3" t="s">
        <v>23</v>
      </c>
      <c r="E75" s="3" t="s">
        <v>160</v>
      </c>
      <c r="F75" s="3">
        <v>3.0</v>
      </c>
      <c r="G75" s="3" t="s">
        <v>45</v>
      </c>
      <c r="H75" s="3">
        <v>0.0</v>
      </c>
      <c r="I75" s="3">
        <v>207.0</v>
      </c>
      <c r="J75" s="3">
        <v>18.0</v>
      </c>
      <c r="K75" s="3">
        <v>119.0</v>
      </c>
      <c r="L75" s="3">
        <v>2.0</v>
      </c>
      <c r="M75" s="3">
        <v>4.0</v>
      </c>
      <c r="N75" s="3">
        <v>8.0</v>
      </c>
      <c r="O75" s="3">
        <v>123.0</v>
      </c>
      <c r="P75" s="3">
        <v>179.0</v>
      </c>
      <c r="Q75" s="3">
        <v>0.0</v>
      </c>
      <c r="R75" s="3">
        <v>19.0</v>
      </c>
      <c r="S75" s="3">
        <v>89.0</v>
      </c>
      <c r="T75" s="3">
        <v>7.0</v>
      </c>
      <c r="U75" s="19">
        <f t="shared" ref="U75:U77" si="55">SUM($R75:$T75)/($P75+(SUM($R75:$T75)))</f>
        <v>0.3911564626</v>
      </c>
      <c r="V75" s="2">
        <f t="shared" ref="V75:V77" si="56">(O75+M75+N75)</f>
        <v>135</v>
      </c>
      <c r="W75" s="4">
        <f t="shared" ref="W75:W77" si="57">(V$74-V75)/V$74</f>
        <v>-2.266129032</v>
      </c>
    </row>
    <row r="76" ht="15.75" customHeight="1">
      <c r="A76" s="3" t="s">
        <v>114</v>
      </c>
      <c r="B76" s="3" t="s">
        <v>113</v>
      </c>
      <c r="C76" s="3" t="s">
        <v>22</v>
      </c>
      <c r="D76" s="3" t="s">
        <v>23</v>
      </c>
      <c r="E76" s="3" t="s">
        <v>161</v>
      </c>
      <c r="F76" s="3">
        <v>3.0</v>
      </c>
      <c r="G76" s="3" t="s">
        <v>47</v>
      </c>
      <c r="H76" s="3">
        <v>0.0</v>
      </c>
      <c r="I76" s="3">
        <v>174.0</v>
      </c>
      <c r="J76" s="3">
        <v>18.0</v>
      </c>
      <c r="K76" s="3">
        <v>92.0</v>
      </c>
      <c r="L76" s="3">
        <v>4.0</v>
      </c>
      <c r="M76" s="3">
        <v>8.0</v>
      </c>
      <c r="N76" s="3">
        <v>14.0</v>
      </c>
      <c r="O76" s="3">
        <v>100.0</v>
      </c>
      <c r="P76" s="3">
        <v>155.0</v>
      </c>
      <c r="Q76" s="3">
        <v>0.0</v>
      </c>
      <c r="R76" s="3">
        <v>82.0</v>
      </c>
      <c r="S76" s="3">
        <v>76.0</v>
      </c>
      <c r="T76" s="3">
        <v>8.0</v>
      </c>
      <c r="U76" s="19">
        <f t="shared" si="55"/>
        <v>0.5171339564</v>
      </c>
      <c r="V76" s="2">
        <f t="shared" si="56"/>
        <v>122</v>
      </c>
      <c r="W76" s="4">
        <f t="shared" si="57"/>
        <v>-1.951612903</v>
      </c>
    </row>
    <row r="77" ht="15.75" customHeight="1">
      <c r="A77" s="3" t="s">
        <v>114</v>
      </c>
      <c r="B77" s="3" t="s">
        <v>113</v>
      </c>
      <c r="C77" s="3" t="s">
        <v>22</v>
      </c>
      <c r="D77" s="3" t="s">
        <v>23</v>
      </c>
      <c r="E77" s="3" t="s">
        <v>162</v>
      </c>
      <c r="F77" s="3">
        <v>3.0</v>
      </c>
      <c r="G77" s="3" t="s">
        <v>51</v>
      </c>
      <c r="H77" s="3">
        <v>1.0</v>
      </c>
      <c r="I77" s="3">
        <v>191.0</v>
      </c>
      <c r="J77" s="3">
        <v>16.0</v>
      </c>
      <c r="K77" s="3">
        <v>116.0</v>
      </c>
      <c r="L77" s="3">
        <v>12.0</v>
      </c>
      <c r="M77" s="3">
        <v>7.0</v>
      </c>
      <c r="N77" s="3">
        <v>11.0</v>
      </c>
      <c r="O77" s="3">
        <v>123.0</v>
      </c>
      <c r="P77" s="3">
        <v>177.0</v>
      </c>
      <c r="Q77" s="3">
        <v>0.0</v>
      </c>
      <c r="R77" s="3">
        <v>78.0</v>
      </c>
      <c r="S77" s="3">
        <v>65.0</v>
      </c>
      <c r="T77" s="3">
        <v>8.0</v>
      </c>
      <c r="U77" s="19">
        <f t="shared" si="55"/>
        <v>0.4603658537</v>
      </c>
      <c r="V77" s="2">
        <f t="shared" si="56"/>
        <v>141</v>
      </c>
      <c r="W77" s="4">
        <f t="shared" si="57"/>
        <v>-2.411290323</v>
      </c>
    </row>
    <row r="78" ht="15.75" customHeight="1">
      <c r="A78" s="2" t="s">
        <v>88</v>
      </c>
      <c r="B78" s="2" t="s">
        <v>43</v>
      </c>
      <c r="C78" s="2" t="s">
        <v>22</v>
      </c>
      <c r="D78" s="2" t="s">
        <v>23</v>
      </c>
      <c r="E78" s="2" t="s">
        <v>159</v>
      </c>
      <c r="F78" s="2">
        <v>3.0</v>
      </c>
      <c r="G78" s="2" t="s">
        <v>25</v>
      </c>
      <c r="H78" s="2">
        <v>16.0</v>
      </c>
      <c r="I78" s="2">
        <v>734.0</v>
      </c>
      <c r="J78" s="2">
        <v>1275.0</v>
      </c>
      <c r="K78" s="2">
        <v>0.0</v>
      </c>
      <c r="L78" s="2">
        <v>27.0</v>
      </c>
      <c r="M78" s="2">
        <v>0.0</v>
      </c>
      <c r="N78" s="2">
        <v>138.0</v>
      </c>
      <c r="O78" s="2">
        <v>0.0</v>
      </c>
      <c r="P78" s="2">
        <v>730.0</v>
      </c>
      <c r="Q78" s="2">
        <v>0.0</v>
      </c>
      <c r="R78" s="2">
        <v>0.0</v>
      </c>
      <c r="S78" s="2">
        <v>0.0</v>
      </c>
      <c r="T78" s="2">
        <v>0.0</v>
      </c>
      <c r="U78" s="5"/>
      <c r="V78" s="3">
        <f>(O78+M78+N78)*1/3</f>
        <v>46</v>
      </c>
    </row>
    <row r="79" ht="15.75" customHeight="1">
      <c r="A79" s="2" t="s">
        <v>88</v>
      </c>
      <c r="B79" s="2" t="s">
        <v>43</v>
      </c>
      <c r="C79" s="2" t="s">
        <v>22</v>
      </c>
      <c r="D79" s="2" t="s">
        <v>23</v>
      </c>
      <c r="E79" s="2" t="s">
        <v>160</v>
      </c>
      <c r="F79" s="2">
        <v>3.0</v>
      </c>
      <c r="G79" s="2" t="s">
        <v>45</v>
      </c>
      <c r="H79" s="2">
        <v>8.0</v>
      </c>
      <c r="I79" s="2">
        <v>711.0</v>
      </c>
      <c r="J79" s="2">
        <v>42.0</v>
      </c>
      <c r="K79" s="2">
        <v>119.0</v>
      </c>
      <c r="L79" s="2">
        <v>4.0</v>
      </c>
      <c r="M79" s="2">
        <v>6.0</v>
      </c>
      <c r="N79" s="2">
        <v>50.0</v>
      </c>
      <c r="O79" s="2">
        <v>125.0</v>
      </c>
      <c r="P79" s="2">
        <v>470.0</v>
      </c>
      <c r="Q79" s="2">
        <v>0.0</v>
      </c>
      <c r="R79" s="2">
        <v>8.0</v>
      </c>
      <c r="S79" s="2">
        <v>122.0</v>
      </c>
      <c r="T79" s="2">
        <v>1.0</v>
      </c>
      <c r="U79" s="5">
        <f t="shared" ref="U79:U81" si="58">SUM($R79:$T79)/($P79+(SUM($R79:$T79)))</f>
        <v>0.2179700499</v>
      </c>
      <c r="V79" s="2">
        <f t="shared" ref="V79:V81" si="59">(O79+M79+N79)</f>
        <v>181</v>
      </c>
      <c r="W79" s="4">
        <f t="shared" ref="W79:W81" si="60">(V$78-V79)/V$78</f>
        <v>-2.934782609</v>
      </c>
    </row>
    <row r="80" ht="15.75" customHeight="1">
      <c r="A80" s="2" t="s">
        <v>88</v>
      </c>
      <c r="B80" s="2" t="s">
        <v>43</v>
      </c>
      <c r="C80" s="2" t="s">
        <v>22</v>
      </c>
      <c r="D80" s="2" t="s">
        <v>23</v>
      </c>
      <c r="E80" s="2" t="s">
        <v>161</v>
      </c>
      <c r="F80" s="2">
        <v>3.0</v>
      </c>
      <c r="G80" s="2" t="s">
        <v>47</v>
      </c>
      <c r="H80" s="2">
        <v>8.0</v>
      </c>
      <c r="I80" s="2">
        <v>751.0</v>
      </c>
      <c r="J80" s="2">
        <v>32.0</v>
      </c>
      <c r="K80" s="2">
        <v>85.0</v>
      </c>
      <c r="L80" s="2">
        <v>8.0</v>
      </c>
      <c r="M80" s="2">
        <v>8.0</v>
      </c>
      <c r="N80" s="2">
        <v>50.0</v>
      </c>
      <c r="O80" s="2">
        <v>93.0</v>
      </c>
      <c r="P80" s="2">
        <v>471.0</v>
      </c>
      <c r="Q80" s="2">
        <v>0.0</v>
      </c>
      <c r="R80" s="2">
        <v>15.0</v>
      </c>
      <c r="S80" s="2">
        <v>114.0</v>
      </c>
      <c r="T80" s="2">
        <v>2.0</v>
      </c>
      <c r="U80" s="5">
        <f t="shared" si="58"/>
        <v>0.2176079734</v>
      </c>
      <c r="V80" s="2">
        <f t="shared" si="59"/>
        <v>151</v>
      </c>
      <c r="W80" s="4">
        <f t="shared" si="60"/>
        <v>-2.282608696</v>
      </c>
    </row>
    <row r="81" ht="15.75" customHeight="1">
      <c r="A81" s="2" t="s">
        <v>88</v>
      </c>
      <c r="B81" s="2" t="s">
        <v>43</v>
      </c>
      <c r="C81" s="2" t="s">
        <v>22</v>
      </c>
      <c r="D81" s="2" t="s">
        <v>23</v>
      </c>
      <c r="E81" s="2" t="s">
        <v>162</v>
      </c>
      <c r="F81" s="2">
        <v>3.0</v>
      </c>
      <c r="G81" s="2" t="s">
        <v>51</v>
      </c>
      <c r="H81" s="2">
        <v>8.0</v>
      </c>
      <c r="I81" s="2">
        <v>741.0</v>
      </c>
      <c r="J81" s="2">
        <v>30.0</v>
      </c>
      <c r="K81" s="2">
        <v>75.0</v>
      </c>
      <c r="L81" s="2">
        <v>10.0</v>
      </c>
      <c r="M81" s="2">
        <v>2.0</v>
      </c>
      <c r="N81" s="2">
        <v>44.0</v>
      </c>
      <c r="O81" s="2">
        <v>77.0</v>
      </c>
      <c r="P81" s="2">
        <v>455.0</v>
      </c>
      <c r="Q81" s="2">
        <v>0.0</v>
      </c>
      <c r="R81" s="2">
        <v>13.0</v>
      </c>
      <c r="S81" s="2">
        <v>109.0</v>
      </c>
      <c r="T81" s="2">
        <v>1.0</v>
      </c>
      <c r="U81" s="5">
        <f t="shared" si="58"/>
        <v>0.2128027682</v>
      </c>
      <c r="V81" s="2">
        <f t="shared" si="59"/>
        <v>123</v>
      </c>
      <c r="W81" s="4">
        <f t="shared" si="60"/>
        <v>-1.673913043</v>
      </c>
    </row>
    <row r="82" ht="15.75" customHeight="1">
      <c r="A82" s="2" t="s">
        <v>181</v>
      </c>
      <c r="B82" s="2" t="s">
        <v>43</v>
      </c>
      <c r="C82" s="2" t="s">
        <v>22</v>
      </c>
      <c r="D82" s="2" t="s">
        <v>133</v>
      </c>
      <c r="E82" s="2" t="s">
        <v>164</v>
      </c>
      <c r="F82" s="2">
        <v>3.0</v>
      </c>
      <c r="G82" s="2" t="s">
        <v>25</v>
      </c>
      <c r="H82" s="2">
        <v>15.0</v>
      </c>
      <c r="I82" s="2">
        <v>786.0</v>
      </c>
      <c r="J82" s="2">
        <v>1209.0</v>
      </c>
      <c r="K82" s="2">
        <v>0.0</v>
      </c>
      <c r="L82" s="2">
        <v>12.0</v>
      </c>
      <c r="M82" s="2">
        <v>0.0</v>
      </c>
      <c r="N82" s="2">
        <v>144.0</v>
      </c>
      <c r="O82" s="2">
        <v>0.0</v>
      </c>
      <c r="P82" s="2">
        <v>722.0</v>
      </c>
      <c r="Q82" s="2">
        <v>0.0</v>
      </c>
      <c r="R82" s="2">
        <v>0.0</v>
      </c>
      <c r="S82" s="2">
        <v>0.0</v>
      </c>
      <c r="T82" s="2">
        <v>0.0</v>
      </c>
      <c r="U82" s="5"/>
      <c r="V82" s="3">
        <f>(O82+M82+N82)*1/3</f>
        <v>48</v>
      </c>
    </row>
    <row r="83" ht="15.75" customHeight="1">
      <c r="A83" s="2" t="s">
        <v>181</v>
      </c>
      <c r="B83" s="2" t="s">
        <v>43</v>
      </c>
      <c r="C83" s="2" t="s">
        <v>22</v>
      </c>
      <c r="D83" s="2" t="s">
        <v>133</v>
      </c>
      <c r="E83" s="2" t="s">
        <v>165</v>
      </c>
      <c r="F83" s="2">
        <v>3.0</v>
      </c>
      <c r="G83" s="2" t="s">
        <v>45</v>
      </c>
      <c r="H83" s="2">
        <v>9.0</v>
      </c>
      <c r="I83" s="2">
        <v>666.0</v>
      </c>
      <c r="J83" s="2">
        <v>84.0</v>
      </c>
      <c r="K83" s="2">
        <v>59.0</v>
      </c>
      <c r="L83" s="2">
        <v>5.0</v>
      </c>
      <c r="M83" s="2">
        <v>0.0</v>
      </c>
      <c r="N83" s="2">
        <v>53.0</v>
      </c>
      <c r="O83" s="2">
        <v>59.0</v>
      </c>
      <c r="P83" s="2">
        <v>438.0</v>
      </c>
      <c r="Q83" s="2">
        <v>0.0</v>
      </c>
      <c r="R83" s="2">
        <v>10.0</v>
      </c>
      <c r="S83" s="2">
        <v>91.0</v>
      </c>
      <c r="T83" s="2">
        <v>1.0</v>
      </c>
      <c r="U83" s="5">
        <f t="shared" ref="U83:U85" si="61">SUM($R83:$T83)/($P83+(SUM($R83:$T83)))</f>
        <v>0.1888888889</v>
      </c>
      <c r="V83" s="2">
        <f t="shared" ref="V83:V85" si="62">(O83+M83+N83)</f>
        <v>112</v>
      </c>
      <c r="W83" s="26">
        <f t="shared" ref="W83:W85" si="63">(V$82-V83)/V$82</f>
        <v>-1.333333333</v>
      </c>
    </row>
    <row r="84" ht="15.75" customHeight="1">
      <c r="A84" s="2" t="s">
        <v>181</v>
      </c>
      <c r="B84" s="2" t="s">
        <v>43</v>
      </c>
      <c r="C84" s="2" t="s">
        <v>22</v>
      </c>
      <c r="D84" s="2" t="s">
        <v>133</v>
      </c>
      <c r="E84" s="2" t="s">
        <v>166</v>
      </c>
      <c r="F84" s="2">
        <v>3.0</v>
      </c>
      <c r="G84" s="2" t="s">
        <v>47</v>
      </c>
      <c r="H84" s="2">
        <v>10.0</v>
      </c>
      <c r="I84" s="2">
        <v>677.0</v>
      </c>
      <c r="J84" s="2">
        <v>56.0</v>
      </c>
      <c r="K84" s="2">
        <v>59.0</v>
      </c>
      <c r="L84" s="2">
        <v>10.0</v>
      </c>
      <c r="M84" s="2">
        <v>2.0</v>
      </c>
      <c r="N84" s="2">
        <v>56.0</v>
      </c>
      <c r="O84" s="2">
        <v>61.0</v>
      </c>
      <c r="P84" s="2">
        <v>435.0</v>
      </c>
      <c r="Q84" s="2">
        <v>0.0</v>
      </c>
      <c r="R84" s="2">
        <v>8.0</v>
      </c>
      <c r="S84" s="2">
        <v>103.0</v>
      </c>
      <c r="T84" s="2">
        <v>0.0</v>
      </c>
      <c r="U84" s="5">
        <f t="shared" si="61"/>
        <v>0.2032967033</v>
      </c>
      <c r="V84" s="2">
        <f t="shared" si="62"/>
        <v>119</v>
      </c>
      <c r="W84" s="26">
        <f t="shared" si="63"/>
        <v>-1.479166667</v>
      </c>
    </row>
    <row r="85" ht="15.75" customHeight="1">
      <c r="A85" s="2" t="s">
        <v>181</v>
      </c>
      <c r="B85" s="2" t="s">
        <v>43</v>
      </c>
      <c r="C85" s="2" t="s">
        <v>22</v>
      </c>
      <c r="D85" s="2" t="s">
        <v>133</v>
      </c>
      <c r="E85" s="2" t="s">
        <v>167</v>
      </c>
      <c r="F85" s="2">
        <v>3.0</v>
      </c>
      <c r="G85" s="2" t="s">
        <v>51</v>
      </c>
      <c r="H85" s="2">
        <v>9.0</v>
      </c>
      <c r="I85" s="2">
        <v>642.0</v>
      </c>
      <c r="J85" s="2">
        <v>64.0</v>
      </c>
      <c r="K85" s="2">
        <v>79.0</v>
      </c>
      <c r="L85" s="2">
        <v>3.0</v>
      </c>
      <c r="M85" s="2">
        <v>1.0</v>
      </c>
      <c r="N85" s="2">
        <v>60.0</v>
      </c>
      <c r="O85" s="2">
        <v>80.0</v>
      </c>
      <c r="P85" s="2">
        <v>429.0</v>
      </c>
      <c r="Q85" s="2">
        <v>0.0</v>
      </c>
      <c r="R85" s="2">
        <v>10.0</v>
      </c>
      <c r="S85" s="2">
        <v>83.0</v>
      </c>
      <c r="T85" s="2">
        <v>0.0</v>
      </c>
      <c r="U85" s="5">
        <f t="shared" si="61"/>
        <v>0.1781609195</v>
      </c>
      <c r="V85" s="2">
        <f t="shared" si="62"/>
        <v>141</v>
      </c>
      <c r="W85" s="26">
        <f t="shared" si="63"/>
        <v>-1.9375</v>
      </c>
    </row>
    <row r="86" ht="15.75" customHeight="1">
      <c r="A86" s="2" t="s">
        <v>59</v>
      </c>
      <c r="B86" s="2" t="s">
        <v>21</v>
      </c>
      <c r="C86" s="2" t="s">
        <v>22</v>
      </c>
      <c r="D86" s="2" t="s">
        <v>23</v>
      </c>
      <c r="E86" s="2" t="s">
        <v>183</v>
      </c>
      <c r="F86" s="2">
        <v>3.0</v>
      </c>
      <c r="G86" s="2" t="s">
        <v>25</v>
      </c>
      <c r="H86" s="2">
        <v>253.0</v>
      </c>
      <c r="I86" s="2">
        <v>365.0</v>
      </c>
      <c r="J86" s="2">
        <v>582.0</v>
      </c>
      <c r="K86" s="2">
        <v>0.0</v>
      </c>
      <c r="L86" s="2">
        <v>273.0</v>
      </c>
      <c r="M86" s="2">
        <v>0.0</v>
      </c>
      <c r="N86" s="2">
        <v>582.0</v>
      </c>
      <c r="O86" s="2">
        <v>0.0</v>
      </c>
      <c r="P86" s="2">
        <v>685.0</v>
      </c>
      <c r="Q86" s="2">
        <v>0.0</v>
      </c>
      <c r="R86" s="2">
        <v>0.0</v>
      </c>
      <c r="S86" s="2">
        <v>0.0</v>
      </c>
      <c r="T86" s="2">
        <v>0.0</v>
      </c>
      <c r="U86" s="5"/>
      <c r="V86" s="3">
        <f>(O86+M86+N86)*1/3</f>
        <v>194</v>
      </c>
    </row>
    <row r="87" ht="15.75" customHeight="1">
      <c r="A87" s="2" t="s">
        <v>59</v>
      </c>
      <c r="B87" s="2" t="s">
        <v>21</v>
      </c>
      <c r="C87" s="2" t="s">
        <v>22</v>
      </c>
      <c r="D87" s="2" t="s">
        <v>23</v>
      </c>
      <c r="E87" s="2" t="s">
        <v>185</v>
      </c>
      <c r="F87" s="2">
        <v>3.0</v>
      </c>
      <c r="G87" s="2" t="s">
        <v>45</v>
      </c>
      <c r="H87" s="2">
        <v>98.0</v>
      </c>
      <c r="I87" s="2">
        <v>424.0</v>
      </c>
      <c r="J87" s="2">
        <v>44.0</v>
      </c>
      <c r="K87" s="2">
        <v>146.0</v>
      </c>
      <c r="L87" s="2">
        <v>151.0</v>
      </c>
      <c r="M87" s="2">
        <v>110.0</v>
      </c>
      <c r="N87" s="2">
        <v>251.0</v>
      </c>
      <c r="O87" s="2">
        <v>256.0</v>
      </c>
      <c r="P87" s="2">
        <v>612.0</v>
      </c>
      <c r="Q87" s="2">
        <v>0.0</v>
      </c>
      <c r="R87" s="2">
        <v>40.0</v>
      </c>
      <c r="S87" s="2">
        <v>2.0</v>
      </c>
      <c r="T87" s="2">
        <v>7.0</v>
      </c>
      <c r="U87" s="5">
        <f t="shared" ref="U87:U89" si="64">SUM($R87:$T87)/($P87+(SUM($R87:$T87)))</f>
        <v>0.0741301059</v>
      </c>
      <c r="V87" s="2">
        <f t="shared" ref="V87:V89" si="65">(O87+M87+N87)</f>
        <v>617</v>
      </c>
      <c r="W87" s="26">
        <f t="shared" ref="W87:W89" si="66">(V$86-V87)/V$86</f>
        <v>-2.180412371</v>
      </c>
    </row>
    <row r="88" ht="15.75" customHeight="1">
      <c r="A88" s="2" t="s">
        <v>59</v>
      </c>
      <c r="B88" s="2" t="s">
        <v>21</v>
      </c>
      <c r="C88" s="2" t="s">
        <v>22</v>
      </c>
      <c r="D88" s="2" t="s">
        <v>23</v>
      </c>
      <c r="E88" s="2" t="s">
        <v>187</v>
      </c>
      <c r="F88" s="2">
        <v>3.0</v>
      </c>
      <c r="G88" s="2" t="s">
        <v>47</v>
      </c>
      <c r="H88" s="2">
        <v>110.0</v>
      </c>
      <c r="I88" s="2">
        <v>364.0</v>
      </c>
      <c r="J88" s="2">
        <v>40.0</v>
      </c>
      <c r="K88" s="2">
        <v>130.0</v>
      </c>
      <c r="L88" s="2">
        <v>58.0</v>
      </c>
      <c r="M88" s="2">
        <v>74.0</v>
      </c>
      <c r="N88" s="2">
        <v>310.0</v>
      </c>
      <c r="O88" s="2">
        <v>204.0</v>
      </c>
      <c r="P88" s="2">
        <v>543.0</v>
      </c>
      <c r="Q88" s="2">
        <v>0.0</v>
      </c>
      <c r="R88" s="2">
        <v>82.0</v>
      </c>
      <c r="S88" s="2">
        <v>2.0</v>
      </c>
      <c r="T88" s="2">
        <v>51.0</v>
      </c>
      <c r="U88" s="5">
        <f t="shared" si="64"/>
        <v>0.1991150442</v>
      </c>
      <c r="V88" s="2">
        <f t="shared" si="65"/>
        <v>588</v>
      </c>
      <c r="W88" s="26">
        <f t="shared" si="66"/>
        <v>-2.030927835</v>
      </c>
    </row>
    <row r="89" ht="15.75" customHeight="1">
      <c r="A89" s="2" t="s">
        <v>59</v>
      </c>
      <c r="B89" s="2" t="s">
        <v>21</v>
      </c>
      <c r="C89" s="2" t="s">
        <v>22</v>
      </c>
      <c r="D89" s="2" t="s">
        <v>23</v>
      </c>
      <c r="E89" s="2" t="s">
        <v>188</v>
      </c>
      <c r="F89" s="2">
        <v>3.0</v>
      </c>
      <c r="G89" s="2" t="s">
        <v>51</v>
      </c>
      <c r="H89" s="2">
        <v>111.0</v>
      </c>
      <c r="I89" s="2">
        <v>370.0</v>
      </c>
      <c r="J89" s="2">
        <v>28.0</v>
      </c>
      <c r="K89" s="2">
        <v>125.0</v>
      </c>
      <c r="L89" s="2">
        <v>97.0</v>
      </c>
      <c r="M89" s="2">
        <v>104.0</v>
      </c>
      <c r="N89" s="2">
        <v>243.0</v>
      </c>
      <c r="O89" s="2">
        <v>229.0</v>
      </c>
      <c r="P89" s="2">
        <v>539.0</v>
      </c>
      <c r="Q89" s="2">
        <v>0.0</v>
      </c>
      <c r="R89" s="2">
        <v>92.0</v>
      </c>
      <c r="S89" s="2">
        <v>2.0</v>
      </c>
      <c r="T89" s="2">
        <v>31.0</v>
      </c>
      <c r="U89" s="5">
        <f t="shared" si="64"/>
        <v>0.188253012</v>
      </c>
      <c r="V89" s="2">
        <f t="shared" si="65"/>
        <v>576</v>
      </c>
      <c r="W89" s="26">
        <f t="shared" si="66"/>
        <v>-1.969072165</v>
      </c>
    </row>
    <row r="90" ht="15.75" customHeight="1">
      <c r="A90" s="2" t="s">
        <v>189</v>
      </c>
      <c r="B90" s="2" t="s">
        <v>21</v>
      </c>
      <c r="C90" s="2" t="s">
        <v>22</v>
      </c>
      <c r="D90" s="2" t="s">
        <v>133</v>
      </c>
      <c r="E90" s="2" t="s">
        <v>190</v>
      </c>
      <c r="F90" s="2">
        <v>3.0</v>
      </c>
      <c r="G90" s="2" t="s">
        <v>25</v>
      </c>
      <c r="H90" s="2">
        <v>226.0</v>
      </c>
      <c r="I90" s="2">
        <v>434.0</v>
      </c>
      <c r="J90" s="2">
        <v>531.0</v>
      </c>
      <c r="K90" s="2">
        <v>0.0</v>
      </c>
      <c r="L90" s="2">
        <v>265.0</v>
      </c>
      <c r="M90" s="2">
        <v>0.0</v>
      </c>
      <c r="N90" s="2">
        <v>581.0</v>
      </c>
      <c r="O90" s="2">
        <v>0.0</v>
      </c>
      <c r="P90" s="2">
        <v>679.0</v>
      </c>
      <c r="Q90" s="2">
        <v>0.0</v>
      </c>
      <c r="R90" s="2">
        <v>0.0</v>
      </c>
      <c r="S90" s="2">
        <v>0.0</v>
      </c>
      <c r="T90" s="2">
        <v>0.0</v>
      </c>
      <c r="U90" s="5"/>
      <c r="V90" s="3">
        <f>(O90+M90)*1/3</f>
        <v>0</v>
      </c>
    </row>
    <row r="91" ht="15.75" customHeight="1">
      <c r="A91" s="2" t="s">
        <v>189</v>
      </c>
      <c r="B91" s="2" t="s">
        <v>21</v>
      </c>
      <c r="C91" s="2" t="s">
        <v>22</v>
      </c>
      <c r="D91" s="2" t="s">
        <v>133</v>
      </c>
      <c r="E91" s="2" t="s">
        <v>192</v>
      </c>
      <c r="F91" s="2">
        <v>3.0</v>
      </c>
      <c r="G91" s="2" t="s">
        <v>45</v>
      </c>
      <c r="H91" s="2">
        <v>107.0</v>
      </c>
      <c r="I91" s="2">
        <v>376.0</v>
      </c>
      <c r="J91" s="2">
        <v>54.0</v>
      </c>
      <c r="K91" s="2">
        <v>165.0</v>
      </c>
      <c r="L91" s="2">
        <v>159.0</v>
      </c>
      <c r="M91" s="2">
        <v>94.0</v>
      </c>
      <c r="N91" s="2">
        <v>259.0</v>
      </c>
      <c r="O91" s="2">
        <v>259.0</v>
      </c>
      <c r="P91" s="2">
        <v>607.0</v>
      </c>
      <c r="Q91" s="2">
        <v>0.0</v>
      </c>
      <c r="R91" s="2">
        <v>41.0</v>
      </c>
      <c r="S91" s="2">
        <v>8.0</v>
      </c>
      <c r="T91" s="2">
        <v>8.0</v>
      </c>
      <c r="U91" s="5">
        <f t="shared" ref="U91:U93" si="67">SUM($R91:$T91)/($P91+(SUM($R91:$T91)))</f>
        <v>0.08584337349</v>
      </c>
      <c r="V91" s="2">
        <f t="shared" ref="V91:V93" si="68">(O91+M91)</f>
        <v>353</v>
      </c>
      <c r="W91" s="4" t="str">
        <f t="shared" ref="W91:W93" si="69">(V$90-V91)/V$90</f>
        <v>#DIV/0!</v>
      </c>
    </row>
    <row r="92" ht="15.75" customHeight="1">
      <c r="A92" s="2" t="s">
        <v>189</v>
      </c>
      <c r="B92" s="2" t="s">
        <v>21</v>
      </c>
      <c r="C92" s="2" t="s">
        <v>22</v>
      </c>
      <c r="D92" s="2" t="s">
        <v>133</v>
      </c>
      <c r="E92" s="2" t="s">
        <v>193</v>
      </c>
      <c r="F92" s="2">
        <v>3.0</v>
      </c>
      <c r="G92" s="2" t="s">
        <v>47</v>
      </c>
      <c r="H92" s="2">
        <v>106.0</v>
      </c>
      <c r="I92" s="2">
        <v>371.0</v>
      </c>
      <c r="J92" s="2">
        <v>64.0</v>
      </c>
      <c r="K92" s="2">
        <v>99.0</v>
      </c>
      <c r="L92" s="2">
        <v>95.0</v>
      </c>
      <c r="M92" s="2">
        <v>80.0</v>
      </c>
      <c r="N92" s="2">
        <v>273.0</v>
      </c>
      <c r="O92" s="2">
        <v>179.0</v>
      </c>
      <c r="P92" s="2">
        <v>544.0</v>
      </c>
      <c r="Q92" s="2">
        <v>0.0</v>
      </c>
      <c r="R92" s="2">
        <v>76.0</v>
      </c>
      <c r="S92" s="2">
        <v>7.0</v>
      </c>
      <c r="T92" s="2">
        <v>30.0</v>
      </c>
      <c r="U92" s="5">
        <f t="shared" si="67"/>
        <v>0.1719939117</v>
      </c>
      <c r="V92" s="2">
        <f t="shared" si="68"/>
        <v>259</v>
      </c>
      <c r="W92" s="4" t="str">
        <f t="shared" si="69"/>
        <v>#DIV/0!</v>
      </c>
    </row>
    <row r="93" ht="15.75" customHeight="1">
      <c r="A93" s="2" t="s">
        <v>189</v>
      </c>
      <c r="B93" s="2" t="s">
        <v>21</v>
      </c>
      <c r="C93" s="2" t="s">
        <v>22</v>
      </c>
      <c r="D93" s="2" t="s">
        <v>133</v>
      </c>
      <c r="E93" s="2" t="s">
        <v>194</v>
      </c>
      <c r="F93" s="2">
        <v>3.0</v>
      </c>
      <c r="G93" s="2" t="s">
        <v>51</v>
      </c>
      <c r="H93" s="2">
        <v>108.0</v>
      </c>
      <c r="I93" s="2">
        <v>354.0</v>
      </c>
      <c r="J93" s="2">
        <v>60.0</v>
      </c>
      <c r="K93" s="2">
        <v>120.0</v>
      </c>
      <c r="L93" s="2">
        <v>76.0</v>
      </c>
      <c r="M93" s="2">
        <v>96.0</v>
      </c>
      <c r="N93" s="2">
        <v>268.0</v>
      </c>
      <c r="O93" s="2">
        <v>216.0</v>
      </c>
      <c r="P93" s="2">
        <v>541.0</v>
      </c>
      <c r="Q93" s="2">
        <v>0.0</v>
      </c>
      <c r="R93" s="2">
        <v>86.0</v>
      </c>
      <c r="S93" s="2">
        <v>7.0</v>
      </c>
      <c r="T93" s="2">
        <v>30.0</v>
      </c>
      <c r="U93" s="5">
        <f t="shared" si="67"/>
        <v>0.1852409639</v>
      </c>
      <c r="V93" s="2">
        <f t="shared" si="68"/>
        <v>312</v>
      </c>
      <c r="W93" s="26" t="str">
        <f t="shared" si="69"/>
        <v>#DIV/0!</v>
      </c>
    </row>
    <row r="94" ht="15.75" customHeight="1">
      <c r="A94" s="2" t="s">
        <v>78</v>
      </c>
      <c r="B94" s="2" t="s">
        <v>32</v>
      </c>
      <c r="C94" s="2" t="s">
        <v>22</v>
      </c>
      <c r="D94" s="2" t="s">
        <v>23</v>
      </c>
      <c r="E94" s="2" t="s">
        <v>183</v>
      </c>
      <c r="F94" s="2">
        <v>3.0</v>
      </c>
      <c r="G94" s="2" t="s">
        <v>25</v>
      </c>
      <c r="H94" s="2">
        <v>89.0</v>
      </c>
      <c r="I94" s="2">
        <v>325.0</v>
      </c>
      <c r="J94" s="2">
        <v>558.0</v>
      </c>
      <c r="K94" s="2">
        <v>0.0</v>
      </c>
      <c r="L94" s="2">
        <v>177.0</v>
      </c>
      <c r="M94" s="2">
        <v>0.0</v>
      </c>
      <c r="N94" s="2">
        <v>894.0</v>
      </c>
      <c r="O94" s="2">
        <v>0.0</v>
      </c>
      <c r="P94" s="2">
        <v>681.0</v>
      </c>
      <c r="Q94" s="2">
        <v>0.0</v>
      </c>
      <c r="R94" s="2">
        <v>0.0</v>
      </c>
      <c r="S94" s="2">
        <v>0.0</v>
      </c>
      <c r="T94" s="2">
        <v>0.0</v>
      </c>
      <c r="U94" s="5"/>
      <c r="V94" s="3">
        <f>(O94+M94)*1/3</f>
        <v>0</v>
      </c>
    </row>
    <row r="95" ht="15.75" customHeight="1">
      <c r="A95" s="2" t="s">
        <v>78</v>
      </c>
      <c r="B95" s="2" t="s">
        <v>32</v>
      </c>
      <c r="C95" s="2" t="s">
        <v>22</v>
      </c>
      <c r="D95" s="2" t="s">
        <v>23</v>
      </c>
      <c r="E95" s="2" t="s">
        <v>185</v>
      </c>
      <c r="F95" s="2">
        <v>3.0</v>
      </c>
      <c r="G95" s="2" t="s">
        <v>45</v>
      </c>
      <c r="H95" s="2">
        <v>51.0</v>
      </c>
      <c r="I95" s="2">
        <v>243.0</v>
      </c>
      <c r="J95" s="2">
        <v>38.0</v>
      </c>
      <c r="K95" s="2">
        <v>114.0</v>
      </c>
      <c r="L95" s="2">
        <v>103.0</v>
      </c>
      <c r="M95" s="2">
        <v>91.0</v>
      </c>
      <c r="N95" s="2">
        <v>452.0</v>
      </c>
      <c r="O95" s="2">
        <v>205.0</v>
      </c>
      <c r="P95" s="2">
        <v>546.0</v>
      </c>
      <c r="Q95" s="2">
        <v>0.0</v>
      </c>
      <c r="R95" s="2">
        <v>44.0</v>
      </c>
      <c r="S95" s="2">
        <v>1.0</v>
      </c>
      <c r="T95" s="2">
        <v>67.0</v>
      </c>
      <c r="U95" s="5">
        <f t="shared" ref="U95:U97" si="70">SUM($R95:$T95)/($P95+(SUM($R95:$T95)))</f>
        <v>0.170212766</v>
      </c>
    </row>
    <row r="96" ht="15.75" customHeight="1">
      <c r="A96" s="2" t="s">
        <v>78</v>
      </c>
      <c r="B96" s="2" t="s">
        <v>32</v>
      </c>
      <c r="C96" s="2" t="s">
        <v>22</v>
      </c>
      <c r="D96" s="2" t="s">
        <v>23</v>
      </c>
      <c r="E96" s="2" t="s">
        <v>187</v>
      </c>
      <c r="F96" s="2">
        <v>3.0</v>
      </c>
      <c r="G96" s="2" t="s">
        <v>47</v>
      </c>
      <c r="H96" s="2">
        <v>43.0</v>
      </c>
      <c r="I96" s="2">
        <v>213.0</v>
      </c>
      <c r="J96" s="2">
        <v>38.0</v>
      </c>
      <c r="K96" s="2">
        <v>60.0</v>
      </c>
      <c r="L96" s="2">
        <v>109.0</v>
      </c>
      <c r="M96" s="2">
        <v>73.0</v>
      </c>
      <c r="N96" s="2">
        <v>424.0</v>
      </c>
      <c r="O96" s="2">
        <v>133.0</v>
      </c>
      <c r="P96" s="2">
        <v>480.0</v>
      </c>
      <c r="Q96" s="2">
        <v>0.0</v>
      </c>
      <c r="R96" s="2">
        <v>50.0</v>
      </c>
      <c r="S96" s="2">
        <v>1.0</v>
      </c>
      <c r="T96" s="2">
        <v>132.0</v>
      </c>
      <c r="U96" s="5">
        <f t="shared" si="70"/>
        <v>0.2760180995</v>
      </c>
    </row>
    <row r="97" ht="15.75" customHeight="1">
      <c r="A97" s="2" t="s">
        <v>78</v>
      </c>
      <c r="B97" s="2" t="s">
        <v>32</v>
      </c>
      <c r="C97" s="2" t="s">
        <v>22</v>
      </c>
      <c r="D97" s="2" t="s">
        <v>23</v>
      </c>
      <c r="E97" s="2" t="s">
        <v>188</v>
      </c>
      <c r="F97" s="2">
        <v>3.0</v>
      </c>
      <c r="G97" s="2" t="s">
        <v>51</v>
      </c>
      <c r="H97" s="2">
        <v>38.0</v>
      </c>
      <c r="I97" s="2">
        <v>226.0</v>
      </c>
      <c r="J97" s="2">
        <v>48.0</v>
      </c>
      <c r="K97" s="2">
        <v>68.0</v>
      </c>
      <c r="L97" s="2">
        <v>86.0</v>
      </c>
      <c r="M97" s="2">
        <v>68.0</v>
      </c>
      <c r="N97" s="2">
        <v>494.0</v>
      </c>
      <c r="O97" s="2">
        <v>136.0</v>
      </c>
      <c r="P97" s="2">
        <v>514.0</v>
      </c>
      <c r="Q97" s="2">
        <v>0.0</v>
      </c>
      <c r="R97" s="2">
        <v>29.0</v>
      </c>
      <c r="S97" s="2">
        <v>1.0</v>
      </c>
      <c r="T97" s="2">
        <v>116.0</v>
      </c>
      <c r="U97" s="5">
        <f t="shared" si="70"/>
        <v>0.2212121212</v>
      </c>
    </row>
    <row r="98" ht="15.75" customHeight="1">
      <c r="A98" s="2" t="s">
        <v>198</v>
      </c>
      <c r="B98" s="2" t="s">
        <v>32</v>
      </c>
      <c r="C98" s="2" t="s">
        <v>22</v>
      </c>
      <c r="D98" s="2" t="s">
        <v>133</v>
      </c>
      <c r="E98" s="2" t="s">
        <v>190</v>
      </c>
      <c r="F98" s="2">
        <v>3.0</v>
      </c>
      <c r="G98" s="2" t="s">
        <v>25</v>
      </c>
      <c r="H98" s="2">
        <v>87.0</v>
      </c>
      <c r="I98" s="2">
        <v>279.0</v>
      </c>
      <c r="J98" s="2">
        <v>606.0</v>
      </c>
      <c r="K98" s="2">
        <v>0.0</v>
      </c>
      <c r="L98" s="2">
        <v>84.0</v>
      </c>
      <c r="M98" s="2">
        <v>0.0</v>
      </c>
      <c r="N98" s="2">
        <v>984.0</v>
      </c>
      <c r="O98" s="2">
        <v>0.0</v>
      </c>
      <c r="P98" s="2">
        <v>680.0</v>
      </c>
      <c r="Q98" s="2">
        <v>0.0</v>
      </c>
      <c r="R98" s="2">
        <v>0.0</v>
      </c>
      <c r="S98" s="2">
        <v>0.0</v>
      </c>
      <c r="T98" s="2">
        <v>0.0</v>
      </c>
      <c r="U98" s="5"/>
    </row>
    <row r="99" ht="15.75" customHeight="1">
      <c r="A99" s="2" t="s">
        <v>198</v>
      </c>
      <c r="B99" s="2" t="s">
        <v>32</v>
      </c>
      <c r="C99" s="2" t="s">
        <v>22</v>
      </c>
      <c r="D99" s="2" t="s">
        <v>133</v>
      </c>
      <c r="E99" s="2" t="s">
        <v>192</v>
      </c>
      <c r="F99" s="2">
        <v>3.0</v>
      </c>
      <c r="G99" s="2" t="s">
        <v>45</v>
      </c>
      <c r="H99" s="2">
        <v>48.0</v>
      </c>
      <c r="I99" s="2">
        <v>261.0</v>
      </c>
      <c r="J99" s="2">
        <v>48.0</v>
      </c>
      <c r="K99" s="2">
        <v>97.0</v>
      </c>
      <c r="L99" s="2">
        <v>100.0</v>
      </c>
      <c r="M99" s="2">
        <v>63.0</v>
      </c>
      <c r="N99" s="2">
        <v>479.0</v>
      </c>
      <c r="O99" s="2">
        <v>160.0</v>
      </c>
      <c r="P99" s="2">
        <v>548.0</v>
      </c>
      <c r="Q99" s="2">
        <v>0.0</v>
      </c>
      <c r="R99" s="2">
        <v>45.0</v>
      </c>
      <c r="S99" s="2">
        <v>2.0</v>
      </c>
      <c r="T99" s="2">
        <v>61.0</v>
      </c>
      <c r="U99" s="5">
        <f t="shared" ref="U99:U101" si="71">SUM($R99:$T99)/($P99+(SUM($R99:$T99)))</f>
        <v>0.1646341463</v>
      </c>
    </row>
    <row r="100" ht="15.75" customHeight="1">
      <c r="A100" s="2" t="s">
        <v>198</v>
      </c>
      <c r="B100" s="2" t="s">
        <v>32</v>
      </c>
      <c r="C100" s="2" t="s">
        <v>22</v>
      </c>
      <c r="D100" s="2" t="s">
        <v>133</v>
      </c>
      <c r="E100" s="2" t="s">
        <v>193</v>
      </c>
      <c r="F100" s="2">
        <v>3.0</v>
      </c>
      <c r="G100" s="2" t="s">
        <v>47</v>
      </c>
      <c r="H100" s="2">
        <v>38.0</v>
      </c>
      <c r="I100" s="2">
        <v>236.0</v>
      </c>
      <c r="J100" s="2">
        <v>50.0</v>
      </c>
      <c r="K100" s="2">
        <v>50.0</v>
      </c>
      <c r="L100" s="2">
        <v>60.0</v>
      </c>
      <c r="M100" s="2">
        <v>48.0</v>
      </c>
      <c r="N100" s="2">
        <v>530.0</v>
      </c>
      <c r="O100" s="2">
        <v>98.0</v>
      </c>
      <c r="P100" s="2">
        <v>506.0</v>
      </c>
      <c r="Q100" s="2">
        <v>0.0</v>
      </c>
      <c r="R100" s="2">
        <v>41.0</v>
      </c>
      <c r="S100" s="2">
        <v>2.0</v>
      </c>
      <c r="T100" s="2">
        <v>116.0</v>
      </c>
      <c r="U100" s="5">
        <f t="shared" si="71"/>
        <v>0.2390977444</v>
      </c>
    </row>
    <row r="101" ht="15.75" customHeight="1">
      <c r="A101" s="2" t="s">
        <v>198</v>
      </c>
      <c r="B101" s="2" t="s">
        <v>32</v>
      </c>
      <c r="C101" s="2" t="s">
        <v>22</v>
      </c>
      <c r="D101" s="2" t="s">
        <v>133</v>
      </c>
      <c r="E101" s="2" t="s">
        <v>194</v>
      </c>
      <c r="F101" s="2">
        <v>3.0</v>
      </c>
      <c r="G101" s="2" t="s">
        <v>51</v>
      </c>
      <c r="H101" s="2">
        <v>45.0</v>
      </c>
      <c r="I101" s="2">
        <v>225.0</v>
      </c>
      <c r="J101" s="2">
        <v>64.0</v>
      </c>
      <c r="K101" s="2">
        <v>60.0</v>
      </c>
      <c r="L101" s="2">
        <v>69.0</v>
      </c>
      <c r="M101" s="2">
        <v>46.0</v>
      </c>
      <c r="N101" s="2">
        <v>521.0</v>
      </c>
      <c r="O101" s="2">
        <v>106.0</v>
      </c>
      <c r="P101" s="2">
        <v>515.0</v>
      </c>
      <c r="Q101" s="2">
        <v>0.0</v>
      </c>
      <c r="R101" s="2">
        <v>33.0</v>
      </c>
      <c r="S101" s="2">
        <v>2.0</v>
      </c>
      <c r="T101" s="2">
        <v>114.0</v>
      </c>
      <c r="U101" s="5">
        <f t="shared" si="71"/>
        <v>0.2243975904</v>
      </c>
    </row>
    <row r="102" ht="15.75" customHeight="1">
      <c r="A102" s="3" t="s">
        <v>116</v>
      </c>
      <c r="B102" s="3" t="s">
        <v>113</v>
      </c>
      <c r="C102" s="3" t="s">
        <v>22</v>
      </c>
      <c r="D102" s="3" t="s">
        <v>23</v>
      </c>
      <c r="E102" s="3" t="s">
        <v>183</v>
      </c>
      <c r="F102" s="3">
        <v>3.0</v>
      </c>
      <c r="G102" s="3" t="s">
        <v>25</v>
      </c>
      <c r="H102" s="3">
        <v>81.0</v>
      </c>
      <c r="I102" s="3">
        <v>129.0</v>
      </c>
      <c r="J102" s="3">
        <v>537.0</v>
      </c>
      <c r="K102" s="3">
        <v>0.0</v>
      </c>
      <c r="L102" s="3">
        <v>39.0</v>
      </c>
      <c r="M102" s="3">
        <v>0.0</v>
      </c>
      <c r="N102" s="3">
        <v>711.0</v>
      </c>
      <c r="O102" s="3">
        <v>0.0</v>
      </c>
      <c r="P102" s="3">
        <v>499.0</v>
      </c>
      <c r="Q102" s="3">
        <v>0.0</v>
      </c>
      <c r="R102" s="3">
        <v>0.0</v>
      </c>
      <c r="S102" s="3">
        <v>0.0</v>
      </c>
      <c r="T102" s="3">
        <v>0.0</v>
      </c>
      <c r="U102" s="19"/>
    </row>
    <row r="103" ht="15.75" customHeight="1">
      <c r="A103" s="3" t="s">
        <v>116</v>
      </c>
      <c r="B103" s="3" t="s">
        <v>113</v>
      </c>
      <c r="C103" s="3" t="s">
        <v>22</v>
      </c>
      <c r="D103" s="3" t="s">
        <v>23</v>
      </c>
      <c r="E103" s="3" t="s">
        <v>185</v>
      </c>
      <c r="F103" s="3">
        <v>3.0</v>
      </c>
      <c r="G103" s="3" t="s">
        <v>45</v>
      </c>
      <c r="H103" s="3">
        <v>12.0</v>
      </c>
      <c r="I103" s="3">
        <v>60.0</v>
      </c>
      <c r="J103" s="3">
        <v>14.0</v>
      </c>
      <c r="K103" s="3">
        <v>64.0</v>
      </c>
      <c r="L103" s="3">
        <v>20.0</v>
      </c>
      <c r="M103" s="3">
        <v>49.0</v>
      </c>
      <c r="N103" s="3">
        <v>123.0</v>
      </c>
      <c r="O103" s="3">
        <v>113.0</v>
      </c>
      <c r="P103" s="3">
        <v>171.0</v>
      </c>
      <c r="Q103" s="3">
        <v>0.0</v>
      </c>
      <c r="R103" s="3">
        <v>44.0</v>
      </c>
      <c r="S103" s="3">
        <v>47.0</v>
      </c>
      <c r="T103" s="3">
        <v>56.0</v>
      </c>
      <c r="U103" s="19">
        <f t="shared" ref="U103:U105" si="72">SUM($R103:$T103)/($P103+(SUM($R103:$T103)))</f>
        <v>0.4622641509</v>
      </c>
    </row>
    <row r="104" ht="15.75" customHeight="1">
      <c r="A104" s="3" t="s">
        <v>116</v>
      </c>
      <c r="B104" s="3" t="s">
        <v>113</v>
      </c>
      <c r="C104" s="3" t="s">
        <v>22</v>
      </c>
      <c r="D104" s="3" t="s">
        <v>23</v>
      </c>
      <c r="E104" s="3" t="s">
        <v>187</v>
      </c>
      <c r="F104" s="3">
        <v>3.0</v>
      </c>
      <c r="G104" s="3" t="s">
        <v>47</v>
      </c>
      <c r="H104" s="3">
        <v>12.0</v>
      </c>
      <c r="I104" s="3">
        <v>46.0</v>
      </c>
      <c r="J104" s="3">
        <v>14.0</v>
      </c>
      <c r="K104" s="3">
        <v>48.0</v>
      </c>
      <c r="L104" s="3">
        <v>15.0</v>
      </c>
      <c r="M104" s="3">
        <v>54.0</v>
      </c>
      <c r="N104" s="3">
        <v>87.0</v>
      </c>
      <c r="O104" s="3">
        <v>102.0</v>
      </c>
      <c r="P104" s="3">
        <v>138.0</v>
      </c>
      <c r="Q104" s="3">
        <v>0.0</v>
      </c>
      <c r="R104" s="3">
        <v>59.0</v>
      </c>
      <c r="S104" s="3">
        <v>38.0</v>
      </c>
      <c r="T104" s="3">
        <v>87.0</v>
      </c>
      <c r="U104" s="19">
        <f t="shared" si="72"/>
        <v>0.5714285714</v>
      </c>
    </row>
    <row r="105" ht="15.75" customHeight="1">
      <c r="A105" s="3" t="s">
        <v>116</v>
      </c>
      <c r="B105" s="3" t="s">
        <v>113</v>
      </c>
      <c r="C105" s="3" t="s">
        <v>22</v>
      </c>
      <c r="D105" s="3" t="s">
        <v>23</v>
      </c>
      <c r="E105" s="3" t="s">
        <v>188</v>
      </c>
      <c r="F105" s="3">
        <v>3.0</v>
      </c>
      <c r="G105" s="3" t="s">
        <v>51</v>
      </c>
      <c r="H105" s="3">
        <v>24.0</v>
      </c>
      <c r="I105" s="3">
        <v>59.0</v>
      </c>
      <c r="J105" s="3">
        <v>10.0</v>
      </c>
      <c r="K105" s="3">
        <v>39.0</v>
      </c>
      <c r="L105" s="3">
        <v>9.0</v>
      </c>
      <c r="M105" s="3">
        <v>45.0</v>
      </c>
      <c r="N105" s="3">
        <v>130.0</v>
      </c>
      <c r="O105" s="3">
        <v>84.0</v>
      </c>
      <c r="P105" s="3">
        <v>158.0</v>
      </c>
      <c r="Q105" s="3">
        <v>0.0</v>
      </c>
      <c r="R105" s="3">
        <v>64.0</v>
      </c>
      <c r="S105" s="3">
        <v>37.0</v>
      </c>
      <c r="T105" s="3">
        <v>95.0</v>
      </c>
      <c r="U105" s="19">
        <f t="shared" si="72"/>
        <v>0.5536723164</v>
      </c>
    </row>
    <row r="106" ht="15.75" customHeight="1">
      <c r="A106" s="2" t="s">
        <v>89</v>
      </c>
      <c r="B106" s="2" t="s">
        <v>43</v>
      </c>
      <c r="C106" s="2" t="s">
        <v>22</v>
      </c>
      <c r="D106" s="2" t="s">
        <v>23</v>
      </c>
      <c r="E106" s="2" t="s">
        <v>183</v>
      </c>
      <c r="F106" s="2">
        <v>3.0</v>
      </c>
      <c r="G106" s="2" t="s">
        <v>25</v>
      </c>
      <c r="H106" s="2">
        <v>85.0</v>
      </c>
      <c r="I106" s="2">
        <v>188.0</v>
      </c>
      <c r="J106" s="2">
        <v>573.0</v>
      </c>
      <c r="K106" s="2">
        <v>0.0</v>
      </c>
      <c r="L106" s="2">
        <v>125.0</v>
      </c>
      <c r="M106" s="2">
        <v>0.0</v>
      </c>
      <c r="N106" s="2">
        <v>523.0</v>
      </c>
      <c r="O106" s="2">
        <v>0.0</v>
      </c>
      <c r="P106" s="2">
        <v>498.0</v>
      </c>
      <c r="Q106" s="2">
        <v>0.0</v>
      </c>
      <c r="R106" s="2">
        <v>0.0</v>
      </c>
      <c r="S106" s="2">
        <v>0.0</v>
      </c>
      <c r="T106" s="2">
        <v>0.0</v>
      </c>
      <c r="U106" s="5"/>
    </row>
    <row r="107" ht="15.75" customHeight="1">
      <c r="A107" s="2" t="s">
        <v>89</v>
      </c>
      <c r="B107" s="2" t="s">
        <v>43</v>
      </c>
      <c r="C107" s="2" t="s">
        <v>22</v>
      </c>
      <c r="D107" s="2" t="s">
        <v>23</v>
      </c>
      <c r="E107" s="2" t="s">
        <v>185</v>
      </c>
      <c r="F107" s="2">
        <v>3.0</v>
      </c>
      <c r="G107" s="2" t="s">
        <v>45</v>
      </c>
      <c r="H107" s="2">
        <v>19.0</v>
      </c>
      <c r="I107" s="2">
        <v>213.0</v>
      </c>
      <c r="J107" s="2">
        <v>40.0</v>
      </c>
      <c r="K107" s="2">
        <v>72.0</v>
      </c>
      <c r="L107" s="2">
        <v>85.0</v>
      </c>
      <c r="M107" s="2">
        <v>50.0</v>
      </c>
      <c r="N107" s="2">
        <v>177.0</v>
      </c>
      <c r="O107" s="2">
        <v>122.0</v>
      </c>
      <c r="P107" s="2">
        <v>328.0</v>
      </c>
      <c r="Q107" s="2">
        <v>0.0</v>
      </c>
      <c r="R107" s="2">
        <v>22.0</v>
      </c>
      <c r="S107" s="2">
        <v>104.0</v>
      </c>
      <c r="T107" s="2">
        <v>18.0</v>
      </c>
      <c r="U107" s="5">
        <f t="shared" ref="U107:U109" si="73">SUM($R107:$T107)/($P107+(SUM($R107:$T107)))</f>
        <v>0.3050847458</v>
      </c>
    </row>
    <row r="108" ht="15.75" customHeight="1">
      <c r="A108" s="2" t="s">
        <v>89</v>
      </c>
      <c r="B108" s="2" t="s">
        <v>43</v>
      </c>
      <c r="C108" s="2" t="s">
        <v>22</v>
      </c>
      <c r="D108" s="2" t="s">
        <v>23</v>
      </c>
      <c r="E108" s="2" t="s">
        <v>187</v>
      </c>
      <c r="F108" s="2">
        <v>3.0</v>
      </c>
      <c r="G108" s="2" t="s">
        <v>47</v>
      </c>
      <c r="H108" s="2">
        <v>28.0</v>
      </c>
      <c r="I108" s="2">
        <v>231.0</v>
      </c>
      <c r="J108" s="2">
        <v>32.0</v>
      </c>
      <c r="K108" s="2">
        <v>53.0</v>
      </c>
      <c r="L108" s="2">
        <v>43.0</v>
      </c>
      <c r="M108" s="2">
        <v>27.0</v>
      </c>
      <c r="N108" s="2">
        <v>222.0</v>
      </c>
      <c r="O108" s="2">
        <v>80.0</v>
      </c>
      <c r="P108" s="2">
        <v>318.0</v>
      </c>
      <c r="Q108" s="2">
        <v>0.0</v>
      </c>
      <c r="R108" s="2">
        <v>14.0</v>
      </c>
      <c r="S108" s="2">
        <v>116.0</v>
      </c>
      <c r="T108" s="2">
        <v>57.0</v>
      </c>
      <c r="U108" s="5">
        <f t="shared" si="73"/>
        <v>0.3702970297</v>
      </c>
    </row>
    <row r="109" ht="15.75" customHeight="1">
      <c r="A109" s="2" t="s">
        <v>89</v>
      </c>
      <c r="B109" s="2" t="s">
        <v>43</v>
      </c>
      <c r="C109" s="2" t="s">
        <v>22</v>
      </c>
      <c r="D109" s="2" t="s">
        <v>23</v>
      </c>
      <c r="E109" s="2" t="s">
        <v>188</v>
      </c>
      <c r="F109" s="2">
        <v>3.0</v>
      </c>
      <c r="G109" s="2" t="s">
        <v>51</v>
      </c>
      <c r="H109" s="2">
        <v>24.0</v>
      </c>
      <c r="I109" s="2">
        <v>204.0</v>
      </c>
      <c r="J109" s="2">
        <v>20.0</v>
      </c>
      <c r="K109" s="2">
        <v>54.0</v>
      </c>
      <c r="L109" s="2">
        <v>34.0</v>
      </c>
      <c r="M109" s="2">
        <v>40.0</v>
      </c>
      <c r="N109" s="2">
        <v>184.0</v>
      </c>
      <c r="O109" s="2">
        <v>94.0</v>
      </c>
      <c r="P109" s="2">
        <v>280.0</v>
      </c>
      <c r="Q109" s="2">
        <v>0.0</v>
      </c>
      <c r="R109" s="2">
        <v>19.0</v>
      </c>
      <c r="S109" s="2">
        <v>104.0</v>
      </c>
      <c r="T109" s="2">
        <v>62.0</v>
      </c>
      <c r="U109" s="5">
        <f t="shared" si="73"/>
        <v>0.3978494624</v>
      </c>
    </row>
    <row r="110" ht="15.75" customHeight="1">
      <c r="A110" s="2" t="s">
        <v>200</v>
      </c>
      <c r="B110" s="2" t="s">
        <v>43</v>
      </c>
      <c r="C110" s="2" t="s">
        <v>22</v>
      </c>
      <c r="D110" s="2" t="s">
        <v>133</v>
      </c>
      <c r="E110" s="2" t="s">
        <v>190</v>
      </c>
      <c r="F110" s="2">
        <v>3.0</v>
      </c>
      <c r="G110" s="2" t="s">
        <v>25</v>
      </c>
      <c r="H110" s="2">
        <v>87.0</v>
      </c>
      <c r="I110" s="2">
        <v>222.0</v>
      </c>
      <c r="J110" s="2">
        <v>519.0</v>
      </c>
      <c r="K110" s="2">
        <v>0.0</v>
      </c>
      <c r="L110" s="2">
        <v>76.0</v>
      </c>
      <c r="M110" s="2">
        <v>0.0</v>
      </c>
      <c r="N110" s="2">
        <v>626.0</v>
      </c>
      <c r="O110" s="2">
        <v>0.0</v>
      </c>
      <c r="P110" s="2">
        <v>510.0</v>
      </c>
      <c r="Q110" s="2">
        <v>0.0</v>
      </c>
      <c r="R110" s="2">
        <v>0.0</v>
      </c>
      <c r="S110" s="2">
        <v>0.0</v>
      </c>
      <c r="T110" s="2">
        <v>0.0</v>
      </c>
      <c r="U110" s="5"/>
    </row>
    <row r="111" ht="15.75" customHeight="1">
      <c r="A111" s="2" t="s">
        <v>200</v>
      </c>
      <c r="B111" s="2" t="s">
        <v>43</v>
      </c>
      <c r="C111" s="2" t="s">
        <v>22</v>
      </c>
      <c r="D111" s="2" t="s">
        <v>133</v>
      </c>
      <c r="E111" s="2" t="s">
        <v>192</v>
      </c>
      <c r="F111" s="2">
        <v>3.0</v>
      </c>
      <c r="G111" s="2" t="s">
        <v>45</v>
      </c>
      <c r="H111" s="2">
        <v>26.0</v>
      </c>
      <c r="I111" s="2">
        <v>211.0</v>
      </c>
      <c r="J111" s="2">
        <v>60.0</v>
      </c>
      <c r="K111" s="2">
        <v>37.0</v>
      </c>
      <c r="L111" s="2">
        <v>40.0</v>
      </c>
      <c r="M111" s="2">
        <v>31.0</v>
      </c>
      <c r="N111" s="2">
        <v>269.0</v>
      </c>
      <c r="O111" s="2">
        <v>68.0</v>
      </c>
      <c r="P111" s="2">
        <v>337.0</v>
      </c>
      <c r="Q111" s="2">
        <v>0.0</v>
      </c>
      <c r="R111" s="2">
        <v>20.0</v>
      </c>
      <c r="S111" s="2">
        <v>62.0</v>
      </c>
      <c r="T111" s="2">
        <v>15.0</v>
      </c>
      <c r="U111" s="5">
        <f t="shared" ref="U111:U113" si="74">SUM($R111:$T111)/($P111+(SUM($R111:$T111)))</f>
        <v>0.2235023041</v>
      </c>
    </row>
    <row r="112" ht="15.75" customHeight="1">
      <c r="A112" s="2" t="s">
        <v>200</v>
      </c>
      <c r="B112" s="2" t="s">
        <v>43</v>
      </c>
      <c r="C112" s="2" t="s">
        <v>22</v>
      </c>
      <c r="D112" s="2" t="s">
        <v>133</v>
      </c>
      <c r="E112" s="2" t="s">
        <v>193</v>
      </c>
      <c r="F112" s="2">
        <v>3.0</v>
      </c>
      <c r="G112" s="2" t="s">
        <v>47</v>
      </c>
      <c r="H112" s="2">
        <v>34.0</v>
      </c>
      <c r="I112" s="2">
        <v>246.0</v>
      </c>
      <c r="J112" s="2">
        <v>32.0</v>
      </c>
      <c r="K112" s="2">
        <v>30.0</v>
      </c>
      <c r="L112" s="2">
        <v>51.0</v>
      </c>
      <c r="M112" s="2">
        <v>39.0</v>
      </c>
      <c r="N112" s="2">
        <v>228.0</v>
      </c>
      <c r="O112" s="2">
        <v>69.0</v>
      </c>
      <c r="P112" s="2">
        <v>330.0</v>
      </c>
      <c r="Q112" s="2">
        <v>0.0</v>
      </c>
      <c r="R112" s="2">
        <v>13.0</v>
      </c>
      <c r="S112" s="2">
        <v>76.0</v>
      </c>
      <c r="T112" s="2">
        <v>22.0</v>
      </c>
      <c r="U112" s="5">
        <f t="shared" si="74"/>
        <v>0.2517006803</v>
      </c>
    </row>
    <row r="113" ht="15.75" customHeight="1">
      <c r="A113" s="2" t="s">
        <v>200</v>
      </c>
      <c r="B113" s="2" t="s">
        <v>43</v>
      </c>
      <c r="C113" s="2" t="s">
        <v>22</v>
      </c>
      <c r="D113" s="2" t="s">
        <v>133</v>
      </c>
      <c r="E113" s="2" t="s">
        <v>194</v>
      </c>
      <c r="F113" s="2">
        <v>3.0</v>
      </c>
      <c r="G113" s="2" t="s">
        <v>51</v>
      </c>
      <c r="H113" s="2">
        <v>30.0</v>
      </c>
      <c r="I113" s="2">
        <v>207.0</v>
      </c>
      <c r="J113" s="2">
        <v>28.0</v>
      </c>
      <c r="K113" s="2">
        <v>39.0</v>
      </c>
      <c r="L113" s="2">
        <v>39.0</v>
      </c>
      <c r="M113" s="2">
        <v>47.0</v>
      </c>
      <c r="N113" s="2">
        <v>218.0</v>
      </c>
      <c r="O113" s="2">
        <v>86.0</v>
      </c>
      <c r="P113" s="2">
        <v>304.0</v>
      </c>
      <c r="Q113" s="2">
        <v>0.0</v>
      </c>
      <c r="R113" s="2">
        <v>21.0</v>
      </c>
      <c r="S113" s="2">
        <v>70.0</v>
      </c>
      <c r="T113" s="2">
        <v>31.0</v>
      </c>
      <c r="U113" s="5">
        <f t="shared" si="74"/>
        <v>0.2863849765</v>
      </c>
    </row>
    <row r="114" ht="15.75" customHeight="1">
      <c r="A114" s="10" t="s">
        <v>91</v>
      </c>
      <c r="B114" s="10" t="s">
        <v>43</v>
      </c>
      <c r="C114" s="10" t="s">
        <v>22</v>
      </c>
      <c r="D114" s="10" t="s">
        <v>23</v>
      </c>
      <c r="E114" s="10" t="s">
        <v>70</v>
      </c>
      <c r="F114" s="10">
        <v>3.0</v>
      </c>
      <c r="G114" s="10" t="s">
        <v>25</v>
      </c>
      <c r="H114" s="10">
        <v>38.0</v>
      </c>
      <c r="I114" s="10">
        <v>7.0</v>
      </c>
      <c r="J114" s="10">
        <v>87.0</v>
      </c>
      <c r="K114" s="10">
        <v>0.0</v>
      </c>
      <c r="L114" s="10">
        <v>40.0</v>
      </c>
      <c r="M114" s="10">
        <v>0.0</v>
      </c>
      <c r="N114" s="10">
        <v>263.0</v>
      </c>
      <c r="O114" s="10">
        <v>0.0</v>
      </c>
      <c r="P114" s="10">
        <v>145.0</v>
      </c>
      <c r="Q114" s="10">
        <v>0.0</v>
      </c>
      <c r="R114" s="10">
        <v>0.0</v>
      </c>
      <c r="S114" s="10">
        <v>0.0</v>
      </c>
      <c r="T114" s="10">
        <v>0.0</v>
      </c>
      <c r="U114" s="73"/>
    </row>
    <row r="115" ht="15.75" customHeight="1">
      <c r="A115" s="2" t="s">
        <v>91</v>
      </c>
      <c r="B115" s="2" t="s">
        <v>43</v>
      </c>
      <c r="C115" s="2" t="s">
        <v>22</v>
      </c>
      <c r="D115" s="2" t="s">
        <v>23</v>
      </c>
      <c r="E115" s="2" t="s">
        <v>115</v>
      </c>
      <c r="F115" s="2">
        <v>3.0</v>
      </c>
      <c r="G115" s="2" t="s">
        <v>94</v>
      </c>
      <c r="H115" s="2">
        <v>16.0</v>
      </c>
      <c r="I115" s="2">
        <v>5.0</v>
      </c>
      <c r="J115" s="2">
        <v>2.0</v>
      </c>
      <c r="K115" s="2">
        <v>2.0</v>
      </c>
      <c r="L115" s="2">
        <v>32.0</v>
      </c>
      <c r="M115" s="2">
        <v>7.0</v>
      </c>
      <c r="N115" s="2">
        <v>19.0</v>
      </c>
      <c r="O115" s="2">
        <v>9.0</v>
      </c>
      <c r="P115" s="2">
        <v>83.0</v>
      </c>
      <c r="Q115" s="2">
        <v>0.0</v>
      </c>
      <c r="R115" s="2">
        <v>8.0</v>
      </c>
      <c r="S115" s="2">
        <v>26.0</v>
      </c>
      <c r="T115" s="2">
        <v>1.0</v>
      </c>
      <c r="U115" s="75">
        <f t="shared" ref="U115:U117" si="75">SUM($R115:$T115)/($P115+(SUM($R115:$T115)))</f>
        <v>0.2966101695</v>
      </c>
    </row>
    <row r="116" ht="15.75" customHeight="1">
      <c r="A116" s="2" t="s">
        <v>91</v>
      </c>
      <c r="B116" s="2" t="s">
        <v>43</v>
      </c>
      <c r="C116" s="2" t="s">
        <v>22</v>
      </c>
      <c r="D116" s="2" t="s">
        <v>23</v>
      </c>
      <c r="E116" s="2" t="s">
        <v>118</v>
      </c>
      <c r="F116" s="2">
        <v>3.0</v>
      </c>
      <c r="G116" s="2" t="s">
        <v>96</v>
      </c>
      <c r="H116" s="2">
        <v>12.0</v>
      </c>
      <c r="I116" s="2">
        <v>8.0</v>
      </c>
      <c r="J116" s="2">
        <v>0.0</v>
      </c>
      <c r="K116" s="2">
        <v>3.0</v>
      </c>
      <c r="L116" s="2">
        <v>36.0</v>
      </c>
      <c r="M116" s="2">
        <v>13.0</v>
      </c>
      <c r="N116" s="2">
        <v>18.0</v>
      </c>
      <c r="O116" s="2">
        <v>16.0</v>
      </c>
      <c r="P116" s="2">
        <v>90.0</v>
      </c>
      <c r="Q116" s="2">
        <v>0.0</v>
      </c>
      <c r="R116" s="2">
        <v>5.0</v>
      </c>
      <c r="S116" s="2">
        <v>34.0</v>
      </c>
      <c r="T116" s="2">
        <v>2.0</v>
      </c>
      <c r="U116" s="5">
        <f t="shared" si="75"/>
        <v>0.3129770992</v>
      </c>
    </row>
    <row r="117" ht="15.75" customHeight="1">
      <c r="A117" s="2" t="s">
        <v>91</v>
      </c>
      <c r="B117" s="2" t="s">
        <v>43</v>
      </c>
      <c r="C117" s="2" t="s">
        <v>22</v>
      </c>
      <c r="D117" s="2" t="s">
        <v>23</v>
      </c>
      <c r="E117" s="2" t="s">
        <v>120</v>
      </c>
      <c r="F117" s="2">
        <v>3.0</v>
      </c>
      <c r="G117" s="2" t="s">
        <v>98</v>
      </c>
      <c r="H117" s="2">
        <v>18.0</v>
      </c>
      <c r="I117" s="2">
        <v>13.0</v>
      </c>
      <c r="J117" s="2">
        <v>0.0</v>
      </c>
      <c r="K117" s="2">
        <v>1.0</v>
      </c>
      <c r="L117" s="2">
        <v>33.0</v>
      </c>
      <c r="M117" s="2">
        <v>4.0</v>
      </c>
      <c r="N117" s="2">
        <v>36.0</v>
      </c>
      <c r="O117" s="2">
        <v>5.0</v>
      </c>
      <c r="P117" s="2">
        <v>105.0</v>
      </c>
      <c r="Q117" s="2">
        <v>0.0</v>
      </c>
      <c r="R117" s="2">
        <v>3.0</v>
      </c>
      <c r="S117" s="2">
        <v>35.0</v>
      </c>
      <c r="T117" s="2">
        <v>5.0</v>
      </c>
      <c r="U117" s="5">
        <f t="shared" si="75"/>
        <v>0.2905405405</v>
      </c>
    </row>
    <row r="118" ht="15.75" customHeight="1">
      <c r="A118" s="2" t="s">
        <v>80</v>
      </c>
      <c r="B118" s="2" t="s">
        <v>32</v>
      </c>
      <c r="C118" s="2" t="s">
        <v>22</v>
      </c>
      <c r="D118" s="2" t="s">
        <v>23</v>
      </c>
      <c r="E118" s="2" t="s">
        <v>70</v>
      </c>
      <c r="F118" s="2">
        <v>3.0</v>
      </c>
      <c r="G118" s="2" t="s">
        <v>25</v>
      </c>
      <c r="H118" s="2">
        <v>109.0</v>
      </c>
      <c r="I118" s="2">
        <v>155.0</v>
      </c>
      <c r="J118" s="2">
        <v>141.0</v>
      </c>
      <c r="K118" s="2">
        <v>0.0</v>
      </c>
      <c r="L118" s="2">
        <v>34.0</v>
      </c>
      <c r="M118" s="2">
        <v>0.0</v>
      </c>
      <c r="N118" s="2">
        <v>149.0</v>
      </c>
      <c r="O118" s="2">
        <v>0.0</v>
      </c>
      <c r="P118" s="2">
        <v>196.0</v>
      </c>
      <c r="Q118" s="2">
        <v>0.0</v>
      </c>
      <c r="R118" s="2">
        <v>0.0</v>
      </c>
      <c r="S118" s="2">
        <v>0.0</v>
      </c>
      <c r="T118" s="2">
        <v>0.0</v>
      </c>
      <c r="U118" s="5"/>
    </row>
    <row r="119" ht="15.75" customHeight="1">
      <c r="A119" s="2" t="s">
        <v>80</v>
      </c>
      <c r="B119" s="2" t="s">
        <v>32</v>
      </c>
      <c r="C119" s="2" t="s">
        <v>22</v>
      </c>
      <c r="D119" s="2" t="s">
        <v>23</v>
      </c>
      <c r="E119" s="2" t="s">
        <v>115</v>
      </c>
      <c r="F119" s="2">
        <v>3.0</v>
      </c>
      <c r="G119" s="2" t="s">
        <v>94</v>
      </c>
      <c r="H119" s="2">
        <v>20.0</v>
      </c>
      <c r="I119" s="2">
        <v>27.0</v>
      </c>
      <c r="J119" s="2">
        <v>2.0</v>
      </c>
      <c r="K119" s="2">
        <v>44.0</v>
      </c>
      <c r="L119" s="2">
        <v>13.0</v>
      </c>
      <c r="M119" s="2">
        <v>13.0</v>
      </c>
      <c r="N119" s="2">
        <v>24.0</v>
      </c>
      <c r="O119" s="2">
        <v>57.0</v>
      </c>
      <c r="P119" s="2">
        <v>143.0</v>
      </c>
      <c r="Q119" s="2">
        <v>0.0</v>
      </c>
      <c r="R119" s="2">
        <v>10.0</v>
      </c>
      <c r="S119" s="2">
        <v>1.0</v>
      </c>
      <c r="T119" s="2">
        <v>64.0</v>
      </c>
      <c r="U119" s="5">
        <f t="shared" ref="U119:U121" si="76">SUM($R119:$T119)/($P119+(SUM($R119:$T119)))</f>
        <v>0.3440366972</v>
      </c>
    </row>
    <row r="120" ht="15.75" customHeight="1">
      <c r="A120" s="2" t="s">
        <v>80</v>
      </c>
      <c r="B120" s="2" t="s">
        <v>32</v>
      </c>
      <c r="C120" s="2" t="s">
        <v>22</v>
      </c>
      <c r="D120" s="2" t="s">
        <v>23</v>
      </c>
      <c r="E120" s="2" t="s">
        <v>118</v>
      </c>
      <c r="F120" s="2">
        <v>3.0</v>
      </c>
      <c r="G120" s="2" t="s">
        <v>96</v>
      </c>
      <c r="H120" s="2">
        <v>9.0</v>
      </c>
      <c r="I120" s="2">
        <v>32.0</v>
      </c>
      <c r="J120" s="2">
        <v>2.0</v>
      </c>
      <c r="K120" s="2">
        <v>36.0</v>
      </c>
      <c r="L120" s="2">
        <v>9.0</v>
      </c>
      <c r="M120" s="2">
        <v>17.0</v>
      </c>
      <c r="N120" s="2">
        <v>22.0</v>
      </c>
      <c r="O120" s="2">
        <v>53.0</v>
      </c>
      <c r="P120" s="2">
        <v>127.0</v>
      </c>
      <c r="Q120" s="2">
        <v>0.0</v>
      </c>
      <c r="R120" s="2">
        <v>13.0</v>
      </c>
      <c r="S120" s="2">
        <v>1.0</v>
      </c>
      <c r="T120" s="2">
        <v>77.0</v>
      </c>
      <c r="U120" s="5">
        <f t="shared" si="76"/>
        <v>0.4174311927</v>
      </c>
    </row>
    <row r="121" ht="15.75" customHeight="1">
      <c r="A121" s="2" t="s">
        <v>80</v>
      </c>
      <c r="B121" s="2" t="s">
        <v>32</v>
      </c>
      <c r="C121" s="2" t="s">
        <v>22</v>
      </c>
      <c r="D121" s="2" t="s">
        <v>23</v>
      </c>
      <c r="E121" s="2" t="s">
        <v>120</v>
      </c>
      <c r="F121" s="2">
        <v>3.0</v>
      </c>
      <c r="G121" s="2" t="s">
        <v>98</v>
      </c>
      <c r="H121" s="2">
        <v>16.0</v>
      </c>
      <c r="I121" s="2">
        <v>27.0</v>
      </c>
      <c r="J121" s="2">
        <v>1.0</v>
      </c>
      <c r="K121" s="2">
        <v>16.0</v>
      </c>
      <c r="L121" s="2">
        <v>4.0</v>
      </c>
      <c r="M121" s="2">
        <v>12.0</v>
      </c>
      <c r="N121" s="2">
        <v>24.0</v>
      </c>
      <c r="O121" s="2">
        <v>28.0</v>
      </c>
      <c r="P121" s="2">
        <v>100.0</v>
      </c>
      <c r="Q121" s="2">
        <v>0.0</v>
      </c>
      <c r="R121" s="2">
        <v>23.0</v>
      </c>
      <c r="S121" s="2">
        <v>1.0</v>
      </c>
      <c r="T121" s="2">
        <v>135.0</v>
      </c>
      <c r="U121" s="5">
        <f t="shared" si="76"/>
        <v>0.6138996139</v>
      </c>
    </row>
    <row r="122" ht="15.75" customHeight="1">
      <c r="A122" s="3" t="s">
        <v>119</v>
      </c>
      <c r="B122" s="3" t="s">
        <v>113</v>
      </c>
      <c r="C122" s="3" t="s">
        <v>22</v>
      </c>
      <c r="D122" s="3" t="s">
        <v>23</v>
      </c>
      <c r="E122" s="3" t="s">
        <v>127</v>
      </c>
      <c r="F122" s="3">
        <v>3.0</v>
      </c>
      <c r="G122" s="3" t="s">
        <v>25</v>
      </c>
      <c r="H122" s="3">
        <v>46.0</v>
      </c>
      <c r="I122" s="3">
        <v>20.0</v>
      </c>
      <c r="J122" s="3">
        <v>156.0</v>
      </c>
      <c r="K122" s="3">
        <v>0.0</v>
      </c>
      <c r="L122" s="3">
        <v>41.0</v>
      </c>
      <c r="M122" s="3">
        <v>0.0</v>
      </c>
      <c r="N122" s="3">
        <v>235.0</v>
      </c>
      <c r="O122" s="3">
        <v>0.0</v>
      </c>
      <c r="P122" s="3">
        <v>166.0</v>
      </c>
      <c r="Q122" s="3">
        <v>0.0</v>
      </c>
      <c r="R122" s="3">
        <v>0.0</v>
      </c>
      <c r="S122" s="3">
        <v>0.0</v>
      </c>
      <c r="T122" s="3">
        <v>0.0</v>
      </c>
      <c r="U122" s="19"/>
    </row>
    <row r="123" ht="15.75" customHeight="1">
      <c r="A123" s="3" t="s">
        <v>119</v>
      </c>
      <c r="B123" s="3" t="s">
        <v>113</v>
      </c>
      <c r="C123" s="3" t="s">
        <v>22</v>
      </c>
      <c r="D123" s="3" t="s">
        <v>23</v>
      </c>
      <c r="E123" s="3" t="s">
        <v>204</v>
      </c>
      <c r="F123" s="3">
        <v>3.0</v>
      </c>
      <c r="G123" s="3" t="s">
        <v>94</v>
      </c>
      <c r="H123" s="3">
        <v>1.0</v>
      </c>
      <c r="I123" s="3">
        <v>4.0</v>
      </c>
      <c r="J123" s="3">
        <v>0.0</v>
      </c>
      <c r="K123" s="3">
        <v>12.0</v>
      </c>
      <c r="L123" s="3">
        <v>4.0</v>
      </c>
      <c r="M123" s="3">
        <v>11.0</v>
      </c>
      <c r="N123" s="3">
        <v>9.0</v>
      </c>
      <c r="O123" s="3">
        <v>23.0</v>
      </c>
      <c r="P123" s="3">
        <v>41.0</v>
      </c>
      <c r="Q123" s="3">
        <v>0.0</v>
      </c>
      <c r="R123" s="3">
        <v>14.0</v>
      </c>
      <c r="S123" s="3">
        <v>4.0</v>
      </c>
      <c r="T123" s="3">
        <v>24.0</v>
      </c>
      <c r="U123" s="19">
        <f t="shared" ref="U123:U125" si="77">SUM($R123:$T123)/($P123+(SUM($R123:$T123)))</f>
        <v>0.5060240964</v>
      </c>
    </row>
    <row r="124" ht="15.75" customHeight="1">
      <c r="A124" s="3" t="s">
        <v>119</v>
      </c>
      <c r="B124" s="3" t="s">
        <v>113</v>
      </c>
      <c r="C124" s="3" t="s">
        <v>22</v>
      </c>
      <c r="D124" s="3" t="s">
        <v>23</v>
      </c>
      <c r="E124" s="3" t="s">
        <v>206</v>
      </c>
      <c r="F124" s="3">
        <v>3.0</v>
      </c>
      <c r="G124" s="3" t="s">
        <v>96</v>
      </c>
      <c r="H124" s="3">
        <v>1.0</v>
      </c>
      <c r="I124" s="3">
        <v>5.0</v>
      </c>
      <c r="J124" s="3">
        <v>0.0</v>
      </c>
      <c r="K124" s="3">
        <v>6.0</v>
      </c>
      <c r="L124" s="3">
        <v>2.0</v>
      </c>
      <c r="M124" s="3">
        <v>17.0</v>
      </c>
      <c r="N124" s="3">
        <v>12.0</v>
      </c>
      <c r="O124" s="3">
        <v>23.0</v>
      </c>
      <c r="P124" s="3">
        <v>43.0</v>
      </c>
      <c r="Q124" s="3">
        <v>0.0</v>
      </c>
      <c r="R124" s="3">
        <v>7.0</v>
      </c>
      <c r="S124" s="3">
        <v>5.0</v>
      </c>
      <c r="T124" s="3">
        <v>17.0</v>
      </c>
      <c r="U124" s="19">
        <f t="shared" si="77"/>
        <v>0.4027777778</v>
      </c>
    </row>
    <row r="125" ht="15.75" customHeight="1">
      <c r="A125" s="3" t="s">
        <v>119</v>
      </c>
      <c r="B125" s="3" t="s">
        <v>113</v>
      </c>
      <c r="C125" s="3" t="s">
        <v>22</v>
      </c>
      <c r="D125" s="3" t="s">
        <v>23</v>
      </c>
      <c r="E125" s="3" t="s">
        <v>207</v>
      </c>
      <c r="F125" s="3">
        <v>3.0</v>
      </c>
      <c r="G125" s="3" t="s">
        <v>98</v>
      </c>
      <c r="H125" s="3">
        <v>2.0</v>
      </c>
      <c r="I125" s="3">
        <v>3.0</v>
      </c>
      <c r="J125" s="3">
        <v>1.0</v>
      </c>
      <c r="K125" s="3">
        <v>5.0</v>
      </c>
      <c r="L125" s="3">
        <v>1.0</v>
      </c>
      <c r="M125" s="3">
        <v>5.0</v>
      </c>
      <c r="N125" s="3">
        <v>8.0</v>
      </c>
      <c r="O125" s="3">
        <v>10.0</v>
      </c>
      <c r="P125" s="3">
        <v>25.0</v>
      </c>
      <c r="Q125" s="3">
        <v>0.0</v>
      </c>
      <c r="R125" s="3">
        <v>11.0</v>
      </c>
      <c r="S125" s="3">
        <v>4.0</v>
      </c>
      <c r="T125" s="3">
        <v>38.0</v>
      </c>
      <c r="U125" s="19">
        <f t="shared" si="77"/>
        <v>0.6794871795</v>
      </c>
    </row>
    <row r="126" ht="15.75" customHeight="1">
      <c r="A126" s="2" t="s">
        <v>69</v>
      </c>
      <c r="B126" s="2" t="s">
        <v>21</v>
      </c>
      <c r="C126" s="2" t="s">
        <v>22</v>
      </c>
      <c r="D126" s="2" t="s">
        <v>23</v>
      </c>
      <c r="E126" s="2" t="s">
        <v>70</v>
      </c>
      <c r="F126" s="2">
        <v>3.0</v>
      </c>
      <c r="G126" s="2" t="s">
        <v>25</v>
      </c>
      <c r="H126" s="2">
        <v>81.0</v>
      </c>
      <c r="I126" s="2">
        <v>6.0</v>
      </c>
      <c r="J126" s="2">
        <v>198.0</v>
      </c>
      <c r="K126" s="2">
        <v>0.0</v>
      </c>
      <c r="L126" s="2">
        <v>49.0</v>
      </c>
      <c r="M126" s="2">
        <v>0.0</v>
      </c>
      <c r="N126" s="2">
        <v>254.0</v>
      </c>
      <c r="O126" s="2">
        <v>0.0</v>
      </c>
      <c r="P126" s="2">
        <v>196.0</v>
      </c>
      <c r="Q126" s="2">
        <v>0.0</v>
      </c>
      <c r="R126" s="2">
        <v>0.0</v>
      </c>
      <c r="S126" s="2">
        <v>0.0</v>
      </c>
      <c r="T126" s="2">
        <v>0.0</v>
      </c>
      <c r="U126" s="5"/>
    </row>
    <row r="127" ht="15.75" customHeight="1">
      <c r="A127" s="2" t="s">
        <v>69</v>
      </c>
      <c r="B127" s="2" t="s">
        <v>21</v>
      </c>
      <c r="C127" s="2" t="s">
        <v>22</v>
      </c>
      <c r="D127" s="2" t="s">
        <v>23</v>
      </c>
      <c r="E127" s="2" t="s">
        <v>115</v>
      </c>
      <c r="F127" s="2">
        <v>3.0</v>
      </c>
      <c r="G127" s="2" t="s">
        <v>94</v>
      </c>
      <c r="H127" s="2">
        <v>7.0</v>
      </c>
      <c r="I127" s="2">
        <v>7.0</v>
      </c>
      <c r="J127" s="2">
        <v>0.0</v>
      </c>
      <c r="K127" s="2">
        <v>8.0</v>
      </c>
      <c r="L127" s="2">
        <v>3.0</v>
      </c>
      <c r="M127" s="2">
        <v>11.0</v>
      </c>
      <c r="N127" s="2">
        <v>61.0</v>
      </c>
      <c r="O127" s="2">
        <v>19.0</v>
      </c>
      <c r="P127" s="2">
        <v>97.0</v>
      </c>
      <c r="Q127" s="2">
        <v>0.0</v>
      </c>
      <c r="R127" s="2">
        <v>79.0</v>
      </c>
      <c r="S127" s="2">
        <v>1.0</v>
      </c>
      <c r="T127" s="2">
        <v>68.0</v>
      </c>
      <c r="U127" s="5">
        <f t="shared" ref="U127:U129" si="78">SUM($R127:$T127)/($P127+(SUM($R127:$T127)))</f>
        <v>0.6040816327</v>
      </c>
    </row>
    <row r="128" ht="15.75" customHeight="1">
      <c r="A128" s="2" t="s">
        <v>69</v>
      </c>
      <c r="B128" s="2" t="s">
        <v>21</v>
      </c>
      <c r="C128" s="2" t="s">
        <v>22</v>
      </c>
      <c r="D128" s="2" t="s">
        <v>23</v>
      </c>
      <c r="E128" s="2" t="s">
        <v>118</v>
      </c>
      <c r="F128" s="2">
        <v>3.0</v>
      </c>
      <c r="G128" s="2" t="s">
        <v>96</v>
      </c>
      <c r="H128" s="2">
        <v>10.0</v>
      </c>
      <c r="I128" s="2">
        <v>2.0</v>
      </c>
      <c r="J128" s="2">
        <v>1.0</v>
      </c>
      <c r="K128" s="2">
        <v>12.0</v>
      </c>
      <c r="L128" s="2">
        <v>2.0</v>
      </c>
      <c r="M128" s="2">
        <v>16.0</v>
      </c>
      <c r="N128" s="2">
        <v>61.0</v>
      </c>
      <c r="O128" s="2">
        <v>28.0</v>
      </c>
      <c r="P128" s="2">
        <v>104.0</v>
      </c>
      <c r="Q128" s="2">
        <v>0.0</v>
      </c>
      <c r="R128" s="2">
        <v>72.0</v>
      </c>
      <c r="S128" s="2">
        <v>1.0</v>
      </c>
      <c r="T128" s="2">
        <v>67.0</v>
      </c>
      <c r="U128" s="5">
        <f t="shared" si="78"/>
        <v>0.5737704918</v>
      </c>
    </row>
    <row r="129" ht="15.75" customHeight="1">
      <c r="A129" s="2" t="s">
        <v>69</v>
      </c>
      <c r="B129" s="2" t="s">
        <v>21</v>
      </c>
      <c r="C129" s="2" t="s">
        <v>22</v>
      </c>
      <c r="D129" s="2" t="s">
        <v>23</v>
      </c>
      <c r="E129" s="2" t="s">
        <v>120</v>
      </c>
      <c r="F129" s="2">
        <v>3.0</v>
      </c>
      <c r="G129" s="2" t="s">
        <v>98</v>
      </c>
      <c r="H129" s="2">
        <v>7.0</v>
      </c>
      <c r="I129" s="2">
        <v>3.0</v>
      </c>
      <c r="J129" s="2">
        <v>1.0</v>
      </c>
      <c r="K129" s="2">
        <v>7.0</v>
      </c>
      <c r="L129" s="2">
        <v>0.0</v>
      </c>
      <c r="M129" s="2">
        <v>17.0</v>
      </c>
      <c r="N129" s="2">
        <v>57.0</v>
      </c>
      <c r="O129" s="2">
        <v>24.0</v>
      </c>
      <c r="P129" s="2">
        <v>92.0</v>
      </c>
      <c r="Q129" s="2">
        <v>0.0</v>
      </c>
      <c r="R129" s="2">
        <v>82.0</v>
      </c>
      <c r="S129" s="2">
        <v>1.0</v>
      </c>
      <c r="T129" s="2">
        <v>84.0</v>
      </c>
      <c r="U129" s="5">
        <f t="shared" si="78"/>
        <v>0.6447876448</v>
      </c>
    </row>
    <row r="130" ht="15.75" customHeight="1">
      <c r="A130" s="2" t="s">
        <v>87</v>
      </c>
      <c r="B130" s="2" t="s">
        <v>43</v>
      </c>
      <c r="C130" s="2" t="s">
        <v>22</v>
      </c>
      <c r="D130" s="2" t="s">
        <v>23</v>
      </c>
      <c r="E130" s="2" t="s">
        <v>41</v>
      </c>
      <c r="F130" s="2">
        <v>3.0</v>
      </c>
      <c r="G130" s="2" t="s">
        <v>25</v>
      </c>
      <c r="H130" s="2">
        <v>162.0</v>
      </c>
      <c r="I130" s="2">
        <v>312.0</v>
      </c>
      <c r="J130" s="2">
        <v>441.0</v>
      </c>
      <c r="K130" s="2">
        <v>0.0</v>
      </c>
      <c r="L130" s="2">
        <v>209.0</v>
      </c>
      <c r="M130" s="2">
        <v>0.0</v>
      </c>
      <c r="N130" s="2">
        <v>1483.0</v>
      </c>
      <c r="O130" s="2">
        <v>0.0</v>
      </c>
      <c r="P130" s="2">
        <v>869.0</v>
      </c>
      <c r="Q130" s="2">
        <v>0.0</v>
      </c>
      <c r="R130" s="2">
        <v>0.0</v>
      </c>
      <c r="S130" s="2">
        <v>0.0</v>
      </c>
      <c r="T130" s="2">
        <v>0.0</v>
      </c>
      <c r="U130" s="5"/>
    </row>
    <row r="131" ht="15.75" customHeight="1">
      <c r="A131" s="2" t="s">
        <v>87</v>
      </c>
      <c r="B131" s="2" t="s">
        <v>43</v>
      </c>
      <c r="C131" s="2" t="s">
        <v>22</v>
      </c>
      <c r="D131" s="2" t="s">
        <v>23</v>
      </c>
      <c r="E131" s="2" t="s">
        <v>93</v>
      </c>
      <c r="F131" s="2">
        <v>3.0</v>
      </c>
      <c r="G131" s="2" t="s">
        <v>94</v>
      </c>
      <c r="H131" s="2">
        <v>20.0</v>
      </c>
      <c r="I131" s="2">
        <v>115.0</v>
      </c>
      <c r="J131" s="2">
        <v>3.0</v>
      </c>
      <c r="K131" s="2">
        <v>28.0</v>
      </c>
      <c r="L131" s="2">
        <v>128.0</v>
      </c>
      <c r="M131" s="2">
        <v>41.0</v>
      </c>
      <c r="N131" s="2">
        <v>152.0</v>
      </c>
      <c r="O131" s="2">
        <v>69.0</v>
      </c>
      <c r="P131" s="2">
        <v>487.0</v>
      </c>
      <c r="Q131" s="2">
        <v>0.0</v>
      </c>
      <c r="R131" s="2">
        <v>4.0</v>
      </c>
      <c r="S131" s="2">
        <v>63.0</v>
      </c>
      <c r="T131" s="2">
        <v>2.0</v>
      </c>
      <c r="U131" s="5">
        <f t="shared" ref="U131:U133" si="79">SUM($R131:$T131)/($P131+(SUM($R131:$T131)))</f>
        <v>0.1241007194</v>
      </c>
    </row>
    <row r="132" ht="15.75" customHeight="1">
      <c r="A132" s="2" t="s">
        <v>87</v>
      </c>
      <c r="B132" s="2" t="s">
        <v>43</v>
      </c>
      <c r="C132" s="2" t="s">
        <v>22</v>
      </c>
      <c r="D132" s="2" t="s">
        <v>23</v>
      </c>
      <c r="E132" s="2" t="s">
        <v>95</v>
      </c>
      <c r="F132" s="2">
        <v>3.0</v>
      </c>
      <c r="G132" s="2" t="s">
        <v>96</v>
      </c>
      <c r="H132" s="2">
        <v>20.0</v>
      </c>
      <c r="I132" s="2">
        <v>124.0</v>
      </c>
      <c r="J132" s="2">
        <v>0.0</v>
      </c>
      <c r="K132" s="2">
        <v>32.0</v>
      </c>
      <c r="L132" s="2">
        <v>106.0</v>
      </c>
      <c r="M132" s="2">
        <v>39.0</v>
      </c>
      <c r="N132" s="2">
        <v>171.0</v>
      </c>
      <c r="O132" s="2">
        <v>71.0</v>
      </c>
      <c r="P132" s="2">
        <v>492.0</v>
      </c>
      <c r="Q132" s="2">
        <v>0.0</v>
      </c>
      <c r="R132" s="2">
        <v>4.0</v>
      </c>
      <c r="S132" s="2">
        <v>57.0</v>
      </c>
      <c r="T132" s="2">
        <v>5.0</v>
      </c>
      <c r="U132" s="5">
        <f t="shared" si="79"/>
        <v>0.1182795699</v>
      </c>
    </row>
    <row r="133" ht="15.75" customHeight="1">
      <c r="A133" s="2" t="s">
        <v>87</v>
      </c>
      <c r="B133" s="2" t="s">
        <v>43</v>
      </c>
      <c r="C133" s="2" t="s">
        <v>22</v>
      </c>
      <c r="D133" s="2" t="s">
        <v>23</v>
      </c>
      <c r="E133" s="2" t="s">
        <v>97</v>
      </c>
      <c r="F133" s="2">
        <v>3.0</v>
      </c>
      <c r="G133" s="2" t="s">
        <v>98</v>
      </c>
      <c r="H133" s="2">
        <v>12.0</v>
      </c>
      <c r="I133" s="2">
        <v>116.0</v>
      </c>
      <c r="J133" s="2">
        <v>0.0</v>
      </c>
      <c r="K133" s="2">
        <v>25.0</v>
      </c>
      <c r="L133" s="2">
        <v>106.0</v>
      </c>
      <c r="M133" s="2">
        <v>40.0</v>
      </c>
      <c r="N133" s="2">
        <v>156.0</v>
      </c>
      <c r="O133" s="2">
        <v>65.0</v>
      </c>
      <c r="P133" s="2">
        <v>455.0</v>
      </c>
      <c r="Q133" s="2">
        <v>0.0</v>
      </c>
      <c r="R133" s="2">
        <v>1.0</v>
      </c>
      <c r="S133" s="2">
        <v>49.0</v>
      </c>
      <c r="T133" s="2">
        <v>4.0</v>
      </c>
      <c r="U133" s="5">
        <f t="shared" si="79"/>
        <v>0.1060903733</v>
      </c>
    </row>
    <row r="134" ht="15.75" customHeight="1">
      <c r="A134" s="2" t="s">
        <v>75</v>
      </c>
      <c r="B134" s="2" t="s">
        <v>32</v>
      </c>
      <c r="C134" s="2" t="s">
        <v>22</v>
      </c>
      <c r="D134" s="2" t="s">
        <v>23</v>
      </c>
      <c r="E134" s="2" t="s">
        <v>41</v>
      </c>
      <c r="F134" s="2">
        <v>3.0</v>
      </c>
      <c r="G134" s="2" t="s">
        <v>25</v>
      </c>
      <c r="H134" s="2">
        <v>879.0</v>
      </c>
      <c r="I134" s="2">
        <v>483.0</v>
      </c>
      <c r="J134" s="2">
        <v>180.0</v>
      </c>
      <c r="K134" s="2">
        <v>0.0</v>
      </c>
      <c r="L134" s="2">
        <v>79.0</v>
      </c>
      <c r="M134" s="2">
        <v>0.0</v>
      </c>
      <c r="N134" s="2">
        <v>1364.0</v>
      </c>
      <c r="O134" s="2">
        <v>0.0</v>
      </c>
      <c r="P134" s="2">
        <v>995.0</v>
      </c>
      <c r="Q134" s="2">
        <v>0.0</v>
      </c>
      <c r="R134" s="2">
        <v>0.0</v>
      </c>
      <c r="S134" s="2">
        <v>0.0</v>
      </c>
      <c r="T134" s="2">
        <v>0.0</v>
      </c>
      <c r="U134" s="5"/>
    </row>
    <row r="135" ht="15.75" customHeight="1">
      <c r="A135" s="2" t="s">
        <v>75</v>
      </c>
      <c r="B135" s="2" t="s">
        <v>32</v>
      </c>
      <c r="C135" s="2" t="s">
        <v>22</v>
      </c>
      <c r="D135" s="2" t="s">
        <v>23</v>
      </c>
      <c r="E135" s="2" t="s">
        <v>93</v>
      </c>
      <c r="F135" s="2">
        <v>3.0</v>
      </c>
      <c r="G135" s="2" t="s">
        <v>94</v>
      </c>
      <c r="H135" s="2">
        <v>164.0</v>
      </c>
      <c r="I135" s="2">
        <v>186.0</v>
      </c>
      <c r="J135" s="2">
        <v>9.0</v>
      </c>
      <c r="K135" s="2">
        <v>97.0</v>
      </c>
      <c r="L135" s="2">
        <v>71.0</v>
      </c>
      <c r="M135" s="2">
        <v>74.0</v>
      </c>
      <c r="N135" s="2">
        <v>260.0</v>
      </c>
      <c r="O135" s="2">
        <v>171.0</v>
      </c>
      <c r="P135" s="2">
        <v>861.0</v>
      </c>
      <c r="Q135" s="2">
        <v>0.0</v>
      </c>
      <c r="R135" s="2">
        <v>13.0</v>
      </c>
      <c r="S135" s="2">
        <v>4.0</v>
      </c>
      <c r="T135" s="2">
        <v>54.0</v>
      </c>
      <c r="U135" s="5">
        <f t="shared" ref="U135:U137" si="80">SUM($R135:$T135)/($P135+(SUM($R135:$T135)))</f>
        <v>0.07618025751</v>
      </c>
    </row>
    <row r="136" ht="15.75" customHeight="1">
      <c r="A136" s="2" t="s">
        <v>75</v>
      </c>
      <c r="B136" s="2" t="s">
        <v>32</v>
      </c>
      <c r="C136" s="2" t="s">
        <v>22</v>
      </c>
      <c r="D136" s="2" t="s">
        <v>23</v>
      </c>
      <c r="E136" s="2" t="s">
        <v>95</v>
      </c>
      <c r="F136" s="2">
        <v>3.0</v>
      </c>
      <c r="G136" s="2" t="s">
        <v>96</v>
      </c>
      <c r="H136" s="2">
        <v>179.0</v>
      </c>
      <c r="I136" s="2">
        <v>181.0</v>
      </c>
      <c r="J136" s="2">
        <v>5.0</v>
      </c>
      <c r="K136" s="2">
        <v>88.0</v>
      </c>
      <c r="L136" s="2">
        <v>71.0</v>
      </c>
      <c r="M136" s="2">
        <v>54.0</v>
      </c>
      <c r="N136" s="2">
        <v>284.0</v>
      </c>
      <c r="O136" s="2">
        <v>142.0</v>
      </c>
      <c r="P136" s="2">
        <v>862.0</v>
      </c>
      <c r="Q136" s="2">
        <v>0.0</v>
      </c>
      <c r="R136" s="2">
        <v>12.0</v>
      </c>
      <c r="S136" s="2">
        <v>2.0</v>
      </c>
      <c r="T136" s="2">
        <v>57.0</v>
      </c>
      <c r="U136" s="5">
        <f t="shared" si="80"/>
        <v>0.07609860665</v>
      </c>
    </row>
    <row r="137" ht="15.75" customHeight="1">
      <c r="A137" s="2" t="s">
        <v>75</v>
      </c>
      <c r="B137" s="2" t="s">
        <v>32</v>
      </c>
      <c r="C137" s="2" t="s">
        <v>22</v>
      </c>
      <c r="D137" s="2" t="s">
        <v>23</v>
      </c>
      <c r="E137" s="2" t="s">
        <v>97</v>
      </c>
      <c r="F137" s="2">
        <v>3.0</v>
      </c>
      <c r="G137" s="2" t="s">
        <v>98</v>
      </c>
      <c r="H137" s="2">
        <v>226.0</v>
      </c>
      <c r="I137" s="2">
        <v>177.0</v>
      </c>
      <c r="J137" s="2">
        <v>5.0</v>
      </c>
      <c r="K137" s="2">
        <v>47.0</v>
      </c>
      <c r="L137" s="2">
        <v>32.0</v>
      </c>
      <c r="M137" s="2">
        <v>40.0</v>
      </c>
      <c r="N137" s="2">
        <v>343.0</v>
      </c>
      <c r="O137" s="2">
        <v>87.0</v>
      </c>
      <c r="P137" s="2">
        <v>870.0</v>
      </c>
      <c r="Q137" s="2">
        <v>0.0</v>
      </c>
      <c r="R137" s="2">
        <v>15.0</v>
      </c>
      <c r="S137" s="2">
        <v>3.0</v>
      </c>
      <c r="T137" s="2">
        <v>43.0</v>
      </c>
      <c r="U137" s="5">
        <f t="shared" si="80"/>
        <v>0.06552094522</v>
      </c>
    </row>
    <row r="138" ht="15.75" customHeight="1">
      <c r="A138" s="3" t="s">
        <v>112</v>
      </c>
      <c r="B138" s="3" t="s">
        <v>113</v>
      </c>
      <c r="C138" s="3" t="s">
        <v>22</v>
      </c>
      <c r="D138" s="3" t="s">
        <v>23</v>
      </c>
      <c r="E138" s="3" t="s">
        <v>141</v>
      </c>
      <c r="F138" s="3">
        <v>3.0</v>
      </c>
      <c r="G138" s="3" t="s">
        <v>25</v>
      </c>
      <c r="H138" s="3">
        <v>41.0</v>
      </c>
      <c r="I138" s="3">
        <v>106.0</v>
      </c>
      <c r="J138" s="3">
        <v>57.0</v>
      </c>
      <c r="K138" s="3">
        <v>0.0</v>
      </c>
      <c r="L138" s="3">
        <v>133.0</v>
      </c>
      <c r="M138" s="3">
        <v>0.0</v>
      </c>
      <c r="N138" s="3">
        <v>1514.0</v>
      </c>
      <c r="O138" s="3">
        <v>0.0</v>
      </c>
      <c r="P138" s="3">
        <v>617.0</v>
      </c>
      <c r="Q138" s="3">
        <v>0.0</v>
      </c>
      <c r="R138" s="3">
        <v>0.0</v>
      </c>
      <c r="S138" s="3">
        <v>0.0</v>
      </c>
      <c r="T138" s="3">
        <v>0.0</v>
      </c>
      <c r="U138" s="19"/>
    </row>
    <row r="139" ht="15.75" customHeight="1">
      <c r="A139" s="3" t="s">
        <v>112</v>
      </c>
      <c r="B139" s="3" t="s">
        <v>113</v>
      </c>
      <c r="C139" s="3" t="s">
        <v>22</v>
      </c>
      <c r="D139" s="3" t="s">
        <v>23</v>
      </c>
      <c r="E139" s="3" t="s">
        <v>214</v>
      </c>
      <c r="F139" s="3">
        <v>3.0</v>
      </c>
      <c r="G139" s="3" t="s">
        <v>94</v>
      </c>
      <c r="H139" s="3">
        <v>1.0</v>
      </c>
      <c r="I139" s="3">
        <v>3.0</v>
      </c>
      <c r="J139" s="3">
        <v>2.0</v>
      </c>
      <c r="K139" s="3">
        <v>3.0</v>
      </c>
      <c r="L139" s="3">
        <v>16.0</v>
      </c>
      <c r="M139" s="3">
        <v>8.0</v>
      </c>
      <c r="N139" s="3">
        <v>18.0</v>
      </c>
      <c r="O139" s="3">
        <v>11.0</v>
      </c>
      <c r="P139" s="3">
        <v>51.0</v>
      </c>
      <c r="Q139" s="3">
        <v>0.0</v>
      </c>
      <c r="R139" s="3">
        <v>2.0</v>
      </c>
      <c r="S139" s="3">
        <v>19.0</v>
      </c>
      <c r="T139" s="3">
        <v>32.0</v>
      </c>
      <c r="U139" s="19">
        <f t="shared" ref="U139:U141" si="81">SUM($R139:$T139)/($P139+(SUM($R139:$T139)))</f>
        <v>0.5096153846</v>
      </c>
    </row>
    <row r="140" ht="15.75" customHeight="1">
      <c r="A140" s="3" t="s">
        <v>112</v>
      </c>
      <c r="B140" s="3" t="s">
        <v>113</v>
      </c>
      <c r="C140" s="3" t="s">
        <v>22</v>
      </c>
      <c r="D140" s="3" t="s">
        <v>23</v>
      </c>
      <c r="E140" s="3" t="s">
        <v>218</v>
      </c>
      <c r="F140" s="3">
        <v>3.0</v>
      </c>
      <c r="G140" s="3" t="s">
        <v>96</v>
      </c>
      <c r="H140" s="3">
        <v>1.0</v>
      </c>
      <c r="I140" s="3">
        <v>8.0</v>
      </c>
      <c r="J140" s="3">
        <v>0.0</v>
      </c>
      <c r="K140" s="3">
        <v>1.0</v>
      </c>
      <c r="L140" s="3">
        <v>13.0</v>
      </c>
      <c r="M140" s="3">
        <v>8.0</v>
      </c>
      <c r="N140" s="3">
        <v>17.0</v>
      </c>
      <c r="O140" s="3">
        <v>9.0</v>
      </c>
      <c r="P140" s="3">
        <v>48.0</v>
      </c>
      <c r="Q140" s="3">
        <v>0.0</v>
      </c>
      <c r="R140" s="3">
        <v>6.0</v>
      </c>
      <c r="S140" s="3">
        <v>10.0</v>
      </c>
      <c r="T140" s="3">
        <v>38.0</v>
      </c>
      <c r="U140" s="19">
        <f t="shared" si="81"/>
        <v>0.5294117647</v>
      </c>
    </row>
    <row r="141" ht="15.75" customHeight="1">
      <c r="A141" s="3" t="s">
        <v>112</v>
      </c>
      <c r="B141" s="3" t="s">
        <v>113</v>
      </c>
      <c r="C141" s="3" t="s">
        <v>22</v>
      </c>
      <c r="D141" s="3" t="s">
        <v>23</v>
      </c>
      <c r="E141" s="3" t="s">
        <v>220</v>
      </c>
      <c r="F141" s="3">
        <v>3.0</v>
      </c>
      <c r="G141" s="3" t="s">
        <v>98</v>
      </c>
      <c r="H141" s="3">
        <v>2.0</v>
      </c>
      <c r="I141" s="3">
        <v>5.0</v>
      </c>
      <c r="J141" s="3">
        <v>0.0</v>
      </c>
      <c r="K141" s="3">
        <v>4.0</v>
      </c>
      <c r="L141" s="3">
        <v>5.0</v>
      </c>
      <c r="M141" s="3">
        <v>8.0</v>
      </c>
      <c r="N141" s="3">
        <v>21.0</v>
      </c>
      <c r="O141" s="3">
        <v>12.0</v>
      </c>
      <c r="P141" s="3">
        <v>45.0</v>
      </c>
      <c r="Q141" s="3">
        <v>0.0</v>
      </c>
      <c r="R141" s="3">
        <v>4.0</v>
      </c>
      <c r="S141" s="3">
        <v>16.0</v>
      </c>
      <c r="T141" s="3">
        <v>50.0</v>
      </c>
      <c r="U141" s="19">
        <f t="shared" si="81"/>
        <v>0.6086956522</v>
      </c>
    </row>
    <row r="142" ht="15.75" customHeight="1">
      <c r="A142" s="2" t="s">
        <v>40</v>
      </c>
      <c r="B142" s="2" t="s">
        <v>21</v>
      </c>
      <c r="C142" s="2" t="s">
        <v>22</v>
      </c>
      <c r="D142" s="2" t="s">
        <v>23</v>
      </c>
      <c r="E142" s="2" t="s">
        <v>41</v>
      </c>
      <c r="F142" s="2">
        <v>3.0</v>
      </c>
      <c r="G142" s="2" t="s">
        <v>25</v>
      </c>
      <c r="H142" s="2">
        <v>261.0</v>
      </c>
      <c r="I142" s="2">
        <v>234.0</v>
      </c>
      <c r="J142" s="2">
        <v>486.0</v>
      </c>
      <c r="K142" s="2">
        <v>0.0</v>
      </c>
      <c r="L142" s="2">
        <v>98.0</v>
      </c>
      <c r="M142" s="2">
        <v>0.0</v>
      </c>
      <c r="N142" s="2">
        <v>1912.0</v>
      </c>
      <c r="O142" s="2">
        <v>0.0</v>
      </c>
      <c r="P142" s="2">
        <v>997.0</v>
      </c>
      <c r="Q142" s="2">
        <v>0.0</v>
      </c>
      <c r="R142" s="2">
        <v>0.0</v>
      </c>
      <c r="S142" s="2">
        <v>0.0</v>
      </c>
      <c r="T142" s="2">
        <v>0.0</v>
      </c>
      <c r="U142" s="5"/>
    </row>
    <row r="143" ht="15.75" customHeight="1">
      <c r="A143" s="2" t="s">
        <v>40</v>
      </c>
      <c r="B143" s="2" t="s">
        <v>21</v>
      </c>
      <c r="C143" s="2" t="s">
        <v>22</v>
      </c>
      <c r="D143" s="2" t="s">
        <v>23</v>
      </c>
      <c r="E143" s="2" t="s">
        <v>93</v>
      </c>
      <c r="F143" s="2">
        <v>3.0</v>
      </c>
      <c r="G143" s="2" t="s">
        <v>94</v>
      </c>
      <c r="H143" s="2">
        <v>103.0</v>
      </c>
      <c r="I143" s="2">
        <v>95.0</v>
      </c>
      <c r="J143" s="2">
        <v>12.0</v>
      </c>
      <c r="K143" s="2">
        <v>86.0</v>
      </c>
      <c r="L143" s="2">
        <v>91.0</v>
      </c>
      <c r="M143" s="2">
        <v>80.0</v>
      </c>
      <c r="N143" s="2">
        <v>438.0</v>
      </c>
      <c r="O143" s="2">
        <v>166.0</v>
      </c>
      <c r="P143" s="2">
        <v>905.0</v>
      </c>
      <c r="Q143" s="2">
        <v>0.0</v>
      </c>
      <c r="R143" s="2">
        <v>21.0</v>
      </c>
      <c r="S143" s="2">
        <v>3.0</v>
      </c>
      <c r="T143" s="2">
        <v>71.0</v>
      </c>
      <c r="U143" s="5">
        <f t="shared" ref="U143:U145" si="82">SUM($R143:$T143)/($P143+(SUM($R143:$T143)))</f>
        <v>0.095</v>
      </c>
    </row>
    <row r="144" ht="15.75" customHeight="1">
      <c r="A144" s="2" t="s">
        <v>40</v>
      </c>
      <c r="B144" s="2" t="s">
        <v>21</v>
      </c>
      <c r="C144" s="2" t="s">
        <v>22</v>
      </c>
      <c r="D144" s="2" t="s">
        <v>23</v>
      </c>
      <c r="E144" s="2" t="s">
        <v>95</v>
      </c>
      <c r="F144" s="2">
        <v>3.0</v>
      </c>
      <c r="G144" s="2" t="s">
        <v>96</v>
      </c>
      <c r="H144" s="2">
        <v>99.0</v>
      </c>
      <c r="I144" s="2">
        <v>119.0</v>
      </c>
      <c r="J144" s="2">
        <v>5.0</v>
      </c>
      <c r="K144" s="2">
        <v>72.0</v>
      </c>
      <c r="L144" s="2">
        <v>140.0</v>
      </c>
      <c r="M144" s="2">
        <v>87.0</v>
      </c>
      <c r="N144" s="2">
        <v>365.0</v>
      </c>
      <c r="O144" s="2">
        <v>159.0</v>
      </c>
      <c r="P144" s="2">
        <v>887.0</v>
      </c>
      <c r="Q144" s="2">
        <v>0.0</v>
      </c>
      <c r="R144" s="2">
        <v>23.0</v>
      </c>
      <c r="S144" s="2">
        <v>3.0</v>
      </c>
      <c r="T144" s="2">
        <v>82.0</v>
      </c>
      <c r="U144" s="5">
        <f t="shared" si="82"/>
        <v>0.1085427136</v>
      </c>
    </row>
    <row r="145" ht="15.75" customHeight="1">
      <c r="A145" s="2" t="s">
        <v>40</v>
      </c>
      <c r="B145" s="2" t="s">
        <v>21</v>
      </c>
      <c r="C145" s="2" t="s">
        <v>22</v>
      </c>
      <c r="D145" s="2" t="s">
        <v>23</v>
      </c>
      <c r="E145" s="2" t="s">
        <v>97</v>
      </c>
      <c r="F145" s="2">
        <v>3.0</v>
      </c>
      <c r="G145" s="2" t="s">
        <v>98</v>
      </c>
      <c r="H145" s="2">
        <v>105.0</v>
      </c>
      <c r="I145" s="2">
        <v>121.0</v>
      </c>
      <c r="J145" s="2">
        <v>13.0</v>
      </c>
      <c r="K145" s="2">
        <v>57.0</v>
      </c>
      <c r="L145" s="2">
        <v>174.0</v>
      </c>
      <c r="M145" s="2">
        <v>66.0</v>
      </c>
      <c r="N145" s="2">
        <v>375.0</v>
      </c>
      <c r="O145" s="2">
        <v>123.0</v>
      </c>
      <c r="P145" s="2">
        <v>911.0</v>
      </c>
      <c r="Q145" s="2">
        <v>0.0</v>
      </c>
      <c r="R145" s="2">
        <v>30.0</v>
      </c>
      <c r="S145" s="2">
        <v>3.0</v>
      </c>
      <c r="T145" s="2">
        <v>47.0</v>
      </c>
      <c r="U145" s="5">
        <f t="shared" si="82"/>
        <v>0.08072653885</v>
      </c>
    </row>
    <row r="146" ht="15.75" customHeight="1">
      <c r="A146" s="2" t="s">
        <v>88</v>
      </c>
      <c r="B146" s="2" t="s">
        <v>43</v>
      </c>
      <c r="C146" s="2" t="s">
        <v>22</v>
      </c>
      <c r="D146" s="2" t="s">
        <v>23</v>
      </c>
      <c r="E146" s="2" t="s">
        <v>53</v>
      </c>
      <c r="F146" s="2">
        <v>3.0</v>
      </c>
      <c r="G146" s="2" t="s">
        <v>25</v>
      </c>
      <c r="H146" s="2">
        <v>16.0</v>
      </c>
      <c r="I146" s="2">
        <v>734.0</v>
      </c>
      <c r="J146" s="2">
        <v>1275.0</v>
      </c>
      <c r="K146" s="2">
        <v>0.0</v>
      </c>
      <c r="L146" s="2">
        <v>27.0</v>
      </c>
      <c r="M146" s="2">
        <v>0.0</v>
      </c>
      <c r="N146" s="2">
        <v>138.0</v>
      </c>
      <c r="O146" s="2">
        <v>0.0</v>
      </c>
      <c r="P146" s="2">
        <v>730.0</v>
      </c>
      <c r="Q146" s="2">
        <v>0.0</v>
      </c>
      <c r="R146" s="2">
        <v>0.0</v>
      </c>
      <c r="S146" s="2">
        <v>0.0</v>
      </c>
      <c r="T146" s="2">
        <v>0.0</v>
      </c>
      <c r="U146" s="5"/>
    </row>
    <row r="147" ht="15.75" customHeight="1">
      <c r="A147" s="2" t="s">
        <v>88</v>
      </c>
      <c r="B147" s="2" t="s">
        <v>43</v>
      </c>
      <c r="C147" s="2" t="s">
        <v>22</v>
      </c>
      <c r="D147" s="2" t="s">
        <v>23</v>
      </c>
      <c r="E147" s="2" t="s">
        <v>104</v>
      </c>
      <c r="F147" s="2">
        <v>3.0</v>
      </c>
      <c r="G147" s="2" t="s">
        <v>94</v>
      </c>
      <c r="H147" s="2">
        <v>5.0</v>
      </c>
      <c r="I147" s="2">
        <v>330.0</v>
      </c>
      <c r="J147" s="2">
        <v>13.0</v>
      </c>
      <c r="K147" s="2">
        <v>75.0</v>
      </c>
      <c r="L147" s="2">
        <v>7.0</v>
      </c>
      <c r="M147" s="2">
        <v>4.0</v>
      </c>
      <c r="N147" s="2">
        <v>20.0</v>
      </c>
      <c r="O147" s="2">
        <v>79.0</v>
      </c>
      <c r="P147" s="2">
        <v>454.0</v>
      </c>
      <c r="Q147" s="2">
        <v>0.0</v>
      </c>
      <c r="R147" s="2">
        <v>4.0</v>
      </c>
      <c r="S147" s="2">
        <v>125.0</v>
      </c>
      <c r="T147" s="2">
        <v>2.0</v>
      </c>
      <c r="U147" s="5">
        <f t="shared" ref="U147:U149" si="83">SUM($R147:$T147)/($P147+(SUM($R147:$T147)))</f>
        <v>0.2239316239</v>
      </c>
    </row>
    <row r="148" ht="15.75" customHeight="1">
      <c r="A148" s="2" t="s">
        <v>88</v>
      </c>
      <c r="B148" s="2" t="s">
        <v>43</v>
      </c>
      <c r="C148" s="2" t="s">
        <v>22</v>
      </c>
      <c r="D148" s="2" t="s">
        <v>23</v>
      </c>
      <c r="E148" s="2" t="s">
        <v>106</v>
      </c>
      <c r="F148" s="2">
        <v>3.0</v>
      </c>
      <c r="G148" s="2" t="s">
        <v>96</v>
      </c>
      <c r="H148" s="2">
        <v>6.0</v>
      </c>
      <c r="I148" s="2">
        <v>318.0</v>
      </c>
      <c r="J148" s="2">
        <v>18.0</v>
      </c>
      <c r="K148" s="2">
        <v>80.0</v>
      </c>
      <c r="L148" s="2">
        <v>12.0</v>
      </c>
      <c r="M148" s="2">
        <v>3.0</v>
      </c>
      <c r="N148" s="2">
        <v>14.0</v>
      </c>
      <c r="O148" s="2">
        <v>83.0</v>
      </c>
      <c r="P148" s="2">
        <v>451.0</v>
      </c>
      <c r="Q148" s="2">
        <v>0.0</v>
      </c>
      <c r="R148" s="2">
        <v>10.0</v>
      </c>
      <c r="S148" s="2">
        <v>113.0</v>
      </c>
      <c r="T148" s="2">
        <v>4.0</v>
      </c>
      <c r="U148" s="5">
        <f t="shared" si="83"/>
        <v>0.2197231834</v>
      </c>
    </row>
    <row r="149" ht="15.75" customHeight="1">
      <c r="A149" s="2" t="s">
        <v>88</v>
      </c>
      <c r="B149" s="2" t="s">
        <v>43</v>
      </c>
      <c r="C149" s="2" t="s">
        <v>22</v>
      </c>
      <c r="D149" s="2" t="s">
        <v>23</v>
      </c>
      <c r="E149" s="2" t="s">
        <v>107</v>
      </c>
      <c r="F149" s="2">
        <v>3.0</v>
      </c>
      <c r="G149" s="2" t="s">
        <v>98</v>
      </c>
      <c r="H149" s="2">
        <v>3.0</v>
      </c>
      <c r="I149" s="2">
        <v>326.0</v>
      </c>
      <c r="J149" s="2">
        <v>11.0</v>
      </c>
      <c r="K149" s="2">
        <v>60.0</v>
      </c>
      <c r="L149" s="2">
        <v>4.0</v>
      </c>
      <c r="M149" s="2">
        <v>4.0</v>
      </c>
      <c r="N149" s="2">
        <v>23.0</v>
      </c>
      <c r="O149" s="2">
        <v>64.0</v>
      </c>
      <c r="P149" s="2">
        <v>431.0</v>
      </c>
      <c r="Q149" s="2">
        <v>0.0</v>
      </c>
      <c r="R149" s="2">
        <v>17.0</v>
      </c>
      <c r="S149" s="2">
        <v>110.0</v>
      </c>
      <c r="T149" s="2">
        <v>1.0</v>
      </c>
      <c r="U149" s="5">
        <f t="shared" si="83"/>
        <v>0.228980322</v>
      </c>
    </row>
    <row r="150" ht="15.75" customHeight="1">
      <c r="A150" s="2" t="s">
        <v>77</v>
      </c>
      <c r="B150" s="2" t="s">
        <v>32</v>
      </c>
      <c r="C150" s="2" t="s">
        <v>22</v>
      </c>
      <c r="D150" s="2" t="s">
        <v>23</v>
      </c>
      <c r="E150" s="2" t="s">
        <v>53</v>
      </c>
      <c r="F150" s="2">
        <v>3.0</v>
      </c>
      <c r="G150" s="2" t="s">
        <v>25</v>
      </c>
      <c r="H150" s="2">
        <v>60.0</v>
      </c>
      <c r="I150" s="2">
        <v>1479.0</v>
      </c>
      <c r="J150" s="2">
        <v>1209.0</v>
      </c>
      <c r="K150" s="2">
        <v>0.0</v>
      </c>
      <c r="L150" s="2">
        <v>19.0</v>
      </c>
      <c r="M150" s="2">
        <v>0.0</v>
      </c>
      <c r="N150" s="2">
        <v>215.0</v>
      </c>
      <c r="O150" s="2">
        <v>0.0</v>
      </c>
      <c r="P150" s="2">
        <v>994.0</v>
      </c>
      <c r="Q150" s="2">
        <v>0.0</v>
      </c>
      <c r="R150" s="2">
        <v>0.0</v>
      </c>
      <c r="S150" s="2">
        <v>0.0</v>
      </c>
      <c r="T150" s="2">
        <v>0.0</v>
      </c>
      <c r="U150" s="5"/>
    </row>
    <row r="151" ht="15.75" customHeight="1">
      <c r="A151" s="2" t="s">
        <v>77</v>
      </c>
      <c r="B151" s="2" t="s">
        <v>32</v>
      </c>
      <c r="C151" s="2" t="s">
        <v>22</v>
      </c>
      <c r="D151" s="2" t="s">
        <v>23</v>
      </c>
      <c r="E151" s="2" t="s">
        <v>104</v>
      </c>
      <c r="F151" s="2">
        <v>3.0</v>
      </c>
      <c r="G151" s="2" t="s">
        <v>94</v>
      </c>
      <c r="H151" s="2">
        <v>19.0</v>
      </c>
      <c r="I151" s="2">
        <v>545.0</v>
      </c>
      <c r="J151" s="2">
        <v>28.0</v>
      </c>
      <c r="K151" s="2">
        <v>262.0</v>
      </c>
      <c r="L151" s="2">
        <v>14.0</v>
      </c>
      <c r="M151" s="2">
        <v>11.0</v>
      </c>
      <c r="N151" s="2">
        <v>41.0</v>
      </c>
      <c r="O151" s="2">
        <v>273.0</v>
      </c>
      <c r="P151" s="2">
        <v>920.0</v>
      </c>
      <c r="Q151" s="2">
        <v>0.0</v>
      </c>
      <c r="R151" s="2">
        <v>23.0</v>
      </c>
      <c r="S151" s="2">
        <v>4.0</v>
      </c>
      <c r="T151" s="2">
        <v>18.0</v>
      </c>
      <c r="U151" s="5">
        <f t="shared" ref="U151:U153" si="84">SUM($R151:$T151)/($P151+(SUM($R151:$T151)))</f>
        <v>0.04663212435</v>
      </c>
    </row>
    <row r="152" ht="15.75" customHeight="1">
      <c r="A152" s="2" t="s">
        <v>77</v>
      </c>
      <c r="B152" s="2" t="s">
        <v>32</v>
      </c>
      <c r="C152" s="2" t="s">
        <v>22</v>
      </c>
      <c r="D152" s="2" t="s">
        <v>23</v>
      </c>
      <c r="E152" s="2" t="s">
        <v>106</v>
      </c>
      <c r="F152" s="2">
        <v>3.0</v>
      </c>
      <c r="G152" s="2" t="s">
        <v>96</v>
      </c>
      <c r="H152" s="2">
        <v>22.0</v>
      </c>
      <c r="I152" s="2">
        <v>577.0</v>
      </c>
      <c r="J152" s="2">
        <v>29.0</v>
      </c>
      <c r="K152" s="2">
        <v>234.0</v>
      </c>
      <c r="L152" s="2">
        <v>11.0</v>
      </c>
      <c r="M152" s="2">
        <v>7.0</v>
      </c>
      <c r="N152" s="2">
        <v>48.0</v>
      </c>
      <c r="O152" s="2">
        <v>241.0</v>
      </c>
      <c r="P152" s="2">
        <v>928.0</v>
      </c>
      <c r="Q152" s="2">
        <v>0.0</v>
      </c>
      <c r="R152" s="2">
        <v>18.0</v>
      </c>
      <c r="S152" s="2">
        <v>5.0</v>
      </c>
      <c r="T152" s="2">
        <v>18.0</v>
      </c>
      <c r="U152" s="5">
        <f t="shared" si="84"/>
        <v>0.04231166151</v>
      </c>
    </row>
    <row r="153" ht="15.75" customHeight="1">
      <c r="A153" s="2" t="s">
        <v>77</v>
      </c>
      <c r="B153" s="2" t="s">
        <v>32</v>
      </c>
      <c r="C153" s="2" t="s">
        <v>22</v>
      </c>
      <c r="D153" s="2" t="s">
        <v>23</v>
      </c>
      <c r="E153" s="2" t="s">
        <v>107</v>
      </c>
      <c r="F153" s="2">
        <v>3.0</v>
      </c>
      <c r="G153" s="2" t="s">
        <v>98</v>
      </c>
      <c r="H153" s="2">
        <v>17.0</v>
      </c>
      <c r="I153" s="2">
        <v>674.0</v>
      </c>
      <c r="J153" s="2">
        <v>30.0</v>
      </c>
      <c r="K153" s="2">
        <v>139.0</v>
      </c>
      <c r="L153" s="2">
        <v>5.0</v>
      </c>
      <c r="M153" s="2">
        <v>10.0</v>
      </c>
      <c r="N153" s="2">
        <v>48.0</v>
      </c>
      <c r="O153" s="2">
        <v>149.0</v>
      </c>
      <c r="P153" s="2">
        <v>923.0</v>
      </c>
      <c r="Q153" s="2">
        <v>0.0</v>
      </c>
      <c r="R153" s="2">
        <v>24.0</v>
      </c>
      <c r="S153" s="2">
        <v>3.0</v>
      </c>
      <c r="T153" s="2">
        <v>17.0</v>
      </c>
      <c r="U153" s="5">
        <f t="shared" si="84"/>
        <v>0.04550155119</v>
      </c>
    </row>
    <row r="154" ht="15.75" customHeight="1">
      <c r="A154" s="3" t="s">
        <v>114</v>
      </c>
      <c r="B154" s="3" t="s">
        <v>113</v>
      </c>
      <c r="C154" s="3" t="s">
        <v>22</v>
      </c>
      <c r="D154" s="3" t="s">
        <v>23</v>
      </c>
      <c r="E154" s="3" t="s">
        <v>159</v>
      </c>
      <c r="F154" s="3">
        <v>3.0</v>
      </c>
      <c r="G154" s="3" t="s">
        <v>25</v>
      </c>
      <c r="H154" s="3">
        <v>9.0</v>
      </c>
      <c r="I154" s="3">
        <v>510.0</v>
      </c>
      <c r="J154" s="3">
        <v>975.0</v>
      </c>
      <c r="K154" s="3">
        <v>0.0</v>
      </c>
      <c r="L154" s="3">
        <v>5.0</v>
      </c>
      <c r="M154" s="3">
        <v>0.0</v>
      </c>
      <c r="N154" s="3">
        <v>124.0</v>
      </c>
      <c r="O154" s="3">
        <v>0.0</v>
      </c>
      <c r="P154" s="3">
        <v>541.0</v>
      </c>
      <c r="Q154" s="3">
        <v>0.0</v>
      </c>
      <c r="R154" s="3">
        <v>0.0</v>
      </c>
      <c r="S154" s="3">
        <v>0.0</v>
      </c>
      <c r="T154" s="3">
        <v>0.0</v>
      </c>
      <c r="U154" s="19"/>
    </row>
    <row r="155" ht="15.75" customHeight="1">
      <c r="A155" s="3" t="s">
        <v>114</v>
      </c>
      <c r="B155" s="3" t="s">
        <v>113</v>
      </c>
      <c r="C155" s="3" t="s">
        <v>22</v>
      </c>
      <c r="D155" s="3" t="s">
        <v>23</v>
      </c>
      <c r="E155" s="3" t="s">
        <v>228</v>
      </c>
      <c r="F155" s="3">
        <v>3.0</v>
      </c>
      <c r="G155" s="3" t="s">
        <v>94</v>
      </c>
      <c r="H155" s="3">
        <v>0.0</v>
      </c>
      <c r="I155" s="3">
        <v>66.0</v>
      </c>
      <c r="J155" s="3">
        <v>2.0</v>
      </c>
      <c r="K155" s="3">
        <v>45.0</v>
      </c>
      <c r="L155" s="3">
        <v>1.0</v>
      </c>
      <c r="M155" s="3">
        <v>1.0</v>
      </c>
      <c r="N155" s="3">
        <v>4.0</v>
      </c>
      <c r="O155" s="3">
        <v>46.0</v>
      </c>
      <c r="P155" s="3">
        <v>119.0</v>
      </c>
      <c r="Q155" s="3">
        <v>0.0</v>
      </c>
      <c r="R155" s="3">
        <v>14.0</v>
      </c>
      <c r="S155" s="3">
        <v>62.0</v>
      </c>
      <c r="T155" s="3">
        <v>3.0</v>
      </c>
      <c r="U155" s="19">
        <f t="shared" ref="U155:U157" si="85">SUM($R155:$T155)/($P155+(SUM($R155:$T155)))</f>
        <v>0.398989899</v>
      </c>
    </row>
    <row r="156" ht="15.75" customHeight="1">
      <c r="A156" s="3" t="s">
        <v>114</v>
      </c>
      <c r="B156" s="3" t="s">
        <v>113</v>
      </c>
      <c r="C156" s="3" t="s">
        <v>22</v>
      </c>
      <c r="D156" s="3" t="s">
        <v>23</v>
      </c>
      <c r="E156" s="3" t="s">
        <v>229</v>
      </c>
      <c r="F156" s="3">
        <v>3.0</v>
      </c>
      <c r="G156" s="3" t="s">
        <v>96</v>
      </c>
      <c r="H156" s="3">
        <v>0.0</v>
      </c>
      <c r="I156" s="3">
        <v>61.0</v>
      </c>
      <c r="J156" s="3">
        <v>1.0</v>
      </c>
      <c r="K156" s="3">
        <v>61.0</v>
      </c>
      <c r="L156" s="3">
        <v>0.0</v>
      </c>
      <c r="M156" s="3">
        <v>2.0</v>
      </c>
      <c r="N156" s="3">
        <v>1.0</v>
      </c>
      <c r="O156" s="3">
        <v>63.0</v>
      </c>
      <c r="P156" s="3">
        <v>126.0</v>
      </c>
      <c r="Q156" s="3">
        <v>0.0</v>
      </c>
      <c r="R156" s="3">
        <v>20.0</v>
      </c>
      <c r="S156" s="3">
        <v>66.0</v>
      </c>
      <c r="T156" s="3">
        <v>3.0</v>
      </c>
      <c r="U156" s="19">
        <f t="shared" si="85"/>
        <v>0.4139534884</v>
      </c>
    </row>
    <row r="157" ht="15.75" customHeight="1">
      <c r="A157" s="3" t="s">
        <v>114</v>
      </c>
      <c r="B157" s="3" t="s">
        <v>113</v>
      </c>
      <c r="C157" s="3" t="s">
        <v>22</v>
      </c>
      <c r="D157" s="3" t="s">
        <v>23</v>
      </c>
      <c r="E157" s="3" t="s">
        <v>230</v>
      </c>
      <c r="F157" s="3">
        <v>3.0</v>
      </c>
      <c r="G157" s="3" t="s">
        <v>98</v>
      </c>
      <c r="H157" s="3">
        <v>1.0</v>
      </c>
      <c r="I157" s="3">
        <v>60.0</v>
      </c>
      <c r="J157" s="3">
        <v>2.0</v>
      </c>
      <c r="K157" s="3">
        <v>48.0</v>
      </c>
      <c r="L157" s="3">
        <v>1.0</v>
      </c>
      <c r="M157" s="3">
        <v>2.0</v>
      </c>
      <c r="N157" s="3">
        <v>3.0</v>
      </c>
      <c r="O157" s="3">
        <v>50.0</v>
      </c>
      <c r="P157" s="3">
        <v>117.0</v>
      </c>
      <c r="Q157" s="3">
        <v>0.0</v>
      </c>
      <c r="R157" s="3">
        <v>67.0</v>
      </c>
      <c r="S157" s="3">
        <v>51.0</v>
      </c>
      <c r="T157" s="3">
        <v>4.0</v>
      </c>
      <c r="U157" s="19">
        <f t="shared" si="85"/>
        <v>0.510460251</v>
      </c>
    </row>
    <row r="158" ht="15.75" customHeight="1">
      <c r="A158" s="2" t="s">
        <v>52</v>
      </c>
      <c r="B158" s="2" t="s">
        <v>21</v>
      </c>
      <c r="C158" s="2" t="s">
        <v>22</v>
      </c>
      <c r="D158" s="2" t="s">
        <v>23</v>
      </c>
      <c r="E158" s="2" t="s">
        <v>53</v>
      </c>
      <c r="F158" s="2">
        <v>3.0</v>
      </c>
      <c r="G158" s="2" t="s">
        <v>25</v>
      </c>
      <c r="H158" s="2">
        <v>46.0</v>
      </c>
      <c r="I158" s="2">
        <v>1505.0</v>
      </c>
      <c r="J158" s="2">
        <v>1209.0</v>
      </c>
      <c r="K158" s="2">
        <v>0.0</v>
      </c>
      <c r="L158" s="2">
        <v>18.0</v>
      </c>
      <c r="M158" s="2">
        <v>0.0</v>
      </c>
      <c r="N158" s="2">
        <v>210.0</v>
      </c>
      <c r="O158" s="2">
        <v>0.0</v>
      </c>
      <c r="P158" s="2">
        <v>996.0</v>
      </c>
      <c r="Q158" s="2">
        <v>0.0</v>
      </c>
      <c r="R158" s="2">
        <v>0.0</v>
      </c>
      <c r="S158" s="2">
        <v>0.0</v>
      </c>
      <c r="T158" s="2">
        <v>0.0</v>
      </c>
      <c r="U158" s="5"/>
    </row>
    <row r="159" ht="15.75" customHeight="1">
      <c r="A159" s="2" t="s">
        <v>52</v>
      </c>
      <c r="B159" s="2" t="s">
        <v>21</v>
      </c>
      <c r="C159" s="2" t="s">
        <v>22</v>
      </c>
      <c r="D159" s="2" t="s">
        <v>23</v>
      </c>
      <c r="E159" s="2" t="s">
        <v>104</v>
      </c>
      <c r="F159" s="2">
        <v>3.0</v>
      </c>
      <c r="G159" s="2" t="s">
        <v>94</v>
      </c>
      <c r="H159" s="2">
        <v>22.0</v>
      </c>
      <c r="I159" s="2">
        <v>568.0</v>
      </c>
      <c r="J159" s="2">
        <v>26.0</v>
      </c>
      <c r="K159" s="2">
        <v>265.0</v>
      </c>
      <c r="L159" s="2">
        <v>18.0</v>
      </c>
      <c r="M159" s="2">
        <v>16.0</v>
      </c>
      <c r="N159" s="2">
        <v>35.0</v>
      </c>
      <c r="O159" s="2">
        <v>281.0</v>
      </c>
      <c r="P159" s="2">
        <v>950.0</v>
      </c>
      <c r="Q159" s="2">
        <v>0.0</v>
      </c>
      <c r="R159" s="2">
        <v>10.0</v>
      </c>
      <c r="S159" s="2">
        <v>2.0</v>
      </c>
      <c r="T159" s="2">
        <v>5.0</v>
      </c>
      <c r="U159" s="5">
        <f t="shared" ref="U159:U161" si="86">SUM($R159:$T159)/($P159+(SUM($R159:$T159)))</f>
        <v>0.01758014478</v>
      </c>
    </row>
    <row r="160" ht="15.75" customHeight="1">
      <c r="A160" s="2" t="s">
        <v>52</v>
      </c>
      <c r="B160" s="2" t="s">
        <v>21</v>
      </c>
      <c r="C160" s="2" t="s">
        <v>22</v>
      </c>
      <c r="D160" s="2" t="s">
        <v>23</v>
      </c>
      <c r="E160" s="2" t="s">
        <v>106</v>
      </c>
      <c r="F160" s="2">
        <v>3.0</v>
      </c>
      <c r="G160" s="2" t="s">
        <v>96</v>
      </c>
      <c r="H160" s="2">
        <v>24.0</v>
      </c>
      <c r="I160" s="2">
        <v>609.0</v>
      </c>
      <c r="J160" s="2">
        <v>14.0</v>
      </c>
      <c r="K160" s="2">
        <v>229.0</v>
      </c>
      <c r="L160" s="2">
        <v>25.0</v>
      </c>
      <c r="M160" s="2">
        <v>10.0</v>
      </c>
      <c r="N160" s="2">
        <v>32.0</v>
      </c>
      <c r="O160" s="2">
        <v>239.0</v>
      </c>
      <c r="P160" s="2">
        <v>943.0</v>
      </c>
      <c r="Q160" s="2">
        <v>0.0</v>
      </c>
      <c r="R160" s="2">
        <v>22.0</v>
      </c>
      <c r="S160" s="2">
        <v>2.0</v>
      </c>
      <c r="T160" s="2">
        <v>9.0</v>
      </c>
      <c r="U160" s="5">
        <f t="shared" si="86"/>
        <v>0.03381147541</v>
      </c>
    </row>
    <row r="161" ht="15.75" customHeight="1">
      <c r="A161" s="2" t="s">
        <v>52</v>
      </c>
      <c r="B161" s="2" t="s">
        <v>21</v>
      </c>
      <c r="C161" s="2" t="s">
        <v>22</v>
      </c>
      <c r="D161" s="2" t="s">
        <v>23</v>
      </c>
      <c r="E161" s="2" t="s">
        <v>107</v>
      </c>
      <c r="F161" s="2">
        <v>3.0</v>
      </c>
      <c r="G161" s="2" t="s">
        <v>98</v>
      </c>
      <c r="H161" s="2">
        <v>14.0</v>
      </c>
      <c r="I161" s="2">
        <v>636.0</v>
      </c>
      <c r="J161" s="2">
        <v>19.0</v>
      </c>
      <c r="K161" s="2">
        <v>195.0</v>
      </c>
      <c r="L161" s="2">
        <v>15.0</v>
      </c>
      <c r="M161" s="2">
        <v>8.0</v>
      </c>
      <c r="N161" s="2">
        <v>46.0</v>
      </c>
      <c r="O161" s="2">
        <v>203.0</v>
      </c>
      <c r="P161" s="2">
        <v>933.0</v>
      </c>
      <c r="Q161" s="2">
        <v>0.0</v>
      </c>
      <c r="R161" s="2">
        <v>32.0</v>
      </c>
      <c r="S161" s="2">
        <v>2.0</v>
      </c>
      <c r="T161" s="2">
        <v>7.0</v>
      </c>
      <c r="U161" s="5">
        <f t="shared" si="86"/>
        <v>0.04209445585</v>
      </c>
    </row>
    <row r="162" ht="15.75" customHeight="1">
      <c r="A162" s="2" t="s">
        <v>89</v>
      </c>
      <c r="B162" s="2" t="s">
        <v>43</v>
      </c>
      <c r="C162" s="2" t="s">
        <v>22</v>
      </c>
      <c r="D162" s="2" t="s">
        <v>23</v>
      </c>
      <c r="E162" s="2" t="s">
        <v>60</v>
      </c>
      <c r="F162" s="2">
        <v>3.0</v>
      </c>
      <c r="G162" s="2" t="s">
        <v>25</v>
      </c>
      <c r="H162" s="2">
        <v>85.0</v>
      </c>
      <c r="I162" s="2">
        <v>188.0</v>
      </c>
      <c r="J162" s="2">
        <v>573.0</v>
      </c>
      <c r="K162" s="2">
        <v>0.0</v>
      </c>
      <c r="L162" s="2">
        <v>125.0</v>
      </c>
      <c r="M162" s="2">
        <v>0.0</v>
      </c>
      <c r="N162" s="2">
        <v>523.0</v>
      </c>
      <c r="O162" s="2">
        <v>0.0</v>
      </c>
      <c r="P162" s="2">
        <v>498.0</v>
      </c>
      <c r="Q162" s="2">
        <v>0.0</v>
      </c>
      <c r="R162" s="2">
        <v>0.0</v>
      </c>
      <c r="S162" s="2">
        <v>0.0</v>
      </c>
      <c r="T162" s="2">
        <v>0.0</v>
      </c>
      <c r="U162" s="5"/>
    </row>
    <row r="163" ht="15.75" customHeight="1">
      <c r="A163" s="2" t="s">
        <v>89</v>
      </c>
      <c r="B163" s="2" t="s">
        <v>43</v>
      </c>
      <c r="C163" s="2" t="s">
        <v>22</v>
      </c>
      <c r="D163" s="2" t="s">
        <v>23</v>
      </c>
      <c r="E163" s="2" t="s">
        <v>108</v>
      </c>
      <c r="F163" s="2">
        <v>3.0</v>
      </c>
      <c r="G163" s="2" t="s">
        <v>94</v>
      </c>
      <c r="H163" s="2">
        <v>5.0</v>
      </c>
      <c r="I163" s="2">
        <v>113.0</v>
      </c>
      <c r="J163" s="2">
        <v>8.0</v>
      </c>
      <c r="K163" s="2">
        <v>29.0</v>
      </c>
      <c r="L163" s="2">
        <v>42.0</v>
      </c>
      <c r="M163" s="2">
        <v>20.0</v>
      </c>
      <c r="N163" s="2">
        <v>79.0</v>
      </c>
      <c r="O163" s="2">
        <v>49.0</v>
      </c>
      <c r="P163" s="2">
        <v>296.0</v>
      </c>
      <c r="Q163" s="2">
        <v>0.0</v>
      </c>
      <c r="R163" s="2">
        <v>25.0</v>
      </c>
      <c r="S163" s="2">
        <v>90.0</v>
      </c>
      <c r="T163" s="2">
        <v>43.0</v>
      </c>
      <c r="U163" s="5">
        <f t="shared" ref="U163:U165" si="87">SUM($R163:$T163)/($P163+(SUM($R163:$T163)))</f>
        <v>0.3480176211</v>
      </c>
    </row>
    <row r="164" ht="15.75" customHeight="1">
      <c r="A164" s="2" t="s">
        <v>89</v>
      </c>
      <c r="B164" s="2" t="s">
        <v>43</v>
      </c>
      <c r="C164" s="2" t="s">
        <v>22</v>
      </c>
      <c r="D164" s="2" t="s">
        <v>23</v>
      </c>
      <c r="E164" s="2" t="s">
        <v>110</v>
      </c>
      <c r="F164" s="2">
        <v>3.0</v>
      </c>
      <c r="G164" s="2" t="s">
        <v>96</v>
      </c>
      <c r="H164" s="2">
        <v>17.0</v>
      </c>
      <c r="I164" s="2">
        <v>94.0</v>
      </c>
      <c r="J164" s="2">
        <v>14.0</v>
      </c>
      <c r="K164" s="2">
        <v>43.0</v>
      </c>
      <c r="L164" s="2">
        <v>37.0</v>
      </c>
      <c r="M164" s="2">
        <v>27.0</v>
      </c>
      <c r="N164" s="2">
        <v>71.0</v>
      </c>
      <c r="O164" s="2">
        <v>70.0</v>
      </c>
      <c r="P164" s="2">
        <v>303.0</v>
      </c>
      <c r="Q164" s="2">
        <v>0.0</v>
      </c>
      <c r="R164" s="2">
        <v>26.0</v>
      </c>
      <c r="S164" s="2">
        <v>113.0</v>
      </c>
      <c r="T164" s="2">
        <v>41.0</v>
      </c>
      <c r="U164" s="5">
        <f t="shared" si="87"/>
        <v>0.3726708075</v>
      </c>
    </row>
    <row r="165" ht="15.75" customHeight="1">
      <c r="A165" s="2" t="s">
        <v>89</v>
      </c>
      <c r="B165" s="2" t="s">
        <v>43</v>
      </c>
      <c r="C165" s="2" t="s">
        <v>22</v>
      </c>
      <c r="D165" s="2" t="s">
        <v>23</v>
      </c>
      <c r="E165" s="2" t="s">
        <v>111</v>
      </c>
      <c r="F165" s="2">
        <v>3.0</v>
      </c>
      <c r="G165" s="2" t="s">
        <v>98</v>
      </c>
      <c r="H165" s="2">
        <v>12.0</v>
      </c>
      <c r="I165" s="2">
        <v>98.0</v>
      </c>
      <c r="J165" s="2">
        <v>8.0</v>
      </c>
      <c r="K165" s="2">
        <v>17.0</v>
      </c>
      <c r="L165" s="2">
        <v>28.0</v>
      </c>
      <c r="M165" s="2">
        <v>6.0</v>
      </c>
      <c r="N165" s="2">
        <v>78.0</v>
      </c>
      <c r="O165" s="2">
        <v>23.0</v>
      </c>
      <c r="P165" s="2">
        <v>247.0</v>
      </c>
      <c r="Q165" s="2">
        <v>0.0</v>
      </c>
      <c r="R165" s="2">
        <v>26.0</v>
      </c>
      <c r="S165" s="2">
        <v>110.0</v>
      </c>
      <c r="T165" s="2">
        <v>105.0</v>
      </c>
      <c r="U165" s="5">
        <f t="shared" si="87"/>
        <v>0.493852459</v>
      </c>
    </row>
    <row r="166" ht="15.75" customHeight="1">
      <c r="A166" s="2" t="s">
        <v>78</v>
      </c>
      <c r="B166" s="2" t="s">
        <v>32</v>
      </c>
      <c r="C166" s="2" t="s">
        <v>22</v>
      </c>
      <c r="D166" s="2" t="s">
        <v>23</v>
      </c>
      <c r="E166" s="2" t="s">
        <v>60</v>
      </c>
      <c r="F166" s="2">
        <v>3.0</v>
      </c>
      <c r="G166" s="2" t="s">
        <v>25</v>
      </c>
      <c r="H166" s="2">
        <v>89.0</v>
      </c>
      <c r="I166" s="2">
        <v>325.0</v>
      </c>
      <c r="J166" s="2">
        <v>558.0</v>
      </c>
      <c r="K166" s="2">
        <v>0.0</v>
      </c>
      <c r="L166" s="2">
        <v>177.0</v>
      </c>
      <c r="M166" s="2">
        <v>0.0</v>
      </c>
      <c r="N166" s="2">
        <v>894.0</v>
      </c>
      <c r="O166" s="2">
        <v>0.0</v>
      </c>
      <c r="P166" s="2">
        <v>681.0</v>
      </c>
      <c r="Q166" s="2">
        <v>0.0</v>
      </c>
      <c r="R166" s="2">
        <v>0.0</v>
      </c>
      <c r="S166" s="2">
        <v>0.0</v>
      </c>
      <c r="T166" s="2">
        <v>0.0</v>
      </c>
      <c r="U166" s="5"/>
    </row>
    <row r="167" ht="15.75" customHeight="1">
      <c r="A167" s="2" t="s">
        <v>78</v>
      </c>
      <c r="B167" s="2" t="s">
        <v>32</v>
      </c>
      <c r="C167" s="2" t="s">
        <v>22</v>
      </c>
      <c r="D167" s="2" t="s">
        <v>23</v>
      </c>
      <c r="E167" s="2" t="s">
        <v>108</v>
      </c>
      <c r="F167" s="2">
        <v>3.0</v>
      </c>
      <c r="G167" s="2" t="s">
        <v>94</v>
      </c>
      <c r="H167" s="2">
        <v>21.0</v>
      </c>
      <c r="I167" s="2">
        <v>100.0</v>
      </c>
      <c r="J167" s="2">
        <v>17.0</v>
      </c>
      <c r="K167" s="2">
        <v>75.0</v>
      </c>
      <c r="L167" s="2">
        <v>63.0</v>
      </c>
      <c r="M167" s="2">
        <v>73.0</v>
      </c>
      <c r="N167" s="2">
        <v>173.0</v>
      </c>
      <c r="O167" s="2">
        <v>148.0</v>
      </c>
      <c r="P167" s="2">
        <v>522.0</v>
      </c>
      <c r="Q167" s="2">
        <v>0.0</v>
      </c>
      <c r="R167" s="2">
        <v>67.0</v>
      </c>
      <c r="S167" s="2">
        <v>1.0</v>
      </c>
      <c r="T167" s="2">
        <v>151.0</v>
      </c>
      <c r="U167" s="5">
        <f t="shared" ref="U167:U169" si="88">SUM($R167:$T167)/($P167+(SUM($R167:$T167)))</f>
        <v>0.2955465587</v>
      </c>
    </row>
    <row r="168" ht="15.75" customHeight="1">
      <c r="A168" s="2" t="s">
        <v>78</v>
      </c>
      <c r="B168" s="2" t="s">
        <v>32</v>
      </c>
      <c r="C168" s="2" t="s">
        <v>22</v>
      </c>
      <c r="D168" s="2" t="s">
        <v>23</v>
      </c>
      <c r="E168" s="2" t="s">
        <v>110</v>
      </c>
      <c r="F168" s="2">
        <v>3.0</v>
      </c>
      <c r="G168" s="2" t="s">
        <v>96</v>
      </c>
      <c r="H168" s="2">
        <v>14.0</v>
      </c>
      <c r="I168" s="2">
        <v>96.0</v>
      </c>
      <c r="J168" s="2">
        <v>10.0</v>
      </c>
      <c r="K168" s="2">
        <v>82.0</v>
      </c>
      <c r="L168" s="2">
        <v>68.0</v>
      </c>
      <c r="M168" s="2">
        <v>74.0</v>
      </c>
      <c r="N168" s="2">
        <v>166.0</v>
      </c>
      <c r="O168" s="2">
        <v>156.0</v>
      </c>
      <c r="P168" s="2">
        <v>510.0</v>
      </c>
      <c r="Q168" s="2">
        <v>0.0</v>
      </c>
      <c r="R168" s="2">
        <v>78.0</v>
      </c>
      <c r="S168" s="2">
        <v>1.0</v>
      </c>
      <c r="T168" s="2">
        <v>153.0</v>
      </c>
      <c r="U168" s="5">
        <f t="shared" si="88"/>
        <v>0.3126684636</v>
      </c>
    </row>
    <row r="169" ht="15.75" customHeight="1">
      <c r="A169" s="2" t="s">
        <v>78</v>
      </c>
      <c r="B169" s="2" t="s">
        <v>32</v>
      </c>
      <c r="C169" s="2" t="s">
        <v>22</v>
      </c>
      <c r="D169" s="2" t="s">
        <v>23</v>
      </c>
      <c r="E169" s="2" t="s">
        <v>111</v>
      </c>
      <c r="F169" s="2">
        <v>3.0</v>
      </c>
      <c r="G169" s="2" t="s">
        <v>98</v>
      </c>
      <c r="H169" s="2">
        <v>20.0</v>
      </c>
      <c r="I169" s="2">
        <v>101.0</v>
      </c>
      <c r="J169" s="2">
        <v>16.0</v>
      </c>
      <c r="K169" s="2">
        <v>49.0</v>
      </c>
      <c r="L169" s="2">
        <v>43.0</v>
      </c>
      <c r="M169" s="2">
        <v>57.0</v>
      </c>
      <c r="N169" s="2">
        <v>213.0</v>
      </c>
      <c r="O169" s="2">
        <v>106.0</v>
      </c>
      <c r="P169" s="2">
        <v>499.0</v>
      </c>
      <c r="Q169" s="2">
        <v>0.0</v>
      </c>
      <c r="R169" s="2">
        <v>78.0</v>
      </c>
      <c r="S169" s="2">
        <v>1.0</v>
      </c>
      <c r="T169" s="2">
        <v>195.0</v>
      </c>
      <c r="U169" s="5">
        <f t="shared" si="88"/>
        <v>0.3544631307</v>
      </c>
    </row>
    <row r="170" ht="15.75" customHeight="1">
      <c r="A170" s="3" t="s">
        <v>116</v>
      </c>
      <c r="B170" s="3" t="s">
        <v>113</v>
      </c>
      <c r="C170" s="3" t="s">
        <v>22</v>
      </c>
      <c r="D170" s="3" t="s">
        <v>23</v>
      </c>
      <c r="E170" s="3" t="s">
        <v>183</v>
      </c>
      <c r="F170" s="3">
        <v>3.0</v>
      </c>
      <c r="G170" s="3" t="s">
        <v>25</v>
      </c>
      <c r="H170" s="3">
        <v>81.0</v>
      </c>
      <c r="I170" s="3">
        <v>129.0</v>
      </c>
      <c r="J170" s="3">
        <v>537.0</v>
      </c>
      <c r="K170" s="3">
        <v>0.0</v>
      </c>
      <c r="L170" s="3">
        <v>39.0</v>
      </c>
      <c r="M170" s="3">
        <v>0.0</v>
      </c>
      <c r="N170" s="3">
        <v>711.0</v>
      </c>
      <c r="O170" s="3">
        <v>0.0</v>
      </c>
      <c r="P170" s="3">
        <v>499.0</v>
      </c>
      <c r="Q170" s="3">
        <v>0.0</v>
      </c>
      <c r="R170" s="3">
        <v>0.0</v>
      </c>
      <c r="S170" s="3">
        <v>0.0</v>
      </c>
      <c r="T170" s="3">
        <v>0.0</v>
      </c>
      <c r="U170" s="19"/>
    </row>
    <row r="171" ht="15.75" customHeight="1">
      <c r="A171" s="3" t="s">
        <v>116</v>
      </c>
      <c r="B171" s="3" t="s">
        <v>113</v>
      </c>
      <c r="C171" s="3" t="s">
        <v>22</v>
      </c>
      <c r="D171" s="3" t="s">
        <v>23</v>
      </c>
      <c r="E171" s="3" t="s">
        <v>235</v>
      </c>
      <c r="F171" s="3">
        <v>3.0</v>
      </c>
      <c r="G171" s="3" t="s">
        <v>94</v>
      </c>
      <c r="H171" s="3">
        <v>4.0</v>
      </c>
      <c r="I171" s="3">
        <v>21.0</v>
      </c>
      <c r="J171" s="3">
        <v>3.0</v>
      </c>
      <c r="K171" s="3">
        <v>21.0</v>
      </c>
      <c r="L171" s="3">
        <v>7.0</v>
      </c>
      <c r="M171" s="3">
        <v>24.0</v>
      </c>
      <c r="N171" s="3">
        <v>27.0</v>
      </c>
      <c r="O171" s="3">
        <v>45.0</v>
      </c>
      <c r="P171" s="3">
        <v>107.0</v>
      </c>
      <c r="Q171" s="3">
        <v>0.0</v>
      </c>
      <c r="R171" s="3">
        <v>28.0</v>
      </c>
      <c r="S171" s="3">
        <v>23.0</v>
      </c>
      <c r="T171" s="3">
        <v>42.0</v>
      </c>
      <c r="U171" s="19">
        <f t="shared" ref="U171:U173" si="89">SUM($R171:$T171)/($P171+(SUM($R171:$T171)))</f>
        <v>0.465</v>
      </c>
    </row>
    <row r="172" ht="15.75" customHeight="1">
      <c r="A172" s="3" t="s">
        <v>116</v>
      </c>
      <c r="B172" s="3" t="s">
        <v>113</v>
      </c>
      <c r="C172" s="3" t="s">
        <v>22</v>
      </c>
      <c r="D172" s="3" t="s">
        <v>23</v>
      </c>
      <c r="E172" s="3" t="s">
        <v>236</v>
      </c>
      <c r="F172" s="3">
        <v>3.0</v>
      </c>
      <c r="G172" s="3" t="s">
        <v>96</v>
      </c>
      <c r="H172" s="3">
        <v>3.0</v>
      </c>
      <c r="I172" s="3">
        <v>13.0</v>
      </c>
      <c r="J172" s="3">
        <v>3.0</v>
      </c>
      <c r="K172" s="3">
        <v>29.0</v>
      </c>
      <c r="L172" s="3">
        <v>10.0</v>
      </c>
      <c r="M172" s="3">
        <v>30.0</v>
      </c>
      <c r="N172" s="3">
        <v>26.0</v>
      </c>
      <c r="O172" s="3">
        <v>59.0</v>
      </c>
      <c r="P172" s="3">
        <v>114.0</v>
      </c>
      <c r="Q172" s="3">
        <v>0.0</v>
      </c>
      <c r="R172" s="3">
        <v>48.0</v>
      </c>
      <c r="S172" s="3">
        <v>36.0</v>
      </c>
      <c r="T172" s="3">
        <v>56.0</v>
      </c>
      <c r="U172" s="19">
        <f t="shared" si="89"/>
        <v>0.5511811024</v>
      </c>
    </row>
    <row r="173" ht="15.75" customHeight="1">
      <c r="A173" s="3" t="s">
        <v>116</v>
      </c>
      <c r="B173" s="3" t="s">
        <v>113</v>
      </c>
      <c r="C173" s="3" t="s">
        <v>22</v>
      </c>
      <c r="D173" s="3" t="s">
        <v>23</v>
      </c>
      <c r="E173" s="3" t="s">
        <v>237</v>
      </c>
      <c r="F173" s="3">
        <v>3.0</v>
      </c>
      <c r="G173" s="3" t="s">
        <v>98</v>
      </c>
      <c r="H173" s="3">
        <v>3.0</v>
      </c>
      <c r="I173" s="3">
        <v>18.0</v>
      </c>
      <c r="J173" s="3">
        <v>0.0</v>
      </c>
      <c r="K173" s="3">
        <v>18.0</v>
      </c>
      <c r="L173" s="3">
        <v>4.0</v>
      </c>
      <c r="M173" s="3">
        <v>24.0</v>
      </c>
      <c r="N173" s="3">
        <v>25.0</v>
      </c>
      <c r="O173" s="3">
        <v>42.0</v>
      </c>
      <c r="P173" s="3">
        <v>92.0</v>
      </c>
      <c r="Q173" s="3">
        <v>0.0</v>
      </c>
      <c r="R173" s="3">
        <v>52.0</v>
      </c>
      <c r="S173" s="3">
        <v>31.0</v>
      </c>
      <c r="T173" s="3">
        <v>82.0</v>
      </c>
      <c r="U173" s="19">
        <f t="shared" si="89"/>
        <v>0.6420233463</v>
      </c>
    </row>
    <row r="174" ht="15.75" customHeight="1">
      <c r="A174" s="2" t="s">
        <v>59</v>
      </c>
      <c r="B174" s="2" t="s">
        <v>21</v>
      </c>
      <c r="C174" s="2" t="s">
        <v>22</v>
      </c>
      <c r="D174" s="2" t="s">
        <v>23</v>
      </c>
      <c r="E174" s="2" t="s">
        <v>60</v>
      </c>
      <c r="F174" s="2">
        <v>3.0</v>
      </c>
      <c r="G174" s="2" t="s">
        <v>25</v>
      </c>
      <c r="H174" s="2">
        <v>253.0</v>
      </c>
      <c r="I174" s="2">
        <v>365.0</v>
      </c>
      <c r="J174" s="2">
        <v>582.0</v>
      </c>
      <c r="K174" s="2">
        <v>0.0</v>
      </c>
      <c r="L174" s="2">
        <v>273.0</v>
      </c>
      <c r="M174" s="2">
        <v>0.0</v>
      </c>
      <c r="N174" s="2">
        <v>582.0</v>
      </c>
      <c r="O174" s="2">
        <v>0.0</v>
      </c>
      <c r="P174" s="2">
        <v>685.0</v>
      </c>
      <c r="Q174" s="2">
        <v>0.0</v>
      </c>
      <c r="R174" s="2">
        <v>0.0</v>
      </c>
      <c r="S174" s="2">
        <v>0.0</v>
      </c>
      <c r="T174" s="2">
        <v>0.0</v>
      </c>
      <c r="U174" s="5"/>
    </row>
    <row r="175" ht="15.75" customHeight="1">
      <c r="A175" s="2" t="s">
        <v>59</v>
      </c>
      <c r="B175" s="2" t="s">
        <v>21</v>
      </c>
      <c r="C175" s="2" t="s">
        <v>22</v>
      </c>
      <c r="D175" s="2" t="s">
        <v>23</v>
      </c>
      <c r="E175" s="2" t="s">
        <v>108</v>
      </c>
      <c r="F175" s="2">
        <v>3.0</v>
      </c>
      <c r="G175" s="2" t="s">
        <v>94</v>
      </c>
      <c r="H175" s="2">
        <v>34.0</v>
      </c>
      <c r="I175" s="2">
        <v>166.0</v>
      </c>
      <c r="J175" s="2">
        <v>17.0</v>
      </c>
      <c r="K175" s="2">
        <v>121.0</v>
      </c>
      <c r="L175" s="2">
        <v>78.0</v>
      </c>
      <c r="M175" s="2">
        <v>82.0</v>
      </c>
      <c r="N175" s="2">
        <v>93.0</v>
      </c>
      <c r="O175" s="2">
        <v>203.0</v>
      </c>
      <c r="P175" s="2">
        <v>591.0</v>
      </c>
      <c r="Q175" s="2">
        <v>0.0</v>
      </c>
      <c r="R175" s="2">
        <v>69.0</v>
      </c>
      <c r="S175" s="2">
        <v>2.0</v>
      </c>
      <c r="T175" s="2">
        <v>53.0</v>
      </c>
      <c r="U175" s="5">
        <f t="shared" ref="U175:U177" si="90">SUM($R175:$T175)/($P175+(SUM($R175:$T175)))</f>
        <v>0.1734265734</v>
      </c>
    </row>
    <row r="176" ht="15.75" customHeight="1">
      <c r="A176" s="2" t="s">
        <v>59</v>
      </c>
      <c r="B176" s="2" t="s">
        <v>21</v>
      </c>
      <c r="C176" s="2" t="s">
        <v>22</v>
      </c>
      <c r="D176" s="2" t="s">
        <v>23</v>
      </c>
      <c r="E176" s="2" t="s">
        <v>110</v>
      </c>
      <c r="F176" s="2">
        <v>3.0</v>
      </c>
      <c r="G176" s="2" t="s">
        <v>96</v>
      </c>
      <c r="H176" s="2">
        <v>33.0</v>
      </c>
      <c r="I176" s="2">
        <v>172.0</v>
      </c>
      <c r="J176" s="2">
        <v>18.0</v>
      </c>
      <c r="K176" s="2">
        <v>107.0</v>
      </c>
      <c r="L176" s="2">
        <v>62.0</v>
      </c>
      <c r="M176" s="2">
        <v>73.0</v>
      </c>
      <c r="N176" s="2">
        <v>106.0</v>
      </c>
      <c r="O176" s="2">
        <v>180.0</v>
      </c>
      <c r="P176" s="2">
        <v>571.0</v>
      </c>
      <c r="Q176" s="2">
        <v>0.0</v>
      </c>
      <c r="R176" s="2">
        <v>79.0</v>
      </c>
      <c r="S176" s="2">
        <v>2.0</v>
      </c>
      <c r="T176" s="2">
        <v>51.0</v>
      </c>
      <c r="U176" s="5">
        <f t="shared" si="90"/>
        <v>0.1877667141</v>
      </c>
    </row>
    <row r="177" ht="15.75" customHeight="1">
      <c r="A177" s="2" t="s">
        <v>59</v>
      </c>
      <c r="B177" s="2" t="s">
        <v>21</v>
      </c>
      <c r="C177" s="2" t="s">
        <v>22</v>
      </c>
      <c r="D177" s="2" t="s">
        <v>23</v>
      </c>
      <c r="E177" s="2" t="s">
        <v>111</v>
      </c>
      <c r="F177" s="2">
        <v>3.0</v>
      </c>
      <c r="G177" s="2" t="s">
        <v>98</v>
      </c>
      <c r="H177" s="2">
        <v>32.0</v>
      </c>
      <c r="I177" s="2">
        <v>171.0</v>
      </c>
      <c r="J177" s="2">
        <v>12.0</v>
      </c>
      <c r="K177" s="2">
        <v>78.0</v>
      </c>
      <c r="L177" s="2">
        <v>35.0</v>
      </c>
      <c r="M177" s="2">
        <v>43.0</v>
      </c>
      <c r="N177" s="2">
        <v>111.0</v>
      </c>
      <c r="O177" s="2">
        <v>121.0</v>
      </c>
      <c r="P177" s="2">
        <v>482.0</v>
      </c>
      <c r="Q177" s="2">
        <v>0.0</v>
      </c>
      <c r="R177" s="2">
        <v>166.0</v>
      </c>
      <c r="S177" s="2">
        <v>2.0</v>
      </c>
      <c r="T177" s="2">
        <v>109.0</v>
      </c>
      <c r="U177" s="5">
        <f t="shared" si="90"/>
        <v>0.3649538867</v>
      </c>
      <c r="W177" s="62" t="s">
        <v>176</v>
      </c>
      <c r="X177" s="62" t="s">
        <v>177</v>
      </c>
    </row>
    <row r="178" ht="15.75" customHeight="1">
      <c r="R178" s="29">
        <f t="shared" ref="R178:T178" si="91">SUM(R3:R5,R7:R9,R11:R13,R15:R17,R19:R21,R23:R25,R27:R29,R31:R33,R35:R37,R39:R41,R43:R45,R47:R49,R51:R53,R55:R57,R59:R61,R63:R65,R67:R69,R71:R73,R75:R77,R79:R81,R83:R85,R87:R89,R91:R93,R95:R97,R99:R101,R103:R105,R107:R109,R111:R113,R115:R117,R119:R121,R123:R125,R127:R129,R131:R133,R135:R137,R139:R141,R143:R145,R147:R149,R151:R153,R155:R157,R159:R161,R163:R165,R167:R169,R171:R173,R175:R177)</f>
        <v>3505</v>
      </c>
      <c r="S178" s="29">
        <f t="shared" si="91"/>
        <v>3524</v>
      </c>
      <c r="T178" s="29">
        <f t="shared" si="91"/>
        <v>4971</v>
      </c>
      <c r="U178" s="5">
        <f>AVERAGE(U3:U5,U7:U9,U11:U13,U15:U17,U19:U21,U23:U25,U27:U29,U31:U33,U35:U37,U39:U41,U43:U45,U47:U49,U51:U53,U55:U57,U59:U61,U63:U65,U67:U69,U71:U73,U75:U77,U79:U81,U83:U85,U87:U89,U91:U93,U95:U97,U99:U101,U103:U105,U107:U109,U111:U113,U115:U117,U119:U121,U123:U125,U127:U129,U131:U133,U135:U137,U139:U141,U143:U145,U147:U149,U151:U153,U155:U157,U159:U161,U163:U165,U167:U169,U171:U173,U175:U177)</f>
        <v>0.2541309652</v>
      </c>
      <c r="V178" s="62" t="s">
        <v>92</v>
      </c>
      <c r="W178" s="4">
        <f>U178*(R179+S179)</f>
        <v>0.1488572129</v>
      </c>
      <c r="X178" s="4">
        <f>U178*T179</f>
        <v>0.1052737523</v>
      </c>
    </row>
    <row r="179" ht="15.75" customHeight="1">
      <c r="R179" s="5">
        <f t="shared" ref="R179:T179" si="92">R178/(SUM($R$178:$T$178))</f>
        <v>0.2920833333</v>
      </c>
      <c r="S179" s="5">
        <f t="shared" si="92"/>
        <v>0.2936666667</v>
      </c>
      <c r="T179" s="5">
        <f t="shared" si="92"/>
        <v>0.41425</v>
      </c>
      <c r="U179" s="5">
        <f>MAX(U3:U5,U7:U9,U11:U13,U15:U17,U19:U21,U23:U25,U27:U29,U31:U33,U35:U37,U39:U41,U43:U45,U47:U49,U51:U53,U55:U57,U59:U61,U63:U65,U67:U69,U71:U73,U75:U77,U79:U81,U83:U85,U87:U89,U91:U93,U95:U97,U99:U101,U103:U105,U107:U109,U111:U113,U115:U117,U119:U121,U123:U125,U127:U129,U131:U133,U135:U137,U139:U141,U143:U145,U147:U149,U151:U153,U155:U157,U159:U161,U163:U165,U167:U169,U171:U173,U175:U177)</f>
        <v>0.6794871795</v>
      </c>
      <c r="V179" s="62" t="s">
        <v>182</v>
      </c>
      <c r="W179" s="4"/>
      <c r="X179" s="4"/>
    </row>
    <row r="180" ht="15.75" customHeight="1">
      <c r="B180" s="2" t="str">
        <f>OFFSET($A$1,(ROW(A1)-1)*3,0)</f>
        <v>Comparison</v>
      </c>
      <c r="U180" s="5">
        <f>MIN(U3:U5,U7:U9,U11:U13,U15:U17,U19:U21,U23:U25,U27:U29,U31:U33,U35:U37,U39:U41,U43:U45,U47:U49,U51:U53,U55:U57,U59:U61,U63:U65,U67:U69,U71:U73,U75:U77,U79:U81,U83:U85,U87:U89,U91:U93,U95:U97,U99:U101,U103:U105,U107:U109,U111:U113,U115:U117,U119:U121,U123:U125,U127:U129,U131:U133,U135:U137,U139:U141,U143:U145,U147:U149,U151:U153,U155:U157,U159:U161,U163:U165,U167:U169,U171:U173,U175:U177)</f>
        <v>0.009109311741</v>
      </c>
      <c r="V180" s="62" t="s">
        <v>184</v>
      </c>
      <c r="W180" s="4"/>
      <c r="X180" s="4"/>
    </row>
    <row r="181" ht="15.75" customHeight="1">
      <c r="W181" s="4"/>
      <c r="X181" s="4"/>
    </row>
    <row r="182" ht="15.75" customHeight="1">
      <c r="A182" s="30" t="s">
        <v>243</v>
      </c>
      <c r="B182" s="31" t="s">
        <v>244</v>
      </c>
      <c r="C182" s="32"/>
      <c r="D182" s="32"/>
      <c r="E182" s="32"/>
      <c r="F182" s="8"/>
      <c r="G182" s="31" t="s">
        <v>245</v>
      </c>
      <c r="H182" s="32"/>
      <c r="I182" s="32"/>
      <c r="J182" s="32"/>
      <c r="L182" s="31" t="s">
        <v>246</v>
      </c>
      <c r="M182" s="32"/>
      <c r="N182" s="32"/>
      <c r="O182" s="32"/>
      <c r="R182" s="29">
        <f t="shared" ref="R182:T182" si="93">SUM(R3:R5,R7:R9,R11:R13,R15:R17,R23:R25,R27:R29,R31:R33,R35:R37,R39:R41,R43:R45,R51:R53,R55:R57,R59:R61,R63:R65,R67:R69,R71:R73,R79:R81,R83:R85,R87:R89,R91:R93,R95:R97,R99:R101,R107:R109,R111:R113,R115:R117,R119:R121,R127:R129,R131:R133,R135:R137,R143:R145,R147:R149,R151:R153,R159:R161,R163:R165,R167:R169,R175:R177)</f>
        <v>2825</v>
      </c>
      <c r="S182" s="29">
        <f t="shared" si="93"/>
        <v>2767</v>
      </c>
      <c r="T182" s="29">
        <f t="shared" si="93"/>
        <v>4066</v>
      </c>
      <c r="U182" s="5">
        <f>AVERAGE(U3:U5,U7:U9,U11:U13,U15:U17,U23:U25,U27:U29,U31:U33,U35:U37,U39:U41,U43:U45,U51:U53,U55:U57,U59:U61,U63:U65,U67:U69,U71:U73,U79:U81,U83:U85,U87:U89,U91:U93,U95:U97,U99:U101,U107:U109,U111:U113,U115:U117,U119:U121,U127:U129,U131:U133,U135:U137,U143:U145,U147:U149,U151:U153,U159:U161,U163:U165,U167:U169,U175:U177)</f>
        <v>0.1990294707</v>
      </c>
      <c r="V182" s="62" t="s">
        <v>248</v>
      </c>
      <c r="W182" s="4">
        <f>U182*(R183+S183)</f>
        <v>0.1152384345</v>
      </c>
      <c r="X182" s="4">
        <f>U182*T183</f>
        <v>0.08379103622</v>
      </c>
    </row>
    <row r="183" ht="15.75" customHeight="1">
      <c r="B183" s="8" t="s">
        <v>63</v>
      </c>
      <c r="C183" s="8" t="s">
        <v>64</v>
      </c>
      <c r="D183" s="8" t="s">
        <v>65</v>
      </c>
      <c r="E183" s="8" t="s">
        <v>66</v>
      </c>
      <c r="G183" s="8" t="s">
        <v>63</v>
      </c>
      <c r="H183" s="8" t="s">
        <v>64</v>
      </c>
      <c r="I183" s="8" t="s">
        <v>65</v>
      </c>
      <c r="J183" s="8" t="s">
        <v>66</v>
      </c>
      <c r="K183" s="59"/>
      <c r="L183" s="8" t="s">
        <v>63</v>
      </c>
      <c r="M183" s="8" t="s">
        <v>64</v>
      </c>
      <c r="N183" s="8" t="s">
        <v>65</v>
      </c>
      <c r="O183" s="8" t="s">
        <v>66</v>
      </c>
      <c r="R183" s="4">
        <f t="shared" ref="R183:T183" si="94">R182/(SUM($R$182:$T$182))</f>
        <v>0.2925036239</v>
      </c>
      <c r="S183" s="4">
        <f t="shared" si="94"/>
        <v>0.2864982398</v>
      </c>
      <c r="T183" s="4">
        <f t="shared" si="94"/>
        <v>0.4209981363</v>
      </c>
      <c r="U183" s="5">
        <f>MAX(U3:U5,U7:U9,U11:U13,U15:U17,U23:U25,U27:U29,U31:U33,U35:U37,U39:U41,U43:U45,U51:U53,U55:U57,U59:U61,U63:U65,U67:U69,U71:U73,U79:U81,U83:U85,U87:U89,U91:U93,U95:U97,U99:U101,U107:U109,U111:U113,U115:U117,U119:U121,U127:U129,U131:U133,U135:U137,U143:U145,U147:U149,U151:U153,U159:U161,U163:U165,U167:U169,U175:U177)</f>
        <v>0.6447876448</v>
      </c>
      <c r="V183" s="62" t="s">
        <v>249</v>
      </c>
      <c r="W183" s="4"/>
      <c r="X183" s="4"/>
    </row>
    <row r="184" ht="15.75" customHeight="1">
      <c r="A184" s="10" t="s">
        <v>124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U184" s="5">
        <f>MIN(U3:U5,U7:U9,U11:U13,U15:U17,U23:U25,U27:U29,U31:U33,U35:U37,U39:U41,U43:U45,U51:U53,U55:U57,U59:U61,U63:U65,U67:U69,U71:U73,U79:U81,U83:U85,U87:U89,U91:U93,U95:U97,U99:U101,U107:U109,U111:U113,U115:U117,U119:U121,U127:U129,U131:U133,U135:U137,U143:U145,U147:U149,U151:U153,U159:U161,U163:U165,U167:U169,U175:U177)</f>
        <v>0.009109311741</v>
      </c>
      <c r="V184" s="62" t="s">
        <v>252</v>
      </c>
      <c r="W184" s="4"/>
      <c r="X184" s="4"/>
    </row>
    <row r="185" ht="15.75" customHeight="1">
      <c r="A185" s="11" t="s">
        <v>68</v>
      </c>
      <c r="B185" s="14">
        <f>$H$31/(($F$31-1)*$P$31)*100</f>
        <v>10.48728814</v>
      </c>
      <c r="C185" s="12">
        <f>$H$59/(($F$59-1)*$P$59)*100</f>
        <v>2.349336057</v>
      </c>
      <c r="D185" s="15">
        <f>$H$87/(($F$87-1)*$P$87)*100</f>
        <v>8.006535948</v>
      </c>
      <c r="E185" s="18">
        <f>$H$3/(($F$3-1)*$P$3)*100</f>
        <v>10.59322034</v>
      </c>
      <c r="F185" s="8"/>
      <c r="G185" s="12">
        <f>$H$32/(($F$32-1)*$P$32)*100</f>
        <v>9.665621735</v>
      </c>
      <c r="H185" s="12">
        <f>$H$60/(($F$60-1)*$P$60)*100</f>
        <v>1.504149378</v>
      </c>
      <c r="I185" s="14">
        <f>$H$88/(($F$88-1)*$P$88)*100</f>
        <v>10.12891344</v>
      </c>
      <c r="J185" s="13">
        <f>$H$4/(($F$4-1)*$P$4)*100</f>
        <v>10.88709677</v>
      </c>
      <c r="L185" s="15">
        <f>$H$33/(($F$33-1)*$P$33)*100</f>
        <v>8.604407135</v>
      </c>
      <c r="M185" s="15">
        <f>$H$61/(($F$61-1)*$P$61)*100</f>
        <v>1.359832636</v>
      </c>
      <c r="N185" s="14">
        <f>$H$89/(($F$89-1)*$P$89)*100</f>
        <v>10.29684601</v>
      </c>
      <c r="O185" s="14">
        <f>$H$5/(($F$5-1)*$P$5)*100</f>
        <v>15.92592593</v>
      </c>
      <c r="P185" s="29">
        <f t="shared" ref="P185:P187" si="95">AVERAGE(B185:E185,G185:J185,L185:O185)</f>
        <v>8.317431127</v>
      </c>
      <c r="W185" s="4"/>
      <c r="X185" s="4"/>
    </row>
    <row r="186" ht="15.75" customHeight="1">
      <c r="A186" s="11" t="s">
        <v>73</v>
      </c>
      <c r="B186" s="17">
        <f>$H$39/(($F$39-1)*$P$39)*100</f>
        <v>24.1301908</v>
      </c>
      <c r="C186" s="12">
        <f>$H$67/(($F$67-1)*$P$67)*100</f>
        <v>2.497343252</v>
      </c>
      <c r="D186" s="12">
        <f>$H$95/(($F$95-1)*$P$95)*100</f>
        <v>4.67032967</v>
      </c>
      <c r="E186" s="17">
        <f>$H$11/(($F$11-1)*$P$11)*100</f>
        <v>17.54966887</v>
      </c>
      <c r="F186" s="8"/>
      <c r="G186" s="14">
        <f>$H$40/(($F$40-1)*$P$40)*100</f>
        <v>25.65714286</v>
      </c>
      <c r="H186" s="15">
        <f>$H$68/(($F$68-1)*$P$68)*100</f>
        <v>1.997780244</v>
      </c>
      <c r="I186" s="12">
        <f>$H$96/(($F$96-1)*$P$96)*100</f>
        <v>4.479166667</v>
      </c>
      <c r="J186" s="14">
        <f>$H$12/(($F$12-1)*$P$12)*100</f>
        <v>21.36363636</v>
      </c>
      <c r="L186" s="14">
        <f>$H$41/(($F$41-1)*$P$41)*100</f>
        <v>25.81877729</v>
      </c>
      <c r="M186" s="12">
        <f>$H$69/(($F$69-1)*$P$69)*100</f>
        <v>2.187833511</v>
      </c>
      <c r="N186" s="20">
        <f>$H$97/(($F$97-1)*$P$97)*100</f>
        <v>3.696498054</v>
      </c>
      <c r="O186" s="14">
        <f>$H$13/(($F$13-1)*$P$13)*100</f>
        <v>18.63636364</v>
      </c>
      <c r="P186" s="29">
        <f t="shared" si="95"/>
        <v>12.7237276</v>
      </c>
      <c r="R186" s="29">
        <f t="shared" ref="R186:T186" si="96">SUM(R19:R21,R47:R49,R75:R77,R103:R105,R123:R125,R139:R141,R155:R157,R171:R173)</f>
        <v>680</v>
      </c>
      <c r="S186" s="29">
        <f t="shared" si="96"/>
        <v>757</v>
      </c>
      <c r="T186" s="29">
        <f t="shared" si="96"/>
        <v>905</v>
      </c>
      <c r="U186" s="5">
        <f>AVERAGE(U19:U21,U47:U49,U75:U77,U103:U105,U123:U125,U139:U141,U155:U157,U171:U173)</f>
        <v>0.5020876905</v>
      </c>
      <c r="V186" s="62" t="s">
        <v>253</v>
      </c>
      <c r="W186" s="4">
        <f>U186*(R187+S187)</f>
        <v>0.3080700305</v>
      </c>
      <c r="X186" s="4">
        <f>U186*T187</f>
        <v>0.1940176601</v>
      </c>
    </row>
    <row r="187" ht="15.75" customHeight="1">
      <c r="A187" s="11" t="s">
        <v>76</v>
      </c>
      <c r="B187" s="16">
        <f>$H$51/(($F$51-1)*$P$51)*100</f>
        <v>5.691056911</v>
      </c>
      <c r="C187" s="28">
        <f>$H$79/(($F$79-1)*$P$79)*100</f>
        <v>0.8510638298</v>
      </c>
      <c r="D187" s="20">
        <f>$H$107/(($F$107-1)*$P$107)*100</f>
        <v>2.896341463</v>
      </c>
      <c r="E187" s="17">
        <f>$H$23/(($F$23-1)*$P$23)*100</f>
        <v>12.90322581</v>
      </c>
      <c r="F187" s="8"/>
      <c r="G187" s="20">
        <f>$H$52/(($F$52-1)*$P$52)*100</f>
        <v>4.452054795</v>
      </c>
      <c r="H187" s="27">
        <f>$H$80/(($F$80-1)*$P$80)*100</f>
        <v>0.8492569002</v>
      </c>
      <c r="I187" s="16">
        <f>$H$108/(($F$108-1)*$P$108)*100</f>
        <v>4.402515723</v>
      </c>
      <c r="J187" s="14">
        <f>$H$24/(($F$24-1)*$P$24)*100</f>
        <v>16.12903226</v>
      </c>
      <c r="L187" s="16">
        <f>$H$53/(($F$53-1)*$P$53)*100</f>
        <v>5.344202899</v>
      </c>
      <c r="M187" s="28">
        <f>$H$81/(($F$81-1)*$P$81)*100</f>
        <v>0.8791208791</v>
      </c>
      <c r="N187" s="12">
        <f>$H$109/(($F$109-1)*$P$109)*100</f>
        <v>4.285714286</v>
      </c>
      <c r="O187" s="13">
        <f>$H$25/(($F$25-1)*$P$25)*100</f>
        <v>15</v>
      </c>
      <c r="P187" s="29">
        <f t="shared" si="95"/>
        <v>6.140298812</v>
      </c>
      <c r="R187" s="4">
        <f t="shared" ref="R187:T187" si="97">R186/(SUM($R$186:$T$186))</f>
        <v>0.2903501281</v>
      </c>
      <c r="S187" s="4">
        <f t="shared" si="97"/>
        <v>0.3232280102</v>
      </c>
      <c r="T187" s="4">
        <f t="shared" si="97"/>
        <v>0.3864218617</v>
      </c>
      <c r="U187" s="5">
        <f>MAX(U19:U21,U47:U49,U75:U77,U103:U105,U123:U125,U139:U141,U155:U157,U171:U173)</f>
        <v>0.6794871795</v>
      </c>
      <c r="V187" s="62" t="s">
        <v>254</v>
      </c>
      <c r="W187" s="4"/>
      <c r="X187" s="4"/>
    </row>
    <row r="188" ht="15.75" customHeight="1">
      <c r="A188" s="10" t="s">
        <v>126</v>
      </c>
      <c r="B188" s="24"/>
      <c r="C188" s="24"/>
      <c r="D188" s="24"/>
      <c r="E188" s="24"/>
      <c r="F188" s="24"/>
      <c r="G188" s="24"/>
      <c r="H188" s="24"/>
      <c r="I188" s="24"/>
      <c r="J188" s="24"/>
      <c r="K188" s="10"/>
      <c r="L188" s="24"/>
      <c r="M188" s="24"/>
      <c r="N188" s="24"/>
      <c r="O188" s="24"/>
      <c r="P188" s="34">
        <f>AVERAGE(P185:P187)</f>
        <v>9.060485847</v>
      </c>
      <c r="U188" s="5">
        <f>MIN(U19:U21,U47:U49,U75:U77,U103:U105,U123:U125,U139:U141,U155:U157,U171:U173)</f>
        <v>0.3076923077</v>
      </c>
      <c r="V188" s="62" t="s">
        <v>255</v>
      </c>
      <c r="W188" s="4"/>
      <c r="X188" s="4"/>
    </row>
    <row r="189" ht="15.75" customHeight="1">
      <c r="A189" s="11" t="s">
        <v>68</v>
      </c>
      <c r="B189" s="14">
        <f>N$31/((F$31-1)*P$31)*100</f>
        <v>41.10169492</v>
      </c>
      <c r="C189" s="16">
        <f>N$59/((F$59-1)*P$59)*100</f>
        <v>4.290091931</v>
      </c>
      <c r="D189" s="18">
        <f>N$87/((F$87-1)*P$87)*100</f>
        <v>20.50653595</v>
      </c>
      <c r="E189" s="14">
        <f>N$3/((F$3-1)*P$3)*100</f>
        <v>43.6440678</v>
      </c>
      <c r="F189" s="8"/>
      <c r="G189" s="14">
        <f>$N$32/(($F$32-1)*$P$32)*100</f>
        <v>45.19331243</v>
      </c>
      <c r="H189" s="16">
        <f>$N$60/(($F$60-1)*$P$60)*100</f>
        <v>4.616182573</v>
      </c>
      <c r="I189" s="13">
        <f>$N$88/(($F$88-1)*$P$88)*100</f>
        <v>28.54511971</v>
      </c>
      <c r="J189" s="14">
        <f>$N$4/(($F$4-1)*$P$4)*100</f>
        <v>47.98387097</v>
      </c>
      <c r="L189" s="18">
        <f>$N$33/(($F$33-1)*$P$33)*100</f>
        <v>36.77859391</v>
      </c>
      <c r="M189" s="20">
        <f>$N$61/(($F$61-1)*$P$61)*100</f>
        <v>3.556485356</v>
      </c>
      <c r="N189" s="13">
        <f>$N$89/(($F$89-1)*$P$89)*100</f>
        <v>22.54174397</v>
      </c>
      <c r="O189" s="17">
        <f>$N$5/(($F$5-1)*$P$5)*100</f>
        <v>42.22222222</v>
      </c>
    </row>
    <row r="190" ht="15.75" customHeight="1">
      <c r="A190" s="11" t="s">
        <v>73</v>
      </c>
      <c r="B190" s="17">
        <f>N$39/((F$39-1)*P$39)*100</f>
        <v>39.11335578</v>
      </c>
      <c r="C190" s="15">
        <f>N$67/((F$67-1)*P$67)*100</f>
        <v>5.207226355</v>
      </c>
      <c r="D190" s="17">
        <f>N$95/((F$95-1)*P$95)*100</f>
        <v>41.39194139</v>
      </c>
      <c r="E190" s="18">
        <f>N$11/((F$11-1)*P$11)*100</f>
        <v>26.1589404</v>
      </c>
      <c r="F190" s="8"/>
      <c r="G190" s="14">
        <f>$N$40/(($F$40-1)*$P$40)*100</f>
        <v>39.94285714</v>
      </c>
      <c r="H190" s="12">
        <f>$N$68/(($F$68-1)*$P$68)*100</f>
        <v>5.38290788</v>
      </c>
      <c r="I190" s="14">
        <f>$N$96/(($F$96-1)*$P$96)*100</f>
        <v>44.16666667</v>
      </c>
      <c r="J190" s="13">
        <f>$N$12/(($F$12-1)*$P$12)*100</f>
        <v>31.36363636</v>
      </c>
      <c r="L190" s="14">
        <f>$N$41/(($F$41-1)*$P$41)*100</f>
        <v>41.21179039</v>
      </c>
      <c r="M190" s="12">
        <f>$N$69/(($F$69-1)*$P$69)*100</f>
        <v>5.496264674</v>
      </c>
      <c r="N190" s="14">
        <f>$N$97/(($F$97-1)*$P$97)*100</f>
        <v>48.05447471</v>
      </c>
      <c r="O190" s="13">
        <f>$N$13/(($F$13-1)*$P$13)*100</f>
        <v>30.90909091</v>
      </c>
    </row>
    <row r="191" ht="15.75" customHeight="1">
      <c r="A191" s="11" t="s">
        <v>76</v>
      </c>
      <c r="B191" s="13">
        <f>N$51/((F$51-1)*P$51)*100</f>
        <v>38.1300813</v>
      </c>
      <c r="C191" s="12">
        <f>N$79/((F$79-1)*P$79)*100</f>
        <v>5.319148936</v>
      </c>
      <c r="D191" s="17">
        <f>N$107/((F$107-1)*P$107)*100</f>
        <v>26.98170732</v>
      </c>
      <c r="E191" s="14">
        <f>N$23/((F$23-1)*P$23)*100</f>
        <v>31.72043011</v>
      </c>
      <c r="F191" s="8"/>
      <c r="G191" s="18">
        <f>$N$52/(($F$52-1)*$P$52)*100</f>
        <v>37.84246575</v>
      </c>
      <c r="H191" s="12">
        <f>$N$80/(($F$80-1)*$P$80)*100</f>
        <v>5.307855626</v>
      </c>
      <c r="I191" s="14">
        <f>$N$108/(($F$108-1)*$P$108)*100</f>
        <v>34.90566038</v>
      </c>
      <c r="J191" s="14">
        <f>$N$24/(($F$24-1)*$P$24)*100</f>
        <v>36.02150538</v>
      </c>
      <c r="L191" s="14">
        <f>$N$53/(($F$53-1)*$P$53)*100</f>
        <v>39.40217391</v>
      </c>
      <c r="M191" s="15">
        <f>$N$81/(($F$81-1)*$P$81)*100</f>
        <v>4.835164835</v>
      </c>
      <c r="N191" s="14">
        <f>$N$109/(($F$109-1)*$P$109)*100</f>
        <v>32.85714286</v>
      </c>
      <c r="O191" s="17">
        <f>$N$25/(($F$25-1)*$P$25)*100</f>
        <v>31</v>
      </c>
    </row>
    <row r="192" ht="15.75" customHeight="1">
      <c r="A192" s="10" t="s">
        <v>258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10"/>
      <c r="L192" s="24"/>
      <c r="M192" s="24"/>
      <c r="N192" s="24"/>
      <c r="O192" s="24"/>
    </row>
    <row r="193" ht="15.75" customHeight="1">
      <c r="A193" s="11" t="s">
        <v>68</v>
      </c>
      <c r="B193" s="14">
        <f>($I$31+$J$31+$K$31)/(($F$31-1)*$P$31)*100</f>
        <v>22.13983051</v>
      </c>
      <c r="C193" s="14">
        <f>($I$59+$J$59+$K$59)/(($F$59-1)*$P$59)*100</f>
        <v>90.09193054</v>
      </c>
      <c r="D193" s="18">
        <f>($I$87+$J$87+$K$87)/(($F$87-1)*$P$87)*100</f>
        <v>50.16339869</v>
      </c>
      <c r="E193" s="14">
        <f>($I$3+$J$3+$K$3)/(($F$3-1)*$P$3)*100</f>
        <v>18.22033898</v>
      </c>
      <c r="F193" s="14"/>
      <c r="G193" s="14">
        <f>($I$32+$J$32+$K$32)/(($F$32-1)*$P$32)*100</f>
        <v>23.04075235</v>
      </c>
      <c r="H193" s="14">
        <f>($I$60+$J$60+$K$60)/(($F$60-1)*$P$60)*100</f>
        <v>90.81950207</v>
      </c>
      <c r="I193" s="14">
        <f>($I$88+$J$88+$K$88)/(($F$88-1)*$P$88)*100</f>
        <v>49.17127072</v>
      </c>
      <c r="J193" s="17">
        <f>($I$4+$J$4+$K$4)/(($F$4-1)*$P$4)*100</f>
        <v>19.75806452</v>
      </c>
      <c r="K193" s="14"/>
      <c r="L193" s="17">
        <f>($I$33+$J$33+$K$33)/(($F$33-1)*$P$33)*100</f>
        <v>23.60965373</v>
      </c>
      <c r="M193" s="17">
        <f>($I$61+$J$61+$K$61)/(($F$61-1)*$P$61)*100</f>
        <v>91.21338912</v>
      </c>
      <c r="N193" s="14">
        <f>($I$89+$J$89+$K$89)/(($F$89-1)*$P$89)*100</f>
        <v>48.51576994</v>
      </c>
      <c r="O193" s="14">
        <f>($I$5+$J$5+$K$5)/(($F$5-1)*$P$5)*100</f>
        <v>18.14814815</v>
      </c>
      <c r="P193" s="14">
        <f t="shared" ref="P193:P195" si="98">AVERAGE(L193:O193)</f>
        <v>45.37174023</v>
      </c>
    </row>
    <row r="194" ht="15.75" customHeight="1">
      <c r="A194" s="11" t="s">
        <v>73</v>
      </c>
      <c r="B194" s="17">
        <f>($I$39+$J$39+$K$39)/(($F$39-1)*$P$39)*100</f>
        <v>27.38496072</v>
      </c>
      <c r="C194" s="14">
        <f>($I$67+$J$67+$K$67)/(($F$67-1)*$P$67)*100</f>
        <v>90.48884166</v>
      </c>
      <c r="D194" s="17">
        <f>($I$95+$J$95+$K$95)/(($F$95-1)*$P$95)*100</f>
        <v>36.17216117</v>
      </c>
      <c r="E194" s="18">
        <f>($I$11+$J$11+$K$11)/(($F$11-1)*$P$11)*100</f>
        <v>46.68874172</v>
      </c>
      <c r="F194" s="14"/>
      <c r="G194" s="14">
        <f>($I$40+$J$40+$K$40)/(($F$40-1)*$P$40)*100</f>
        <v>26.34285714</v>
      </c>
      <c r="H194" s="17">
        <f>($I$68+$J$68+$K$68)/(($F$68-1)*$P$68)*100</f>
        <v>91.23196448</v>
      </c>
      <c r="I194" s="14">
        <f>($I$96+$J$96+$K$96)/(($F$96-1)*$P$96)*100</f>
        <v>32.39583333</v>
      </c>
      <c r="J194" s="13">
        <f>($I$12+$J$12+$K$12)/(($F$12-1)*$P$12)*100</f>
        <v>38.63636364</v>
      </c>
      <c r="K194" s="14"/>
      <c r="L194" s="14">
        <f>($I$41+$J$41+$K$41)/(($F$41-1)*$P$41)*100</f>
        <v>25.60043668</v>
      </c>
      <c r="M194" s="14">
        <f>($I$69+$J$69+$K$69)/(($F$69-1)*$P$69)*100</f>
        <v>90.55496265</v>
      </c>
      <c r="N194" s="14">
        <f>($I$97+$J$97+$K$97)/(($F$97-1)*$P$97)*100</f>
        <v>33.26848249</v>
      </c>
      <c r="O194" s="13">
        <f>($I$13+$J$13+$K$13)/(($F$13-1)*$P$13)*100</f>
        <v>44.09090909</v>
      </c>
      <c r="P194" s="14">
        <f t="shared" si="98"/>
        <v>48.37869773</v>
      </c>
    </row>
    <row r="195" ht="15.75" customHeight="1">
      <c r="A195" s="11" t="s">
        <v>76</v>
      </c>
      <c r="B195" s="13">
        <f>($I$51+$J$51+$K$51)/(($F$51-1)*$P$51)*100</f>
        <v>30.73170732</v>
      </c>
      <c r="C195" s="13">
        <f>($I$79+$J$79+$K$79)/(($F$79-1)*$P$79)*100</f>
        <v>92.76595745</v>
      </c>
      <c r="D195" s="14">
        <f>($I$107+$J$107+$K$107)/(($F$107-1)*$P$107)*100</f>
        <v>49.54268293</v>
      </c>
      <c r="E195" s="17">
        <f>($I$23+$J$23+$K$23)/(($F$23-1)*$P$23)*100</f>
        <v>16.12903226</v>
      </c>
      <c r="F195" s="14"/>
      <c r="G195" s="18">
        <f>($I$52+$J$52+$K$52)/(($F$52-1)*$P$52)*100</f>
        <v>31.67808219</v>
      </c>
      <c r="H195" s="13">
        <f>($I$80+$J$80+$K$80)/(($F$80-1)*$P$80)*100</f>
        <v>92.14437367</v>
      </c>
      <c r="I195" s="18">
        <f>($I$108+$J$108+$K$108)/(($F$108-1)*$P$108)*100</f>
        <v>49.68553459</v>
      </c>
      <c r="J195" s="17">
        <f>($I$24+$J$24+$K$24)/(($F$24-1)*$P$24)*100</f>
        <v>16.12903226</v>
      </c>
      <c r="K195" s="14"/>
      <c r="L195" s="13">
        <f>($I$53+$J$53+$K$53)/(($F$53-1)*$P$53)*100</f>
        <v>29.98188406</v>
      </c>
      <c r="M195" s="18">
        <f>($I$81+$J$81+$K$81)/(($F$81-1)*$P$81)*100</f>
        <v>92.96703297</v>
      </c>
      <c r="N195" s="13">
        <f>($I$109+$J$109+$K$109)/(($F$109-1)*$P$109)*100</f>
        <v>49.64285714</v>
      </c>
      <c r="O195" s="14">
        <f>($I$25+$J$25+$K$25)/(($F$25-1)*$P$25)*100</f>
        <v>14</v>
      </c>
      <c r="P195" s="14">
        <f t="shared" si="98"/>
        <v>46.64794354</v>
      </c>
    </row>
    <row r="196" ht="15.75" customHeight="1">
      <c r="A196" s="10" t="s">
        <v>125</v>
      </c>
      <c r="B196" s="24"/>
      <c r="C196" s="24"/>
      <c r="D196" s="24"/>
      <c r="E196" s="24"/>
      <c r="F196" s="24"/>
      <c r="G196" s="24"/>
      <c r="H196" s="24"/>
      <c r="I196" s="24"/>
      <c r="J196" s="24"/>
      <c r="L196" s="24"/>
      <c r="M196" s="24"/>
      <c r="N196" s="24"/>
      <c r="O196" s="24"/>
    </row>
    <row r="197" ht="15.75" customHeight="1">
      <c r="A197" s="11" t="s">
        <v>68</v>
      </c>
      <c r="B197" s="13">
        <f>(L$31+M$31)/((F$31-1)*P$31)*100</f>
        <v>26.27118644</v>
      </c>
      <c r="C197" s="16">
        <f>(L$59+M$59)/((F$59-1)*P$59)*100</f>
        <v>3.268641471</v>
      </c>
      <c r="D197" s="18">
        <f>(L$87+M$87)/((F$87-1)*P$87)*100</f>
        <v>21.32352941</v>
      </c>
      <c r="E197" s="17">
        <f>(L$3+M$3)/((F$3-1)*P$3)*100</f>
        <v>27.54237288</v>
      </c>
      <c r="F197" s="14"/>
      <c r="G197" s="14">
        <f>($L$32+$M$32)/(($F$32-1)*$P$32)*100</f>
        <v>22.10031348</v>
      </c>
      <c r="H197" s="16">
        <f>($L$60+$M$60)/(($F$60-1)*$P$60)*100</f>
        <v>3.060165975</v>
      </c>
      <c r="I197" s="14">
        <f>($L$88+$M$88)/(($F$88-1)*$P$88)*100</f>
        <v>12.15469613</v>
      </c>
      <c r="J197" s="14">
        <f>($L$4+$M$4)/(($F$4-1)*$P$4)*100</f>
        <v>21.37096774</v>
      </c>
      <c r="K197" s="14"/>
      <c r="L197" s="18">
        <f>($L$33+$M$33)/(($F$33-1)*$P$33)*100</f>
        <v>31.00734523</v>
      </c>
      <c r="M197" s="20">
        <f>($L$61+$M$61)/(($F$61-1)*$P$61)*100</f>
        <v>3.870292887</v>
      </c>
      <c r="N197" s="13">
        <f>($L$89+$M$89)/(($F$89-1)*$P$89)*100</f>
        <v>18.64564007</v>
      </c>
      <c r="O197" s="14">
        <f>($L$5+$M$5)/(($F$5-1)*$P$5)*100</f>
        <v>23.7037037</v>
      </c>
      <c r="P197" s="14">
        <f t="shared" ref="P197:P199" si="99">AVERAGE(L197:O197)</f>
        <v>19.30674547</v>
      </c>
    </row>
    <row r="198" ht="15.75" customHeight="1">
      <c r="A198" s="11" t="s">
        <v>73</v>
      </c>
      <c r="B198" s="15">
        <f>(L$39+M$39)/((F$39-1)*P$39)*100</f>
        <v>9.371492705</v>
      </c>
      <c r="C198" s="15">
        <f>(L$67+M$67)/((F$67-1)*P$67)*100</f>
        <v>1.806588735</v>
      </c>
      <c r="D198" s="14">
        <f>(L$95+M$95)/((F$95-1)*P$95)*100</f>
        <v>17.76556777</v>
      </c>
      <c r="E198" s="15">
        <f>(L$11+M$11)/((F$11-1)*P$11)*100</f>
        <v>9.602649007</v>
      </c>
      <c r="F198" s="14"/>
      <c r="G198" s="12">
        <f>($L$40+$M$40)/(($F$40-1)*$P$40)*100</f>
        <v>8.057142857</v>
      </c>
      <c r="H198" s="12">
        <f>($L$68+$M$68)/(($F$68-1)*$P$68)*100</f>
        <v>1.387347392</v>
      </c>
      <c r="I198" s="18">
        <f>($L$96+$M$96)/(($F$96-1)*$P$96)*100</f>
        <v>18.95833333</v>
      </c>
      <c r="J198" s="12">
        <f>($L$12+$M$12)/(($F$12-1)*$P$12)*100</f>
        <v>8.636363636</v>
      </c>
      <c r="K198" s="14"/>
      <c r="L198" s="12">
        <f>($L$41+$M$41)/(($F$41-1)*$P$41)*100</f>
        <v>7.368995633</v>
      </c>
      <c r="M198" s="12">
        <f>($L$69+$M$69)/(($F$69-1)*$P$69)*100</f>
        <v>1.760939168</v>
      </c>
      <c r="N198" s="14">
        <f>($L$97+$M$97)/(($F$97-1)*$P$97)*100</f>
        <v>14.98054475</v>
      </c>
      <c r="O198" s="12">
        <f>($L$13+$M$13)/(($F$13-1)*$P$13)*100</f>
        <v>6.363636364</v>
      </c>
      <c r="P198" s="14">
        <f t="shared" si="99"/>
        <v>7.618528978</v>
      </c>
    </row>
    <row r="199" ht="15.75" customHeight="1">
      <c r="A199" s="11" t="s">
        <v>76</v>
      </c>
      <c r="B199" s="14">
        <f>(L$51+M$51)/((F$51-1)*P$51)*100</f>
        <v>25.44715447</v>
      </c>
      <c r="C199" s="12">
        <f>(L$79+M$79)/((F$79-1)*P$79)*100</f>
        <v>1.063829787</v>
      </c>
      <c r="D199" s="17">
        <f>(L$107+M$107)/((F$107-1)*P$107)*100</f>
        <v>20.57926829</v>
      </c>
      <c r="E199" s="13">
        <f>(L$23+M$23)/((F$23-1)*P$23)*100</f>
        <v>39.24731183</v>
      </c>
      <c r="F199" s="14"/>
      <c r="G199" s="18">
        <f>($L$52+$M$52)/(($F$52-1)*$P$52)*100</f>
        <v>26.02739726</v>
      </c>
      <c r="H199" s="15">
        <f>($L$80+$M$80)/(($F$80-1)*$P$80)*100</f>
        <v>1.6985138</v>
      </c>
      <c r="I199" s="14">
        <f>($L$108+$M$108)/(($F$108-1)*$P$108)*100</f>
        <v>11.00628931</v>
      </c>
      <c r="J199" s="13">
        <f>($L$24+$M$24)/(($F$24-1)*$P$24)*100</f>
        <v>31.72043011</v>
      </c>
      <c r="K199" s="14"/>
      <c r="L199" s="14">
        <f>($L$53+$M$53)/(($F$53-1)*$P$53)*100</f>
        <v>25.27173913</v>
      </c>
      <c r="M199" s="12">
        <f>($L$81+$M$81)/(($F$81-1)*$P$81)*100</f>
        <v>1.318681319</v>
      </c>
      <c r="N199" s="14">
        <f>($L$109+$M$109)/(($F$109-1)*$P$109)*100</f>
        <v>13.21428571</v>
      </c>
      <c r="O199" s="18">
        <f>($L$25+$M$25)/(($F$25-1)*$P$25)*100</f>
        <v>40</v>
      </c>
      <c r="P199" s="14">
        <f t="shared" si="99"/>
        <v>19.95117654</v>
      </c>
      <c r="Q199" s="30" t="s">
        <v>267</v>
      </c>
      <c r="R199" s="31" t="s">
        <v>244</v>
      </c>
      <c r="S199" s="32"/>
      <c r="T199" s="32"/>
      <c r="U199" s="32"/>
      <c r="V199" s="8"/>
      <c r="W199" s="31" t="s">
        <v>245</v>
      </c>
      <c r="X199" s="32"/>
      <c r="Y199" s="32"/>
      <c r="Z199" s="32"/>
      <c r="AB199" s="31" t="s">
        <v>246</v>
      </c>
      <c r="AC199" s="32"/>
      <c r="AD199" s="32"/>
      <c r="AE199" s="32"/>
    </row>
    <row r="200" ht="15.75" customHeight="1">
      <c r="A200" s="72" t="s">
        <v>268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10"/>
      <c r="L200" s="24"/>
      <c r="M200" s="24"/>
      <c r="N200" s="24"/>
      <c r="O200" s="24"/>
      <c r="P200" s="34"/>
      <c r="R200" s="8" t="s">
        <v>63</v>
      </c>
      <c r="S200" s="8" t="s">
        <v>64</v>
      </c>
      <c r="T200" s="8" t="s">
        <v>65</v>
      </c>
      <c r="U200" s="8" t="s">
        <v>66</v>
      </c>
      <c r="W200" s="8" t="s">
        <v>63</v>
      </c>
      <c r="X200" s="8" t="s">
        <v>64</v>
      </c>
      <c r="Y200" s="8" t="s">
        <v>65</v>
      </c>
      <c r="Z200" s="8" t="s">
        <v>66</v>
      </c>
      <c r="AB200" s="8" t="s">
        <v>63</v>
      </c>
      <c r="AC200" s="8" t="s">
        <v>64</v>
      </c>
      <c r="AD200" s="8" t="s">
        <v>65</v>
      </c>
      <c r="AE200" s="8" t="s">
        <v>66</v>
      </c>
    </row>
    <row r="201" ht="15.75" customHeight="1">
      <c r="A201" s="11" t="s">
        <v>68</v>
      </c>
      <c r="B201" s="18">
        <f>O$31/((F$31-1)*P$31)*100</f>
        <v>12.92372881</v>
      </c>
      <c r="C201" s="14">
        <f>O$59/((F$59-1)*P$59)*100</f>
        <v>13.84065373</v>
      </c>
      <c r="D201" s="13">
        <f>O$87/((F$87-1)*P$87)*100</f>
        <v>20.91503268</v>
      </c>
      <c r="E201" s="18">
        <f>O$3/((F$3-1)*P$3)*100</f>
        <v>37.71186441</v>
      </c>
      <c r="F201" s="14"/>
      <c r="G201" s="16">
        <f>$O$32/(($F$32-1)*$P$32)*100</f>
        <v>9.87460815</v>
      </c>
      <c r="H201" s="18">
        <f>$O$60/(($F$60-1)*$P$60)*100</f>
        <v>16.02697095</v>
      </c>
      <c r="I201" s="13">
        <f>$O$88/(($F$88-1)*$P$88)*100</f>
        <v>18.78453039</v>
      </c>
      <c r="J201" s="13">
        <f>$O$4/(($F$4-1)*$P$4)*100</f>
        <v>32.66129032</v>
      </c>
      <c r="K201" s="14"/>
      <c r="L201" s="13">
        <f>$O$33/(($F$33-1)*$P$33)*100</f>
        <v>10.23084995</v>
      </c>
      <c r="M201" s="13">
        <f>$O$61/(($F$61-1)*$P$61)*100</f>
        <v>10.66945607</v>
      </c>
      <c r="N201" s="18">
        <f>$O$89/(($F$89-1)*$P$89)*100</f>
        <v>21.24304267</v>
      </c>
      <c r="O201" s="13">
        <f>$O$5/(($F$5-1)*$P$5)*100</f>
        <v>21.85185185</v>
      </c>
      <c r="P201" s="53">
        <v>21.3</v>
      </c>
      <c r="Q201" s="11" t="s">
        <v>68</v>
      </c>
      <c r="R201" s="33">
        <f t="shared" ref="R201:U201" si="100">B185+B189</f>
        <v>51.58898305</v>
      </c>
      <c r="S201" s="29">
        <f t="shared" si="100"/>
        <v>6.639427988</v>
      </c>
      <c r="T201" s="33">
        <f t="shared" si="100"/>
        <v>28.5130719</v>
      </c>
      <c r="U201" s="33">
        <f t="shared" si="100"/>
        <v>54.23728814</v>
      </c>
      <c r="V201" s="33"/>
      <c r="W201" s="33">
        <f t="shared" ref="W201:Z201" si="101">G185+G189</f>
        <v>54.85893417</v>
      </c>
      <c r="X201" s="29">
        <f t="shared" si="101"/>
        <v>6.12033195</v>
      </c>
      <c r="Y201" s="33">
        <f t="shared" si="101"/>
        <v>38.67403315</v>
      </c>
      <c r="Z201" s="33">
        <f t="shared" si="101"/>
        <v>58.87096774</v>
      </c>
      <c r="AA201" s="33"/>
      <c r="AB201" s="33">
        <f t="shared" ref="AB201:AE201" si="102">L185+L189</f>
        <v>45.38300105</v>
      </c>
      <c r="AC201" s="29">
        <f t="shared" si="102"/>
        <v>4.916317992</v>
      </c>
      <c r="AD201" s="33">
        <f t="shared" si="102"/>
        <v>32.83858998</v>
      </c>
      <c r="AE201" s="33">
        <f t="shared" si="102"/>
        <v>58.14814815</v>
      </c>
    </row>
    <row r="202" ht="15.75" customHeight="1">
      <c r="A202" s="11" t="s">
        <v>73</v>
      </c>
      <c r="B202" s="15">
        <f>O$39/((F$39-1)*P$39)*100</f>
        <v>8.978675645</v>
      </c>
      <c r="C202" s="18">
        <f>O$67/((F$67-1)*P$67)*100</f>
        <v>18.54410202</v>
      </c>
      <c r="D202" s="17">
        <f>O$95/((F$95-1)*P$95)*100</f>
        <v>18.77289377</v>
      </c>
      <c r="E202" s="14">
        <f>O$11/((F$11-1)*P$11)*100</f>
        <v>15.89403974</v>
      </c>
      <c r="F202" s="14"/>
      <c r="G202" s="12">
        <f>$O$40/(($F$40-1)*$P$40)*100</f>
        <v>7.2</v>
      </c>
      <c r="H202" s="14">
        <f>$O$68/(($F$68-1)*$P$68)*100</f>
        <v>13.20754717</v>
      </c>
      <c r="I202" s="14">
        <f>$O$96/(($F$96-1)*$P$96)*100</f>
        <v>13.85416667</v>
      </c>
      <c r="J202" s="17">
        <f>$O$12/(($F$12-1)*$P$12)*100</f>
        <v>20.90909091</v>
      </c>
      <c r="K202" s="14"/>
      <c r="L202" s="12">
        <f>$O$41/(($F$41-1)*$P$41)*100</f>
        <v>6.058951965</v>
      </c>
      <c r="M202" s="14">
        <f>$O$69/(($F$69-1)*$P$69)*100</f>
        <v>10.40554963</v>
      </c>
      <c r="N202" s="14">
        <f>$O$97/(($F$97-1)*$P$97)*100</f>
        <v>13.22957198</v>
      </c>
      <c r="O202" s="14">
        <f>$O$13/(($F$13-1)*$P$13)*100</f>
        <v>14.54545455</v>
      </c>
      <c r="P202" s="53">
        <v>15.5</v>
      </c>
      <c r="Q202" s="11" t="s">
        <v>73</v>
      </c>
      <c r="R202" s="33">
        <f t="shared" ref="R202:U202" si="103">B186+B190</f>
        <v>63.24354658</v>
      </c>
      <c r="S202" s="29">
        <f t="shared" si="103"/>
        <v>7.704569607</v>
      </c>
      <c r="T202" s="33">
        <f t="shared" si="103"/>
        <v>46.06227106</v>
      </c>
      <c r="U202" s="33">
        <f t="shared" si="103"/>
        <v>43.70860927</v>
      </c>
      <c r="V202" s="33"/>
      <c r="W202" s="33">
        <f t="shared" ref="W202:Z202" si="104">G186+G190</f>
        <v>65.6</v>
      </c>
      <c r="X202" s="29">
        <f t="shared" si="104"/>
        <v>7.380688124</v>
      </c>
      <c r="Y202" s="33">
        <f t="shared" si="104"/>
        <v>48.64583333</v>
      </c>
      <c r="Z202" s="33">
        <f t="shared" si="104"/>
        <v>52.72727273</v>
      </c>
      <c r="AA202" s="29"/>
      <c r="AB202" s="33">
        <f t="shared" ref="AB202:AE202" si="105">L186+L190</f>
        <v>67.03056769</v>
      </c>
      <c r="AC202" s="29">
        <f t="shared" si="105"/>
        <v>7.684098186</v>
      </c>
      <c r="AD202" s="33">
        <f t="shared" si="105"/>
        <v>51.75097276</v>
      </c>
      <c r="AE202" s="33">
        <f t="shared" si="105"/>
        <v>49.54545455</v>
      </c>
    </row>
    <row r="203" ht="15.75" customHeight="1">
      <c r="A203" s="25" t="s">
        <v>76</v>
      </c>
      <c r="B203" s="108">
        <f>O$51/((F$51-1)*P$51)*100</f>
        <v>7.479674797</v>
      </c>
      <c r="C203" s="71">
        <f>O$79/((F$79-1)*P$79)*100</f>
        <v>13.29787234</v>
      </c>
      <c r="D203" s="71">
        <f>O$107/((F$107-1)*P$107)*100</f>
        <v>18.59756098</v>
      </c>
      <c r="E203" s="70">
        <f>O$23/((F$23-1)*P$23)*100</f>
        <v>11.29032258</v>
      </c>
      <c r="F203" s="14"/>
      <c r="G203" s="128">
        <f>$O$52/(($F$52-1)*$P$52)*100</f>
        <v>8.818493151</v>
      </c>
      <c r="H203" s="108">
        <f>$O$80/(($F$80-1)*$P$80)*100</f>
        <v>9.872611465</v>
      </c>
      <c r="I203" s="70">
        <f>$O$108/(($F$108-1)*$P$108)*100</f>
        <v>12.57861635</v>
      </c>
      <c r="J203" s="108">
        <f>$O$24/(($F$24-1)*$P$24)*100</f>
        <v>5.376344086</v>
      </c>
      <c r="K203" s="14"/>
      <c r="L203" s="108">
        <f>$O$53/(($F$53-1)*$P$53)*100</f>
        <v>7.065217391</v>
      </c>
      <c r="M203" s="108">
        <f>$O$81/(($F$81-1)*$P$81)*100</f>
        <v>8.461538462</v>
      </c>
      <c r="N203" s="70">
        <f>$O$109/(($F$109-1)*$P$109)*100</f>
        <v>16.78571429</v>
      </c>
      <c r="O203" s="71">
        <f>$O$25/(($F$25-1)*$P$25)*100</f>
        <v>12</v>
      </c>
      <c r="P203" s="53">
        <v>12.7</v>
      </c>
      <c r="Q203" s="23" t="s">
        <v>76</v>
      </c>
      <c r="R203" s="33">
        <f t="shared" ref="R203:U203" si="106">B187+B191</f>
        <v>43.82113821</v>
      </c>
      <c r="S203" s="29">
        <f t="shared" si="106"/>
        <v>6.170212766</v>
      </c>
      <c r="T203" s="33">
        <f t="shared" si="106"/>
        <v>29.87804878</v>
      </c>
      <c r="U203" s="33">
        <f t="shared" si="106"/>
        <v>44.62365591</v>
      </c>
      <c r="V203" s="33"/>
      <c r="W203" s="33">
        <f t="shared" ref="W203:Z203" si="107">G187+G191</f>
        <v>42.29452055</v>
      </c>
      <c r="X203" s="29">
        <f t="shared" si="107"/>
        <v>6.157112527</v>
      </c>
      <c r="Y203" s="33">
        <f t="shared" si="107"/>
        <v>39.3081761</v>
      </c>
      <c r="Z203" s="33">
        <f t="shared" si="107"/>
        <v>52.15053763</v>
      </c>
      <c r="AB203" s="33">
        <f t="shared" ref="AB203:AE203" si="108">L187+L191</f>
        <v>44.74637681</v>
      </c>
      <c r="AC203" s="29">
        <f t="shared" si="108"/>
        <v>5.714285714</v>
      </c>
      <c r="AD203" s="33">
        <f t="shared" si="108"/>
        <v>37.14285714</v>
      </c>
      <c r="AE203" s="33">
        <f t="shared" si="108"/>
        <v>46</v>
      </c>
    </row>
    <row r="204" ht="15.75" customHeight="1">
      <c r="B204" s="33">
        <f t="shared" ref="B204:E204" si="109">SUM(B185,B189,B193,B197)</f>
        <v>100</v>
      </c>
      <c r="C204" s="33">
        <f t="shared" si="109"/>
        <v>100</v>
      </c>
      <c r="D204" s="33">
        <f t="shared" si="109"/>
        <v>100</v>
      </c>
      <c r="E204" s="33">
        <f t="shared" si="109"/>
        <v>100</v>
      </c>
      <c r="F204" s="33"/>
      <c r="G204" s="33">
        <f t="shared" ref="G204:J204" si="110">SUM(G185,G189,G193,G197)</f>
        <v>100</v>
      </c>
      <c r="H204" s="33">
        <f t="shared" si="110"/>
        <v>100</v>
      </c>
      <c r="I204" s="33">
        <f t="shared" si="110"/>
        <v>100</v>
      </c>
      <c r="J204" s="33">
        <f t="shared" si="110"/>
        <v>100</v>
      </c>
      <c r="L204" s="33">
        <f t="shared" ref="L204:O204" si="111">SUM(L185,L189,L193,L197)</f>
        <v>100</v>
      </c>
      <c r="M204" s="33">
        <f t="shared" si="111"/>
        <v>100</v>
      </c>
      <c r="N204" s="33">
        <f t="shared" si="111"/>
        <v>100</v>
      </c>
      <c r="O204" s="33">
        <f t="shared" si="111"/>
        <v>100</v>
      </c>
      <c r="P204" s="34"/>
      <c r="Q204" s="11" t="s">
        <v>92</v>
      </c>
      <c r="R204" s="33">
        <f t="shared" ref="R204:U204" si="112">AVERAGE(R201:R203)</f>
        <v>52.88455595</v>
      </c>
      <c r="S204" s="29">
        <f t="shared" si="112"/>
        <v>6.83807012</v>
      </c>
      <c r="T204" s="33">
        <f t="shared" si="112"/>
        <v>34.81779725</v>
      </c>
      <c r="U204" s="33">
        <f t="shared" si="112"/>
        <v>47.52318444</v>
      </c>
      <c r="V204" s="33"/>
      <c r="W204" s="33">
        <f t="shared" ref="W204:Z204" si="113">AVERAGE(W201:W203)</f>
        <v>54.25115157</v>
      </c>
      <c r="X204" s="29">
        <f t="shared" si="113"/>
        <v>6.552710867</v>
      </c>
      <c r="Y204" s="33">
        <f t="shared" si="113"/>
        <v>42.20934753</v>
      </c>
      <c r="Z204" s="33">
        <f t="shared" si="113"/>
        <v>54.58292603</v>
      </c>
      <c r="AA204" s="33"/>
      <c r="AB204" s="33">
        <f t="shared" ref="AB204:AE204" si="114">AVERAGE(AB201:AB203)</f>
        <v>52.38664852</v>
      </c>
      <c r="AC204" s="29">
        <f t="shared" si="114"/>
        <v>6.104900631</v>
      </c>
      <c r="AD204" s="33">
        <f t="shared" si="114"/>
        <v>40.5774733</v>
      </c>
      <c r="AE204" s="33">
        <f t="shared" si="114"/>
        <v>51.2312009</v>
      </c>
    </row>
    <row r="205" ht="15.75" customHeight="1">
      <c r="B205" s="33">
        <f t="shared" ref="B205:E205" si="115">SUM(B186,B190,B194,B198)</f>
        <v>100</v>
      </c>
      <c r="C205" s="33">
        <f t="shared" si="115"/>
        <v>100</v>
      </c>
      <c r="D205" s="33">
        <f t="shared" si="115"/>
        <v>100</v>
      </c>
      <c r="E205" s="33">
        <f t="shared" si="115"/>
        <v>100</v>
      </c>
      <c r="G205" s="33">
        <f t="shared" ref="G205:J205" si="116">SUM(G186,G190,G194,G198)</f>
        <v>100</v>
      </c>
      <c r="H205" s="33">
        <f t="shared" si="116"/>
        <v>100</v>
      </c>
      <c r="I205" s="33">
        <f t="shared" si="116"/>
        <v>100</v>
      </c>
      <c r="J205" s="33">
        <f t="shared" si="116"/>
        <v>100</v>
      </c>
      <c r="L205" s="33">
        <f t="shared" ref="L205:O205" si="117">SUM(L186,L190,L194,L198)</f>
        <v>100</v>
      </c>
      <c r="M205" s="33">
        <f t="shared" si="117"/>
        <v>100</v>
      </c>
      <c r="N205" s="33">
        <f t="shared" si="117"/>
        <v>100</v>
      </c>
      <c r="O205" s="33">
        <f t="shared" si="117"/>
        <v>100</v>
      </c>
      <c r="S205" s="33">
        <f>AVERAGE(R204:U204)</f>
        <v>35.51590194</v>
      </c>
      <c r="X205" s="33">
        <f>AVERAGE(W204:Z204)</f>
        <v>39.399034</v>
      </c>
      <c r="AC205" s="33">
        <f>AVERAGE(AB204:AE204)</f>
        <v>37.57505583</v>
      </c>
    </row>
    <row r="206" ht="15.75" customHeight="1">
      <c r="B206" s="33">
        <f t="shared" ref="B206:E206" si="118">SUM(B187,B191,B195,B199)</f>
        <v>100</v>
      </c>
      <c r="C206" s="33">
        <f t="shared" si="118"/>
        <v>100</v>
      </c>
      <c r="D206" s="33">
        <f t="shared" si="118"/>
        <v>100</v>
      </c>
      <c r="E206" s="33">
        <f t="shared" si="118"/>
        <v>100</v>
      </c>
      <c r="G206" s="33">
        <f t="shared" ref="G206:J206" si="119">SUM(G187,G191,G195,G199)</f>
        <v>100</v>
      </c>
      <c r="H206" s="33">
        <f t="shared" si="119"/>
        <v>100</v>
      </c>
      <c r="I206" s="33">
        <f t="shared" si="119"/>
        <v>100</v>
      </c>
      <c r="J206" s="33">
        <f t="shared" si="119"/>
        <v>100</v>
      </c>
      <c r="L206" s="33">
        <f t="shared" ref="L206:O206" si="120">SUM(L187,L191,L195,L199)</f>
        <v>100</v>
      </c>
      <c r="M206" s="33">
        <f t="shared" si="120"/>
        <v>100</v>
      </c>
      <c r="N206" s="33">
        <f t="shared" si="120"/>
        <v>100</v>
      </c>
      <c r="O206" s="33">
        <f t="shared" si="120"/>
        <v>100</v>
      </c>
    </row>
    <row r="207" ht="15.75" customHeight="1"/>
    <row r="208" ht="15.75" customHeight="1">
      <c r="Q208" s="45"/>
      <c r="R208" s="91"/>
      <c r="S208" s="45"/>
      <c r="T208" s="45"/>
    </row>
    <row r="209" ht="15.0" customHeight="1">
      <c r="A209" s="30" t="s">
        <v>276</v>
      </c>
      <c r="B209" s="9" t="s">
        <v>244</v>
      </c>
      <c r="F209" s="8"/>
      <c r="G209" s="9" t="s">
        <v>245</v>
      </c>
      <c r="L209" s="9" t="s">
        <v>246</v>
      </c>
      <c r="Q209" s="45"/>
      <c r="R209" s="90"/>
      <c r="S209" s="90"/>
      <c r="T209" s="90"/>
    </row>
    <row r="210" ht="15.75" customHeight="1">
      <c r="B210" s="32"/>
      <c r="C210" s="32"/>
      <c r="D210" s="32"/>
      <c r="E210" s="32"/>
      <c r="G210" s="32"/>
      <c r="H210" s="32"/>
      <c r="I210" s="32"/>
      <c r="J210" s="32"/>
      <c r="K210" s="59"/>
      <c r="L210" s="32"/>
      <c r="M210" s="32"/>
      <c r="N210" s="32"/>
      <c r="O210" s="32"/>
      <c r="Q210" s="44" t="s">
        <v>275</v>
      </c>
      <c r="R210" s="43" t="s">
        <v>270</v>
      </c>
      <c r="S210" s="32"/>
      <c r="T210" s="32"/>
      <c r="U210" s="32"/>
    </row>
    <row r="211" ht="15.75" customHeight="1">
      <c r="A211" s="32"/>
      <c r="B211" s="8" t="s">
        <v>63</v>
      </c>
      <c r="C211" s="8" t="s">
        <v>64</v>
      </c>
      <c r="D211" s="8" t="s">
        <v>65</v>
      </c>
      <c r="E211" s="8" t="s">
        <v>66</v>
      </c>
      <c r="G211" s="8" t="s">
        <v>63</v>
      </c>
      <c r="H211" s="8" t="s">
        <v>64</v>
      </c>
      <c r="I211" s="8" t="s">
        <v>65</v>
      </c>
      <c r="J211" s="8" t="s">
        <v>66</v>
      </c>
      <c r="L211" s="8" t="s">
        <v>63</v>
      </c>
      <c r="M211" s="8" t="s">
        <v>64</v>
      </c>
      <c r="N211" s="8" t="s">
        <v>65</v>
      </c>
      <c r="O211" s="8" t="s">
        <v>66</v>
      </c>
      <c r="R211" s="44" t="s">
        <v>63</v>
      </c>
      <c r="S211" s="44" t="s">
        <v>64</v>
      </c>
      <c r="T211" s="44" t="s">
        <v>65</v>
      </c>
      <c r="U211" s="44" t="s">
        <v>66</v>
      </c>
    </row>
    <row r="212" ht="15.75" customHeight="1">
      <c r="A212" s="10" t="s">
        <v>124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Q212" s="47" t="s">
        <v>68</v>
      </c>
      <c r="R212" s="90">
        <v>72.7</v>
      </c>
      <c r="S212" s="91">
        <v>8.57</v>
      </c>
      <c r="T212" s="90">
        <v>40.6</v>
      </c>
      <c r="U212" s="90">
        <v>57.0</v>
      </c>
    </row>
    <row r="213" ht="15.75" customHeight="1">
      <c r="A213" s="11" t="s">
        <v>73</v>
      </c>
      <c r="B213" s="17">
        <f t="shared" ref="B213:E213" si="121">B186</f>
        <v>24.1301908</v>
      </c>
      <c r="C213" s="12">
        <f t="shared" si="121"/>
        <v>2.497343252</v>
      </c>
      <c r="D213" s="12">
        <f t="shared" si="121"/>
        <v>4.67032967</v>
      </c>
      <c r="E213" s="17">
        <f t="shared" si="121"/>
        <v>17.54966887</v>
      </c>
      <c r="F213" s="8"/>
      <c r="G213" s="14">
        <f t="shared" ref="G213:J213" si="122">G186</f>
        <v>25.65714286</v>
      </c>
      <c r="H213" s="15">
        <f t="shared" si="122"/>
        <v>1.997780244</v>
      </c>
      <c r="I213" s="12">
        <f t="shared" si="122"/>
        <v>4.479166667</v>
      </c>
      <c r="J213" s="14">
        <f t="shared" si="122"/>
        <v>21.36363636</v>
      </c>
      <c r="L213" s="14">
        <f t="shared" ref="L213:O213" si="123">L186</f>
        <v>25.81877729</v>
      </c>
      <c r="M213" s="12">
        <f t="shared" si="123"/>
        <v>2.187833511</v>
      </c>
      <c r="N213" s="20">
        <f t="shared" si="123"/>
        <v>3.696498054</v>
      </c>
      <c r="O213" s="14">
        <f t="shared" si="123"/>
        <v>18.63636364</v>
      </c>
      <c r="Q213" s="47" t="s">
        <v>73</v>
      </c>
      <c r="R213" s="90">
        <v>75.1</v>
      </c>
      <c r="S213" s="91">
        <v>9.22</v>
      </c>
      <c r="T213" s="90">
        <v>48.1</v>
      </c>
      <c r="U213" s="92">
        <v>43.9</v>
      </c>
      <c r="AD213" s="2">
        <f>(X255-X205)/X205*100</f>
        <v>-20.16448167</v>
      </c>
      <c r="AE213" s="2">
        <f>(X205-X255)/X255*100</f>
        <v>25.2575321</v>
      </c>
    </row>
    <row r="214" ht="15.75" customHeight="1">
      <c r="A214" s="11" t="s">
        <v>205</v>
      </c>
      <c r="B214" s="16">
        <f>$H$47/(($F$47-1)*$P$47)*100</f>
        <v>4.494382022</v>
      </c>
      <c r="C214" s="20">
        <f>$H$75/(($F$75-1)*$P$75)*100</f>
        <v>0</v>
      </c>
      <c r="D214" s="20">
        <f>$H$103/(($F$103-1)*$P$103)*100</f>
        <v>3.50877193</v>
      </c>
      <c r="E214" s="16">
        <f>$H$19/(($F$19-1)*$P$19)*100</f>
        <v>9.722222222</v>
      </c>
      <c r="F214" s="8"/>
      <c r="G214" s="20">
        <f>$H$48/(($F$48-1)*$P$48)*100</f>
        <v>1.298701299</v>
      </c>
      <c r="H214" s="27">
        <f>$H$76/(($F$76-1)*$P$76)*100</f>
        <v>0</v>
      </c>
      <c r="I214" s="16">
        <f>$H$104/(($F$104-1)*$P$104)*100</f>
        <v>4.347826087</v>
      </c>
      <c r="J214" s="20">
        <f>$H$20/(($F$20-1)*$P$20)*100</f>
        <v>1.111111111</v>
      </c>
      <c r="L214" s="16">
        <f>$H$49/(($F$49-1)*$P$49)*100</f>
        <v>3.225806452</v>
      </c>
      <c r="M214" s="28">
        <f>$H$77/(($F$77-1)*$P$77)*100</f>
        <v>0.2824858757</v>
      </c>
      <c r="N214" s="12">
        <f>$H$105/(($F$105-1)*$P$105)*100</f>
        <v>7.594936709</v>
      </c>
      <c r="O214" s="16">
        <f>$H$21/(($F$21-1)*$P$21)*100</f>
        <v>3.06122449</v>
      </c>
      <c r="Q214" s="93" t="s">
        <v>76</v>
      </c>
      <c r="R214" s="92">
        <v>63.1</v>
      </c>
      <c r="S214" s="91">
        <v>7.03</v>
      </c>
      <c r="T214" s="90">
        <v>40.7</v>
      </c>
      <c r="U214" s="90">
        <v>69.2</v>
      </c>
      <c r="AD214" s="2">
        <f>(AC255-S205)/S205*100</f>
        <v>5.190628306</v>
      </c>
    </row>
    <row r="215" ht="15.75" customHeight="1">
      <c r="A215" s="10" t="s">
        <v>126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10"/>
      <c r="L215" s="24"/>
      <c r="M215" s="24"/>
      <c r="N215" s="24"/>
      <c r="O215" s="24"/>
      <c r="Q215" s="97" t="s">
        <v>92</v>
      </c>
      <c r="R215" s="96">
        <v>70.3</v>
      </c>
      <c r="S215" s="97">
        <v>8.27</v>
      </c>
      <c r="T215" s="98">
        <v>43.1</v>
      </c>
      <c r="U215" s="98">
        <v>56.7</v>
      </c>
    </row>
    <row r="216" ht="15.75" customHeight="1">
      <c r="A216" s="11" t="s">
        <v>73</v>
      </c>
      <c r="B216" s="18">
        <f t="shared" ref="B216:E216" si="124">B190</f>
        <v>39.11335578</v>
      </c>
      <c r="C216" s="15">
        <f t="shared" si="124"/>
        <v>5.207226355</v>
      </c>
      <c r="D216" s="17">
        <f t="shared" si="124"/>
        <v>41.39194139</v>
      </c>
      <c r="E216" s="18">
        <f t="shared" si="124"/>
        <v>26.1589404</v>
      </c>
      <c r="F216" s="8"/>
      <c r="G216" s="13">
        <f t="shared" ref="G216:J216" si="125">G190</f>
        <v>39.94285714</v>
      </c>
      <c r="H216" s="12">
        <f t="shared" si="125"/>
        <v>5.38290788</v>
      </c>
      <c r="I216" s="14">
        <f t="shared" si="125"/>
        <v>44.16666667</v>
      </c>
      <c r="J216" s="13">
        <f t="shared" si="125"/>
        <v>31.36363636</v>
      </c>
      <c r="L216" s="13">
        <f t="shared" ref="L216:O216" si="126">L190</f>
        <v>41.21179039</v>
      </c>
      <c r="M216" s="12">
        <f t="shared" si="126"/>
        <v>5.496264674</v>
      </c>
      <c r="N216" s="14">
        <f t="shared" si="126"/>
        <v>48.05447471</v>
      </c>
      <c r="O216" s="13">
        <f t="shared" si="126"/>
        <v>30.90909091</v>
      </c>
      <c r="S216" s="33">
        <f>AVERAGE(R215:U215)</f>
        <v>44.5925</v>
      </c>
      <c r="X216" s="2">
        <f>(S205-S216)/S216*100</f>
        <v>-20.35453958</v>
      </c>
      <c r="Z216" s="33">
        <f>(X255-S216)/S216*100</f>
        <v>-29.46252619</v>
      </c>
    </row>
    <row r="217" ht="15.75" customHeight="1">
      <c r="A217" s="11" t="s">
        <v>205</v>
      </c>
      <c r="B217" s="17">
        <f>$N$47/(($F$47-1)*$P$47)*100</f>
        <v>46.06741573</v>
      </c>
      <c r="C217" s="20">
        <f>$N$75/(($F$75-1)*$P$75)*100</f>
        <v>2.234636872</v>
      </c>
      <c r="D217" s="13">
        <f>$N$103/(($F$103-1)*$P$103)*100</f>
        <v>35.96491228</v>
      </c>
      <c r="E217" s="17">
        <f>$N$19/(($F$19-1)*$P$19)*100</f>
        <v>26.38888889</v>
      </c>
      <c r="F217" s="8"/>
      <c r="G217" s="14">
        <f>$N$48/(($F$48-1)*$P$48)*100</f>
        <v>61.03896104</v>
      </c>
      <c r="H217" s="16">
        <f>$N$76/(($F$76-1)*$P$76)*100</f>
        <v>4.516129032</v>
      </c>
      <c r="I217" s="18">
        <f>$N$104/(($F$104-1)*$P$104)*100</f>
        <v>31.52173913</v>
      </c>
      <c r="J217" s="14">
        <f>$N$20/(($F$20-1)*$P$20)*100</f>
        <v>48.88888889</v>
      </c>
      <c r="L217" s="14">
        <f>$N$49/(($F$49-1)*$P$49)*100</f>
        <v>60.75268817</v>
      </c>
      <c r="M217" s="16">
        <f>$N$77/(($F$77-1)*$P$77)*100</f>
        <v>3.107344633</v>
      </c>
      <c r="N217" s="13">
        <f>$N$105/(($F$105-1)*$P$105)*100</f>
        <v>41.13924051</v>
      </c>
      <c r="O217" s="14">
        <f>$N$21/(($F$21-1)*$P$21)*100</f>
        <v>48.97959184</v>
      </c>
    </row>
    <row r="218" ht="15.75" customHeight="1">
      <c r="A218" s="10" t="s">
        <v>258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10"/>
      <c r="L218" s="24"/>
      <c r="M218" s="24"/>
      <c r="N218" s="24"/>
      <c r="O218" s="24"/>
    </row>
    <row r="219" ht="15.75" customHeight="1">
      <c r="A219" s="11" t="s">
        <v>73</v>
      </c>
      <c r="B219" s="18">
        <f t="shared" ref="B219:E219" si="127">B194</f>
        <v>27.38496072</v>
      </c>
      <c r="C219" s="14">
        <f t="shared" si="127"/>
        <v>90.48884166</v>
      </c>
      <c r="D219" s="17">
        <f t="shared" si="127"/>
        <v>36.17216117</v>
      </c>
      <c r="E219" s="18">
        <f t="shared" si="127"/>
        <v>46.68874172</v>
      </c>
      <c r="F219" s="8"/>
      <c r="G219" s="13">
        <f t="shared" ref="G219:J219" si="128">G194</f>
        <v>26.34285714</v>
      </c>
      <c r="H219" s="17">
        <f t="shared" si="128"/>
        <v>91.23196448</v>
      </c>
      <c r="I219" s="14">
        <f t="shared" si="128"/>
        <v>32.39583333</v>
      </c>
      <c r="J219" s="13">
        <f t="shared" si="128"/>
        <v>38.63636364</v>
      </c>
      <c r="L219" s="13">
        <f t="shared" ref="L219:O219" si="129">L194</f>
        <v>25.60043668</v>
      </c>
      <c r="M219" s="14">
        <f t="shared" si="129"/>
        <v>90.55496265</v>
      </c>
      <c r="N219" s="14">
        <f t="shared" si="129"/>
        <v>33.26848249</v>
      </c>
      <c r="O219" s="13">
        <f t="shared" si="129"/>
        <v>44.09090909</v>
      </c>
    </row>
    <row r="220" ht="15.75" customHeight="1">
      <c r="A220" s="11" t="s">
        <v>205</v>
      </c>
      <c r="B220" s="17">
        <f>($I$47+$J$47+$K$47)/(($F$47-1)*$P$47)*100</f>
        <v>17.97752809</v>
      </c>
      <c r="C220" s="18">
        <f>($I$75+$J$75+$K$75)/(($F$75-1)*$P$75)*100</f>
        <v>96.08938547</v>
      </c>
      <c r="D220" s="18">
        <f>($I$103+$J$103+$K$103)/(($F$103-1)*$P$103)*100</f>
        <v>40.35087719</v>
      </c>
      <c r="E220" s="17">
        <f>($I$19+$J$19+$K$19)/(($F$19-1)*$P$19)*100</f>
        <v>34.72222222</v>
      </c>
      <c r="F220" s="8"/>
      <c r="G220" s="14">
        <f>($I$48+$J$48+$K$48)/(($F$48-1)*$P$48)*100</f>
        <v>14.28571429</v>
      </c>
      <c r="H220" s="13">
        <f>($I$76+$J$76+$K$76)/(($F$76-1)*$P$76)*100</f>
        <v>91.61290323</v>
      </c>
      <c r="I220" s="13">
        <f>($I$104+$J$104+$K$104)/(($F$104-1)*$P$104)*100</f>
        <v>39.13043478</v>
      </c>
      <c r="J220" s="14">
        <f>($I$20+$J$20+$K$20)/(($F$20-1)*$P$20)*100</f>
        <v>30</v>
      </c>
      <c r="K220" s="59"/>
      <c r="L220" s="14">
        <f>($I$49+$J$49+$K$49)/(($F$49-1)*$P$49)*100</f>
        <v>15.05376344</v>
      </c>
      <c r="M220" s="13">
        <f>($I$77+$J$77+$K$77)/(($F$77-1)*$P$77)*100</f>
        <v>91.24293785</v>
      </c>
      <c r="N220" s="13">
        <f>($I$105+$J$105+$K$105)/(($F$105-1)*$P$105)*100</f>
        <v>34.17721519</v>
      </c>
      <c r="O220" s="14">
        <f>($I$21+$J$21+$K$21)/(($F$21-1)*$P$21)*100</f>
        <v>27.55102041</v>
      </c>
    </row>
    <row r="221" ht="15.75" customHeight="1">
      <c r="A221" s="10" t="s">
        <v>125</v>
      </c>
      <c r="B221" s="24"/>
      <c r="C221" s="24"/>
      <c r="D221" s="24"/>
      <c r="E221" s="24"/>
      <c r="F221" s="24"/>
      <c r="G221" s="24"/>
      <c r="H221" s="24"/>
      <c r="I221" s="24"/>
      <c r="J221" s="24"/>
      <c r="L221" s="24"/>
      <c r="M221" s="24"/>
      <c r="N221" s="24"/>
      <c r="O221" s="24"/>
    </row>
    <row r="222" ht="15.75" customHeight="1">
      <c r="A222" s="11" t="s">
        <v>73</v>
      </c>
      <c r="B222" s="15">
        <f t="shared" ref="B222:E222" si="130">B198</f>
        <v>9.371492705</v>
      </c>
      <c r="C222" s="20">
        <f t="shared" si="130"/>
        <v>1.806588735</v>
      </c>
      <c r="D222" s="14">
        <f t="shared" si="130"/>
        <v>17.76556777</v>
      </c>
      <c r="E222" s="15">
        <f t="shared" si="130"/>
        <v>9.602649007</v>
      </c>
      <c r="F222" s="8"/>
      <c r="G222" s="12">
        <f t="shared" ref="G222:J222" si="131">G198</f>
        <v>8.057142857</v>
      </c>
      <c r="H222" s="12">
        <f t="shared" si="131"/>
        <v>1.387347392</v>
      </c>
      <c r="I222" s="17">
        <f t="shared" si="131"/>
        <v>18.95833333</v>
      </c>
      <c r="J222" s="12">
        <f t="shared" si="131"/>
        <v>8.636363636</v>
      </c>
      <c r="L222" s="12">
        <f t="shared" ref="L222:O222" si="132">L198</f>
        <v>7.368995633</v>
      </c>
      <c r="M222" s="12">
        <f t="shared" si="132"/>
        <v>1.760939168</v>
      </c>
      <c r="N222" s="14">
        <f t="shared" si="132"/>
        <v>14.98054475</v>
      </c>
      <c r="O222" s="12">
        <f t="shared" si="132"/>
        <v>6.363636364</v>
      </c>
    </row>
    <row r="223" ht="15.75" customHeight="1">
      <c r="A223" s="25" t="s">
        <v>205</v>
      </c>
      <c r="B223" s="18">
        <f>($L$47+$M$47)/(($F$47-1)*$P$47)*100</f>
        <v>31.46067416</v>
      </c>
      <c r="C223" s="12">
        <f>($L$75+$M$75)/(($F$75-1)*$P$75)*100</f>
        <v>1.675977654</v>
      </c>
      <c r="D223" s="13">
        <f>($L$103+$M$103)/(($F$103-1)*$P$103)*100</f>
        <v>20.1754386</v>
      </c>
      <c r="E223" s="18">
        <f>($L$19+$M$19)/(($F$19-1)*$P$19)*100</f>
        <v>29.16666667</v>
      </c>
      <c r="F223" s="51"/>
      <c r="G223" s="13">
        <f>($L$48+$M$48)/(($F$48-1)*$P$48)*100</f>
        <v>23.37662338</v>
      </c>
      <c r="H223" s="16">
        <f>($L$76+$M$76)/(($F$76-1)*$P$76)*100</f>
        <v>3.870967742</v>
      </c>
      <c r="I223" s="18">
        <f>($L$104+$M$104)/(($F$104-1)*$P$104)*100</f>
        <v>25</v>
      </c>
      <c r="J223" s="13">
        <f>($L$20+$M$20)/(($F$20-1)*$P$20)*100</f>
        <v>20</v>
      </c>
      <c r="K223" s="59"/>
      <c r="L223" s="13">
        <f>($L$49+$M$49)/(($F$49-1)*$P$49)*100</f>
        <v>20.96774194</v>
      </c>
      <c r="M223" s="20">
        <f>($L$77+$M$77)/(($F$77-1)*$P$77)*100</f>
        <v>5.367231638</v>
      </c>
      <c r="N223" s="13">
        <f>($L$105+$M$105)/(($F$105-1)*$P$105)*100</f>
        <v>17.08860759</v>
      </c>
      <c r="O223" s="13">
        <f>($L$21+$M$21)/(($F$21-1)*$P$21)*100</f>
        <v>20.40816327</v>
      </c>
    </row>
    <row r="224" ht="15.75" customHeight="1">
      <c r="A224" s="152" t="s">
        <v>268</v>
      </c>
      <c r="B224" s="24"/>
      <c r="C224" s="24"/>
      <c r="D224" s="24"/>
      <c r="E224" s="24"/>
      <c r="F224" s="24"/>
      <c r="G224" s="60"/>
      <c r="H224" s="60"/>
      <c r="I224" s="60"/>
      <c r="J224" s="60"/>
      <c r="K224" s="10"/>
      <c r="L224" s="60"/>
      <c r="M224" s="60"/>
      <c r="N224" s="60"/>
      <c r="O224" s="60"/>
      <c r="Q224" s="30" t="s">
        <v>278</v>
      </c>
      <c r="R224" s="31" t="s">
        <v>244</v>
      </c>
      <c r="S224" s="32"/>
      <c r="T224" s="32"/>
      <c r="U224" s="32"/>
      <c r="V224" s="8"/>
      <c r="W224" s="31" t="s">
        <v>245</v>
      </c>
      <c r="X224" s="32"/>
      <c r="Y224" s="32"/>
      <c r="Z224" s="32"/>
      <c r="AB224" s="31" t="s">
        <v>246</v>
      </c>
      <c r="AC224" s="32"/>
      <c r="AD224" s="32"/>
      <c r="AE224" s="32"/>
    </row>
    <row r="225" ht="15.75" customHeight="1">
      <c r="A225" s="11" t="s">
        <v>73</v>
      </c>
      <c r="B225" s="15">
        <f t="shared" ref="B225:E225" si="133">B202</f>
        <v>8.978675645</v>
      </c>
      <c r="C225" s="17">
        <f t="shared" si="133"/>
        <v>18.54410202</v>
      </c>
      <c r="D225" s="17">
        <f t="shared" si="133"/>
        <v>18.77289377</v>
      </c>
      <c r="E225" s="14">
        <f t="shared" si="133"/>
        <v>15.89403974</v>
      </c>
      <c r="F225" s="8"/>
      <c r="G225" s="12">
        <f t="shared" ref="G225:J225" si="134">G202</f>
        <v>7.2</v>
      </c>
      <c r="H225" s="14">
        <f t="shared" si="134"/>
        <v>13.20754717</v>
      </c>
      <c r="I225" s="14">
        <f t="shared" si="134"/>
        <v>13.85416667</v>
      </c>
      <c r="J225" s="17">
        <f t="shared" si="134"/>
        <v>20.90909091</v>
      </c>
      <c r="L225" s="12">
        <f t="shared" ref="L225:O225" si="135">L202</f>
        <v>6.058951965</v>
      </c>
      <c r="M225" s="14">
        <f t="shared" si="135"/>
        <v>10.40554963</v>
      </c>
      <c r="N225" s="14">
        <f t="shared" si="135"/>
        <v>13.22957198</v>
      </c>
      <c r="O225" s="14">
        <f t="shared" si="135"/>
        <v>14.54545455</v>
      </c>
      <c r="Q225" s="32"/>
      <c r="R225" s="8" t="s">
        <v>63</v>
      </c>
      <c r="S225" s="8" t="s">
        <v>64</v>
      </c>
      <c r="T225" s="8" t="s">
        <v>65</v>
      </c>
      <c r="U225" s="8" t="s">
        <v>66</v>
      </c>
      <c r="W225" s="8" t="s">
        <v>63</v>
      </c>
      <c r="X225" s="8" t="s">
        <v>64</v>
      </c>
      <c r="Y225" s="8" t="s">
        <v>65</v>
      </c>
      <c r="Z225" s="8" t="s">
        <v>66</v>
      </c>
      <c r="AB225" s="8" t="s">
        <v>63</v>
      </c>
      <c r="AC225" s="8" t="s">
        <v>64</v>
      </c>
      <c r="AD225" s="8" t="s">
        <v>65</v>
      </c>
      <c r="AE225" s="8" t="s">
        <v>66</v>
      </c>
    </row>
    <row r="226" ht="15.75" customHeight="1">
      <c r="A226" s="25" t="s">
        <v>205</v>
      </c>
      <c r="B226" s="156">
        <f>$O$47/(($F$47-1)*$P$47)*100</f>
        <v>14.60674157</v>
      </c>
      <c r="C226" s="156">
        <f>$O$75/(($F$75-1)*$P$75)*100</f>
        <v>34.3575419</v>
      </c>
      <c r="D226" s="156">
        <f>$O$103/(($F$103-1)*$P$103)*100</f>
        <v>33.04093567</v>
      </c>
      <c r="E226" s="157">
        <f>$O$19/(($F$19-1)*$P$19)*100</f>
        <v>31.94444444</v>
      </c>
      <c r="F226" s="51"/>
      <c r="G226" s="157">
        <f>$O$48/(($F$48-1)*$P$48)*100</f>
        <v>18.83116883</v>
      </c>
      <c r="H226" s="156">
        <f>$O$76/(($F$76-1)*$P$76)*100</f>
        <v>32.25806452</v>
      </c>
      <c r="I226" s="157">
        <f>$O$104/(($F$104-1)*$P$104)*100</f>
        <v>36.95652174</v>
      </c>
      <c r="J226" s="156">
        <f>$O$20/(($F$20-1)*$P$20)*100</f>
        <v>21.11111111</v>
      </c>
      <c r="K226" s="59"/>
      <c r="L226" s="156">
        <f>$O$49/(($F$49-1)*$P$49)*100</f>
        <v>12.3655914</v>
      </c>
      <c r="M226" s="157">
        <f>$O$77/(($F$77-1)*$P$77)*100</f>
        <v>34.74576271</v>
      </c>
      <c r="N226" s="156">
        <f>$O$105/(($F$105-1)*$P$105)*100</f>
        <v>26.58227848</v>
      </c>
      <c r="O226" s="156">
        <f>$O$21/(($F$21-1)*$P$21)*100</f>
        <v>26.53061224</v>
      </c>
      <c r="Q226" s="11" t="s">
        <v>73</v>
      </c>
      <c r="R226" s="35">
        <f t="shared" ref="R226:U226" si="136">SUM(B213,B216)</f>
        <v>63.24354658</v>
      </c>
      <c r="S226" s="35">
        <f t="shared" si="136"/>
        <v>7.704569607</v>
      </c>
      <c r="T226" s="35">
        <f t="shared" si="136"/>
        <v>46.06227106</v>
      </c>
      <c r="U226" s="35">
        <f t="shared" si="136"/>
        <v>43.70860927</v>
      </c>
      <c r="V226" s="33"/>
      <c r="W226" s="33">
        <f t="shared" ref="W226:Z226" si="137">SUM(G213,G216)</f>
        <v>65.6</v>
      </c>
      <c r="X226" s="33">
        <f t="shared" si="137"/>
        <v>7.380688124</v>
      </c>
      <c r="Y226" s="33">
        <f t="shared" si="137"/>
        <v>48.64583333</v>
      </c>
      <c r="Z226" s="33">
        <f t="shared" si="137"/>
        <v>52.72727273</v>
      </c>
      <c r="AA226" s="33"/>
      <c r="AB226" s="33">
        <f t="shared" ref="AB226:AE226" si="138">SUM(L213,L216)</f>
        <v>67.03056769</v>
      </c>
      <c r="AC226" s="33">
        <f t="shared" si="138"/>
        <v>7.684098186</v>
      </c>
      <c r="AD226" s="33">
        <f t="shared" si="138"/>
        <v>51.75097276</v>
      </c>
      <c r="AE226" s="33">
        <f t="shared" si="138"/>
        <v>49.54545455</v>
      </c>
    </row>
    <row r="227" ht="15.75" customHeight="1">
      <c r="B227" s="33">
        <f t="shared" ref="B227:E227" si="139">B213+B216+B219+B222</f>
        <v>100</v>
      </c>
      <c r="C227" s="33">
        <f t="shared" si="139"/>
        <v>100</v>
      </c>
      <c r="D227" s="33">
        <f t="shared" si="139"/>
        <v>100</v>
      </c>
      <c r="E227" s="33">
        <f t="shared" si="139"/>
        <v>100</v>
      </c>
      <c r="F227" s="33"/>
      <c r="G227" s="33">
        <f t="shared" ref="G227:J227" si="140">G213+G216+G219+G222</f>
        <v>100</v>
      </c>
      <c r="H227" s="33">
        <f t="shared" si="140"/>
        <v>100</v>
      </c>
      <c r="I227" s="33">
        <f t="shared" si="140"/>
        <v>100</v>
      </c>
      <c r="J227" s="33">
        <f t="shared" si="140"/>
        <v>100</v>
      </c>
      <c r="K227" s="33"/>
      <c r="L227" s="33">
        <f t="shared" ref="L227:O227" si="141">L213+L216+L219+L222</f>
        <v>100</v>
      </c>
      <c r="M227" s="33">
        <f t="shared" si="141"/>
        <v>100</v>
      </c>
      <c r="N227" s="33">
        <f t="shared" si="141"/>
        <v>100</v>
      </c>
      <c r="O227" s="33">
        <f t="shared" si="141"/>
        <v>100</v>
      </c>
      <c r="Q227" s="11" t="s">
        <v>205</v>
      </c>
      <c r="R227" s="35">
        <f t="shared" ref="R227:U227" si="142">SUM(B214,B217)</f>
        <v>50.56179775</v>
      </c>
      <c r="S227" s="35">
        <f t="shared" si="142"/>
        <v>2.234636872</v>
      </c>
      <c r="T227" s="35">
        <f t="shared" si="142"/>
        <v>39.47368421</v>
      </c>
      <c r="U227" s="35">
        <f t="shared" si="142"/>
        <v>36.11111111</v>
      </c>
      <c r="V227" s="33"/>
      <c r="W227" s="33">
        <f t="shared" ref="W227:Z227" si="143">SUM(G214,G217)</f>
        <v>62.33766234</v>
      </c>
      <c r="X227" s="33">
        <f t="shared" si="143"/>
        <v>4.516129032</v>
      </c>
      <c r="Y227" s="33">
        <f t="shared" si="143"/>
        <v>35.86956522</v>
      </c>
      <c r="Z227" s="33">
        <f t="shared" si="143"/>
        <v>50</v>
      </c>
      <c r="AB227" s="33">
        <f t="shared" ref="AB227:AE227" si="144">SUM(L214,L217)</f>
        <v>63.97849462</v>
      </c>
      <c r="AC227" s="33">
        <f t="shared" si="144"/>
        <v>3.389830508</v>
      </c>
      <c r="AD227" s="33">
        <f t="shared" si="144"/>
        <v>48.73417722</v>
      </c>
      <c r="AE227" s="33">
        <f t="shared" si="144"/>
        <v>52.04081633</v>
      </c>
    </row>
    <row r="228" ht="15.75" customHeight="1">
      <c r="B228" s="33">
        <f t="shared" ref="B228:E228" si="145">B214+B217+B220+B223</f>
        <v>100</v>
      </c>
      <c r="C228" s="33">
        <f t="shared" si="145"/>
        <v>100</v>
      </c>
      <c r="D228" s="33">
        <f t="shared" si="145"/>
        <v>100</v>
      </c>
      <c r="E228" s="33">
        <f t="shared" si="145"/>
        <v>100</v>
      </c>
      <c r="G228" s="33">
        <f t="shared" ref="G228:J228" si="146">G214+G217+G220+G223</f>
        <v>100</v>
      </c>
      <c r="H228" s="33">
        <f t="shared" si="146"/>
        <v>100</v>
      </c>
      <c r="I228" s="33">
        <f t="shared" si="146"/>
        <v>100</v>
      </c>
      <c r="J228" s="33">
        <f t="shared" si="146"/>
        <v>100</v>
      </c>
      <c r="K228" s="33"/>
      <c r="L228" s="33">
        <f t="shared" ref="L228:O228" si="147">L214+L217+L220+L223</f>
        <v>100</v>
      </c>
      <c r="M228" s="33">
        <f t="shared" si="147"/>
        <v>100</v>
      </c>
      <c r="N228" s="33">
        <f t="shared" si="147"/>
        <v>100</v>
      </c>
      <c r="O228" s="33">
        <f t="shared" si="147"/>
        <v>100</v>
      </c>
      <c r="Q228" s="11" t="s">
        <v>92</v>
      </c>
      <c r="R228" s="33">
        <f t="shared" ref="R228:U228" si="148">AVERAGE(R226:R227)</f>
        <v>56.90267216</v>
      </c>
      <c r="S228" s="29">
        <f t="shared" si="148"/>
        <v>4.969603239</v>
      </c>
      <c r="T228" s="33">
        <f t="shared" si="148"/>
        <v>42.76797764</v>
      </c>
      <c r="U228" s="33">
        <f t="shared" si="148"/>
        <v>39.90986019</v>
      </c>
      <c r="V228" s="33"/>
      <c r="W228" s="33">
        <f t="shared" ref="W228:Z228" si="149">AVERAGE(W226:W227)</f>
        <v>63.96883117</v>
      </c>
      <c r="X228" s="29">
        <f t="shared" si="149"/>
        <v>5.948408578</v>
      </c>
      <c r="Y228" s="33">
        <f t="shared" si="149"/>
        <v>42.25769928</v>
      </c>
      <c r="Z228" s="33">
        <f t="shared" si="149"/>
        <v>51.36363636</v>
      </c>
      <c r="AA228" s="33"/>
      <c r="AB228" s="33">
        <f t="shared" ref="AB228:AE228" si="150">AVERAGE(AB226:AB227)</f>
        <v>65.50453115</v>
      </c>
      <c r="AC228" s="29">
        <f t="shared" si="150"/>
        <v>5.536964347</v>
      </c>
      <c r="AD228" s="33">
        <f t="shared" si="150"/>
        <v>50.24257499</v>
      </c>
      <c r="AE228" s="33">
        <f t="shared" si="150"/>
        <v>50.79313544</v>
      </c>
    </row>
    <row r="229" ht="15.75" customHeight="1">
      <c r="F229" s="29"/>
      <c r="S229" s="33">
        <f>AVERAGE(R228:U228)</f>
        <v>36.13752831</v>
      </c>
      <c r="X229" s="33">
        <f>AVERAGE(W228:Z228)</f>
        <v>40.88464385</v>
      </c>
      <c r="AC229" s="33">
        <f>AVERAGE(AB228:AE228)</f>
        <v>43.01930148</v>
      </c>
    </row>
    <row r="230" ht="15.75" customHeight="1">
      <c r="F230" s="29"/>
      <c r="G230" s="29"/>
      <c r="H230" s="29"/>
      <c r="I230" s="29"/>
      <c r="J230" s="29"/>
      <c r="L230" s="29"/>
      <c r="M230" s="29"/>
      <c r="N230" s="29"/>
      <c r="O230" s="29"/>
      <c r="R230" s="2" t="s">
        <v>280</v>
      </c>
      <c r="S230" s="33">
        <f>AVERAGE(R227:U227)</f>
        <v>32.09530749</v>
      </c>
      <c r="W230" s="2" t="s">
        <v>280</v>
      </c>
      <c r="X230" s="33">
        <f>AVERAGE(W227:Z227)</f>
        <v>38.18083915</v>
      </c>
      <c r="AB230" s="2" t="s">
        <v>280</v>
      </c>
      <c r="AC230" s="33">
        <f>AVERAGE(AB227:AE227)</f>
        <v>42.03582967</v>
      </c>
    </row>
    <row r="231" ht="15.75" customHeight="1">
      <c r="A231" s="30" t="s">
        <v>281</v>
      </c>
      <c r="B231" s="31" t="s">
        <v>282</v>
      </c>
      <c r="C231" s="32"/>
      <c r="D231" s="32"/>
      <c r="E231" s="32"/>
      <c r="F231" s="8"/>
      <c r="G231" s="31" t="s">
        <v>283</v>
      </c>
      <c r="H231" s="32"/>
      <c r="I231" s="32"/>
      <c r="J231" s="32"/>
      <c r="K231" s="8"/>
      <c r="L231" s="31" t="s">
        <v>284</v>
      </c>
      <c r="M231" s="32"/>
      <c r="N231" s="32"/>
      <c r="O231" s="32"/>
      <c r="AG231" s="2">
        <f>(S242-AC230)/AC230*100</f>
        <v>-44.10812528</v>
      </c>
    </row>
    <row r="232" ht="15.75" customHeight="1">
      <c r="A232" s="32"/>
      <c r="B232" s="8" t="s">
        <v>63</v>
      </c>
      <c r="C232" s="8" t="s">
        <v>64</v>
      </c>
      <c r="D232" s="8" t="s">
        <v>65</v>
      </c>
      <c r="E232" s="8" t="s">
        <v>66</v>
      </c>
      <c r="F232" s="8"/>
      <c r="G232" s="8" t="s">
        <v>63</v>
      </c>
      <c r="H232" s="8" t="s">
        <v>64</v>
      </c>
      <c r="I232" s="8" t="s">
        <v>65</v>
      </c>
      <c r="J232" s="8" t="s">
        <v>66</v>
      </c>
      <c r="K232" s="8"/>
      <c r="L232" s="8" t="s">
        <v>63</v>
      </c>
      <c r="M232" s="8" t="s">
        <v>64</v>
      </c>
      <c r="N232" s="8" t="s">
        <v>65</v>
      </c>
      <c r="O232" s="8" t="s">
        <v>66</v>
      </c>
      <c r="AG232" s="2">
        <f>(AC242-S230)/S230*100</f>
        <v>-2.661240127</v>
      </c>
    </row>
    <row r="233" ht="15.75" customHeight="1">
      <c r="A233" s="10" t="s">
        <v>124</v>
      </c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</row>
    <row r="234" ht="15.75" customHeight="1">
      <c r="A234" s="11" t="s">
        <v>68</v>
      </c>
      <c r="B234" s="14">
        <f>$H$143/(($F$143-2)*$P$143)*100</f>
        <v>11.38121547</v>
      </c>
      <c r="C234" s="12">
        <f>$H$159/(($F$159-2)*$P$159)*100</f>
        <v>2.315789474</v>
      </c>
      <c r="D234" s="15">
        <f>$H$175/(($F$175-2)*$P$175)*100</f>
        <v>5.752961083</v>
      </c>
      <c r="E234" s="20">
        <f>$H$127/(($F$127-2)*$P$127)*100</f>
        <v>7.216494845</v>
      </c>
      <c r="F234" s="12"/>
      <c r="G234" s="17">
        <f>$H$144/(($F$144-2)*$P$144)*100</f>
        <v>11.16121759</v>
      </c>
      <c r="H234" s="12">
        <f>$H$160/(($F$160-2)*$P$160)*100</f>
        <v>2.545068929</v>
      </c>
      <c r="I234" s="12">
        <f>$H$176/(($F$176-2)*$P$176)*100</f>
        <v>5.779334501</v>
      </c>
      <c r="J234" s="12">
        <f>$H$128/(($F$128-2)*$P$128)*100</f>
        <v>9.615384615</v>
      </c>
      <c r="K234" s="12"/>
      <c r="L234" s="14">
        <f>$H$145/(($F$145-2)*$P$145)*100</f>
        <v>11.52579583</v>
      </c>
      <c r="M234" s="15">
        <f>$H$161/(($F$161-2)*$P$161)*100</f>
        <v>1.500535906</v>
      </c>
      <c r="N234" s="12">
        <f>$H$177/(($F$177-2)*$P$177)*100</f>
        <v>6.639004149</v>
      </c>
      <c r="O234" s="16">
        <f>$H$129/(($F$129-2)*$P$129)*100</f>
        <v>7.608695652</v>
      </c>
    </row>
    <row r="235" ht="15.75" customHeight="1">
      <c r="A235" s="11" t="s">
        <v>73</v>
      </c>
      <c r="B235" s="17">
        <f>$H$135/(($F$135-2)*$P$135)*100</f>
        <v>19.04761905</v>
      </c>
      <c r="C235" s="12">
        <f>$H$151/(($F$151-2)*$P$151)*100</f>
        <v>2.065217391</v>
      </c>
      <c r="D235" s="12">
        <f>$H$167/(($F$167-2)*$P$167)*100</f>
        <v>4.022988506</v>
      </c>
      <c r="E235" s="14">
        <f>$H$119/(($F$119-2)*$P$119)*100</f>
        <v>13.98601399</v>
      </c>
      <c r="F235" s="12"/>
      <c r="G235" s="14">
        <f>$H$136/(($F$136-2)*$P$136)*100</f>
        <v>20.76566125</v>
      </c>
      <c r="H235" s="12">
        <f>$H$152/(($F$152-2)*$P$152)*100</f>
        <v>2.370689655</v>
      </c>
      <c r="I235" s="20">
        <f>$H$168/(($F$168-2)*$P$168)*100</f>
        <v>2.745098039</v>
      </c>
      <c r="J235" s="20">
        <f>$H$120/(($F$120-2)*$P$120)*100</f>
        <v>7.086614173</v>
      </c>
      <c r="K235" s="12"/>
      <c r="L235" s="14">
        <f>$H$137/(($F$137-2)*$P$137)*100</f>
        <v>25.97701149</v>
      </c>
      <c r="M235" s="15">
        <f>$H$153/(($F$153-2)*$P$153)*100</f>
        <v>1.841820152</v>
      </c>
      <c r="N235" s="16">
        <f>$H$169/(($F$169-2)*$P$169)*100</f>
        <v>4.008016032</v>
      </c>
      <c r="O235" s="14">
        <f>$H$121/(($F$121-2)*$P$121)*100</f>
        <v>16</v>
      </c>
    </row>
    <row r="236" ht="15.75" customHeight="1">
      <c r="A236" s="11" t="s">
        <v>76</v>
      </c>
      <c r="B236" s="16">
        <f>$H$131/(($F$131-2)*$P$131)*100</f>
        <v>4.106776181</v>
      </c>
      <c r="C236" s="161">
        <f>$H$147/(($F$147-2)*$P$147)*100</f>
        <v>1.101321586</v>
      </c>
      <c r="D236" s="162">
        <f>$H$163/(($F$163-2)*$P$163)*100</f>
        <v>1.689189189</v>
      </c>
      <c r="E236" s="14">
        <f>$H$115/(($F$115-2)*$P$115)*100</f>
        <v>19.27710843</v>
      </c>
      <c r="F236" s="12"/>
      <c r="G236" s="16">
        <f>$H$132/(($F$132-2)*$P$132)*100</f>
        <v>4.06504065</v>
      </c>
      <c r="H236" s="161">
        <f>$H$148/(($F$148-2)*$P$148)*100</f>
        <v>1.33037694</v>
      </c>
      <c r="I236" s="108">
        <f>$H$164/(($F$164-2)*$P$164)*100</f>
        <v>5.610561056</v>
      </c>
      <c r="J236" s="17">
        <f>$H$116/(($F$116-2)*$P$116)*100</f>
        <v>13.33333333</v>
      </c>
      <c r="K236" s="12"/>
      <c r="L236" s="20">
        <f>$H$133/(($F$133-2)*$P$133)*100</f>
        <v>2.637362637</v>
      </c>
      <c r="M236" s="163">
        <f>$H$149/(($F$149-2)*$P$149)*100</f>
        <v>0.6960556845</v>
      </c>
      <c r="N236" s="108">
        <f>$H$165/(($F$165-2)*$P$165)*100</f>
        <v>4.858299595</v>
      </c>
      <c r="O236" s="14">
        <f>$H$117/(($F$117-2)*$P$117)*100</f>
        <v>17.14285714</v>
      </c>
      <c r="Q236" s="30" t="s">
        <v>281</v>
      </c>
      <c r="R236" s="31" t="s">
        <v>282</v>
      </c>
      <c r="S236" s="32"/>
      <c r="T236" s="32"/>
      <c r="U236" s="32"/>
      <c r="V236" s="8"/>
      <c r="W236" s="31" t="s">
        <v>283</v>
      </c>
      <c r="X236" s="32"/>
      <c r="Y236" s="32"/>
      <c r="Z236" s="32"/>
      <c r="AA236" s="8"/>
      <c r="AB236" s="31" t="s">
        <v>284</v>
      </c>
      <c r="AC236" s="32"/>
      <c r="AD236" s="32"/>
      <c r="AE236" s="32"/>
      <c r="AH236" s="2" t="s">
        <v>300</v>
      </c>
    </row>
    <row r="237" ht="15.75" customHeight="1">
      <c r="A237" s="10" t="s">
        <v>126</v>
      </c>
      <c r="B237" s="160"/>
      <c r="C237" s="12"/>
      <c r="D237" s="12"/>
      <c r="E237" s="160"/>
      <c r="F237" s="160"/>
      <c r="G237" s="160"/>
      <c r="H237" s="12"/>
      <c r="I237" s="12"/>
      <c r="J237" s="160"/>
      <c r="K237" s="160"/>
      <c r="L237" s="160"/>
      <c r="M237" s="12"/>
      <c r="N237" s="12"/>
      <c r="O237" s="160"/>
      <c r="Q237" s="32"/>
      <c r="R237" s="8" t="s">
        <v>63</v>
      </c>
      <c r="S237" s="8" t="s">
        <v>64</v>
      </c>
      <c r="T237" s="8" t="s">
        <v>65</v>
      </c>
      <c r="U237" s="8" t="s">
        <v>66</v>
      </c>
      <c r="V237" s="8"/>
      <c r="W237" s="8" t="s">
        <v>63</v>
      </c>
      <c r="X237" s="8" t="s">
        <v>64</v>
      </c>
      <c r="Y237" s="8" t="s">
        <v>65</v>
      </c>
      <c r="Z237" s="8" t="s">
        <v>66</v>
      </c>
      <c r="AA237" s="8"/>
      <c r="AB237" s="8" t="s">
        <v>63</v>
      </c>
      <c r="AC237" s="8" t="s">
        <v>64</v>
      </c>
      <c r="AD237" s="8" t="s">
        <v>65</v>
      </c>
      <c r="AE237" s="8" t="s">
        <v>66</v>
      </c>
    </row>
    <row r="238" ht="15.75" customHeight="1">
      <c r="A238" s="11" t="s">
        <v>68</v>
      </c>
      <c r="B238" s="14">
        <f>$N$143/(($F$143-2)*$P$143)*100</f>
        <v>48.39779006</v>
      </c>
      <c r="C238" s="16">
        <f>$N$159/(($F$159-2)*$P$159)*100</f>
        <v>3.684210526</v>
      </c>
      <c r="D238" s="18">
        <f>$N$175/(($F$175-2)*$P$175)*100</f>
        <v>15.73604061</v>
      </c>
      <c r="E238" s="14">
        <f>$N$127/(($F$127-2)*$P$127)*100</f>
        <v>62.88659794</v>
      </c>
      <c r="F238" s="12"/>
      <c r="G238" s="17">
        <f>$N$144/(($F$144-2)*$P$144)*100</f>
        <v>41.14994363</v>
      </c>
      <c r="H238" s="15">
        <f>$N$160/(($F$160-2)*$P$160)*100</f>
        <v>3.393425239</v>
      </c>
      <c r="I238" s="13">
        <f>$N$176/(($F$176-2)*$P$176)*100</f>
        <v>18.56392294</v>
      </c>
      <c r="J238" s="17">
        <f>$N$128/(($F$128-2)*$P$128)*100</f>
        <v>58.65384615</v>
      </c>
      <c r="K238" s="12"/>
      <c r="L238" s="14">
        <f>$N$145/(($F$145-2)*$P$145)*100</f>
        <v>41.16355653</v>
      </c>
      <c r="M238" s="16">
        <f>$N$161/(($F$161-2)*$P$161)*100</f>
        <v>4.930332262</v>
      </c>
      <c r="N238" s="13">
        <f>$N$177/(($F$177-2)*$P$177)*100</f>
        <v>23.02904564</v>
      </c>
      <c r="O238" s="14">
        <f>$N$129/(($F$129-2)*$P$129)*100</f>
        <v>61.95652174</v>
      </c>
      <c r="Q238" s="11" t="s">
        <v>73</v>
      </c>
      <c r="R238" s="35">
        <f t="shared" ref="R238:U238" si="151">SUM(B262,B265)</f>
        <v>49.24506388</v>
      </c>
      <c r="S238" s="35">
        <f t="shared" si="151"/>
        <v>6.52173913</v>
      </c>
      <c r="T238" s="35">
        <f t="shared" si="151"/>
        <v>37.16475096</v>
      </c>
      <c r="U238" s="35">
        <f t="shared" si="151"/>
        <v>30.76923077</v>
      </c>
      <c r="V238" s="33"/>
      <c r="W238" s="33">
        <f t="shared" ref="W238:Z238" si="152">SUM(G262,G265)</f>
        <v>53.71229698</v>
      </c>
      <c r="X238" s="33">
        <f t="shared" si="152"/>
        <v>7.543103448</v>
      </c>
      <c r="Y238" s="33">
        <f t="shared" si="152"/>
        <v>35.29411765</v>
      </c>
      <c r="Z238" s="33">
        <f t="shared" si="152"/>
        <v>24.40944882</v>
      </c>
      <c r="AA238" s="33"/>
      <c r="AB238" s="33">
        <f t="shared" ref="AB238:AE238" si="153">SUM(L262,L265)</f>
        <v>65.40229885</v>
      </c>
      <c r="AC238" s="33">
        <f t="shared" si="153"/>
        <v>7.042253521</v>
      </c>
      <c r="AD238" s="33">
        <f t="shared" si="153"/>
        <v>46.69338677</v>
      </c>
      <c r="AE238" s="33">
        <f t="shared" si="153"/>
        <v>40</v>
      </c>
    </row>
    <row r="239" ht="15.75" customHeight="1">
      <c r="A239" s="11" t="s">
        <v>73</v>
      </c>
      <c r="B239" s="18">
        <f>$N$135/(($F$135-2)*$P$135)*100</f>
        <v>30.19744483</v>
      </c>
      <c r="C239" s="15">
        <f>$N$151/(($F$151-2)*$P$151)*100</f>
        <v>4.456521739</v>
      </c>
      <c r="D239" s="14">
        <f>$N$167/(($F$167-2)*$P$167)*100</f>
        <v>33.14176245</v>
      </c>
      <c r="E239" s="18">
        <f>$N$119/(($F$119-2)*$P$119)*100</f>
        <v>16.78321678</v>
      </c>
      <c r="F239" s="12"/>
      <c r="G239" s="13">
        <f>$N$136/(($F$136-2)*$P$136)*100</f>
        <v>32.94663573</v>
      </c>
      <c r="H239" s="12">
        <f>$N$152/(($F$152-2)*$P$152)*100</f>
        <v>5.172413793</v>
      </c>
      <c r="I239" s="17">
        <f>$N$168/(($F$168-2)*$P$168)*100</f>
        <v>32.54901961</v>
      </c>
      <c r="J239" s="13">
        <f>$N$120/(($F$120-2)*$P$120)*100</f>
        <v>17.32283465</v>
      </c>
      <c r="K239" s="12"/>
      <c r="L239" s="14">
        <f>$N$137/(($F$137-2)*$P$137)*100</f>
        <v>39.42528736</v>
      </c>
      <c r="M239" s="12">
        <f>$N$153/(($F$153-2)*$P$153)*100</f>
        <v>5.200433369</v>
      </c>
      <c r="N239" s="14">
        <f>$N$169/(($F$169-2)*$P$169)*100</f>
        <v>42.68537074</v>
      </c>
      <c r="O239" s="13">
        <f>$N$121/(($F$121-2)*$P$121)*100</f>
        <v>24</v>
      </c>
      <c r="Q239" s="11" t="s">
        <v>205</v>
      </c>
      <c r="R239" s="35">
        <f t="shared" ref="R239:U239" si="154">SUM(B263,B266)</f>
        <v>37.25490196</v>
      </c>
      <c r="S239" s="35">
        <f t="shared" si="154"/>
        <v>3.361344538</v>
      </c>
      <c r="T239" s="35">
        <f t="shared" si="154"/>
        <v>28.97196262</v>
      </c>
      <c r="U239" s="35">
        <f t="shared" si="154"/>
        <v>24.3902439</v>
      </c>
      <c r="V239" s="33"/>
      <c r="W239" s="33">
        <f t="shared" ref="W239:Z239" si="155">SUM(G263,G266)</f>
        <v>37.5</v>
      </c>
      <c r="X239" s="33">
        <f t="shared" si="155"/>
        <v>0.7936507937</v>
      </c>
      <c r="Y239" s="33">
        <f t="shared" si="155"/>
        <v>25.43859649</v>
      </c>
      <c r="Z239" s="33">
        <f t="shared" si="155"/>
        <v>30.23255814</v>
      </c>
      <c r="AB239" s="33">
        <f t="shared" ref="AB239:AE239" si="156">SUM(L263,L266)</f>
        <v>51.11111111</v>
      </c>
      <c r="AC239" s="33">
        <f t="shared" si="156"/>
        <v>3.418803419</v>
      </c>
      <c r="AD239" s="33">
        <f t="shared" si="156"/>
        <v>30.43478261</v>
      </c>
      <c r="AE239" s="33">
        <f t="shared" si="156"/>
        <v>40</v>
      </c>
    </row>
    <row r="240" ht="15.75" customHeight="1">
      <c r="A240" s="25" t="s">
        <v>76</v>
      </c>
      <c r="B240" s="71">
        <f>$N$131/(($F$131-2)*$P$131)*100</f>
        <v>31.21149897</v>
      </c>
      <c r="C240" s="108">
        <f>$N$147/(($F$147-2)*$P$147)*100</f>
        <v>4.405286344</v>
      </c>
      <c r="D240" s="70">
        <f>$N$163/(($F$163-2)*$P$163)*100</f>
        <v>26.68918919</v>
      </c>
      <c r="E240" s="70">
        <f>$N$115/(($F$115-2)*$P$115)*100</f>
        <v>22.89156627</v>
      </c>
      <c r="F240" s="108"/>
      <c r="G240" s="70">
        <f>$N$132/(($F$132-2)*$P$132)*100</f>
        <v>34.75609756</v>
      </c>
      <c r="H240" s="162">
        <f>$N$148/(($F$148-2)*$P$148)*100</f>
        <v>3.10421286</v>
      </c>
      <c r="I240" s="71">
        <f>$N$164/(($F$164-2)*$P$164)*100</f>
        <v>23.43234323</v>
      </c>
      <c r="J240" s="71">
        <f>$N$116/(($F$116-2)*$P$116)*100</f>
        <v>20</v>
      </c>
      <c r="K240" s="108"/>
      <c r="L240" s="156">
        <f>$N$133/(($F$133-2)*$P$133)*100</f>
        <v>34.28571429</v>
      </c>
      <c r="M240" s="108">
        <f>$N$149/(($F$149-2)*$P$149)*100</f>
        <v>5.336426914</v>
      </c>
      <c r="N240" s="70">
        <f>$N$165/(($F$165-2)*$P$165)*100</f>
        <v>31.57894737</v>
      </c>
      <c r="O240" s="70">
        <f>$N$117/(($F$117-2)*$P$117)*100</f>
        <v>34.28571429</v>
      </c>
      <c r="Q240" s="11" t="s">
        <v>92</v>
      </c>
      <c r="R240" s="33">
        <f t="shared" ref="R240:U240" si="157">AVERAGE(R238:R239)</f>
        <v>43.24998292</v>
      </c>
      <c r="S240" s="29">
        <f t="shared" si="157"/>
        <v>4.941541834</v>
      </c>
      <c r="T240" s="33">
        <f t="shared" si="157"/>
        <v>33.06835679</v>
      </c>
      <c r="U240" s="33">
        <f t="shared" si="157"/>
        <v>27.57973734</v>
      </c>
      <c r="V240" s="33"/>
      <c r="W240" s="33">
        <f t="shared" ref="W240:Z240" si="158">AVERAGE(W238:W239)</f>
        <v>45.60614849</v>
      </c>
      <c r="X240" s="29">
        <f t="shared" si="158"/>
        <v>4.168377121</v>
      </c>
      <c r="Y240" s="33">
        <f t="shared" si="158"/>
        <v>30.36635707</v>
      </c>
      <c r="Z240" s="33">
        <f t="shared" si="158"/>
        <v>27.32100348</v>
      </c>
      <c r="AA240" s="33"/>
      <c r="AB240" s="33">
        <f t="shared" ref="AB240:AE240" si="159">AVERAGE(AB238:AB239)</f>
        <v>58.25670498</v>
      </c>
      <c r="AC240" s="29">
        <f t="shared" si="159"/>
        <v>5.23052847</v>
      </c>
      <c r="AD240" s="33">
        <f t="shared" si="159"/>
        <v>38.56408469</v>
      </c>
      <c r="AE240" s="33">
        <f t="shared" si="159"/>
        <v>40</v>
      </c>
    </row>
    <row r="241" ht="15.75" customHeight="1">
      <c r="A241" s="2" t="s">
        <v>258</v>
      </c>
      <c r="B241" s="12"/>
      <c r="C241" s="29"/>
      <c r="D241" s="29"/>
      <c r="E241" s="12"/>
      <c r="F241" s="12"/>
      <c r="G241" s="12"/>
      <c r="H241" s="29"/>
      <c r="I241" s="29"/>
      <c r="J241" s="12"/>
      <c r="K241" s="12"/>
      <c r="L241" s="12"/>
      <c r="M241" s="29"/>
      <c r="N241" s="29"/>
      <c r="O241" s="12"/>
      <c r="S241" s="33">
        <f>AVERAGE(R240:U240)</f>
        <v>27.20990472</v>
      </c>
      <c r="X241" s="33">
        <f>AVERAGE(W240:Z240)</f>
        <v>26.86547154</v>
      </c>
      <c r="AC241" s="33">
        <f>AVERAGE(AB240:AE240)</f>
        <v>35.51282954</v>
      </c>
    </row>
    <row r="242" ht="15.75" customHeight="1">
      <c r="A242" s="11" t="s">
        <v>68</v>
      </c>
      <c r="B242" s="14">
        <f>($I$143+$J$143+$K$143)/(($F$143-2)*$P$143)*100</f>
        <v>21.32596685</v>
      </c>
      <c r="C242" s="14">
        <f>($I$159+$J$159+$K$159)/(($F$159-2)*$P$159)*100</f>
        <v>90.42105263</v>
      </c>
      <c r="D242" s="13">
        <f>($I$175+$J$175+$K$175)/(($F$175-2)*$P$175)*100</f>
        <v>51.43824027</v>
      </c>
      <c r="E242" s="17">
        <f>($I$127+$J$127+$K$127)/(($F$127-2)*$P$127)*100</f>
        <v>15.46391753</v>
      </c>
      <c r="F242" s="12"/>
      <c r="G242" s="17">
        <f>($I$144+$J$144+$K$144)/(($F$144-2)*$P$144)*100</f>
        <v>22.09695603</v>
      </c>
      <c r="H242" s="14">
        <f>($I$160+$J$160+$K$160)/(($F$160-2)*$P$160)*100</f>
        <v>90.34994698</v>
      </c>
      <c r="I242" s="13">
        <f>($I$176+$J$176+$K$176)/(($F$176-2)*$P$176)*100</f>
        <v>52.01401051</v>
      </c>
      <c r="J242" s="14">
        <f>($I$128+$J$128+$K$128)/(($F$128-2)*$P$128)*100</f>
        <v>14.42307692</v>
      </c>
      <c r="K242" s="12"/>
      <c r="L242" s="14">
        <f>($I$145+$J$145+$K$145)/(($F$145-2)*$P$145)*100</f>
        <v>20.96597146</v>
      </c>
      <c r="M242" s="17">
        <f>($I$161+$J$161+$K$161)/(($F$161-2)*$P$161)*100</f>
        <v>91.1039657</v>
      </c>
      <c r="N242" s="18">
        <f>($I$177+$J$177+$K$177)/(($F$177-2)*$P$177)*100</f>
        <v>54.14937759</v>
      </c>
      <c r="O242" s="14">
        <f>($I$129+$J$129+$K$129)/(($F$129-2)*$P$129)*100</f>
        <v>11.95652174</v>
      </c>
      <c r="R242" s="2" t="s">
        <v>280</v>
      </c>
      <c r="S242" s="33">
        <f>AVERAGE(R239:U239)</f>
        <v>23.49461325</v>
      </c>
      <c r="W242" s="2" t="s">
        <v>280</v>
      </c>
      <c r="X242" s="33">
        <f>AVERAGE(W239:Z239)</f>
        <v>23.49120136</v>
      </c>
      <c r="AB242" s="2" t="s">
        <v>280</v>
      </c>
      <c r="AC242" s="33">
        <f>AVERAGE(AB239:AE239)</f>
        <v>31.24117428</v>
      </c>
    </row>
    <row r="243" ht="15.75" customHeight="1">
      <c r="A243" s="11" t="s">
        <v>73</v>
      </c>
      <c r="B243" s="18">
        <f>($I$135+$J$135+$K$135)/(($F$135-2)*$P$135)*100</f>
        <v>33.91405343</v>
      </c>
      <c r="C243" s="14">
        <f>($I$151+$J$151+$K$151)/(($F$151-2)*$P$151)*100</f>
        <v>90.76086957</v>
      </c>
      <c r="D243" s="14">
        <f>($I$167+$J$167+$K$167)/(($F$167-2)*$P$167)*100</f>
        <v>36.7816092</v>
      </c>
      <c r="E243" s="13">
        <f>($I$119+$J$119+$K$119)/(($F$119-2)*$P$119)*100</f>
        <v>51.04895105</v>
      </c>
      <c r="F243" s="12"/>
      <c r="G243" s="13">
        <f>($I$136+$J$136+$K$136)/(($F$136-2)*$P$136)*100</f>
        <v>31.78654292</v>
      </c>
      <c r="H243" s="14">
        <f>($I$152+$J$152+$K$152)/(($F$152-2)*$P$152)*100</f>
        <v>90.51724138</v>
      </c>
      <c r="I243" s="17">
        <f>($I$168+$J$168+$K$168)/(($F$168-2)*$P$168)*100</f>
        <v>36.8627451</v>
      </c>
      <c r="J243" s="18">
        <f>($I$120+$J$120+$K$120)/(($F$120-2)*$P$120)*100</f>
        <v>55.11811024</v>
      </c>
      <c r="K243" s="12"/>
      <c r="L243" s="14">
        <f>($I$137+$J$137+$K$137)/(($F$137-2)*$P$137)*100</f>
        <v>26.32183908</v>
      </c>
      <c r="M243" s="17">
        <f>($I$153+$J$153+$K$153)/(($F$153-2)*$P$153)*100</f>
        <v>91.33261105</v>
      </c>
      <c r="N243" s="14">
        <f>($I$169+$J$169+$K$169)/(($F$169-2)*$P$169)*100</f>
        <v>33.26653307</v>
      </c>
      <c r="O243" s="13">
        <f>($I$121+$J$121+$K$121)/(($F$121-2)*$P$121)*100</f>
        <v>44</v>
      </c>
    </row>
    <row r="244" ht="15.75" customHeight="1">
      <c r="A244" s="11" t="s">
        <v>76</v>
      </c>
      <c r="B244" s="14">
        <f>($I$131+$J$131+$K$131)/(($F$131-2)*$P$131)*100</f>
        <v>29.97946612</v>
      </c>
      <c r="C244" s="156">
        <f>($I$147+$J$147+$K$147)/(($F$147-2)*$P$147)*100</f>
        <v>92.07048458</v>
      </c>
      <c r="D244" s="71">
        <f>($I$163+$J$163+$K$163)/(($F$163-2)*$P$163)*100</f>
        <v>50.67567568</v>
      </c>
      <c r="E244" s="14">
        <f>($I$115+$J$115+$K$115)/(($F$115-2)*$P$115)*100</f>
        <v>10.84337349</v>
      </c>
      <c r="F244" s="12"/>
      <c r="G244" s="17">
        <f>($I$132+$J$132+$K$132)/(($F$132-2)*$P$132)*100</f>
        <v>31.70731707</v>
      </c>
      <c r="H244" s="157">
        <f>($I$148+$J$148+$K$148)/(($F$148-2)*$P$148)*100</f>
        <v>92.23946785</v>
      </c>
      <c r="I244" s="70">
        <f>($I$164+$J$164+$K$164)/(($F$164-2)*$P$164)*100</f>
        <v>49.8349835</v>
      </c>
      <c r="J244" s="14">
        <f>($I$116+$J$116+$K$116)/(($F$116-2)*$P$116)*100</f>
        <v>12.22222222</v>
      </c>
      <c r="K244" s="12"/>
      <c r="L244" s="13">
        <f>($I$133+$J$133+$K$133)/(($F$133-2)*$P$133)*100</f>
        <v>30.98901099</v>
      </c>
      <c r="M244" s="156">
        <f>($I$149+$J$149+$K$149)/(($F$149-2)*$P$149)*100</f>
        <v>92.11136891</v>
      </c>
      <c r="N244" s="70">
        <f>($I$165+$J$165+$K$165)/(($F$165-2)*$P$165)*100</f>
        <v>49.79757085</v>
      </c>
      <c r="O244" s="17">
        <f>($I$117+$J$117+$K$117)/(($F$117-2)*$P$117)*100</f>
        <v>13.33333333</v>
      </c>
    </row>
    <row r="245" ht="15.75" customHeight="1">
      <c r="A245" s="10" t="s">
        <v>125</v>
      </c>
      <c r="B245" s="160"/>
      <c r="C245" s="12"/>
      <c r="D245" s="12"/>
      <c r="E245" s="160"/>
      <c r="F245" s="160"/>
      <c r="G245" s="160"/>
      <c r="H245" s="12"/>
      <c r="I245" s="12"/>
      <c r="J245" s="160"/>
      <c r="K245" s="160"/>
      <c r="L245" s="160"/>
      <c r="M245" s="12"/>
      <c r="N245" s="12"/>
      <c r="O245" s="160"/>
    </row>
    <row r="246" ht="15.75" customHeight="1">
      <c r="A246" s="11" t="s">
        <v>68</v>
      </c>
      <c r="B246" s="14">
        <f>($L$143+$M$143)/(($F$143-2)*$P$143)*100</f>
        <v>18.89502762</v>
      </c>
      <c r="C246" s="16">
        <f>($L$159+$M$159)/(($F$159-2)*$P$159)*100</f>
        <v>3.578947368</v>
      </c>
      <c r="D246" s="18">
        <f>($L$175+$M$175)/(($F$175-2)*$P$175)*100</f>
        <v>27.07275804</v>
      </c>
      <c r="E246" s="14">
        <f>($L$127+$M$127)/(($F$127-2)*$P$127)*100</f>
        <v>14.43298969</v>
      </c>
      <c r="F246" s="12"/>
      <c r="G246" s="14">
        <f>($L$144+$M$144)/(($F$144-2)*$P$144)*100</f>
        <v>25.59188275</v>
      </c>
      <c r="H246" s="20">
        <f>($L$160+$M$160)/(($F$160-2)*$P$160)*100</f>
        <v>3.711558855</v>
      </c>
      <c r="I246" s="14">
        <f>($L$176+$M$176)/(($F$176-2)*$P$176)*100</f>
        <v>23.64273205</v>
      </c>
      <c r="J246" s="14">
        <f>($L$128+$M$128)/(($F$128-2)*$P$128)*100</f>
        <v>17.30769231</v>
      </c>
      <c r="K246" s="12"/>
      <c r="L246" s="18">
        <f>($L$145+$M$145)/(($F$145-2)*$P$145)*100</f>
        <v>26.34467618</v>
      </c>
      <c r="M246" s="16">
        <f>($L$161+$M$161)/(($F$161-2)*$P$161)*100</f>
        <v>2.465166131</v>
      </c>
      <c r="N246" s="14">
        <f>($L$177+$M$177)/(($F$177-2)*$P$177)*100</f>
        <v>16.18257261</v>
      </c>
      <c r="O246" s="17">
        <f>($L$129+$M$129)/(($F$129-2)*$P$129)*100</f>
        <v>18.47826087</v>
      </c>
    </row>
    <row r="247" ht="15.75" customHeight="1">
      <c r="A247" s="11" t="s">
        <v>73</v>
      </c>
      <c r="B247" s="17">
        <f>($L$135+$M$135)/(($F$135-2)*$P$135)*100</f>
        <v>16.84088269</v>
      </c>
      <c r="C247" s="15">
        <f>($L$151+$M$151)/(($F$151-2)*$P$151)*100</f>
        <v>2.717391304</v>
      </c>
      <c r="D247" s="14">
        <f>($L$167+$M$167)/(($F$167-2)*$P$167)*100</f>
        <v>26.05363985</v>
      </c>
      <c r="E247" s="14">
        <f>($L$119+$M$119)/(($F$119-2)*$P$119)*100</f>
        <v>18.18181818</v>
      </c>
      <c r="F247" s="12"/>
      <c r="G247" s="14">
        <f>($L$136+$M$136)/(($F$136-2)*$P$136)*100</f>
        <v>14.50116009</v>
      </c>
      <c r="H247" s="12">
        <f>($L$152+$M$152)/(($F$152-2)*$P$152)*100</f>
        <v>1.939655172</v>
      </c>
      <c r="I247" s="18">
        <f>($L$168+$M$168)/(($F$168-2)*$P$168)*100</f>
        <v>27.84313725</v>
      </c>
      <c r="J247" s="17">
        <f>($L$120+$M$120)/(($F$120-2)*$P$120)*100</f>
        <v>20.47244094</v>
      </c>
      <c r="K247" s="12"/>
      <c r="L247" s="12">
        <f>($L$137+$M$137)/(($F$137-2)*$P$137)*100</f>
        <v>8.275862069</v>
      </c>
      <c r="M247" s="12">
        <f>($L$153+$M$153)/(($F$153-2)*$P$153)*100</f>
        <v>1.625135428</v>
      </c>
      <c r="N247" s="13">
        <f>($L$169+$M$169)/(($F$169-2)*$P$169)*100</f>
        <v>20.04008016</v>
      </c>
      <c r="O247" s="14">
        <f>($L$121+$M$121)/(($F$121-2)*$P$121)*100</f>
        <v>16</v>
      </c>
    </row>
    <row r="248" ht="15.75" customHeight="1">
      <c r="A248" s="25" t="s">
        <v>76</v>
      </c>
      <c r="B248" s="157">
        <f>($L$131+$M$131)/(($F$131-2)*$P$131)*100</f>
        <v>34.70225873</v>
      </c>
      <c r="C248" s="108">
        <f>($L$147+$M$147)/(($F$147-2)*$P$147)*100</f>
        <v>2.422907489</v>
      </c>
      <c r="D248" s="70">
        <f>($L$163+$M$163)/(($F$163-2)*$P$163)*100</f>
        <v>20.94594595</v>
      </c>
      <c r="E248" s="156">
        <f>($L$115+$M$115)/(($F$115-2)*$P$115)*100</f>
        <v>46.98795181</v>
      </c>
      <c r="F248" s="108"/>
      <c r="G248" s="156">
        <f>($L$132+$M$132)/(($F$132-2)*$P$132)*100</f>
        <v>29.47154472</v>
      </c>
      <c r="H248" s="128">
        <f>($L$148+$M$148)/(($F$148-2)*$P$148)*100</f>
        <v>3.32594235</v>
      </c>
      <c r="I248" s="71">
        <f>($L$164+$M$164)/(($F$164-2)*$P$164)*100</f>
        <v>21.12211221</v>
      </c>
      <c r="J248" s="157">
        <f>($L$116+$M$116)/(($F$116-2)*$P$116)*100</f>
        <v>54.44444444</v>
      </c>
      <c r="K248" s="108"/>
      <c r="L248" s="70">
        <f>($L$133+$M$133)/(($F$133-2)*$P$133)*100</f>
        <v>32.08791209</v>
      </c>
      <c r="M248" s="108">
        <f>($L$149+$M$149)/(($F$149-2)*$P$149)*100</f>
        <v>1.856148492</v>
      </c>
      <c r="N248" s="70">
        <f>($L$165+$M$165)/(($F$165-2)*$P$165)*100</f>
        <v>13.76518219</v>
      </c>
      <c r="O248" s="156">
        <f>($L$117+$M$117)/(($F$117-2)*$P$117)*100</f>
        <v>35.23809524</v>
      </c>
    </row>
    <row r="249" ht="15.75" customHeight="1">
      <c r="A249" s="152" t="s">
        <v>320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Q249" s="30" t="s">
        <v>281</v>
      </c>
      <c r="R249" s="31" t="s">
        <v>282</v>
      </c>
      <c r="S249" s="32"/>
      <c r="T249" s="32"/>
      <c r="U249" s="32"/>
      <c r="V249" s="8"/>
      <c r="W249" s="31" t="s">
        <v>283</v>
      </c>
      <c r="X249" s="32"/>
      <c r="Y249" s="32"/>
      <c r="Z249" s="32"/>
      <c r="AA249" s="8"/>
      <c r="AB249" s="31" t="s">
        <v>284</v>
      </c>
      <c r="AC249" s="32"/>
      <c r="AD249" s="32"/>
      <c r="AE249" s="32"/>
    </row>
    <row r="250" ht="15.75" customHeight="1">
      <c r="A250" s="11" t="s">
        <v>68</v>
      </c>
      <c r="B250" s="17">
        <f>$O$143/(($F$143-2)*$P$143)*100</f>
        <v>18.34254144</v>
      </c>
      <c r="C250" s="17">
        <f>$O$159/(($F$159-2)*$P$159)*100</f>
        <v>29.57894737</v>
      </c>
      <c r="D250" s="18">
        <f>$O$175/(($F$175-2)*$P$175)*100</f>
        <v>34.34856176</v>
      </c>
      <c r="E250" s="14">
        <f>$O$127/(($F$127-2)*$P$127)*100</f>
        <v>19.58762887</v>
      </c>
      <c r="F250" s="12"/>
      <c r="G250" s="13">
        <f>$O$144/(($F$144-2)*$P$144)*100</f>
        <v>17.92559188</v>
      </c>
      <c r="H250" s="14">
        <f>$O$160/(($F$160-2)*$P$160)*100</f>
        <v>25.34464475</v>
      </c>
      <c r="I250" s="13">
        <f>$O$176/(($F$176-2)*$P$176)*100</f>
        <v>31.52364273</v>
      </c>
      <c r="J250" s="17">
        <f>$O$128/(($F$128-2)*$P$128)*100</f>
        <v>26.92307692</v>
      </c>
      <c r="K250" s="12"/>
      <c r="L250" s="14">
        <f>$O$145/(($F$145-2)*$P$145)*100</f>
        <v>13.50164654</v>
      </c>
      <c r="M250" s="13">
        <f>$O$161/(($F$161-2)*$P$161)*100</f>
        <v>21.75777063</v>
      </c>
      <c r="N250" s="13">
        <f>$O$177/(($F$177-2)*$P$177)*100</f>
        <v>25.10373444</v>
      </c>
      <c r="O250" s="14">
        <f>$O$129/(($F$129-2)*$P$129)*100</f>
        <v>26.08695652</v>
      </c>
      <c r="Q250" s="32"/>
      <c r="R250" s="8" t="s">
        <v>63</v>
      </c>
      <c r="S250" s="8" t="s">
        <v>64</v>
      </c>
      <c r="T250" s="8" t="s">
        <v>65</v>
      </c>
      <c r="U250" s="8" t="s">
        <v>66</v>
      </c>
      <c r="V250" s="8"/>
      <c r="W250" s="8" t="s">
        <v>63</v>
      </c>
      <c r="X250" s="8" t="s">
        <v>64</v>
      </c>
      <c r="Y250" s="8" t="s">
        <v>65</v>
      </c>
      <c r="Z250" s="8" t="s">
        <v>66</v>
      </c>
      <c r="AA250" s="8"/>
      <c r="AB250" s="8" t="s">
        <v>63</v>
      </c>
      <c r="AC250" s="8" t="s">
        <v>64</v>
      </c>
      <c r="AD250" s="8" t="s">
        <v>65</v>
      </c>
      <c r="AE250" s="8" t="s">
        <v>66</v>
      </c>
    </row>
    <row r="251" ht="15.75" customHeight="1">
      <c r="A251" s="11" t="s">
        <v>73</v>
      </c>
      <c r="B251" s="18">
        <f>$O$135/(($F$135-2)*$P$135)*100</f>
        <v>19.86062718</v>
      </c>
      <c r="C251" s="18">
        <f>$O$151/(($F$151-2)*$P$151)*100</f>
        <v>29.67391304</v>
      </c>
      <c r="D251" s="14">
        <f>$O$167/(($F$167-2)*$P$167)*100</f>
        <v>28.35249042</v>
      </c>
      <c r="E251" s="13">
        <f>$O$119/(($F$119-2)*$P$119)*100</f>
        <v>39.86013986</v>
      </c>
      <c r="F251" s="12"/>
      <c r="G251" s="14">
        <f>$O$136/(($F$136-2)*$P$136)*100</f>
        <v>16.47331787</v>
      </c>
      <c r="H251" s="13">
        <f>$O$152/(($F$152-2)*$P$152)*100</f>
        <v>25.96982759</v>
      </c>
      <c r="I251" s="17">
        <f>$O$168/(($F$168-2)*$P$168)*100</f>
        <v>30.58823529</v>
      </c>
      <c r="J251" s="18">
        <f>$O$120/(($F$120-2)*$P$120)*100</f>
        <v>41.73228346</v>
      </c>
      <c r="K251" s="12"/>
      <c r="L251" s="14">
        <f>$O$137/(($F$137-2)*$P$137)*100</f>
        <v>10</v>
      </c>
      <c r="M251" s="14">
        <f>$O$153/(($F$153-2)*$P$153)*100</f>
        <v>16.14301192</v>
      </c>
      <c r="N251" s="14">
        <f>$O$169/(($F$169-2)*$P$169)*100</f>
        <v>21.24248497</v>
      </c>
      <c r="O251" s="13">
        <f>$O$121/(($F$121-2)*$P$121)*100</f>
        <v>28</v>
      </c>
      <c r="Q251" s="11" t="s">
        <v>68</v>
      </c>
      <c r="R251" s="35">
        <f t="shared" ref="R251:U251" si="160">B234+B238</f>
        <v>59.77900552</v>
      </c>
      <c r="S251" s="29">
        <f t="shared" si="160"/>
        <v>6</v>
      </c>
      <c r="T251" s="33">
        <f t="shared" si="160"/>
        <v>21.48900169</v>
      </c>
      <c r="U251" s="35">
        <f t="shared" si="160"/>
        <v>70.10309278</v>
      </c>
      <c r="V251" s="33"/>
      <c r="W251" s="33">
        <f t="shared" ref="W251:Z251" si="161">G234+G238</f>
        <v>52.31116122</v>
      </c>
      <c r="X251" s="29">
        <f t="shared" si="161"/>
        <v>5.938494168</v>
      </c>
      <c r="Y251" s="33">
        <f t="shared" si="161"/>
        <v>24.34325744</v>
      </c>
      <c r="Z251" s="35">
        <f t="shared" si="161"/>
        <v>68.26923077</v>
      </c>
      <c r="AA251" s="33"/>
      <c r="AB251" s="33">
        <f t="shared" ref="AB251:AE251" si="162">L234+L238</f>
        <v>52.68935236</v>
      </c>
      <c r="AC251" s="29">
        <f t="shared" si="162"/>
        <v>6.430868167</v>
      </c>
      <c r="AD251" s="33">
        <f t="shared" si="162"/>
        <v>29.66804979</v>
      </c>
      <c r="AE251" s="35">
        <f t="shared" si="162"/>
        <v>69.56521739</v>
      </c>
    </row>
    <row r="252" ht="15.75" customHeight="1">
      <c r="A252" s="11" t="s">
        <v>76</v>
      </c>
      <c r="B252" s="14">
        <f>$O$131/(($F$131-2)*$P$131)*100</f>
        <v>14.16837782</v>
      </c>
      <c r="C252" s="14">
        <f>$O$147/(($F$147-2)*$P$147)*100</f>
        <v>17.40088106</v>
      </c>
      <c r="D252" s="14">
        <f>$O$163/(($F$163-2)*$P$163)*100</f>
        <v>16.55405405</v>
      </c>
      <c r="E252" s="14">
        <f>$O$115/(($F$115-2)*$P$115)*100</f>
        <v>10.84337349</v>
      </c>
      <c r="F252" s="12"/>
      <c r="G252" s="17">
        <f>$O$132/(($F$132-2)*$P$132)*100</f>
        <v>14.43089431</v>
      </c>
      <c r="H252" s="17">
        <f>$O$148/(($F$148-2)*$P$148)*100</f>
        <v>18.40354767</v>
      </c>
      <c r="I252" s="17">
        <f>$O$164/(($F$164-2)*$P$164)*100</f>
        <v>23.10231023</v>
      </c>
      <c r="J252" s="17">
        <f>$O$116/(($F$116-2)*$P$116)*100</f>
        <v>17.77777778</v>
      </c>
      <c r="K252" s="12"/>
      <c r="L252" s="13">
        <f>$O$133/(($F$133-2)*$P$133)*100</f>
        <v>14.28571429</v>
      </c>
      <c r="M252" s="14">
        <f>$O$149/(($F$149-2)*$P$149)*100</f>
        <v>14.84918794</v>
      </c>
      <c r="N252" s="12">
        <f>$O$165/(($F$165-2)*$P$165)*100</f>
        <v>9.311740891</v>
      </c>
      <c r="O252" s="12">
        <f>$O$117/(($F$117-2)*$P$117)*100</f>
        <v>4.761904762</v>
      </c>
      <c r="Q252" s="11" t="s">
        <v>73</v>
      </c>
      <c r="R252" s="33">
        <f t="shared" ref="R252:U252" si="163">B235+B239</f>
        <v>49.24506388</v>
      </c>
      <c r="S252" s="29">
        <f t="shared" si="163"/>
        <v>6.52173913</v>
      </c>
      <c r="T252" s="33">
        <f t="shared" si="163"/>
        <v>37.16475096</v>
      </c>
      <c r="U252" s="33">
        <f t="shared" si="163"/>
        <v>30.76923077</v>
      </c>
      <c r="V252" s="33"/>
      <c r="W252" s="33">
        <f t="shared" ref="W252:Z252" si="164">G235+G239</f>
        <v>53.71229698</v>
      </c>
      <c r="X252" s="29">
        <f t="shared" si="164"/>
        <v>7.543103448</v>
      </c>
      <c r="Y252" s="33">
        <f t="shared" si="164"/>
        <v>35.29411765</v>
      </c>
      <c r="Z252" s="33">
        <f t="shared" si="164"/>
        <v>24.40944882</v>
      </c>
      <c r="AA252" s="29"/>
      <c r="AB252" s="33">
        <f t="shared" ref="AB252:AE252" si="165">L235+L239</f>
        <v>65.40229885</v>
      </c>
      <c r="AC252" s="29">
        <f t="shared" si="165"/>
        <v>7.042253521</v>
      </c>
      <c r="AD252" s="33">
        <f t="shared" si="165"/>
        <v>46.69338677</v>
      </c>
      <c r="AE252" s="33">
        <f t="shared" si="165"/>
        <v>40</v>
      </c>
    </row>
    <row r="253" ht="15.75" customHeight="1">
      <c r="B253" s="33">
        <f t="shared" ref="B253:E253" si="166">SUM(B234,B238,B242,B246)</f>
        <v>100</v>
      </c>
      <c r="C253" s="33">
        <f t="shared" si="166"/>
        <v>100</v>
      </c>
      <c r="D253" s="33">
        <f t="shared" si="166"/>
        <v>100</v>
      </c>
      <c r="E253" s="33">
        <f t="shared" si="166"/>
        <v>100</v>
      </c>
      <c r="G253" s="33">
        <f t="shared" ref="G253:J253" si="167">SUM(G234,G238,G242,G246)</f>
        <v>100</v>
      </c>
      <c r="H253" s="33">
        <f t="shared" si="167"/>
        <v>100</v>
      </c>
      <c r="I253" s="33">
        <f t="shared" si="167"/>
        <v>100</v>
      </c>
      <c r="J253" s="33">
        <f t="shared" si="167"/>
        <v>100</v>
      </c>
      <c r="K253" s="29"/>
      <c r="L253" s="33">
        <f t="shared" ref="L253:O253" si="168">SUM(L234,L238,L242,L246)</f>
        <v>100</v>
      </c>
      <c r="M253" s="33">
        <f t="shared" si="168"/>
        <v>100</v>
      </c>
      <c r="N253" s="33">
        <f t="shared" si="168"/>
        <v>100</v>
      </c>
      <c r="O253" s="33">
        <f t="shared" si="168"/>
        <v>100</v>
      </c>
      <c r="Q253" s="23" t="s">
        <v>76</v>
      </c>
      <c r="R253" s="33">
        <f t="shared" ref="R253:U253" si="169">B236+B240</f>
        <v>35.31827515</v>
      </c>
      <c r="S253" s="29">
        <f t="shared" si="169"/>
        <v>5.50660793</v>
      </c>
      <c r="T253" s="33">
        <f t="shared" si="169"/>
        <v>28.37837838</v>
      </c>
      <c r="U253" s="33">
        <f t="shared" si="169"/>
        <v>42.1686747</v>
      </c>
      <c r="V253" s="33"/>
      <c r="W253" s="33">
        <f t="shared" ref="W253:Z253" si="170">G236+G240</f>
        <v>38.82113821</v>
      </c>
      <c r="X253" s="29">
        <f t="shared" si="170"/>
        <v>4.4345898</v>
      </c>
      <c r="Y253" s="33">
        <f t="shared" si="170"/>
        <v>29.04290429</v>
      </c>
      <c r="Z253" s="33">
        <f t="shared" si="170"/>
        <v>33.33333333</v>
      </c>
      <c r="AB253" s="33">
        <f t="shared" ref="AB253:AE253" si="171">L236+L240</f>
        <v>36.92307692</v>
      </c>
      <c r="AC253" s="29">
        <f t="shared" si="171"/>
        <v>6.032482599</v>
      </c>
      <c r="AD253" s="33">
        <f t="shared" si="171"/>
        <v>36.43724696</v>
      </c>
      <c r="AE253" s="33">
        <f t="shared" si="171"/>
        <v>51.42857143</v>
      </c>
    </row>
    <row r="254" ht="15.75" customHeight="1">
      <c r="B254" s="33">
        <f t="shared" ref="B254:E254" si="172">SUM(B235,B239,B243,B247)</f>
        <v>100</v>
      </c>
      <c r="C254" s="33">
        <f t="shared" si="172"/>
        <v>100</v>
      </c>
      <c r="D254" s="33">
        <f t="shared" si="172"/>
        <v>100</v>
      </c>
      <c r="E254" s="33">
        <f t="shared" si="172"/>
        <v>100</v>
      </c>
      <c r="G254" s="33">
        <f t="shared" ref="G254:J254" si="173">SUM(G235,G239,G243,G247)</f>
        <v>100</v>
      </c>
      <c r="H254" s="33">
        <f t="shared" si="173"/>
        <v>100</v>
      </c>
      <c r="I254" s="33">
        <f t="shared" si="173"/>
        <v>100</v>
      </c>
      <c r="J254" s="33">
        <f t="shared" si="173"/>
        <v>100</v>
      </c>
      <c r="L254" s="33">
        <f t="shared" ref="L254:O254" si="174">SUM(L235,L239,L243,L247)</f>
        <v>100</v>
      </c>
      <c r="M254" s="33">
        <f t="shared" si="174"/>
        <v>100</v>
      </c>
      <c r="N254" s="33">
        <f t="shared" si="174"/>
        <v>100</v>
      </c>
      <c r="O254" s="33">
        <f t="shared" si="174"/>
        <v>100</v>
      </c>
      <c r="Q254" s="11" t="s">
        <v>92</v>
      </c>
      <c r="R254" s="33">
        <f t="shared" ref="R254:U254" si="175">AVERAGE(R251:R253)</f>
        <v>48.11411485</v>
      </c>
      <c r="S254" s="29">
        <f t="shared" si="175"/>
        <v>6.00944902</v>
      </c>
      <c r="T254" s="33">
        <f t="shared" si="175"/>
        <v>29.01071034</v>
      </c>
      <c r="U254" s="33">
        <f t="shared" si="175"/>
        <v>47.68033275</v>
      </c>
      <c r="V254" s="33"/>
      <c r="W254" s="33">
        <f t="shared" ref="W254:Z254" si="176">AVERAGE(W251:W253)</f>
        <v>48.28153214</v>
      </c>
      <c r="X254" s="29">
        <f t="shared" si="176"/>
        <v>5.972062472</v>
      </c>
      <c r="Y254" s="33">
        <f t="shared" si="176"/>
        <v>29.56009313</v>
      </c>
      <c r="Z254" s="33">
        <f t="shared" si="176"/>
        <v>42.00400431</v>
      </c>
      <c r="AA254" s="33"/>
      <c r="AB254" s="33">
        <f t="shared" ref="AB254:AE254" si="177">AVERAGE(AB251:AB253)</f>
        <v>51.67157604</v>
      </c>
      <c r="AC254" s="29">
        <f t="shared" si="177"/>
        <v>6.501868096</v>
      </c>
      <c r="AD254" s="33">
        <f t="shared" si="177"/>
        <v>37.59956118</v>
      </c>
      <c r="AE254" s="33">
        <f t="shared" si="177"/>
        <v>53.66459627</v>
      </c>
    </row>
    <row r="255" ht="15.75" customHeight="1">
      <c r="B255" s="33">
        <f t="shared" ref="B255:E255" si="178">SUM(B236,B240,B244,B248)</f>
        <v>100</v>
      </c>
      <c r="C255" s="33">
        <f t="shared" si="178"/>
        <v>100</v>
      </c>
      <c r="D255" s="33">
        <f t="shared" si="178"/>
        <v>100</v>
      </c>
      <c r="E255" s="33">
        <f t="shared" si="178"/>
        <v>100</v>
      </c>
      <c r="G255" s="33">
        <f t="shared" ref="G255:J255" si="179">SUM(G236,G240,G244,G248)</f>
        <v>100</v>
      </c>
      <c r="H255" s="33">
        <f t="shared" si="179"/>
        <v>100</v>
      </c>
      <c r="I255" s="33">
        <f t="shared" si="179"/>
        <v>100</v>
      </c>
      <c r="J255" s="33">
        <f t="shared" si="179"/>
        <v>100</v>
      </c>
      <c r="L255" s="33">
        <f t="shared" ref="L255:O255" si="180">SUM(L236,L240,L244,L248)</f>
        <v>100</v>
      </c>
      <c r="M255" s="33">
        <f t="shared" si="180"/>
        <v>100</v>
      </c>
      <c r="N255" s="33">
        <f t="shared" si="180"/>
        <v>100</v>
      </c>
      <c r="O255" s="33">
        <f t="shared" si="180"/>
        <v>100</v>
      </c>
      <c r="S255" s="33">
        <f>AVERAGE(R254:U254)</f>
        <v>32.70365174</v>
      </c>
      <c r="X255" s="33">
        <f>AVERAGE(W254:Z254)</f>
        <v>31.45442301</v>
      </c>
      <c r="AC255" s="33">
        <f>AVERAGE(AB254:AE254)</f>
        <v>37.3594004</v>
      </c>
    </row>
    <row r="256" ht="15.75" customHeight="1"/>
    <row r="257" ht="15.75" customHeight="1"/>
    <row r="258" ht="15.75" customHeight="1">
      <c r="A258" s="30" t="s">
        <v>323</v>
      </c>
      <c r="B258" s="9" t="s">
        <v>282</v>
      </c>
      <c r="F258" s="8"/>
      <c r="G258" s="9" t="s">
        <v>283</v>
      </c>
      <c r="L258" s="9" t="s">
        <v>284</v>
      </c>
    </row>
    <row r="259" ht="15.75" customHeight="1">
      <c r="B259" s="32"/>
      <c r="C259" s="32"/>
      <c r="D259" s="32"/>
      <c r="E259" s="32"/>
      <c r="G259" s="32"/>
      <c r="H259" s="32"/>
      <c r="I259" s="32"/>
      <c r="J259" s="32"/>
      <c r="K259" s="59"/>
      <c r="L259" s="32"/>
      <c r="M259" s="32"/>
      <c r="N259" s="32"/>
      <c r="O259" s="32"/>
    </row>
    <row r="260" ht="15.75" customHeight="1">
      <c r="A260" s="32"/>
      <c r="B260" s="8" t="s">
        <v>63</v>
      </c>
      <c r="C260" s="8" t="s">
        <v>64</v>
      </c>
      <c r="D260" s="8" t="s">
        <v>65</v>
      </c>
      <c r="E260" s="8" t="s">
        <v>66</v>
      </c>
      <c r="G260" s="8" t="s">
        <v>63</v>
      </c>
      <c r="H260" s="8" t="s">
        <v>64</v>
      </c>
      <c r="I260" s="8" t="s">
        <v>65</v>
      </c>
      <c r="J260" s="8" t="s">
        <v>66</v>
      </c>
      <c r="L260" s="8" t="s">
        <v>63</v>
      </c>
      <c r="M260" s="8" t="s">
        <v>64</v>
      </c>
      <c r="N260" s="8" t="s">
        <v>65</v>
      </c>
      <c r="O260" s="8" t="s">
        <v>66</v>
      </c>
    </row>
    <row r="261" ht="15.75" customHeight="1">
      <c r="A261" s="10" t="s">
        <v>124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ht="15.75" customHeight="1">
      <c r="A262" s="11" t="s">
        <v>73</v>
      </c>
      <c r="B262" s="17">
        <f t="shared" ref="B262:E262" si="181">B235</f>
        <v>19.04761905</v>
      </c>
      <c r="C262" s="12">
        <f t="shared" si="181"/>
        <v>2.065217391</v>
      </c>
      <c r="D262" s="12">
        <f t="shared" si="181"/>
        <v>4.022988506</v>
      </c>
      <c r="E262" s="14">
        <f t="shared" si="181"/>
        <v>13.98601399</v>
      </c>
      <c r="F262" s="8"/>
      <c r="G262" s="14">
        <f t="shared" ref="G262:J262" si="182">G235</f>
        <v>20.76566125</v>
      </c>
      <c r="H262" s="12">
        <f t="shared" si="182"/>
        <v>2.370689655</v>
      </c>
      <c r="I262" s="15">
        <f t="shared" si="182"/>
        <v>2.745098039</v>
      </c>
      <c r="J262" s="15">
        <f t="shared" si="182"/>
        <v>7.086614173</v>
      </c>
      <c r="L262" s="14">
        <f t="shared" ref="L262:O262" si="183">L235</f>
        <v>25.97701149</v>
      </c>
      <c r="M262" s="15">
        <f t="shared" si="183"/>
        <v>1.841820152</v>
      </c>
      <c r="N262" s="12">
        <f t="shared" si="183"/>
        <v>4.008016032</v>
      </c>
      <c r="O262" s="14">
        <f t="shared" si="183"/>
        <v>16</v>
      </c>
    </row>
    <row r="263" ht="15.75" customHeight="1">
      <c r="A263" s="11" t="s">
        <v>205</v>
      </c>
      <c r="B263" s="20">
        <f>$H$139/(($F$139-2)*$P$139)*100</f>
        <v>1.960784314</v>
      </c>
      <c r="C263" s="27">
        <f>$H$155/(($F$155-2)*$P$155)*100</f>
        <v>0</v>
      </c>
      <c r="D263" s="16">
        <f>$H$171/(($F$171-2)*$P$171)*100</f>
        <v>3.738317757</v>
      </c>
      <c r="E263" s="16">
        <f>$H$123/(($F$123-2)*$P$123)*100</f>
        <v>2.43902439</v>
      </c>
      <c r="F263" s="8"/>
      <c r="G263" s="16">
        <f>$H$140/(($F$140-2)*$P$140)*100</f>
        <v>2.083333333</v>
      </c>
      <c r="H263" s="27">
        <f>$H$156/(($F$156-2)*$P$156)*100</f>
        <v>0</v>
      </c>
      <c r="I263" s="20">
        <f>$H$172/(($F$172-2)*$P$172)*100</f>
        <v>2.631578947</v>
      </c>
      <c r="J263" s="20">
        <f>$H$124/(($F$124-2)*$P$124)*100</f>
        <v>2.325581395</v>
      </c>
      <c r="L263" s="16">
        <f>$H$141/(($F$141-2)*$P$141)*100</f>
        <v>4.444444444</v>
      </c>
      <c r="M263" s="28">
        <f>$H$157/(($F$157-2)*$P$157)*100</f>
        <v>0.8547008547</v>
      </c>
      <c r="N263" s="16">
        <f>$H$173/(($F$173-2)*$P$173)*100</f>
        <v>3.260869565</v>
      </c>
      <c r="O263" s="16">
        <f>$H$125/(($F$125-2)*$P$125)*100</f>
        <v>8</v>
      </c>
    </row>
    <row r="264" ht="15.75" customHeight="1">
      <c r="A264" s="10" t="s">
        <v>126</v>
      </c>
      <c r="B264" s="24"/>
      <c r="C264" s="24"/>
      <c r="D264" s="24"/>
      <c r="E264" s="24"/>
      <c r="F264" s="24"/>
      <c r="G264" s="24"/>
      <c r="H264" s="24"/>
      <c r="I264" s="24"/>
      <c r="J264" s="24"/>
      <c r="K264" s="10"/>
      <c r="L264" s="24"/>
      <c r="M264" s="24"/>
      <c r="N264" s="24"/>
      <c r="O264" s="24"/>
    </row>
    <row r="265" ht="15.75" customHeight="1">
      <c r="A265" s="11" t="s">
        <v>73</v>
      </c>
      <c r="B265" s="18">
        <f t="shared" ref="B265:E265" si="184">B239</f>
        <v>30.19744483</v>
      </c>
      <c r="C265" s="15">
        <f t="shared" si="184"/>
        <v>4.456521739</v>
      </c>
      <c r="D265" s="14">
        <f t="shared" si="184"/>
        <v>33.14176245</v>
      </c>
      <c r="E265" s="18">
        <f t="shared" si="184"/>
        <v>16.78321678</v>
      </c>
      <c r="F265" s="8"/>
      <c r="G265" s="13">
        <f t="shared" ref="G265:J265" si="185">G239</f>
        <v>32.94663573</v>
      </c>
      <c r="H265" s="12">
        <f t="shared" si="185"/>
        <v>5.172413793</v>
      </c>
      <c r="I265" s="17">
        <f t="shared" si="185"/>
        <v>32.54901961</v>
      </c>
      <c r="J265" s="13">
        <f t="shared" si="185"/>
        <v>17.32283465</v>
      </c>
      <c r="L265" s="13">
        <f t="shared" ref="L265:O265" si="186">L239</f>
        <v>39.42528736</v>
      </c>
      <c r="M265" s="12">
        <f t="shared" si="186"/>
        <v>5.200433369</v>
      </c>
      <c r="N265" s="14">
        <f t="shared" si="186"/>
        <v>42.68537074</v>
      </c>
      <c r="O265" s="13">
        <f t="shared" si="186"/>
        <v>24</v>
      </c>
    </row>
    <row r="266" ht="15.75" customHeight="1">
      <c r="A266" s="11" t="s">
        <v>205</v>
      </c>
      <c r="B266" s="17">
        <f>$N$139/(($F$139-2)*$P$139)*100</f>
        <v>35.29411765</v>
      </c>
      <c r="C266" s="16">
        <f>$N$155/(($F$155-2)*$P$155)*100</f>
        <v>3.361344538</v>
      </c>
      <c r="D266" s="13">
        <f>$N$171/(($F$171-2)*$P$171)*100</f>
        <v>25.23364486</v>
      </c>
      <c r="E266" s="17">
        <f>$N$123/(($F$123-2)*$P$123)*100</f>
        <v>21.95121951</v>
      </c>
      <c r="F266" s="8"/>
      <c r="G266" s="14">
        <f>$N$140/(($F$140-2)*$P$140)*100</f>
        <v>35.41666667</v>
      </c>
      <c r="H266" s="27">
        <f>$N$156/(($F$156-2)*$P$156)*100</f>
        <v>0.7936507937</v>
      </c>
      <c r="I266" s="18">
        <f>$N$172/(($F$172-2)*$P$172)*100</f>
        <v>22.80701754</v>
      </c>
      <c r="J266" s="14">
        <f>$N$124/(($F$124-2)*$P$124)*100</f>
        <v>27.90697674</v>
      </c>
      <c r="L266" s="14">
        <f>$N$141/(($F$141-2)*$P$141)*100</f>
        <v>46.66666667</v>
      </c>
      <c r="M266" s="16">
        <f>$N$157/(($F$157-2)*$P$157)*100</f>
        <v>2.564102564</v>
      </c>
      <c r="N266" s="13">
        <f>$N$173/(($F$173-2)*$P$173)*100</f>
        <v>27.17391304</v>
      </c>
      <c r="O266" s="14">
        <f>$N$125/(($F$125-2)*$P$125)*100</f>
        <v>32</v>
      </c>
    </row>
    <row r="267" ht="15.75" customHeight="1">
      <c r="A267" s="10" t="s">
        <v>258</v>
      </c>
      <c r="B267" s="24"/>
      <c r="C267" s="24"/>
      <c r="D267" s="24"/>
      <c r="E267" s="24"/>
      <c r="F267" s="24"/>
      <c r="G267" s="24"/>
      <c r="H267" s="24"/>
      <c r="I267" s="24"/>
      <c r="J267" s="24"/>
      <c r="K267" s="10"/>
      <c r="L267" s="24"/>
      <c r="M267" s="24"/>
      <c r="N267" s="24"/>
      <c r="O267" s="24"/>
    </row>
    <row r="268" ht="15.75" customHeight="1">
      <c r="A268" s="11" t="s">
        <v>73</v>
      </c>
      <c r="B268" s="18">
        <f t="shared" ref="B268:E268" si="187">B243</f>
        <v>33.91405343</v>
      </c>
      <c r="C268" s="14">
        <f t="shared" si="187"/>
        <v>90.76086957</v>
      </c>
      <c r="D268" s="14">
        <f t="shared" si="187"/>
        <v>36.7816092</v>
      </c>
      <c r="E268" s="13">
        <f t="shared" si="187"/>
        <v>51.04895105</v>
      </c>
      <c r="F268" s="8"/>
      <c r="G268" s="13">
        <f t="shared" ref="G268:J268" si="188">G243</f>
        <v>31.78654292</v>
      </c>
      <c r="H268" s="14">
        <f t="shared" si="188"/>
        <v>90.51724138</v>
      </c>
      <c r="I268" s="17">
        <f t="shared" si="188"/>
        <v>36.8627451</v>
      </c>
      <c r="J268" s="18">
        <f t="shared" si="188"/>
        <v>55.11811024</v>
      </c>
      <c r="L268" s="13">
        <f t="shared" ref="L268:O268" si="189">L243</f>
        <v>26.32183908</v>
      </c>
      <c r="M268" s="17">
        <f t="shared" si="189"/>
        <v>91.33261105</v>
      </c>
      <c r="N268" s="14">
        <f t="shared" si="189"/>
        <v>33.26653307</v>
      </c>
      <c r="O268" s="13">
        <f t="shared" si="189"/>
        <v>44</v>
      </c>
    </row>
    <row r="269" ht="15.75" customHeight="1">
      <c r="A269" s="11" t="s">
        <v>205</v>
      </c>
      <c r="B269" s="14">
        <f>($I$139+$J$139+$K$139)/(($F$139-2)*$P$139)*100</f>
        <v>15.68627451</v>
      </c>
      <c r="C269" s="13">
        <f>($I$155+$J$155+$K$155)/(($F$155-2)*$P$155)*100</f>
        <v>94.95798319</v>
      </c>
      <c r="D269" s="18">
        <f>($I$171+$J$171+$K$171)/(($F$171-2)*$P$171)*100</f>
        <v>42.05607477</v>
      </c>
      <c r="E269" s="17">
        <f>($I$123+$J$123+$K$123)/(($F$123-2)*$P$123)*100</f>
        <v>39.02439024</v>
      </c>
      <c r="F269" s="8"/>
      <c r="G269" s="14">
        <f>($I$140+$J$140+$K$140)/(($F$140-2)*$P$140)*100</f>
        <v>18.75</v>
      </c>
      <c r="H269" s="18">
        <f>($I$156+$J$156+$K$156)/(($F$156-2)*$P$156)*100</f>
        <v>97.61904762</v>
      </c>
      <c r="I269" s="13">
        <f>($I$172+$J$172+$K$172)/(($F$172-2)*$P$172)*100</f>
        <v>39.47368421</v>
      </c>
      <c r="J269" s="14">
        <f>($I$124+$J$124+$K$124)/(($F$124-2)*$P$124)*100</f>
        <v>25.58139535</v>
      </c>
      <c r="K269" s="59"/>
      <c r="L269" s="17">
        <f>($I$141+$J$141+$K$141)/(($F$141-2)*$P$141)*100</f>
        <v>20</v>
      </c>
      <c r="M269" s="13">
        <f>($I$157+$J$157+$K$157)/(($F$157-2)*$P$157)*100</f>
        <v>94.01709402</v>
      </c>
      <c r="N269" s="13">
        <f>($I$173+$J$173+$K$173)/(($F$173-2)*$P$173)*100</f>
        <v>39.13043478</v>
      </c>
      <c r="O269" s="14">
        <f>($I$125+$J$125+$K$125)/(($F$125-2)*$P$125)*100</f>
        <v>36</v>
      </c>
    </row>
    <row r="270" ht="15.75" customHeight="1">
      <c r="A270" s="10" t="s">
        <v>125</v>
      </c>
      <c r="B270" s="24"/>
      <c r="C270" s="24"/>
      <c r="D270" s="24"/>
      <c r="E270" s="24"/>
      <c r="F270" s="24"/>
      <c r="G270" s="24"/>
      <c r="H270" s="24"/>
      <c r="I270" s="24"/>
      <c r="J270" s="24"/>
      <c r="L270" s="24"/>
      <c r="M270" s="24"/>
      <c r="N270" s="24"/>
      <c r="O270" s="24"/>
    </row>
    <row r="271" ht="15.75" customHeight="1">
      <c r="A271" s="11" t="s">
        <v>73</v>
      </c>
      <c r="B271" s="17">
        <f t="shared" ref="B271:E271" si="190">B247</f>
        <v>16.84088269</v>
      </c>
      <c r="C271" s="20">
        <f t="shared" si="190"/>
        <v>2.717391304</v>
      </c>
      <c r="D271" s="14">
        <f t="shared" si="190"/>
        <v>26.05363985</v>
      </c>
      <c r="E271" s="14">
        <f t="shared" si="190"/>
        <v>18.18181818</v>
      </c>
      <c r="F271" s="8"/>
      <c r="G271" s="14">
        <f t="shared" ref="G271:J271" si="191">G247</f>
        <v>14.50116009</v>
      </c>
      <c r="H271" s="16">
        <f t="shared" si="191"/>
        <v>1.939655172</v>
      </c>
      <c r="I271" s="17">
        <f t="shared" si="191"/>
        <v>27.84313725</v>
      </c>
      <c r="J271" s="17">
        <f t="shared" si="191"/>
        <v>20.47244094</v>
      </c>
      <c r="L271" s="12">
        <f t="shared" ref="L271:O271" si="192">L247</f>
        <v>8.275862069</v>
      </c>
      <c r="M271" s="12">
        <f t="shared" si="192"/>
        <v>1.625135428</v>
      </c>
      <c r="N271" s="14">
        <f t="shared" si="192"/>
        <v>20.04008016</v>
      </c>
      <c r="O271" s="14">
        <f t="shared" si="192"/>
        <v>16</v>
      </c>
    </row>
    <row r="272" ht="15.75" customHeight="1">
      <c r="A272" s="25" t="s">
        <v>205</v>
      </c>
      <c r="B272" s="18">
        <f>($L$139+$M$139)/(($F$139-2)*$P$139)*100</f>
        <v>47.05882353</v>
      </c>
      <c r="C272" s="12">
        <f>($L$155+$M$155)/(($F$155-2)*$P$155)*100</f>
        <v>1.680672269</v>
      </c>
      <c r="D272" s="13">
        <f>($L$171+$M$171)/(($F$171-2)*$P$171)*100</f>
        <v>28.97196262</v>
      </c>
      <c r="E272" s="13">
        <f>($L$123+$M$123)/(($F$123-2)*$P$123)*100</f>
        <v>36.58536585</v>
      </c>
      <c r="F272" s="51"/>
      <c r="G272" s="13">
        <f>($L$140+$M$140)/(($F$140-2)*$P$140)*100</f>
        <v>43.75</v>
      </c>
      <c r="H272" s="12">
        <f>($L$156+$M$156)/(($F$156-2)*$P$156)*100</f>
        <v>1.587301587</v>
      </c>
      <c r="I272" s="18">
        <f>($L$172+$M$172)/(($F$172-2)*$P$172)*100</f>
        <v>35.0877193</v>
      </c>
      <c r="J272" s="18">
        <f>($L$124+$M$124)/(($F$124-2)*$P$124)*100</f>
        <v>44.18604651</v>
      </c>
      <c r="K272" s="59"/>
      <c r="L272" s="13">
        <f>($L$141+$M$141)/(($F$141-2)*$P$141)*100</f>
        <v>28.88888889</v>
      </c>
      <c r="M272" s="20">
        <f>($L$157+$M$157)/(($F$157-2)*$P$157)*100</f>
        <v>2.564102564</v>
      </c>
      <c r="N272" s="13">
        <f>($L$173+$M$173)/(($F$173-2)*$P$173)*100</f>
        <v>30.43478261</v>
      </c>
      <c r="O272" s="13">
        <f>($L$125+$M$125)/(($F$125-2)*$P$125)*100</f>
        <v>24</v>
      </c>
    </row>
    <row r="273" ht="15.75" customHeight="1">
      <c r="A273" s="152" t="s">
        <v>268</v>
      </c>
      <c r="B273" s="24"/>
      <c r="C273" s="24"/>
      <c r="D273" s="24"/>
      <c r="E273" s="24"/>
      <c r="F273" s="24"/>
      <c r="G273" s="24"/>
      <c r="H273" s="24"/>
      <c r="I273" s="24"/>
      <c r="J273" s="24"/>
      <c r="K273" s="10"/>
      <c r="L273" s="24"/>
      <c r="M273" s="24"/>
      <c r="N273" s="24"/>
      <c r="O273" s="24"/>
    </row>
    <row r="274" ht="15.75" customHeight="1">
      <c r="A274" s="11" t="s">
        <v>73</v>
      </c>
      <c r="B274" s="17">
        <f t="shared" ref="B274:E274" si="193">B251</f>
        <v>19.86062718</v>
      </c>
      <c r="C274" s="17">
        <f t="shared" si="193"/>
        <v>29.67391304</v>
      </c>
      <c r="D274" s="14">
        <f t="shared" si="193"/>
        <v>28.35249042</v>
      </c>
      <c r="E274" s="14">
        <f t="shared" si="193"/>
        <v>39.86013986</v>
      </c>
      <c r="F274" s="8"/>
      <c r="G274" s="14">
        <f t="shared" ref="G274:J274" si="194">G251</f>
        <v>16.47331787</v>
      </c>
      <c r="H274" s="14">
        <f t="shared" si="194"/>
        <v>25.96982759</v>
      </c>
      <c r="I274" s="17">
        <f t="shared" si="194"/>
        <v>30.58823529</v>
      </c>
      <c r="J274" s="17">
        <f t="shared" si="194"/>
        <v>41.73228346</v>
      </c>
      <c r="L274" s="14">
        <f t="shared" ref="L274:O274" si="195">L251</f>
        <v>10</v>
      </c>
      <c r="M274" s="14">
        <f t="shared" si="195"/>
        <v>16.14301192</v>
      </c>
      <c r="N274" s="14">
        <f t="shared" si="195"/>
        <v>21.24248497</v>
      </c>
      <c r="O274" s="14">
        <f t="shared" si="195"/>
        <v>28</v>
      </c>
    </row>
    <row r="275" ht="15.75" customHeight="1">
      <c r="A275" s="25" t="s">
        <v>205</v>
      </c>
      <c r="B275" s="156">
        <f>$O$139/(($F$139-2)*$P$139)*100</f>
        <v>21.56862745</v>
      </c>
      <c r="C275" s="156">
        <f>$O$155/(($F$155-2)*$P$155)*100</f>
        <v>38.65546218</v>
      </c>
      <c r="D275" s="156">
        <f>$O$171/(($F$171-2)*$P$171)*100</f>
        <v>42.05607477</v>
      </c>
      <c r="E275" s="157">
        <f>$O$123/(($F$123-2)*$P$123)*100</f>
        <v>56.09756098</v>
      </c>
      <c r="F275" s="51"/>
      <c r="G275" s="156">
        <f>$O$140/(($F$140-2)*$P$140)*100</f>
        <v>18.75</v>
      </c>
      <c r="H275" s="157">
        <f>$O$156/(($F$156-2)*$P$156)*100</f>
        <v>50</v>
      </c>
      <c r="I275" s="157">
        <f>$O$172/(($F$172-2)*$P$172)*100</f>
        <v>51.75438596</v>
      </c>
      <c r="J275" s="156">
        <f>$O$124/(($F$124-2)*$P$124)*100</f>
        <v>53.48837209</v>
      </c>
      <c r="K275" s="59"/>
      <c r="L275" s="157">
        <f>$O$141/(($F$141-2)*$P$141)*100</f>
        <v>26.66666667</v>
      </c>
      <c r="M275" s="156">
        <f>$O$157/(($F$157-2)*$P$157)*100</f>
        <v>42.73504274</v>
      </c>
      <c r="N275" s="156">
        <f>$O$173/(($F$173-2)*$P$173)*100</f>
        <v>45.65217391</v>
      </c>
      <c r="O275" s="156">
        <f>$O$125/(($F$125-2)*$P$125)*100</f>
        <v>40</v>
      </c>
    </row>
    <row r="276" ht="15.75" customHeight="1">
      <c r="B276" s="33">
        <f t="shared" ref="B276:E276" si="196">B262+B265+B268+B271</f>
        <v>100</v>
      </c>
      <c r="C276" s="33">
        <f t="shared" si="196"/>
        <v>100</v>
      </c>
      <c r="D276" s="33">
        <f t="shared" si="196"/>
        <v>100</v>
      </c>
      <c r="E276" s="33">
        <f t="shared" si="196"/>
        <v>100</v>
      </c>
      <c r="F276" s="33"/>
      <c r="G276" s="33">
        <f t="shared" ref="G276:J276" si="197">G262+G265+G268+G271</f>
        <v>100</v>
      </c>
      <c r="H276" s="33">
        <f t="shared" si="197"/>
        <v>100</v>
      </c>
      <c r="I276" s="33">
        <f t="shared" si="197"/>
        <v>100</v>
      </c>
      <c r="J276" s="33">
        <f t="shared" si="197"/>
        <v>100</v>
      </c>
      <c r="K276" s="33"/>
      <c r="L276" s="33">
        <f t="shared" ref="L276:O276" si="198">L262+L265+L268+L271</f>
        <v>100</v>
      </c>
      <c r="M276" s="33">
        <f t="shared" si="198"/>
        <v>100</v>
      </c>
      <c r="N276" s="33">
        <f t="shared" si="198"/>
        <v>100</v>
      </c>
      <c r="O276" s="33">
        <f t="shared" si="198"/>
        <v>100</v>
      </c>
    </row>
    <row r="277" ht="15.75" customHeight="1">
      <c r="B277" s="33">
        <f t="shared" ref="B277:E277" si="199">B263+B266+B269+B272</f>
        <v>100</v>
      </c>
      <c r="C277" s="33">
        <f t="shared" si="199"/>
        <v>100</v>
      </c>
      <c r="D277" s="33">
        <f t="shared" si="199"/>
        <v>100</v>
      </c>
      <c r="E277" s="33">
        <f t="shared" si="199"/>
        <v>100</v>
      </c>
      <c r="G277" s="33">
        <f t="shared" ref="G277:J277" si="200">G263+G266+G269+G272</f>
        <v>100</v>
      </c>
      <c r="H277" s="33">
        <f t="shared" si="200"/>
        <v>100</v>
      </c>
      <c r="I277" s="33">
        <f t="shared" si="200"/>
        <v>100</v>
      </c>
      <c r="J277" s="33">
        <f t="shared" si="200"/>
        <v>100</v>
      </c>
      <c r="K277" s="33"/>
      <c r="L277" s="33">
        <f t="shared" ref="L277:O277" si="201">L263+L266+L269+L272</f>
        <v>100</v>
      </c>
      <c r="M277" s="33">
        <f t="shared" si="201"/>
        <v>100</v>
      </c>
      <c r="N277" s="33">
        <f t="shared" si="201"/>
        <v>100</v>
      </c>
      <c r="O277" s="33">
        <f t="shared" si="201"/>
        <v>100</v>
      </c>
    </row>
    <row r="278" ht="15.75" customHeight="1"/>
    <row r="279" ht="15.75" customHeight="1"/>
    <row r="280" ht="15.75" customHeight="1"/>
    <row r="281" ht="15.75" customHeight="1">
      <c r="A281" s="30" t="s">
        <v>325</v>
      </c>
      <c r="B281" s="31" t="s">
        <v>244</v>
      </c>
      <c r="C281" s="32"/>
      <c r="D281" s="32"/>
      <c r="E281" s="32"/>
      <c r="F281" s="8"/>
      <c r="G281" s="31" t="s">
        <v>245</v>
      </c>
      <c r="H281" s="32"/>
      <c r="I281" s="32"/>
      <c r="J281" s="32"/>
      <c r="L281" s="31" t="s">
        <v>246</v>
      </c>
      <c r="M281" s="32"/>
      <c r="N281" s="32"/>
      <c r="O281" s="32"/>
    </row>
    <row r="282" ht="15.75" customHeight="1">
      <c r="B282" s="8" t="s">
        <v>63</v>
      </c>
      <c r="C282" s="8" t="s">
        <v>64</v>
      </c>
      <c r="D282" s="8" t="s">
        <v>65</v>
      </c>
      <c r="E282" s="8" t="s">
        <v>66</v>
      </c>
      <c r="G282" s="8" t="s">
        <v>63</v>
      </c>
      <c r="H282" s="8" t="s">
        <v>64</v>
      </c>
      <c r="I282" s="8" t="s">
        <v>65</v>
      </c>
      <c r="J282" s="8" t="s">
        <v>66</v>
      </c>
      <c r="K282" s="59"/>
      <c r="L282" s="8" t="s">
        <v>63</v>
      </c>
      <c r="M282" s="8" t="s">
        <v>64</v>
      </c>
      <c r="N282" s="8" t="s">
        <v>65</v>
      </c>
      <c r="O282" s="8" t="s">
        <v>66</v>
      </c>
      <c r="S282" s="2" t="s">
        <v>326</v>
      </c>
      <c r="T282" s="2" t="s">
        <v>133</v>
      </c>
      <c r="U282" s="2" t="s">
        <v>23</v>
      </c>
    </row>
    <row r="283" ht="15.75" customHeight="1">
      <c r="A283" s="10" t="s">
        <v>124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S283" s="10" t="s">
        <v>124</v>
      </c>
      <c r="T283" s="29">
        <f>P287</f>
        <v>8.360886641</v>
      </c>
      <c r="U283" s="29">
        <f>P188</f>
        <v>9.060485847</v>
      </c>
      <c r="V283" s="29">
        <f t="shared" ref="V283:V285" si="202">U283-T283</f>
        <v>0.6995992061</v>
      </c>
      <c r="W283" s="184">
        <f t="shared" ref="W283:W285" si="203">(T283-U283)/T283</f>
        <v>-0.08367524117</v>
      </c>
    </row>
    <row r="284" ht="15.75" customHeight="1">
      <c r="A284" s="11" t="s">
        <v>68</v>
      </c>
      <c r="B284" s="12">
        <f>$H$35/(($F$35-1)*$P$35)*100</f>
        <v>9.01814301</v>
      </c>
      <c r="C284" s="12">
        <f>$H$63/(($F$63-1)*$P$63)*100</f>
        <v>1.917098446</v>
      </c>
      <c r="D284" s="15">
        <f>$H$91/(($F$91-1)*$P$91)*100</f>
        <v>8.81383855</v>
      </c>
      <c r="E284" s="13">
        <f>$H$7/(($F$7-1)*$P$7)*100</f>
        <v>10.6557377</v>
      </c>
      <c r="F284" s="8"/>
      <c r="G284" s="12">
        <f>$H$36/(($F$36-1)*$P$36)*100</f>
        <v>9.337676439</v>
      </c>
      <c r="H284" s="15">
        <f>$H$64/(($F$64-1)*$P$64)*100</f>
        <v>1.487778959</v>
      </c>
      <c r="I284" s="12">
        <f>$H$92/(($F$92-1)*$P$92)*100</f>
        <v>9.742647059</v>
      </c>
      <c r="J284" s="16">
        <f>$H$8/(($F$8-1)*$P$8)*100</f>
        <v>7.01754386</v>
      </c>
      <c r="L284" s="15">
        <f>$H$37/(($F$37-1)*$P$37)*100</f>
        <v>8.648648649</v>
      </c>
      <c r="M284" s="12">
        <f>$H$65/(($F$65-1)*$P$65)*100</f>
        <v>1.570680628</v>
      </c>
      <c r="N284" s="12">
        <f>$H$93/(($F$93-1)*$P$93)*100</f>
        <v>9.981515712</v>
      </c>
      <c r="O284" s="20">
        <f>$H$9/(($F$9-1)*$P$9)*100</f>
        <v>6.355932203</v>
      </c>
      <c r="P284" s="29">
        <f t="shared" ref="P284:P286" si="204">AVERAGE(B284:E284,G284:J284,L284:O284)</f>
        <v>7.045603435</v>
      </c>
      <c r="S284" s="10" t="s">
        <v>125</v>
      </c>
      <c r="T284" s="29">
        <f>P299</f>
        <v>11.32027868</v>
      </c>
      <c r="U284" s="29" t="str">
        <f>P200</f>
        <v/>
      </c>
      <c r="V284" s="29">
        <f t="shared" si="202"/>
        <v>-11.32027868</v>
      </c>
      <c r="W284" s="184">
        <f t="shared" si="203"/>
        <v>1</v>
      </c>
    </row>
    <row r="285" ht="15.75" customHeight="1">
      <c r="A285" s="11" t="s">
        <v>73</v>
      </c>
      <c r="B285" s="17">
        <f>$H$43/(($F$43-1)*$P$43)*100</f>
        <v>24.52830189</v>
      </c>
      <c r="C285" s="12">
        <f>$H$71/(($F$71-1)*$P$71)*100</f>
        <v>1.433121019</v>
      </c>
      <c r="D285" s="12">
        <f>$H$99/(($F$99-1)*$P$99)*100</f>
        <v>4.379562044</v>
      </c>
      <c r="E285" s="17">
        <f>$H$15/(($F$15-1)*$P$15)*100</f>
        <v>13.7254902</v>
      </c>
      <c r="F285" s="8"/>
      <c r="G285" s="14">
        <f>$H$44/(($F$44-1)*$P$44)*100</f>
        <v>25.7749713</v>
      </c>
      <c r="H285" s="15">
        <f>$H$72/(($F$72-1)*$P$72)*100</f>
        <v>1.373626374</v>
      </c>
      <c r="I285" s="20">
        <f>$H$100/(($F$100-1)*$P$100)*100</f>
        <v>3.754940711</v>
      </c>
      <c r="J285" s="14">
        <f>$H$16/(($F$16-1)*$P$16)*100</f>
        <v>17.73049645</v>
      </c>
      <c r="L285" s="14">
        <f>$H$45/(($F$45-1)*$P$45)*100</f>
        <v>26.26025791</v>
      </c>
      <c r="M285" s="12">
        <f>$H$73/(($F$73-1)*$P$73)*100</f>
        <v>2.069716776</v>
      </c>
      <c r="N285" s="16">
        <f>$H$101/(($F$101-1)*$P$101)*100</f>
        <v>4.368932039</v>
      </c>
      <c r="O285" s="14">
        <f>$H$17/(($F$17-1)*$P$17)*100</f>
        <v>17.75362319</v>
      </c>
      <c r="P285" s="29">
        <f t="shared" si="204"/>
        <v>11.92941999</v>
      </c>
      <c r="S285" s="72" t="s">
        <v>268</v>
      </c>
      <c r="T285" s="29">
        <f>P303</f>
        <v>11.70105442</v>
      </c>
      <c r="U285" s="29" t="str">
        <f>P204</f>
        <v/>
      </c>
      <c r="V285" s="29">
        <f t="shared" si="202"/>
        <v>-11.70105442</v>
      </c>
      <c r="W285" s="184">
        <f t="shared" si="203"/>
        <v>1</v>
      </c>
    </row>
    <row r="286" ht="15.75" customHeight="1">
      <c r="A286" s="11" t="s">
        <v>76</v>
      </c>
      <c r="B286" s="16">
        <f>$H$55/(($F$55-1)*$P$55)*100</f>
        <v>6.605504587</v>
      </c>
      <c r="C286" s="20">
        <f>$H$83/(($F$83-1)*$P$83)*100</f>
        <v>1.02739726</v>
      </c>
      <c r="D286" s="20">
        <f>$H$111/(($F$111-1)*$P$111)*100</f>
        <v>3.857566766</v>
      </c>
      <c r="E286" s="14">
        <f>$H$27/(($F$27-1)*$P$27)*100</f>
        <v>13.67924528</v>
      </c>
      <c r="F286" s="8"/>
      <c r="G286" s="16">
        <f>$H$56/(($F$56-1)*$P$56)*100</f>
        <v>6.296992481</v>
      </c>
      <c r="H286" s="16">
        <f>$H$84/(($F$84-1)*$P$84)*100</f>
        <v>1.149425287</v>
      </c>
      <c r="I286" s="12">
        <f>$H$112/(($F$112-1)*$P$112)*100</f>
        <v>5.151515152</v>
      </c>
      <c r="J286" s="14">
        <f>$H$28/(($F$28-1)*$P$28)*100</f>
        <v>12.16216216</v>
      </c>
      <c r="L286" s="20">
        <f>$H$57/(($F$57-1)*$P$57)*100</f>
        <v>5.950095969</v>
      </c>
      <c r="M286" s="16">
        <f>$H$85/(($F$85-1)*$P$85)*100</f>
        <v>1.048951049</v>
      </c>
      <c r="N286" s="12">
        <f>$H$113/(($F$113-1)*$P$113)*100</f>
        <v>4.934210526</v>
      </c>
      <c r="O286" s="17">
        <f>$H$29/(($F$29-1)*$P$29)*100</f>
        <v>11.42857143</v>
      </c>
      <c r="P286" s="29">
        <f t="shared" si="204"/>
        <v>6.107636496</v>
      </c>
    </row>
    <row r="287" ht="15.75" customHeight="1">
      <c r="A287" s="10" t="s">
        <v>126</v>
      </c>
      <c r="B287" s="24"/>
      <c r="C287" s="24"/>
      <c r="D287" s="24"/>
      <c r="E287" s="24"/>
      <c r="F287" s="24"/>
      <c r="G287" s="24"/>
      <c r="H287" s="24"/>
      <c r="I287" s="24"/>
      <c r="J287" s="24"/>
      <c r="K287" s="10"/>
      <c r="L287" s="24"/>
      <c r="M287" s="24"/>
      <c r="N287" s="24"/>
      <c r="O287" s="24"/>
      <c r="P287" s="34">
        <f>AVERAGE(P284:P286)</f>
        <v>8.360886641</v>
      </c>
    </row>
    <row r="288" ht="15.75" customHeight="1">
      <c r="A288" s="11" t="s">
        <v>68</v>
      </c>
      <c r="B288" s="14">
        <f>N$35/((F$35-1)*P$35)*100</f>
        <v>59.92529349</v>
      </c>
      <c r="C288" s="16">
        <f>N$63/((F$63-1)*P$63)*100</f>
        <v>5.388601036</v>
      </c>
      <c r="D288" s="18">
        <f>N$91/((F$91-1)*P$91)*100</f>
        <v>21.33443163</v>
      </c>
      <c r="E288" s="14">
        <f>N$7/((F$7-1)*P$7)*100</f>
        <v>66.80327869</v>
      </c>
      <c r="F288" s="8"/>
      <c r="G288" s="14">
        <f>$N$36/(($F$36-1)*$P$36)*100</f>
        <v>59.01194354</v>
      </c>
      <c r="H288" s="20">
        <f>$N$64/(($F$64-1)*$P$64)*100</f>
        <v>4.782146652</v>
      </c>
      <c r="I288" s="13">
        <f>$N$92/(($F$92-1)*$P$92)*100</f>
        <v>25.09191176</v>
      </c>
      <c r="J288" s="17">
        <f>$N$8/(($F$8-1)*$P$8)*100</f>
        <v>56.14035088</v>
      </c>
      <c r="L288" s="17">
        <f>$N$37/(($F$37-1)*$P$37)*100</f>
        <v>55.51351351</v>
      </c>
      <c r="M288" s="16">
        <f>$N$65/(($F$65-1)*$P$65)*100</f>
        <v>5.130890052</v>
      </c>
      <c r="N288" s="13">
        <f>$N$93/(($F$93-1)*$P$93)*100</f>
        <v>24.7689464</v>
      </c>
      <c r="O288" s="14">
        <f>$N$9/(($F$9-1)*$P$9)*100</f>
        <v>59.74576271</v>
      </c>
    </row>
    <row r="289" ht="15.75" customHeight="1">
      <c r="A289" s="11" t="s">
        <v>73</v>
      </c>
      <c r="B289" s="13">
        <f>N$43/((F$43-1)*P$43)*100</f>
        <v>38.62028302</v>
      </c>
      <c r="C289" s="15">
        <f>N$71/((F$71-1)*P$71)*100</f>
        <v>6.050955414</v>
      </c>
      <c r="D289" s="17">
        <f>N$99/((F$99-1)*P$99)*100</f>
        <v>43.70437956</v>
      </c>
      <c r="E289" s="13">
        <f>N$15/((F$15-1)*P$15)*100</f>
        <v>23.85620915</v>
      </c>
      <c r="F289" s="8"/>
      <c r="G289" s="13">
        <f>$N$44/(($F$44-1)*$P$44)*100</f>
        <v>39.55223881</v>
      </c>
      <c r="H289" s="12">
        <f>$N$72/(($F$72-1)*$P$72)*100</f>
        <v>6.153846154</v>
      </c>
      <c r="I289" s="14">
        <f>$N$100/(($F$100-1)*$P$100)*100</f>
        <v>52.3715415</v>
      </c>
      <c r="J289" s="13">
        <f>$N$16/(($F$16-1)*$P$16)*100</f>
        <v>25.53191489</v>
      </c>
      <c r="L289" s="18">
        <f>$N$45/(($F$45-1)*$P$45)*100</f>
        <v>37.98358734</v>
      </c>
      <c r="M289" s="15">
        <f>$N$73/(($F$73-1)*$P$73)*100</f>
        <v>6.045751634</v>
      </c>
      <c r="N289" s="14">
        <f>$N$101/(($F$101-1)*$P$101)*100</f>
        <v>50.58252427</v>
      </c>
      <c r="O289" s="18">
        <f>$N$17/(($F$17-1)*$P$17)*100</f>
        <v>22.10144928</v>
      </c>
    </row>
    <row r="290" ht="15.75" customHeight="1">
      <c r="A290" s="11" t="s">
        <v>76</v>
      </c>
      <c r="B290" s="17">
        <f>N$55/((F$55-1)*P$55)*100</f>
        <v>58.99082569</v>
      </c>
      <c r="C290" s="15">
        <f>N$83/((F$83-1)*P$83)*100</f>
        <v>6.050228311</v>
      </c>
      <c r="D290" s="14">
        <f>N$111/((F$111-1)*P$111)*100</f>
        <v>39.91097923</v>
      </c>
      <c r="E290" s="14">
        <f>N$27/((F$27-1)*P$27)*100</f>
        <v>37.73584906</v>
      </c>
      <c r="F290" s="8"/>
      <c r="G290" s="14">
        <f>$N$56/(($F$56-1)*$P$56)*100</f>
        <v>59.86842105</v>
      </c>
      <c r="H290" s="12">
        <f>$N$84/(($F$84-1)*$P$84)*100</f>
        <v>6.436781609</v>
      </c>
      <c r="I290" s="17">
        <f>$N$112/(($F$112-1)*$P$112)*100</f>
        <v>34.54545455</v>
      </c>
      <c r="J290" s="14">
        <f>$N$28/(($F$28-1)*$P$28)*100</f>
        <v>31.08108108</v>
      </c>
      <c r="L290" s="14">
        <f>$N$57/(($F$57-1)*$P$57)*100</f>
        <v>60.65259117</v>
      </c>
      <c r="M290" s="12">
        <f>$N$85/(($F$85-1)*$P$85)*100</f>
        <v>6.993006993</v>
      </c>
      <c r="N290" s="14">
        <f>$N$113/(($F$113-1)*$P$113)*100</f>
        <v>35.85526316</v>
      </c>
      <c r="O290" s="17">
        <f>$N$29/(($F$29-1)*$P$29)*100</f>
        <v>27.14285714</v>
      </c>
    </row>
    <row r="291" ht="15.75" customHeight="1">
      <c r="A291" s="10" t="s">
        <v>258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10"/>
      <c r="L291" s="24"/>
      <c r="M291" s="24"/>
      <c r="N291" s="24"/>
      <c r="O291" s="24"/>
    </row>
    <row r="292" ht="15.75" customHeight="1">
      <c r="A292" s="11" t="s">
        <v>68</v>
      </c>
      <c r="B292" s="17">
        <f>($I$35+$J$35+$K$35)/(($F$35-1)*$P$35)*100</f>
        <v>23.63927428</v>
      </c>
      <c r="C292" s="14">
        <f>($I$63+$J$63+$K$63)/(($F$63-1)*$P$63)*100</f>
        <v>90.7253886</v>
      </c>
      <c r="D292" s="13">
        <f>($I$91+$J$91+$K$91)/(($F$91-1)*$P$91)*100</f>
        <v>49.01153213</v>
      </c>
      <c r="E292" s="14">
        <f>($I$7+$J$7+$K$7)/(($F$7-1)*$P$7)*100</f>
        <v>14.75409836</v>
      </c>
      <c r="F292" s="8"/>
      <c r="G292" s="14">
        <f>($I$36+$J$36+$K$36)/(($F$36-1)*$P$36)*100</f>
        <v>23.0184582</v>
      </c>
      <c r="H292" s="17">
        <f>($I$64+$J$64+$K$64)/(($F$64-1)*$P$64)*100</f>
        <v>90.8607864</v>
      </c>
      <c r="I292" s="13">
        <f>($I$92+$J$92+$K$92)/(($F$92-1)*$P$92)*100</f>
        <v>49.08088235</v>
      </c>
      <c r="J292" s="14">
        <f>($I$8+$J$8+$K$8)/(($F$8-1)*$P$8)*100</f>
        <v>16.66666667</v>
      </c>
      <c r="L292" s="14">
        <f>($I$37+$J$37+$K$37)/(($F$37-1)*$P$37)*100</f>
        <v>21.94594595</v>
      </c>
      <c r="M292" s="17">
        <f>($I$65+$J$65+$K$65)/(($F$65-1)*$P$65)*100</f>
        <v>90.89005236</v>
      </c>
      <c r="N292" s="18">
        <f>($I$93+$J$93+$K$93)/(($F$93-1)*$P$93)*100</f>
        <v>49.35304991</v>
      </c>
      <c r="O292" s="17">
        <f>($I$9+$J$9+$K$9)/(($F$9-1)*$P$9)*100</f>
        <v>17.37288136</v>
      </c>
    </row>
    <row r="293" ht="15.75" customHeight="1">
      <c r="A293" s="11" t="s">
        <v>73</v>
      </c>
      <c r="B293" s="18">
        <f>($I$43+$J$43+$K$43)/(($F$43-1)*$P$43)*100</f>
        <v>28.77358491</v>
      </c>
      <c r="C293" s="14">
        <f>($I$71+$J$71+$K$71)/(($F$71-1)*$P$71)*100</f>
        <v>91.66666667</v>
      </c>
      <c r="D293" s="17">
        <f>($I$99+$J$99+$K$99)/(($F$99-1)*$P$99)*100</f>
        <v>37.04379562</v>
      </c>
      <c r="E293" s="18">
        <f>($I$15+$J$15+$K$15)/(($F$15-1)*$P$15)*100</f>
        <v>52.2875817</v>
      </c>
      <c r="F293" s="8"/>
      <c r="G293" s="13">
        <f>($I$44+$J$44+$K$44)/(($F$44-1)*$P$44)*100</f>
        <v>27.72675086</v>
      </c>
      <c r="H293" s="18">
        <f>($I$72+$J$72+$K$72)/(($F$72-1)*$P$72)*100</f>
        <v>91.81318681</v>
      </c>
      <c r="I293" s="14">
        <f>($I$100+$J$100+$K$100)/(($F$100-1)*$P$100)*100</f>
        <v>33.20158103</v>
      </c>
      <c r="J293" s="13">
        <f>($I$16+$J$16+$K$16)/(($F$16-1)*$P$16)*100</f>
        <v>48.93617021</v>
      </c>
      <c r="L293" s="13">
        <f>($I$45+$J$45+$K$45)/(($F$45-1)*$P$45)*100</f>
        <v>28.01875733</v>
      </c>
      <c r="M293" s="14">
        <f>($I$73+$J$73+$K$73)/(($F$73-1)*$P$73)*100</f>
        <v>91.06753813</v>
      </c>
      <c r="N293" s="14">
        <f>($I$101+$J$101+$K$101)/(($F$101-1)*$P$101)*100</f>
        <v>33.88349515</v>
      </c>
      <c r="O293" s="13">
        <f>($I$17+$J$17+$K$17)/(($F$17-1)*$P$17)*100</f>
        <v>46.73913043</v>
      </c>
    </row>
    <row r="294" ht="15.75" customHeight="1">
      <c r="A294" s="11" t="s">
        <v>76</v>
      </c>
      <c r="B294" s="17">
        <f>($I$55+$J$55+$K$55)/(($F$55-1)*$P$55)*100</f>
        <v>26.05504587</v>
      </c>
      <c r="C294" s="18">
        <f>($I$83+$J$83+$K$83)/(($F$83-1)*$P$83)*100</f>
        <v>92.35159817</v>
      </c>
      <c r="D294" s="14">
        <f>($I$111+$J$111+$K$111)/(($F$111-1)*$P$111)*100</f>
        <v>45.69732938</v>
      </c>
      <c r="E294" s="14">
        <f>($I$27+$J$27+$K$27)/(($F$27-1)*$P$27)*100</f>
        <v>15.56603774</v>
      </c>
      <c r="F294" s="8"/>
      <c r="G294" s="14">
        <f>($I$56+$J$56+$K$56)/(($F$56-1)*$P$56)*100</f>
        <v>25.28195489</v>
      </c>
      <c r="H294" s="14">
        <f>($I$84+$J$84+$K$84)/(($F$84-1)*$P$84)*100</f>
        <v>91.03448276</v>
      </c>
      <c r="I294" s="17">
        <f>($I$112+$J$112+$K$112)/(($F$112-1)*$P$112)*100</f>
        <v>46.66666667</v>
      </c>
      <c r="J294" s="14">
        <f>($I$28+$J$28+$K$28)/(($F$28-1)*$P$28)*100</f>
        <v>17.56756757</v>
      </c>
      <c r="K294" s="59"/>
      <c r="L294" s="14">
        <f>($I$57+$J$57+$K$57)/(($F$57-1)*$P$57)*100</f>
        <v>25.71976967</v>
      </c>
      <c r="M294" s="13">
        <f>($I$85+$J$85+$K$85)/(($F$85-1)*$P$85)*100</f>
        <v>91.49184149</v>
      </c>
      <c r="N294" s="14">
        <f>($I$113+$J$113+$K$113)/(($F$113-1)*$P$113)*100</f>
        <v>45.06578947</v>
      </c>
      <c r="O294" s="17">
        <f>($I$29+$J$29+$K$29)/(($F$29-1)*$P$29)*100</f>
        <v>19.04761905</v>
      </c>
    </row>
    <row r="295" ht="15.75" customHeight="1">
      <c r="A295" s="10" t="s">
        <v>125</v>
      </c>
      <c r="B295" s="24"/>
      <c r="C295" s="24"/>
      <c r="D295" s="24"/>
      <c r="E295" s="24"/>
      <c r="F295" s="24"/>
      <c r="G295" s="24"/>
      <c r="H295" s="24"/>
      <c r="I295" s="24"/>
      <c r="J295" s="24"/>
      <c r="L295" s="24"/>
      <c r="M295" s="24"/>
      <c r="N295" s="24"/>
      <c r="O295" s="24"/>
    </row>
    <row r="296" ht="15.75" customHeight="1">
      <c r="A296" s="11" t="s">
        <v>68</v>
      </c>
      <c r="B296" s="12">
        <f>(L$35+M$35)/((F$35-1)*P$35)*100</f>
        <v>7.417289221</v>
      </c>
      <c r="C296" s="16">
        <f>(L$63+M$63)/((F$63-1)*P$63)*100</f>
        <v>1.968911917</v>
      </c>
      <c r="D296" s="18">
        <f>(L$91+M$91)/((F$91-1)*P$91)*100</f>
        <v>20.84019769</v>
      </c>
      <c r="E296" s="12">
        <f>(L$7+M$7)/((F$7-1)*P$7)*100</f>
        <v>7.786885246</v>
      </c>
      <c r="F296" s="8"/>
      <c r="G296" s="16">
        <f>($L$36+M$36)/(($F$36-1)*$P$36)*100</f>
        <v>8.631921824</v>
      </c>
      <c r="H296" s="20">
        <f>($L$64+M$64)/(($F$64-1)*$P$64)*100</f>
        <v>2.869287991</v>
      </c>
      <c r="I296" s="13">
        <f>($L$92+M$92)/(($F$92-1)*$P$92)*100</f>
        <v>16.08455882</v>
      </c>
      <c r="J296" s="17">
        <f>($L$8+M$8)/(($F$8-1)*$P$8)*100</f>
        <v>20.1754386</v>
      </c>
      <c r="L296" s="18">
        <f>($L$37+M$37)/(($F$37-1)*$P$37)*100</f>
        <v>13.89189189</v>
      </c>
      <c r="M296" s="16">
        <f>($L$65+M$65)/(($F$65-1)*$P$65)*100</f>
        <v>2.408376963</v>
      </c>
      <c r="N296" s="13">
        <f>($L$93+M$93)/(($F$93-1)*$P$93)*100</f>
        <v>15.89648799</v>
      </c>
      <c r="O296" s="14">
        <f>($L$9+M$9)/(($F$9-1)*$P$9)*100</f>
        <v>16.52542373</v>
      </c>
      <c r="P296" s="29">
        <f t="shared" ref="P296:P298" si="205">AVERAGE(B296:E296,G296:J296,L296:O296)</f>
        <v>11.20805599</v>
      </c>
    </row>
    <row r="297" ht="15.75" customHeight="1">
      <c r="A297" s="11" t="s">
        <v>73</v>
      </c>
      <c r="B297" s="15">
        <f>(L$43+M$43)/((F$43-1)*P$43)*100</f>
        <v>8.077830189</v>
      </c>
      <c r="C297" s="22">
        <f>(L$71+M$71)/((F$71-1)*P$71)*100</f>
        <v>0.8492569002</v>
      </c>
      <c r="D297" s="17">
        <f>(L$99+M$99)/((F$99-1)*P$99)*100</f>
        <v>14.87226277</v>
      </c>
      <c r="E297" s="14">
        <f>(L$15+M$15)/((F$15-1)*P$15)*100</f>
        <v>10.13071895</v>
      </c>
      <c r="F297" s="8"/>
      <c r="G297" s="12">
        <f>($L$44+M$44)/(($F$44-1)*$P$44)*100</f>
        <v>6.946039036</v>
      </c>
      <c r="H297" s="21">
        <f>($L$72+M$72)/(($F$72-1)*$P$72)*100</f>
        <v>0.6593406593</v>
      </c>
      <c r="I297" s="14">
        <f>($L$100+M$100)/(($F$100-1)*$P$100)*100</f>
        <v>10.67193676</v>
      </c>
      <c r="J297" s="12">
        <f>($L$16+M$16)/(($F$16-1)*$P$16)*100</f>
        <v>7.80141844</v>
      </c>
      <c r="L297" s="12">
        <f>($L$45+M$45)/(($F$45-1)*$P$45)*100</f>
        <v>7.737397421</v>
      </c>
      <c r="M297" s="21">
        <f>($L$73+M$73)/(($F$73-1)*$P$73)*100</f>
        <v>0.8169934641</v>
      </c>
      <c r="N297" s="14">
        <f>($L$101+M$101)/(($F$101-1)*$P$101)*100</f>
        <v>11.16504854</v>
      </c>
      <c r="O297" s="17">
        <f>($L$17+M$17)/(($F$17-1)*$P$17)*100</f>
        <v>13.4057971</v>
      </c>
      <c r="P297" s="29">
        <f t="shared" si="205"/>
        <v>7.76117002</v>
      </c>
    </row>
    <row r="298" ht="15.75" customHeight="1">
      <c r="A298" s="11" t="s">
        <v>76</v>
      </c>
      <c r="B298" s="16">
        <f>(L$55+M$55)/((F$55-1)*P$55)*100</f>
        <v>8.348623853</v>
      </c>
      <c r="C298" s="21">
        <f>(L$83+M$83)/((F$83-1)*P$83)*100</f>
        <v>0.5707762557</v>
      </c>
      <c r="D298" s="14">
        <f>(L$111+M$111)/((F$111-1)*P$111)*100</f>
        <v>10.53412463</v>
      </c>
      <c r="E298" s="13">
        <f>(L$27+M$27)/((F$27-1)*P$27)*100</f>
        <v>33.01886792</v>
      </c>
      <c r="F298" s="8"/>
      <c r="G298" s="15">
        <f>($L$56+M$56)/(($F$56-1)*$P$56)*100</f>
        <v>8.552631579</v>
      </c>
      <c r="H298" s="15">
        <f>($L$84+M$84)/(($F$84-1)*$P$84)*100</f>
        <v>1.379310345</v>
      </c>
      <c r="I298" s="14">
        <f>($L$112+M$112)/(($F$112-1)*$P$112)*100</f>
        <v>13.63636364</v>
      </c>
      <c r="J298" s="13">
        <f>($L$28+M$28)/(($F$28-1)*$P$28)*100</f>
        <v>39.18918919</v>
      </c>
      <c r="L298" s="12">
        <f>($L$57+M$57)/(($F$57-1)*$P$57)*100</f>
        <v>7.677543186</v>
      </c>
      <c r="M298" s="21">
        <f>($L$85+M$85)/(($F$85-1)*$P$85)*100</f>
        <v>0.4662004662</v>
      </c>
      <c r="N298" s="17">
        <f>($L$113+M$113)/(($F$113-1)*$P$113)*100</f>
        <v>14.14473684</v>
      </c>
      <c r="O298" s="18">
        <f>($L$29+M$29)/(($F$29-1)*$P$29)*100</f>
        <v>42.38095238</v>
      </c>
      <c r="P298" s="29">
        <f t="shared" si="205"/>
        <v>14.99161002</v>
      </c>
      <c r="Q298" s="30" t="s">
        <v>267</v>
      </c>
      <c r="R298" s="31" t="s">
        <v>244</v>
      </c>
      <c r="S298" s="32"/>
      <c r="T298" s="32"/>
      <c r="U298" s="32"/>
      <c r="V298" s="8"/>
      <c r="W298" s="31" t="s">
        <v>245</v>
      </c>
      <c r="X298" s="32"/>
      <c r="Y298" s="32"/>
      <c r="Z298" s="32"/>
      <c r="AB298" s="31" t="s">
        <v>246</v>
      </c>
      <c r="AC298" s="32"/>
      <c r="AD298" s="32"/>
      <c r="AE298" s="32"/>
    </row>
    <row r="299" ht="15.75" customHeight="1">
      <c r="A299" s="72" t="s">
        <v>268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10"/>
      <c r="L299" s="24"/>
      <c r="M299" s="24"/>
      <c r="N299" s="24"/>
      <c r="O299" s="24"/>
      <c r="P299" s="34">
        <f>AVERAGE(P296:P298)</f>
        <v>11.32027868</v>
      </c>
      <c r="R299" s="8" t="s">
        <v>63</v>
      </c>
      <c r="S299" s="8" t="s">
        <v>64</v>
      </c>
      <c r="T299" s="8" t="s">
        <v>65</v>
      </c>
      <c r="U299" s="8" t="s">
        <v>66</v>
      </c>
      <c r="W299" s="8" t="s">
        <v>63</v>
      </c>
      <c r="X299" s="8" t="s">
        <v>64</v>
      </c>
      <c r="Y299" s="8" t="s">
        <v>65</v>
      </c>
      <c r="Z299" s="8" t="s">
        <v>66</v>
      </c>
      <c r="AB299" s="8" t="s">
        <v>63</v>
      </c>
      <c r="AC299" s="8" t="s">
        <v>64</v>
      </c>
      <c r="AD299" s="8" t="s">
        <v>65</v>
      </c>
      <c r="AE299" s="8" t="s">
        <v>66</v>
      </c>
    </row>
    <row r="300" ht="15.75" customHeight="1">
      <c r="A300" s="11" t="s">
        <v>68</v>
      </c>
      <c r="B300" s="12">
        <f>O$35/((F$35-1)*P$35)*100</f>
        <v>4.855923159</v>
      </c>
      <c r="C300" s="13">
        <f>O$63/((F$63-1)*P$63)*100</f>
        <v>15.33678756</v>
      </c>
      <c r="D300" s="18">
        <f>O$91/((F$91-1)*P$91)*100</f>
        <v>21.33443163</v>
      </c>
      <c r="E300" s="12">
        <f>O$7/((F$7-1)*P$7)*100</f>
        <v>9.426229508</v>
      </c>
      <c r="F300" s="8"/>
      <c r="G300" s="16">
        <f>$O$36/(($F$36-1)*$P$36)*100</f>
        <v>5.808903366</v>
      </c>
      <c r="H300" s="18">
        <f>$O$64/(($F$64-1)*$P$64)*100</f>
        <v>16.84378321</v>
      </c>
      <c r="I300" s="13">
        <f>$O$92/(($F$92-1)*$P$92)*100</f>
        <v>16.45220588</v>
      </c>
      <c r="J300" s="13">
        <f>$O$8/(($F$8-1)*$P$8)*100</f>
        <v>18.42105263</v>
      </c>
      <c r="L300" s="20">
        <f>$O$37/(($F$37-1)*$P$37)*100</f>
        <v>6.378378378</v>
      </c>
      <c r="M300" s="13">
        <f>$O$65/(($F$65-1)*$P$65)*100</f>
        <v>14.65968586</v>
      </c>
      <c r="N300" s="13">
        <f>$O$93/(($F$93-1)*$P$93)*100</f>
        <v>19.96303142</v>
      </c>
      <c r="O300" s="18">
        <f>$O$9/(($F$9-1)*$P$9)*100</f>
        <v>21.61016949</v>
      </c>
      <c r="P300" s="29">
        <f t="shared" ref="P300:P302" si="209">AVERAGE(B300:E300,G300:J300,L300:O300)</f>
        <v>14.25754851</v>
      </c>
      <c r="Q300" s="11" t="s">
        <v>68</v>
      </c>
      <c r="R300" s="33">
        <f t="shared" ref="R300:U300" si="206">B284+B288</f>
        <v>68.9434365</v>
      </c>
      <c r="S300" s="29">
        <f t="shared" si="206"/>
        <v>7.305699482</v>
      </c>
      <c r="T300" s="33">
        <f t="shared" si="206"/>
        <v>30.14827018</v>
      </c>
      <c r="U300" s="33">
        <f t="shared" si="206"/>
        <v>77.45901639</v>
      </c>
      <c r="V300" s="33"/>
      <c r="W300" s="33">
        <f t="shared" ref="W300:Z300" si="207">G284+G288</f>
        <v>68.34961998</v>
      </c>
      <c r="X300" s="29">
        <f t="shared" si="207"/>
        <v>6.269925611</v>
      </c>
      <c r="Y300" s="33">
        <f t="shared" si="207"/>
        <v>34.83455882</v>
      </c>
      <c r="Z300" s="33">
        <f t="shared" si="207"/>
        <v>63.15789474</v>
      </c>
      <c r="AA300" s="33"/>
      <c r="AB300" s="33">
        <f t="shared" ref="AB300:AE300" si="208">L284+L288</f>
        <v>64.16216216</v>
      </c>
      <c r="AC300" s="29">
        <f t="shared" si="208"/>
        <v>6.701570681</v>
      </c>
      <c r="AD300" s="33">
        <f t="shared" si="208"/>
        <v>34.75046211</v>
      </c>
      <c r="AE300" s="33">
        <f t="shared" si="208"/>
        <v>66.10169492</v>
      </c>
    </row>
    <row r="301" ht="15.75" customHeight="1">
      <c r="A301" s="11" t="s">
        <v>73</v>
      </c>
      <c r="B301" s="20">
        <f>O$43/((F$43-1)*P$43)*100</f>
        <v>6.132075472</v>
      </c>
      <c r="C301" s="17">
        <f>O$71/((F$71-1)*P$71)*100</f>
        <v>15.02123142</v>
      </c>
      <c r="D301" s="17">
        <f>O$99/((F$99-1)*P$99)*100</f>
        <v>14.59854015</v>
      </c>
      <c r="E301" s="13">
        <f>O$15/((F$15-1)*P$15)*100</f>
        <v>15.35947712</v>
      </c>
      <c r="F301" s="8"/>
      <c r="G301" s="12">
        <f>$O$44/(($F$44-1)*$P$44)*100</f>
        <v>4.707233065</v>
      </c>
      <c r="H301" s="14">
        <f>$O$72/(($F$72-1)*$P$72)*100</f>
        <v>10.16483516</v>
      </c>
      <c r="I301" s="12">
        <f>$O$100/(($F$100-1)*$P$100)*100</f>
        <v>9.683794466</v>
      </c>
      <c r="J301" s="18">
        <f>$O$16/(($F$16-1)*$P$16)*100</f>
        <v>18.43971631</v>
      </c>
      <c r="L301" s="12">
        <f>$O$45/(($F$45-1)*$P$45)*100</f>
        <v>6.037514654</v>
      </c>
      <c r="M301" s="14">
        <f>$O$73/(($F$73-1)*$P$73)*100</f>
        <v>11.98257081</v>
      </c>
      <c r="N301" s="14">
        <f>$O$101/(($F$101-1)*$P$101)*100</f>
        <v>10.29126214</v>
      </c>
      <c r="O301" s="14">
        <f>$O$17/(($F$17-1)*$P$17)*100</f>
        <v>16.66666667</v>
      </c>
      <c r="P301" s="29">
        <f t="shared" si="209"/>
        <v>11.59040979</v>
      </c>
      <c r="Q301" s="11" t="s">
        <v>73</v>
      </c>
      <c r="R301" s="33">
        <f t="shared" ref="R301:U301" si="210">B285+B289</f>
        <v>63.14858491</v>
      </c>
      <c r="S301" s="29">
        <f t="shared" si="210"/>
        <v>7.484076433</v>
      </c>
      <c r="T301" s="33">
        <f t="shared" si="210"/>
        <v>48.08394161</v>
      </c>
      <c r="U301" s="33">
        <f t="shared" si="210"/>
        <v>37.58169935</v>
      </c>
      <c r="V301" s="33"/>
      <c r="W301" s="33">
        <f t="shared" ref="W301:Z301" si="211">G285+G289</f>
        <v>65.3272101</v>
      </c>
      <c r="X301" s="29">
        <f t="shared" si="211"/>
        <v>7.527472527</v>
      </c>
      <c r="Y301" s="33">
        <f t="shared" si="211"/>
        <v>56.12648221</v>
      </c>
      <c r="Z301" s="33">
        <f t="shared" si="211"/>
        <v>43.26241135</v>
      </c>
      <c r="AA301" s="29"/>
      <c r="AB301" s="33">
        <f t="shared" ref="AB301:AE301" si="212">L285+L289</f>
        <v>64.24384525</v>
      </c>
      <c r="AC301" s="29">
        <f t="shared" si="212"/>
        <v>8.11546841</v>
      </c>
      <c r="AD301" s="33">
        <f t="shared" si="212"/>
        <v>54.95145631</v>
      </c>
      <c r="AE301" s="33">
        <f t="shared" si="212"/>
        <v>39.85507246</v>
      </c>
    </row>
    <row r="302" ht="15.75" customHeight="1">
      <c r="A302" s="25" t="s">
        <v>76</v>
      </c>
      <c r="B302" s="128">
        <f>O$55/((F$55-1)*P$55)*100</f>
        <v>3.669724771</v>
      </c>
      <c r="C302" s="108">
        <f>O$83/((F$83-1)*P$83)*100</f>
        <v>6.735159817</v>
      </c>
      <c r="D302" s="70">
        <f>O$111/((F$111-1)*P$111)*100</f>
        <v>10.08902077</v>
      </c>
      <c r="E302" s="70">
        <f>O$27/((F$27-1)*P$27)*100</f>
        <v>11.79245283</v>
      </c>
      <c r="F302" s="59"/>
      <c r="G302" s="108">
        <f>$O$56/(($F$56-1)*$P$56)*100</f>
        <v>2.34962406</v>
      </c>
      <c r="H302" s="108">
        <f>$O$84/(($F$84-1)*$P$84)*100</f>
        <v>7.011494253</v>
      </c>
      <c r="I302" s="70">
        <f>$O$112/(($F$112-1)*$P$112)*100</f>
        <v>10.45454545</v>
      </c>
      <c r="J302" s="70">
        <f>$O$28/(($F$28-1)*$P$28)*100</f>
        <v>12.61261261</v>
      </c>
      <c r="K302" s="59"/>
      <c r="L302" s="108">
        <f>$O$57/(($F$57-1)*$P$57)*100</f>
        <v>2.879078695</v>
      </c>
      <c r="M302" s="128">
        <f>$O$85/(($F$85-1)*$P$85)*100</f>
        <v>9.324009324</v>
      </c>
      <c r="N302" s="71">
        <f>$O$113/(($F$113-1)*$P$113)*100</f>
        <v>14.14473684</v>
      </c>
      <c r="O302" s="71">
        <f>$O$29/(($F$29-1)*$P$29)*100</f>
        <v>20</v>
      </c>
      <c r="P302" s="29">
        <f t="shared" si="209"/>
        <v>9.255204953</v>
      </c>
      <c r="Q302" s="23" t="s">
        <v>76</v>
      </c>
      <c r="R302" s="33">
        <f t="shared" ref="R302:U302" si="213">B286+B290</f>
        <v>65.59633028</v>
      </c>
      <c r="S302" s="29">
        <f t="shared" si="213"/>
        <v>7.077625571</v>
      </c>
      <c r="T302" s="33">
        <f t="shared" si="213"/>
        <v>43.76854599</v>
      </c>
      <c r="U302" s="33">
        <f t="shared" si="213"/>
        <v>51.41509434</v>
      </c>
      <c r="V302" s="33"/>
      <c r="W302" s="33">
        <f t="shared" ref="W302:Z302" si="214">G286+G290</f>
        <v>66.16541353</v>
      </c>
      <c r="X302" s="29">
        <f t="shared" si="214"/>
        <v>7.586206897</v>
      </c>
      <c r="Y302" s="33">
        <f t="shared" si="214"/>
        <v>39.6969697</v>
      </c>
      <c r="Z302" s="33">
        <f t="shared" si="214"/>
        <v>43.24324324</v>
      </c>
      <c r="AB302" s="33">
        <f t="shared" ref="AB302:AE302" si="215">L286+L290</f>
        <v>66.60268714</v>
      </c>
      <c r="AC302" s="29">
        <f t="shared" si="215"/>
        <v>8.041958042</v>
      </c>
      <c r="AD302" s="33">
        <f t="shared" si="215"/>
        <v>40.78947368</v>
      </c>
      <c r="AE302" s="33">
        <f t="shared" si="215"/>
        <v>38.57142857</v>
      </c>
    </row>
    <row r="303" ht="15.75" customHeight="1">
      <c r="B303" s="33">
        <f t="shared" ref="B303:E303" si="216">SUM(B284,B288,B292,B296)</f>
        <v>100</v>
      </c>
      <c r="C303" s="33">
        <f t="shared" si="216"/>
        <v>100</v>
      </c>
      <c r="D303" s="33">
        <f t="shared" si="216"/>
        <v>100</v>
      </c>
      <c r="E303" s="33">
        <f t="shared" si="216"/>
        <v>100</v>
      </c>
      <c r="G303" s="33">
        <f t="shared" ref="G303:J303" si="217">SUM(G284,G288,G292,G296)</f>
        <v>100</v>
      </c>
      <c r="H303" s="33">
        <f t="shared" si="217"/>
        <v>100</v>
      </c>
      <c r="I303" s="33">
        <f t="shared" si="217"/>
        <v>100</v>
      </c>
      <c r="J303" s="33">
        <f t="shared" si="217"/>
        <v>100</v>
      </c>
      <c r="L303" s="33">
        <f t="shared" ref="L303:O303" si="218">SUM(L284,L288,L292,L296)</f>
        <v>100</v>
      </c>
      <c r="M303" s="33">
        <f t="shared" si="218"/>
        <v>100</v>
      </c>
      <c r="N303" s="33">
        <f t="shared" si="218"/>
        <v>100</v>
      </c>
      <c r="O303" s="33">
        <f t="shared" si="218"/>
        <v>100</v>
      </c>
      <c r="P303" s="34">
        <f>AVERAGE(P300:P302)</f>
        <v>11.70105442</v>
      </c>
      <c r="Q303" s="11" t="s">
        <v>92</v>
      </c>
      <c r="R303" s="33">
        <f t="shared" ref="R303:U303" si="219">AVERAGE(R300:R302)</f>
        <v>65.89611723</v>
      </c>
      <c r="S303" s="29">
        <f t="shared" si="219"/>
        <v>7.289133829</v>
      </c>
      <c r="T303" s="33">
        <f t="shared" si="219"/>
        <v>40.66691926</v>
      </c>
      <c r="U303" s="33">
        <f t="shared" si="219"/>
        <v>55.48527003</v>
      </c>
      <c r="V303" s="33"/>
      <c r="W303" s="33">
        <f t="shared" ref="W303:Z303" si="220">AVERAGE(W300:W302)</f>
        <v>66.61408121</v>
      </c>
      <c r="X303" s="29">
        <f t="shared" si="220"/>
        <v>7.127868345</v>
      </c>
      <c r="Y303" s="33">
        <f t="shared" si="220"/>
        <v>43.55267024</v>
      </c>
      <c r="Z303" s="33">
        <f t="shared" si="220"/>
        <v>49.88784978</v>
      </c>
      <c r="AA303" s="33"/>
      <c r="AB303" s="33">
        <f t="shared" ref="AB303:AE303" si="221">AVERAGE(AB300:AB302)</f>
        <v>65.00289818</v>
      </c>
      <c r="AC303" s="29">
        <f t="shared" si="221"/>
        <v>7.619665711</v>
      </c>
      <c r="AD303" s="33">
        <f t="shared" si="221"/>
        <v>43.4971307</v>
      </c>
      <c r="AE303" s="33">
        <f t="shared" si="221"/>
        <v>48.17606532</v>
      </c>
    </row>
    <row r="304" ht="15.75" customHeight="1">
      <c r="B304" s="33">
        <f t="shared" ref="B304:E304" si="222">SUM(B285,B289,B293,B297)</f>
        <v>100</v>
      </c>
      <c r="C304" s="33">
        <f t="shared" si="222"/>
        <v>100</v>
      </c>
      <c r="D304" s="33">
        <f t="shared" si="222"/>
        <v>100</v>
      </c>
      <c r="E304" s="33">
        <f t="shared" si="222"/>
        <v>100</v>
      </c>
      <c r="G304" s="33">
        <f t="shared" ref="G304:J304" si="223">SUM(G285,G289,G293,G297)</f>
        <v>100</v>
      </c>
      <c r="H304" s="33">
        <f t="shared" si="223"/>
        <v>100</v>
      </c>
      <c r="I304" s="33">
        <f t="shared" si="223"/>
        <v>100</v>
      </c>
      <c r="J304" s="33">
        <f t="shared" si="223"/>
        <v>100</v>
      </c>
      <c r="L304" s="33">
        <f t="shared" ref="L304:O304" si="224">SUM(L285,L289,L293,L297)</f>
        <v>100</v>
      </c>
      <c r="M304" s="33">
        <f t="shared" si="224"/>
        <v>100</v>
      </c>
      <c r="N304" s="33">
        <f t="shared" si="224"/>
        <v>100</v>
      </c>
      <c r="O304" s="33">
        <f t="shared" si="224"/>
        <v>100</v>
      </c>
      <c r="S304" s="33">
        <f>AVERAGE(R303:U303)</f>
        <v>42.33436009</v>
      </c>
      <c r="X304" s="33">
        <f>AVERAGE(W303:Z303)</f>
        <v>41.79561739</v>
      </c>
      <c r="AC304" s="33">
        <f>AVERAGE(AB303:AE303)</f>
        <v>41.07393998</v>
      </c>
    </row>
    <row r="305" ht="15.75" customHeight="1">
      <c r="B305" s="33">
        <f t="shared" ref="B305:E305" si="225">SUM(B286,B290,B294,B298)</f>
        <v>100</v>
      </c>
      <c r="C305" s="33">
        <f t="shared" si="225"/>
        <v>100</v>
      </c>
      <c r="D305" s="33">
        <f t="shared" si="225"/>
        <v>100</v>
      </c>
      <c r="E305" s="33">
        <f t="shared" si="225"/>
        <v>100</v>
      </c>
      <c r="G305" s="33">
        <f t="shared" ref="G305:J305" si="226">SUM(G286,G290,G294,G298)</f>
        <v>100</v>
      </c>
      <c r="H305" s="33">
        <f t="shared" si="226"/>
        <v>100</v>
      </c>
      <c r="I305" s="33">
        <f t="shared" si="226"/>
        <v>100</v>
      </c>
      <c r="J305" s="33">
        <f t="shared" si="226"/>
        <v>100</v>
      </c>
      <c r="L305" s="33">
        <f t="shared" ref="L305:O305" si="227">SUM(L286,L290,L294,L298)</f>
        <v>100</v>
      </c>
      <c r="M305" s="33">
        <f t="shared" si="227"/>
        <v>100</v>
      </c>
      <c r="N305" s="33">
        <f t="shared" si="227"/>
        <v>100</v>
      </c>
      <c r="O305" s="33">
        <f t="shared" si="227"/>
        <v>100</v>
      </c>
      <c r="S305" s="2">
        <f>(S304-S205)/S205*100</f>
        <v>19.19832462</v>
      </c>
      <c r="X305" s="2">
        <f>(X205-X304)/X205*100</f>
        <v>-6.082848103</v>
      </c>
      <c r="AC305" s="2">
        <f>(AC205-AC304)/AC205*100</f>
        <v>-9.31172041</v>
      </c>
    </row>
    <row r="306" ht="15.75" customHeight="1"/>
    <row r="307" ht="15.75" customHeight="1"/>
    <row r="308" ht="15.75" customHeight="1"/>
    <row r="309" ht="15.75" customHeight="1"/>
    <row r="310" ht="15.75" customHeight="1">
      <c r="A310" s="30" t="s">
        <v>269</v>
      </c>
      <c r="B310" s="43" t="s">
        <v>270</v>
      </c>
      <c r="C310" s="32"/>
      <c r="D310" s="32"/>
      <c r="E310" s="32"/>
      <c r="G310" s="30" t="s">
        <v>271</v>
      </c>
      <c r="H310" s="31" t="s">
        <v>272</v>
      </c>
      <c r="I310" s="32"/>
      <c r="J310" s="32"/>
      <c r="K310" s="32"/>
    </row>
    <row r="311" ht="15.0" customHeight="1">
      <c r="B311" s="44" t="s">
        <v>63</v>
      </c>
      <c r="C311" s="44" t="s">
        <v>64</v>
      </c>
      <c r="D311" s="44" t="s">
        <v>65</v>
      </c>
      <c r="E311" s="44" t="s">
        <v>66</v>
      </c>
      <c r="H311" s="8" t="s">
        <v>63</v>
      </c>
      <c r="I311" s="8" t="s">
        <v>64</v>
      </c>
      <c r="J311" s="8" t="s">
        <v>65</v>
      </c>
      <c r="K311" s="8" t="s">
        <v>66</v>
      </c>
    </row>
    <row r="312" ht="15.75" customHeight="1">
      <c r="A312" s="10" t="s">
        <v>124</v>
      </c>
      <c r="B312" s="114"/>
      <c r="C312" s="114"/>
      <c r="D312" s="114"/>
      <c r="E312" s="114"/>
      <c r="G312" s="11" t="s">
        <v>73</v>
      </c>
      <c r="H312" s="33">
        <f t="shared" ref="H312:K312" si="228">SUM(B313,B316)</f>
        <v>75.1</v>
      </c>
      <c r="I312" s="33">
        <f t="shared" si="228"/>
        <v>9.22</v>
      </c>
      <c r="J312" s="33">
        <f t="shared" si="228"/>
        <v>48.16</v>
      </c>
      <c r="K312" s="33">
        <f t="shared" si="228"/>
        <v>43.8</v>
      </c>
    </row>
    <row r="313" ht="15.75" customHeight="1">
      <c r="A313" s="11" t="s">
        <v>73</v>
      </c>
      <c r="B313" s="115">
        <v>29.4</v>
      </c>
      <c r="C313" s="116">
        <v>2.01</v>
      </c>
      <c r="D313" s="54">
        <v>4.36</v>
      </c>
      <c r="E313" s="117">
        <v>18.5</v>
      </c>
      <c r="G313" s="11" t="s">
        <v>205</v>
      </c>
      <c r="H313" s="33">
        <f t="shared" ref="H313:K313" si="229">SUM(B314,B317)</f>
        <v>84.00864398</v>
      </c>
      <c r="I313" s="33">
        <f t="shared" si="229"/>
        <v>8.194701171</v>
      </c>
      <c r="J313" s="33">
        <f t="shared" si="229"/>
        <v>52.90581162</v>
      </c>
      <c r="K313" s="33">
        <f t="shared" si="229"/>
        <v>56.42570281</v>
      </c>
    </row>
    <row r="314" ht="15.75" customHeight="1">
      <c r="A314" s="11" t="s">
        <v>205</v>
      </c>
      <c r="B314" s="12">
        <f>$H$46/(($F$46)*$P$46)*100</f>
        <v>2.215018909</v>
      </c>
      <c r="C314" s="21">
        <f>$H$74/(($F$74)*$P$74)*100</f>
        <v>0.5545286506</v>
      </c>
      <c r="D314" s="16">
        <f>$H$102/(($F$102)*$P$102)*100</f>
        <v>5.410821643</v>
      </c>
      <c r="E314" s="15">
        <f>$H$18/(($F$18)*$P$18)*100</f>
        <v>9.236947791</v>
      </c>
      <c r="F314" s="54">
        <f>AVERAGE(B314:E314)</f>
        <v>4.354329248</v>
      </c>
      <c r="G314" s="185" t="s">
        <v>92</v>
      </c>
      <c r="H314" s="38">
        <f t="shared" ref="H314:K314" si="230">AVERAGE(H312:H313)</f>
        <v>79.55432199</v>
      </c>
      <c r="I314" s="39">
        <f t="shared" si="230"/>
        <v>8.707350585</v>
      </c>
      <c r="J314" s="38">
        <f t="shared" si="230"/>
        <v>50.53290581</v>
      </c>
      <c r="K314" s="38">
        <f t="shared" si="230"/>
        <v>50.11285141</v>
      </c>
    </row>
    <row r="315" ht="15.75" customHeight="1">
      <c r="A315" s="10" t="s">
        <v>126</v>
      </c>
      <c r="B315" s="114"/>
      <c r="C315" s="114"/>
      <c r="D315" s="114"/>
      <c r="E315" s="114"/>
      <c r="I315" s="33">
        <f>AVERAGE(H314:K314)</f>
        <v>47.22685745</v>
      </c>
    </row>
    <row r="316" ht="15.75" customHeight="1">
      <c r="A316" s="11" t="s">
        <v>73</v>
      </c>
      <c r="B316" s="120">
        <v>45.7</v>
      </c>
      <c r="C316" s="54">
        <v>7.21</v>
      </c>
      <c r="D316" s="53">
        <v>43.8</v>
      </c>
      <c r="E316" s="53">
        <v>25.3</v>
      </c>
      <c r="H316" s="2" t="s">
        <v>273</v>
      </c>
      <c r="I316" s="33">
        <f>AVERAGE(H313:K313)</f>
        <v>50.3837149</v>
      </c>
    </row>
    <row r="317" ht="15.75" customHeight="1">
      <c r="A317" s="11" t="s">
        <v>205</v>
      </c>
      <c r="B317" s="18">
        <f>$N$46/(($F$46)*$P$46)*100</f>
        <v>81.79362507</v>
      </c>
      <c r="C317" s="16">
        <f>$N$74/(($F$74)*$P$74)*100</f>
        <v>7.64017252</v>
      </c>
      <c r="D317" s="13">
        <f>$N$102/(($F$102)*$P$102)*100</f>
        <v>47.49498998</v>
      </c>
      <c r="E317" s="13">
        <f>$N$18/(($F$18)*$P$18)*100</f>
        <v>47.18875502</v>
      </c>
      <c r="F317" s="54">
        <f>AVERAGE(B317:E317)</f>
        <v>46.02938565</v>
      </c>
    </row>
    <row r="318" ht="15.75" customHeight="1">
      <c r="A318" s="10" t="s">
        <v>258</v>
      </c>
      <c r="B318" s="95"/>
      <c r="C318" s="95"/>
      <c r="D318" s="95"/>
      <c r="E318" s="95"/>
    </row>
    <row r="319" ht="15.75" customHeight="1">
      <c r="A319" s="11" t="s">
        <v>73</v>
      </c>
      <c r="B319" s="120">
        <v>22.2</v>
      </c>
      <c r="C319" s="117">
        <v>90.1</v>
      </c>
      <c r="D319" s="117">
        <v>43.2</v>
      </c>
      <c r="E319" s="53">
        <v>50.3</v>
      </c>
    </row>
    <row r="320" ht="15.75" customHeight="1">
      <c r="A320" s="11" t="s">
        <v>205</v>
      </c>
      <c r="B320" s="20">
        <f>($I$46+$J$46)/(($F$46)*$P$46)*100</f>
        <v>8.806050783</v>
      </c>
      <c r="C320" s="14">
        <f>($I$74+$J$74)/(($F$74)*$P$74)*100</f>
        <v>91.49722736</v>
      </c>
      <c r="D320" s="14">
        <f>($I$102+$J$102)/(($F$102)*$P$102)*100</f>
        <v>44.48897796</v>
      </c>
      <c r="E320" s="13">
        <f>($I$18+$J$18)/(($F$18)*$P$18)*100</f>
        <v>35.34136546</v>
      </c>
      <c r="F320" s="54">
        <f>AVERAGE(B320:E320)</f>
        <v>45.03340539</v>
      </c>
    </row>
    <row r="321" ht="15.75" customHeight="1">
      <c r="A321" s="10" t="s">
        <v>125</v>
      </c>
      <c r="B321" s="95"/>
      <c r="C321" s="95"/>
      <c r="D321" s="95"/>
      <c r="E321" s="95"/>
    </row>
    <row r="322" ht="15.75" customHeight="1">
      <c r="A322" s="11" t="s">
        <v>73</v>
      </c>
      <c r="B322" s="116">
        <v>2.65</v>
      </c>
      <c r="C322" s="122">
        <v>0.637</v>
      </c>
      <c r="D322" s="54">
        <v>8.66</v>
      </c>
      <c r="E322" s="116">
        <v>5.78</v>
      </c>
    </row>
    <row r="323" ht="15.75" customHeight="1">
      <c r="A323" s="11" t="s">
        <v>205</v>
      </c>
      <c r="B323" s="12">
        <f>$L$46/(($F$46)*$P$46)*100</f>
        <v>7.18530524</v>
      </c>
      <c r="C323" s="27">
        <f>$L$74/(($F$74)*$P$74)*100</f>
        <v>0.3080714726</v>
      </c>
      <c r="D323" s="16">
        <f>$L$102/(($F$102)*$P$102)*100</f>
        <v>2.605210421</v>
      </c>
      <c r="E323" s="12">
        <f>$L$18/(($F$18)*$P$18)*100</f>
        <v>8.232931727</v>
      </c>
      <c r="F323" s="54">
        <f>AVERAGE(B323:E323)</f>
        <v>4.582879715</v>
      </c>
    </row>
    <row r="324" ht="15.75" customHeight="1">
      <c r="B324" s="33">
        <f t="shared" ref="B324:E324" si="231">SUM(B313,B316,B319,B322)</f>
        <v>99.95</v>
      </c>
      <c r="C324" s="33">
        <f t="shared" si="231"/>
        <v>99.957</v>
      </c>
      <c r="D324" s="33">
        <f t="shared" si="231"/>
        <v>100.02</v>
      </c>
      <c r="E324" s="33">
        <f t="shared" si="231"/>
        <v>99.88</v>
      </c>
    </row>
    <row r="325" ht="15.75" customHeight="1">
      <c r="B325" s="33">
        <f t="shared" ref="B325:E325" si="232">SUM(B314,B317,B320,B323)</f>
        <v>100</v>
      </c>
      <c r="C325" s="33">
        <f t="shared" si="232"/>
        <v>100</v>
      </c>
      <c r="D325" s="33">
        <f t="shared" si="232"/>
        <v>100</v>
      </c>
      <c r="E325" s="33">
        <f t="shared" si="232"/>
        <v>100</v>
      </c>
    </row>
    <row r="326" ht="15.75" customHeight="1"/>
    <row r="327" ht="15.75" customHeight="1"/>
    <row r="328" ht="15.75" customHeight="1"/>
    <row r="329" ht="15.0" customHeight="1">
      <c r="A329" s="42" t="s">
        <v>276</v>
      </c>
      <c r="B329" s="63" t="s">
        <v>244</v>
      </c>
      <c r="F329" s="44"/>
      <c r="G329" s="63" t="s">
        <v>245</v>
      </c>
      <c r="K329" s="45"/>
      <c r="L329" s="63" t="s">
        <v>246</v>
      </c>
    </row>
    <row r="330" ht="15.75" customHeight="1">
      <c r="B330" s="32"/>
      <c r="C330" s="32"/>
      <c r="D330" s="32"/>
      <c r="E330" s="32"/>
      <c r="G330" s="32"/>
      <c r="H330" s="32"/>
      <c r="I330" s="32"/>
      <c r="J330" s="32"/>
      <c r="K330" s="186"/>
      <c r="L330" s="32"/>
      <c r="M330" s="32"/>
      <c r="N330" s="32"/>
      <c r="O330" s="32"/>
    </row>
    <row r="331" ht="15.75" customHeight="1">
      <c r="A331" s="32"/>
      <c r="B331" s="44" t="s">
        <v>63</v>
      </c>
      <c r="C331" s="44" t="s">
        <v>64</v>
      </c>
      <c r="D331" s="44" t="s">
        <v>65</v>
      </c>
      <c r="E331" s="44" t="s">
        <v>66</v>
      </c>
      <c r="F331" s="45"/>
      <c r="G331" s="44" t="s">
        <v>63</v>
      </c>
      <c r="H331" s="44" t="s">
        <v>64</v>
      </c>
      <c r="I331" s="44" t="s">
        <v>65</v>
      </c>
      <c r="J331" s="44" t="s">
        <v>66</v>
      </c>
      <c r="K331" s="45"/>
      <c r="L331" s="44" t="s">
        <v>63</v>
      </c>
      <c r="M331" s="44" t="s">
        <v>64</v>
      </c>
      <c r="N331" s="44" t="s">
        <v>65</v>
      </c>
      <c r="O331" s="44" t="s">
        <v>66</v>
      </c>
    </row>
    <row r="332" ht="15.75" customHeight="1">
      <c r="A332" s="45" t="s">
        <v>124</v>
      </c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45"/>
      <c r="O332" s="45"/>
    </row>
    <row r="333" ht="15.75" customHeight="1">
      <c r="A333" s="47" t="s">
        <v>73</v>
      </c>
      <c r="B333" s="120">
        <v>24.1</v>
      </c>
      <c r="C333" s="54">
        <v>2.5</v>
      </c>
      <c r="D333" s="54">
        <v>4.67</v>
      </c>
      <c r="E333" s="120">
        <v>17.5</v>
      </c>
      <c r="F333" s="44"/>
      <c r="G333" s="53">
        <v>25.7</v>
      </c>
      <c r="H333" s="119">
        <v>2.0</v>
      </c>
      <c r="I333" s="54">
        <v>4.48</v>
      </c>
      <c r="J333" s="53">
        <v>21.4</v>
      </c>
      <c r="K333" s="45"/>
      <c r="L333" s="53">
        <v>25.8</v>
      </c>
      <c r="M333" s="54">
        <v>2.19</v>
      </c>
      <c r="N333" s="121">
        <v>3.7</v>
      </c>
      <c r="O333" s="53">
        <v>18.6</v>
      </c>
    </row>
    <row r="334" ht="15.75" customHeight="1">
      <c r="A334" s="47" t="s">
        <v>205</v>
      </c>
      <c r="B334" s="116">
        <v>4.49</v>
      </c>
      <c r="C334" s="123">
        <v>0.0</v>
      </c>
      <c r="D334" s="121">
        <v>3.51</v>
      </c>
      <c r="E334" s="116">
        <v>9.72</v>
      </c>
      <c r="F334" s="54">
        <f>AVERAGE(B334:E334)</f>
        <v>4.43</v>
      </c>
      <c r="G334" s="121">
        <v>1.3</v>
      </c>
      <c r="H334" s="123">
        <v>0.0</v>
      </c>
      <c r="I334" s="116">
        <v>4.35</v>
      </c>
      <c r="J334" s="121">
        <v>1.11</v>
      </c>
      <c r="K334" s="54">
        <f>AVERAGE(G334:J334)</f>
        <v>1.69</v>
      </c>
      <c r="L334" s="116">
        <v>3.23</v>
      </c>
      <c r="M334" s="143">
        <v>0.282</v>
      </c>
      <c r="N334" s="54">
        <v>7.59</v>
      </c>
      <c r="O334" s="116">
        <v>3.06</v>
      </c>
      <c r="P334" s="54">
        <f>AVERAGE(L334:O334)</f>
        <v>3.5405</v>
      </c>
    </row>
    <row r="335" ht="15.75" customHeight="1">
      <c r="A335" s="114" t="s">
        <v>126</v>
      </c>
      <c r="B335" s="95"/>
      <c r="C335" s="95"/>
      <c r="D335" s="95"/>
      <c r="E335" s="95"/>
      <c r="F335" s="95"/>
      <c r="G335" s="95"/>
      <c r="H335" s="95"/>
      <c r="I335" s="95"/>
      <c r="J335" s="95"/>
      <c r="K335" s="114"/>
      <c r="L335" s="95"/>
      <c r="M335" s="95"/>
      <c r="N335" s="95"/>
      <c r="O335" s="95"/>
    </row>
    <row r="336" ht="15.75" customHeight="1">
      <c r="A336" s="47" t="s">
        <v>73</v>
      </c>
      <c r="B336" s="115">
        <v>39.1</v>
      </c>
      <c r="C336" s="119">
        <v>5.21</v>
      </c>
      <c r="D336" s="120">
        <v>41.4</v>
      </c>
      <c r="E336" s="115">
        <v>26.2</v>
      </c>
      <c r="F336" s="44"/>
      <c r="G336" s="117">
        <v>39.9</v>
      </c>
      <c r="H336" s="54">
        <v>5.38</v>
      </c>
      <c r="I336" s="53">
        <v>44.2</v>
      </c>
      <c r="J336" s="117">
        <v>31.4</v>
      </c>
      <c r="K336" s="45"/>
      <c r="L336" s="117">
        <v>41.2</v>
      </c>
      <c r="M336" s="54">
        <v>5.5</v>
      </c>
      <c r="N336" s="53">
        <v>48.1</v>
      </c>
      <c r="O336" s="117">
        <v>30.9</v>
      </c>
    </row>
    <row r="337" ht="15.75" customHeight="1">
      <c r="A337" s="47" t="s">
        <v>205</v>
      </c>
      <c r="B337" s="120">
        <v>46.1</v>
      </c>
      <c r="C337" s="121">
        <v>2.23</v>
      </c>
      <c r="D337" s="117">
        <v>36.0</v>
      </c>
      <c r="E337" s="120">
        <v>26.4</v>
      </c>
      <c r="F337" s="54">
        <f>AVERAGE(B337:E337)</f>
        <v>27.6825</v>
      </c>
      <c r="G337" s="53">
        <v>61.0</v>
      </c>
      <c r="H337" s="116">
        <v>4.52</v>
      </c>
      <c r="I337" s="115">
        <v>31.5</v>
      </c>
      <c r="J337" s="53">
        <v>48.9</v>
      </c>
      <c r="K337" s="54">
        <f>AVERAGE(G337:J337)</f>
        <v>36.48</v>
      </c>
      <c r="L337" s="53">
        <v>60.8</v>
      </c>
      <c r="M337" s="116">
        <v>3.11</v>
      </c>
      <c r="N337" s="117">
        <v>41.1</v>
      </c>
      <c r="O337" s="53">
        <v>49.0</v>
      </c>
      <c r="P337" s="54">
        <f>AVERAGE(L337:O337)</f>
        <v>38.5025</v>
      </c>
    </row>
    <row r="338" ht="15.75" customHeight="1">
      <c r="A338" s="114" t="s">
        <v>258</v>
      </c>
      <c r="B338" s="95"/>
      <c r="C338" s="95"/>
      <c r="D338" s="95"/>
      <c r="E338" s="95"/>
      <c r="F338" s="95"/>
      <c r="G338" s="95"/>
      <c r="H338" s="95"/>
      <c r="I338" s="95"/>
      <c r="J338" s="95"/>
      <c r="K338" s="114"/>
      <c r="L338" s="95"/>
      <c r="M338" s="95"/>
      <c r="N338" s="95"/>
      <c r="O338" s="95"/>
      <c r="S338" s="44"/>
      <c r="T338" s="63"/>
    </row>
    <row r="339" ht="15.75" customHeight="1">
      <c r="A339" s="47" t="s">
        <v>73</v>
      </c>
      <c r="B339" s="115">
        <v>27.4</v>
      </c>
      <c r="C339" s="53">
        <v>90.5</v>
      </c>
      <c r="D339" s="120">
        <v>36.2</v>
      </c>
      <c r="E339" s="115">
        <v>46.7</v>
      </c>
      <c r="F339" s="44"/>
      <c r="G339" s="117">
        <v>26.3</v>
      </c>
      <c r="H339" s="120">
        <v>91.2</v>
      </c>
      <c r="I339" s="53">
        <v>32.4</v>
      </c>
      <c r="J339" s="117">
        <v>38.6</v>
      </c>
      <c r="K339" s="45"/>
      <c r="L339" s="117">
        <v>25.6</v>
      </c>
      <c r="M339" s="53">
        <v>90.6</v>
      </c>
      <c r="N339" s="53">
        <v>33.3</v>
      </c>
      <c r="O339" s="117">
        <v>44.1</v>
      </c>
      <c r="T339" s="44"/>
      <c r="U339" s="44"/>
      <c r="V339" s="44"/>
      <c r="W339" s="44"/>
    </row>
    <row r="340" ht="15.75" customHeight="1">
      <c r="A340" s="47" t="s">
        <v>205</v>
      </c>
      <c r="B340" s="120">
        <v>18.0</v>
      </c>
      <c r="C340" s="115">
        <v>96.1</v>
      </c>
      <c r="D340" s="115">
        <v>40.4</v>
      </c>
      <c r="E340" s="120">
        <v>34.7</v>
      </c>
      <c r="F340" s="54">
        <f>AVERAGE(B340:E340)</f>
        <v>47.3</v>
      </c>
      <c r="G340" s="53">
        <v>14.3</v>
      </c>
      <c r="H340" s="117">
        <v>91.6</v>
      </c>
      <c r="I340" s="117">
        <v>39.1</v>
      </c>
      <c r="J340" s="53">
        <v>30.0</v>
      </c>
      <c r="K340" s="54">
        <f>AVERAGE(G340:J340)</f>
        <v>43.75</v>
      </c>
      <c r="L340" s="53">
        <v>15.1</v>
      </c>
      <c r="M340" s="117">
        <v>91.2</v>
      </c>
      <c r="N340" s="117">
        <v>34.2</v>
      </c>
      <c r="O340" s="53">
        <v>27.6</v>
      </c>
      <c r="P340" s="54">
        <f>AVERAGE(L340:O340)</f>
        <v>42.025</v>
      </c>
      <c r="S340" s="45"/>
      <c r="T340" s="45"/>
      <c r="U340" s="45"/>
      <c r="V340" s="45"/>
      <c r="W340" s="45"/>
    </row>
    <row r="341" ht="15.75" customHeight="1">
      <c r="A341" s="114" t="s">
        <v>125</v>
      </c>
      <c r="B341" s="95"/>
      <c r="C341" s="95"/>
      <c r="D341" s="95"/>
      <c r="E341" s="95"/>
      <c r="F341" s="95"/>
      <c r="G341" s="95"/>
      <c r="H341" s="95"/>
      <c r="I341" s="95"/>
      <c r="J341" s="95"/>
      <c r="K341" s="45"/>
      <c r="L341" s="95"/>
      <c r="M341" s="95"/>
      <c r="N341" s="95"/>
      <c r="O341" s="95"/>
      <c r="S341" s="47"/>
      <c r="T341" s="54"/>
      <c r="U341" s="54"/>
      <c r="V341" s="115"/>
      <c r="W341" s="53"/>
    </row>
    <row r="342" ht="15.75" customHeight="1">
      <c r="A342" s="47" t="s">
        <v>73</v>
      </c>
      <c r="B342" s="119">
        <v>9.37</v>
      </c>
      <c r="C342" s="121">
        <v>1.81</v>
      </c>
      <c r="D342" s="53">
        <v>17.8</v>
      </c>
      <c r="E342" s="119">
        <v>9.6</v>
      </c>
      <c r="F342" s="44"/>
      <c r="G342" s="54">
        <v>8.06</v>
      </c>
      <c r="H342" s="54">
        <v>1.39</v>
      </c>
      <c r="I342" s="120">
        <v>19.0</v>
      </c>
      <c r="J342" s="54">
        <v>8.64</v>
      </c>
      <c r="K342" s="45"/>
      <c r="L342" s="54">
        <v>7.37</v>
      </c>
      <c r="M342" s="54">
        <v>1.76</v>
      </c>
      <c r="N342" s="53">
        <v>15.0</v>
      </c>
      <c r="O342" s="54">
        <v>6.36</v>
      </c>
      <c r="S342" s="47"/>
      <c r="T342" s="117"/>
      <c r="U342" s="121"/>
      <c r="V342" s="119"/>
      <c r="W342" s="117"/>
    </row>
    <row r="343" ht="15.75" customHeight="1">
      <c r="A343" s="127" t="s">
        <v>205</v>
      </c>
      <c r="B343" s="115">
        <v>31.5</v>
      </c>
      <c r="C343" s="54">
        <v>1.68</v>
      </c>
      <c r="D343" s="117">
        <v>20.2</v>
      </c>
      <c r="E343" s="115">
        <v>29.2</v>
      </c>
      <c r="F343" s="54">
        <f>AVERAGE(B343:E343)</f>
        <v>20.645</v>
      </c>
      <c r="G343" s="117">
        <v>23.4</v>
      </c>
      <c r="H343" s="116">
        <v>3.87</v>
      </c>
      <c r="I343" s="115">
        <v>25.0</v>
      </c>
      <c r="J343" s="117">
        <v>20.0</v>
      </c>
      <c r="K343" s="54">
        <f>AVERAGE(G343:J343)</f>
        <v>18.0675</v>
      </c>
      <c r="L343" s="117">
        <v>21.0</v>
      </c>
      <c r="M343" s="121">
        <v>5.37</v>
      </c>
      <c r="N343" s="117">
        <v>17.1</v>
      </c>
      <c r="O343" s="117">
        <v>20.4</v>
      </c>
      <c r="P343" s="54">
        <f>AVERAGE(L343:O343)</f>
        <v>15.9675</v>
      </c>
      <c r="S343" s="47"/>
      <c r="T343" s="54"/>
      <c r="U343" s="118"/>
      <c r="V343" s="54"/>
      <c r="W343" s="54"/>
    </row>
    <row r="344" ht="15.75" customHeight="1">
      <c r="A344" s="65" t="s">
        <v>268</v>
      </c>
      <c r="B344" s="95"/>
      <c r="C344" s="95"/>
      <c r="D344" s="95"/>
      <c r="E344" s="95"/>
      <c r="F344" s="44"/>
      <c r="G344" s="148"/>
      <c r="H344" s="148"/>
      <c r="I344" s="148"/>
      <c r="J344" s="148"/>
      <c r="K344" s="45"/>
      <c r="L344" s="148"/>
      <c r="M344" s="148"/>
      <c r="N344" s="148"/>
      <c r="O344" s="148"/>
      <c r="S344" s="45"/>
      <c r="T344" s="45"/>
      <c r="U344" s="45"/>
      <c r="V344" s="45"/>
      <c r="W344" s="45"/>
    </row>
    <row r="345" ht="15.75" customHeight="1">
      <c r="A345" s="47" t="s">
        <v>73</v>
      </c>
      <c r="B345" s="119">
        <v>8.98</v>
      </c>
      <c r="C345" s="120">
        <v>18.5</v>
      </c>
      <c r="D345" s="120">
        <v>18.8</v>
      </c>
      <c r="E345" s="53">
        <v>15.9</v>
      </c>
      <c r="F345" s="44"/>
      <c r="G345" s="54">
        <v>7.2</v>
      </c>
      <c r="H345" s="53">
        <v>13.2</v>
      </c>
      <c r="I345" s="53">
        <v>13.9</v>
      </c>
      <c r="J345" s="120">
        <v>20.9</v>
      </c>
      <c r="K345" s="45"/>
      <c r="L345" s="54">
        <v>6.06</v>
      </c>
      <c r="M345" s="53">
        <v>10.4</v>
      </c>
      <c r="N345" s="53">
        <v>13.2</v>
      </c>
      <c r="O345" s="53">
        <v>14.5</v>
      </c>
      <c r="S345" s="47"/>
      <c r="T345" s="117"/>
      <c r="U345" s="119"/>
      <c r="V345" s="53"/>
      <c r="W345" s="53"/>
    </row>
    <row r="346" ht="15.75" customHeight="1">
      <c r="A346" s="127" t="s">
        <v>205</v>
      </c>
      <c r="B346" s="131">
        <v>14.6</v>
      </c>
      <c r="C346" s="131">
        <v>34.4</v>
      </c>
      <c r="D346" s="131">
        <v>33.0</v>
      </c>
      <c r="E346" s="187">
        <v>31.9</v>
      </c>
      <c r="F346" s="54">
        <f>AVERAGE(B346:E346)</f>
        <v>28.475</v>
      </c>
      <c r="G346" s="187">
        <v>18.8</v>
      </c>
      <c r="H346" s="131">
        <v>32.3</v>
      </c>
      <c r="I346" s="187">
        <v>37.0</v>
      </c>
      <c r="J346" s="131">
        <v>21.1</v>
      </c>
      <c r="K346" s="54">
        <f>AVERAGE(G346:J346)</f>
        <v>27.3</v>
      </c>
      <c r="L346" s="131">
        <v>12.4</v>
      </c>
      <c r="M346" s="187">
        <v>34.7</v>
      </c>
      <c r="N346" s="131">
        <v>26.6</v>
      </c>
      <c r="O346" s="131">
        <v>26.5</v>
      </c>
      <c r="P346" s="54">
        <f>AVERAGE(L346:O346)</f>
        <v>25.05</v>
      </c>
      <c r="S346" s="47"/>
      <c r="T346" s="120"/>
      <c r="U346" s="121"/>
      <c r="V346" s="117"/>
      <c r="W346" s="53"/>
    </row>
    <row r="347" ht="15.75" customHeight="1">
      <c r="S347" s="47"/>
      <c r="T347" s="53"/>
      <c r="U347" s="54"/>
      <c r="V347" s="53"/>
      <c r="W347" s="115"/>
    </row>
    <row r="348" ht="15.75" customHeight="1">
      <c r="G348" s="2" t="s">
        <v>226</v>
      </c>
      <c r="H348" s="2" t="s">
        <v>227</v>
      </c>
      <c r="S348" s="45"/>
      <c r="T348" s="44"/>
      <c r="U348" s="44"/>
      <c r="V348" s="44"/>
      <c r="W348" s="44"/>
    </row>
    <row r="349" ht="15.75" customHeight="1">
      <c r="G349" s="2">
        <f>($F$314-F334)/$F$314*100</f>
        <v>-1.737827969</v>
      </c>
      <c r="H349" s="2">
        <f>($F$323-P343)/$F$323*100</f>
        <v>-248.4163014</v>
      </c>
      <c r="S349" s="47"/>
      <c r="T349" s="53"/>
      <c r="U349" s="53"/>
      <c r="V349" s="120"/>
      <c r="W349" s="120"/>
    </row>
    <row r="350" ht="15.75" customHeight="1">
      <c r="G350" s="2">
        <f>($F$314-K334)/$F$314*100</f>
        <v>61.18805208</v>
      </c>
      <c r="S350" s="47"/>
      <c r="T350" s="117"/>
      <c r="U350" s="115"/>
      <c r="V350" s="115"/>
      <c r="W350" s="53"/>
    </row>
    <row r="351" ht="15.75" customHeight="1">
      <c r="G351" s="2">
        <f>($F$314-P334)/$F$314*100</f>
        <v>18.6901174</v>
      </c>
      <c r="S351" s="47"/>
      <c r="T351" s="53"/>
      <c r="U351" s="120"/>
      <c r="V351" s="53"/>
      <c r="W351" s="117"/>
    </row>
    <row r="352" ht="15.75" customHeight="1">
      <c r="S352" s="45"/>
      <c r="T352" s="44"/>
      <c r="U352" s="44"/>
      <c r="V352" s="44"/>
      <c r="W352" s="44"/>
    </row>
    <row r="353" ht="15.75" customHeight="1">
      <c r="A353" s="30" t="s">
        <v>323</v>
      </c>
      <c r="B353" s="9" t="s">
        <v>282</v>
      </c>
      <c r="F353" s="8"/>
      <c r="G353" s="9" t="s">
        <v>283</v>
      </c>
      <c r="L353" s="9" t="s">
        <v>284</v>
      </c>
      <c r="S353" s="47"/>
      <c r="T353" s="54"/>
      <c r="U353" s="123"/>
      <c r="V353" s="53"/>
      <c r="W353" s="54"/>
    </row>
    <row r="354" ht="15.75" customHeight="1">
      <c r="B354" s="32"/>
      <c r="C354" s="32"/>
      <c r="D354" s="32"/>
      <c r="E354" s="32"/>
      <c r="G354" s="32"/>
      <c r="H354" s="32"/>
      <c r="I354" s="32"/>
      <c r="J354" s="32"/>
      <c r="K354" s="59"/>
      <c r="L354" s="32"/>
      <c r="M354" s="32"/>
      <c r="N354" s="32"/>
      <c r="O354" s="32"/>
      <c r="S354" s="47"/>
      <c r="T354" s="116"/>
      <c r="U354" s="118"/>
      <c r="V354" s="54"/>
      <c r="W354" s="116"/>
    </row>
    <row r="355" ht="15.75" customHeight="1">
      <c r="A355" s="32"/>
      <c r="B355" s="8" t="s">
        <v>63</v>
      </c>
      <c r="C355" s="8" t="s">
        <v>64</v>
      </c>
      <c r="D355" s="8" t="s">
        <v>65</v>
      </c>
      <c r="E355" s="8" t="s">
        <v>66</v>
      </c>
      <c r="G355" s="8" t="s">
        <v>63</v>
      </c>
      <c r="H355" s="8" t="s">
        <v>64</v>
      </c>
      <c r="I355" s="8" t="s">
        <v>65</v>
      </c>
      <c r="J355" s="8" t="s">
        <v>66</v>
      </c>
      <c r="L355" s="8" t="s">
        <v>63</v>
      </c>
      <c r="M355" s="8" t="s">
        <v>64</v>
      </c>
      <c r="N355" s="8" t="s">
        <v>65</v>
      </c>
      <c r="O355" s="8" t="s">
        <v>66</v>
      </c>
      <c r="S355" s="47"/>
      <c r="T355" s="54"/>
      <c r="U355" s="54"/>
      <c r="V355" s="116"/>
      <c r="W355" s="119"/>
    </row>
    <row r="356" ht="15.75" customHeight="1">
      <c r="A356" s="10" t="s">
        <v>124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</row>
    <row r="357" ht="15.75" customHeight="1">
      <c r="A357" s="11" t="s">
        <v>73</v>
      </c>
      <c r="B357" s="17" t="str">
        <f t="shared" ref="B357:E357" si="233">B326</f>
        <v/>
      </c>
      <c r="C357" s="12" t="str">
        <f t="shared" si="233"/>
        <v/>
      </c>
      <c r="D357" s="12" t="str">
        <f t="shared" si="233"/>
        <v/>
      </c>
      <c r="E357" s="14" t="str">
        <f t="shared" si="233"/>
        <v/>
      </c>
      <c r="F357" s="8"/>
      <c r="G357" s="14" t="str">
        <f t="shared" ref="G357:J357" si="234">G326</f>
        <v/>
      </c>
      <c r="H357" s="12" t="str">
        <f t="shared" si="234"/>
        <v/>
      </c>
      <c r="I357" s="15" t="str">
        <f t="shared" si="234"/>
        <v/>
      </c>
      <c r="J357" s="15" t="str">
        <f t="shared" si="234"/>
        <v/>
      </c>
      <c r="L357" s="14" t="str">
        <f t="shared" ref="L357:O357" si="235">L326</f>
        <v/>
      </c>
      <c r="M357" s="15" t="str">
        <f t="shared" si="235"/>
        <v/>
      </c>
      <c r="N357" s="12" t="str">
        <f t="shared" si="235"/>
        <v/>
      </c>
      <c r="O357" s="14" t="str">
        <f t="shared" si="235"/>
        <v/>
      </c>
    </row>
    <row r="358" ht="15.75" customHeight="1">
      <c r="A358" s="11" t="s">
        <v>205</v>
      </c>
      <c r="B358" s="20">
        <f>$H$139/(($F$139-2)*$P$139)*100</f>
        <v>1.960784314</v>
      </c>
      <c r="C358" s="27">
        <f>$H$155/(($F$155-2)*$P$155)*100</f>
        <v>0</v>
      </c>
      <c r="D358" s="16">
        <f>$H$171/(($F$171-2)*$P$171)*100</f>
        <v>3.738317757</v>
      </c>
      <c r="E358" s="16">
        <f>$H$123/(($F$123-2)*$P$123)*100</f>
        <v>2.43902439</v>
      </c>
      <c r="F358" s="54">
        <f>AVERAGE(B358:E358)</f>
        <v>2.034531615</v>
      </c>
      <c r="G358" s="16">
        <f>$H$140/(($F$140-2)*$P$140)*100</f>
        <v>2.083333333</v>
      </c>
      <c r="H358" s="27">
        <f>$H$156/(($F$156-2)*$P$156)*100</f>
        <v>0</v>
      </c>
      <c r="I358" s="20">
        <f>$H$172/(($F$172-2)*$P$172)*100</f>
        <v>2.631578947</v>
      </c>
      <c r="J358" s="20">
        <f>$H$124/(($F$124-2)*$P$124)*100</f>
        <v>2.325581395</v>
      </c>
      <c r="K358" s="54">
        <f>AVERAGE(G358:J358)</f>
        <v>1.760123419</v>
      </c>
      <c r="L358" s="16">
        <f>$H$141/(($F$141-2)*$P$141)*100</f>
        <v>4.444444444</v>
      </c>
      <c r="M358" s="28">
        <f>$H$157/(($F$157-2)*$P$157)*100</f>
        <v>0.8547008547</v>
      </c>
      <c r="N358" s="16">
        <f>$H$173/(($F$173-2)*$P$173)*100</f>
        <v>3.260869565</v>
      </c>
      <c r="O358" s="16">
        <f>$H$125/(($F$125-2)*$P$125)*100</f>
        <v>8</v>
      </c>
      <c r="P358" s="54">
        <f>AVERAGE(L358:O358)</f>
        <v>4.140003716</v>
      </c>
    </row>
    <row r="359" ht="15.75" customHeight="1">
      <c r="A359" s="10" t="s">
        <v>126</v>
      </c>
      <c r="B359" s="24"/>
      <c r="C359" s="24"/>
      <c r="D359" s="24"/>
      <c r="E359" s="24"/>
      <c r="F359" s="95"/>
      <c r="G359" s="24"/>
      <c r="H359" s="24"/>
      <c r="I359" s="24"/>
      <c r="J359" s="24"/>
      <c r="K359" s="95"/>
      <c r="L359" s="24"/>
      <c r="M359" s="24"/>
      <c r="N359" s="24"/>
      <c r="O359" s="24"/>
      <c r="P359" s="95"/>
    </row>
    <row r="360" ht="15.75" customHeight="1">
      <c r="A360" s="11" t="s">
        <v>73</v>
      </c>
      <c r="B360" s="18" t="str">
        <f t="shared" ref="B360:E360" si="236">B330</f>
        <v/>
      </c>
      <c r="C360" s="15" t="str">
        <f t="shared" si="236"/>
        <v/>
      </c>
      <c r="D360" s="14" t="str">
        <f t="shared" si="236"/>
        <v/>
      </c>
      <c r="E360" s="18" t="str">
        <f t="shared" si="236"/>
        <v/>
      </c>
      <c r="F360" s="44"/>
      <c r="G360" s="13" t="str">
        <f t="shared" ref="G360:J360" si="237">G330</f>
        <v/>
      </c>
      <c r="H360" s="12" t="str">
        <f t="shared" si="237"/>
        <v/>
      </c>
      <c r="I360" s="17" t="str">
        <f t="shared" si="237"/>
        <v/>
      </c>
      <c r="J360" s="13" t="str">
        <f t="shared" si="237"/>
        <v/>
      </c>
      <c r="K360" s="44"/>
      <c r="L360" s="13" t="str">
        <f t="shared" ref="L360:O360" si="238">L330</f>
        <v/>
      </c>
      <c r="M360" s="12" t="str">
        <f t="shared" si="238"/>
        <v/>
      </c>
      <c r="N360" s="14" t="str">
        <f t="shared" si="238"/>
        <v/>
      </c>
      <c r="O360" s="13" t="str">
        <f t="shared" si="238"/>
        <v/>
      </c>
      <c r="P360" s="44"/>
    </row>
    <row r="361" ht="15.75" customHeight="1">
      <c r="A361" s="11" t="s">
        <v>205</v>
      </c>
      <c r="B361" s="17">
        <f>$N$139/(($F$139-2)*$P$139)*100</f>
        <v>35.29411765</v>
      </c>
      <c r="C361" s="16">
        <f>$N$155/(($F$155-2)*$P$155)*100</f>
        <v>3.361344538</v>
      </c>
      <c r="D361" s="13">
        <f>$N$171/(($F$171-2)*$P$171)*100</f>
        <v>25.23364486</v>
      </c>
      <c r="E361" s="17">
        <f>$N$123/(($F$123-2)*$P$123)*100</f>
        <v>21.95121951</v>
      </c>
      <c r="F361" s="54">
        <f>AVERAGE(B361:E361)</f>
        <v>21.46008164</v>
      </c>
      <c r="G361" s="14">
        <f>$N$140/(($F$140-2)*$P$140)*100</f>
        <v>35.41666667</v>
      </c>
      <c r="H361" s="27">
        <f>$N$156/(($F$156-2)*$P$156)*100</f>
        <v>0.7936507937</v>
      </c>
      <c r="I361" s="18">
        <f>$N$172/(($F$172-2)*$P$172)*100</f>
        <v>22.80701754</v>
      </c>
      <c r="J361" s="14">
        <f>$N$124/(($F$124-2)*$P$124)*100</f>
        <v>27.90697674</v>
      </c>
      <c r="K361" s="54">
        <f>AVERAGE(G361:J361)</f>
        <v>21.73107794</v>
      </c>
      <c r="L361" s="14">
        <f>$N$141/(($F$141-2)*$P$141)*100</f>
        <v>46.66666667</v>
      </c>
      <c r="M361" s="16">
        <f>$N$157/(($F$157-2)*$P$157)*100</f>
        <v>2.564102564</v>
      </c>
      <c r="N361" s="13">
        <f>$N$173/(($F$173-2)*$P$173)*100</f>
        <v>27.17391304</v>
      </c>
      <c r="O361" s="14">
        <f>$N$125/(($F$125-2)*$P$125)*100</f>
        <v>32</v>
      </c>
      <c r="P361" s="54">
        <f>AVERAGE(L361:O361)</f>
        <v>27.10117057</v>
      </c>
    </row>
    <row r="362" ht="15.75" customHeight="1">
      <c r="A362" s="10" t="s">
        <v>258</v>
      </c>
      <c r="B362" s="24"/>
      <c r="C362" s="24"/>
      <c r="D362" s="24"/>
      <c r="E362" s="24"/>
      <c r="F362" s="95"/>
      <c r="G362" s="24"/>
      <c r="H362" s="24"/>
      <c r="I362" s="24"/>
      <c r="J362" s="24"/>
      <c r="K362" s="95"/>
      <c r="L362" s="24"/>
      <c r="M362" s="24"/>
      <c r="N362" s="24"/>
      <c r="O362" s="24"/>
      <c r="P362" s="95"/>
    </row>
    <row r="363" ht="15.75" customHeight="1">
      <c r="A363" s="11" t="s">
        <v>73</v>
      </c>
      <c r="B363" s="18">
        <f t="shared" ref="B363:E363" si="239">B334</f>
        <v>4.49</v>
      </c>
      <c r="C363" s="14">
        <f t="shared" si="239"/>
        <v>0</v>
      </c>
      <c r="D363" s="14">
        <f t="shared" si="239"/>
        <v>3.51</v>
      </c>
      <c r="E363" s="13">
        <f t="shared" si="239"/>
        <v>9.72</v>
      </c>
      <c r="F363" s="44"/>
      <c r="G363" s="13">
        <f t="shared" ref="G363:J363" si="240">G334</f>
        <v>1.3</v>
      </c>
      <c r="H363" s="14">
        <f t="shared" si="240"/>
        <v>0</v>
      </c>
      <c r="I363" s="17">
        <f t="shared" si="240"/>
        <v>4.35</v>
      </c>
      <c r="J363" s="18">
        <f t="shared" si="240"/>
        <v>1.11</v>
      </c>
      <c r="K363" s="44"/>
      <c r="L363" s="13">
        <f t="shared" ref="L363:O363" si="241">L334</f>
        <v>3.23</v>
      </c>
      <c r="M363" s="17">
        <f t="shared" si="241"/>
        <v>0.282</v>
      </c>
      <c r="N363" s="14">
        <f t="shared" si="241"/>
        <v>7.59</v>
      </c>
      <c r="O363" s="13">
        <f t="shared" si="241"/>
        <v>3.06</v>
      </c>
      <c r="P363" s="44"/>
    </row>
    <row r="364" ht="15.75" customHeight="1">
      <c r="A364" s="11" t="s">
        <v>205</v>
      </c>
      <c r="B364" s="14">
        <f>($I$139+$J$139+$K$139)/(($F$139-2)*$P$139)*100</f>
        <v>15.68627451</v>
      </c>
      <c r="C364" s="13">
        <f>($I$155+$J$155+$K$155)/(($F$155-2)*$P$155)*100</f>
        <v>94.95798319</v>
      </c>
      <c r="D364" s="18">
        <f>($I$171+$J$171+$K$171)/(($F$171-2)*$P$171)*100</f>
        <v>42.05607477</v>
      </c>
      <c r="E364" s="17">
        <f>($I$123+$J$123+$K$123)/(($F$123-2)*$P$123)*100</f>
        <v>39.02439024</v>
      </c>
      <c r="F364" s="54">
        <f>AVERAGE(B364:E364)</f>
        <v>47.93118068</v>
      </c>
      <c r="G364" s="14">
        <f>($I$140+$J$140+$K$140)/(($F$140-2)*$P$140)*100</f>
        <v>18.75</v>
      </c>
      <c r="H364" s="18">
        <f>($I$156+$J$156+$K$156)/(($F$156-2)*$P$156)*100</f>
        <v>97.61904762</v>
      </c>
      <c r="I364" s="13">
        <f>($I$172+$J$172+$K$172)/(($F$172-2)*$P$172)*100</f>
        <v>39.47368421</v>
      </c>
      <c r="J364" s="14">
        <f>($I$124+$J$124+$K$124)/(($F$124-2)*$P$124)*100</f>
        <v>25.58139535</v>
      </c>
      <c r="K364" s="54">
        <f>AVERAGE(G364:J364)</f>
        <v>45.35603179</v>
      </c>
      <c r="L364" s="17">
        <f>($I$141+$J$141+$K$141)/(($F$141-2)*$P$141)*100</f>
        <v>20</v>
      </c>
      <c r="M364" s="13">
        <f>($I$157+$J$157+$K$157)/(($F$157-2)*$P$157)*100</f>
        <v>94.01709402</v>
      </c>
      <c r="N364" s="13">
        <f>($I$173+$J$173+$K$173)/(($F$173-2)*$P$173)*100</f>
        <v>39.13043478</v>
      </c>
      <c r="O364" s="14">
        <f>($I$125+$J$125+$K$125)/(($F$125-2)*$P$125)*100</f>
        <v>36</v>
      </c>
      <c r="P364" s="54">
        <f>AVERAGE(L364:O364)</f>
        <v>47.2868822</v>
      </c>
    </row>
    <row r="365" ht="15.75" customHeight="1">
      <c r="A365" s="10" t="s">
        <v>125</v>
      </c>
      <c r="B365" s="24"/>
      <c r="C365" s="24"/>
      <c r="D365" s="24"/>
      <c r="E365" s="24"/>
      <c r="F365" s="95"/>
      <c r="G365" s="24"/>
      <c r="H365" s="24"/>
      <c r="I365" s="24"/>
      <c r="J365" s="24"/>
      <c r="K365" s="95"/>
      <c r="L365" s="24"/>
      <c r="M365" s="24"/>
      <c r="N365" s="24"/>
      <c r="O365" s="24"/>
      <c r="P365" s="95"/>
    </row>
    <row r="366" ht="15.75" customHeight="1">
      <c r="A366" s="11" t="s">
        <v>73</v>
      </c>
      <c r="B366" s="17" t="str">
        <f t="shared" ref="B366:E366" si="242">B338</f>
        <v/>
      </c>
      <c r="C366" s="20" t="str">
        <f t="shared" si="242"/>
        <v/>
      </c>
      <c r="D366" s="14" t="str">
        <f t="shared" si="242"/>
        <v/>
      </c>
      <c r="E366" s="14" t="str">
        <f t="shared" si="242"/>
        <v/>
      </c>
      <c r="F366" s="44"/>
      <c r="G366" s="14" t="str">
        <f t="shared" ref="G366:J366" si="243">G338</f>
        <v/>
      </c>
      <c r="H366" s="16" t="str">
        <f t="shared" si="243"/>
        <v/>
      </c>
      <c r="I366" s="17" t="str">
        <f t="shared" si="243"/>
        <v/>
      </c>
      <c r="J366" s="17" t="str">
        <f t="shared" si="243"/>
        <v/>
      </c>
      <c r="K366" s="44"/>
      <c r="L366" s="12" t="str">
        <f t="shared" ref="L366:O366" si="244">L338</f>
        <v/>
      </c>
      <c r="M366" s="12" t="str">
        <f t="shared" si="244"/>
        <v/>
      </c>
      <c r="N366" s="14" t="str">
        <f t="shared" si="244"/>
        <v/>
      </c>
      <c r="O366" s="14" t="str">
        <f t="shared" si="244"/>
        <v/>
      </c>
      <c r="P366" s="44"/>
    </row>
    <row r="367" ht="15.75" customHeight="1">
      <c r="A367" s="25" t="s">
        <v>205</v>
      </c>
      <c r="B367" s="18">
        <f>($L$139+$M$139)/(($F$139-2)*$P$139)*100</f>
        <v>47.05882353</v>
      </c>
      <c r="C367" s="12">
        <f>($L$155+$M$155)/(($F$155-2)*$P$155)*100</f>
        <v>1.680672269</v>
      </c>
      <c r="D367" s="13">
        <f>($L$171+$M$171)/(($F$171-2)*$P$171)*100</f>
        <v>28.97196262</v>
      </c>
      <c r="E367" s="13">
        <f>($L$123+$M$123)/(($F$123-2)*$P$123)*100</f>
        <v>36.58536585</v>
      </c>
      <c r="F367" s="54">
        <f>AVERAGE(B367:E367)</f>
        <v>28.57420607</v>
      </c>
      <c r="G367" s="13">
        <f>($L$140+$M$140)/(($F$140-2)*$P$140)*100</f>
        <v>43.75</v>
      </c>
      <c r="H367" s="12">
        <f>($L$156+$M$156)/(($F$156-2)*$P$156)*100</f>
        <v>1.587301587</v>
      </c>
      <c r="I367" s="18">
        <f>($L$172+$M$172)/(($F$172-2)*$P$172)*100</f>
        <v>35.0877193</v>
      </c>
      <c r="J367" s="18">
        <f>($L$124+$M$124)/(($F$124-2)*$P$124)*100</f>
        <v>44.18604651</v>
      </c>
      <c r="K367" s="54">
        <f>AVERAGE(G367:J367)</f>
        <v>31.15276685</v>
      </c>
      <c r="L367" s="13">
        <f>($L$141+$M$141)/(($F$141-2)*$P$141)*100</f>
        <v>28.88888889</v>
      </c>
      <c r="M367" s="20">
        <f>($L$157+$M$157)/(($F$157-2)*$P$157)*100</f>
        <v>2.564102564</v>
      </c>
      <c r="N367" s="13">
        <f>($L$173+$M$173)/(($F$173-2)*$P$173)*100</f>
        <v>30.43478261</v>
      </c>
      <c r="O367" s="13">
        <f>($L$125+$M$125)/(($F$125-2)*$P$125)*100</f>
        <v>24</v>
      </c>
      <c r="P367" s="54">
        <f>AVERAGE(L367:O367)</f>
        <v>21.47194352</v>
      </c>
    </row>
    <row r="368" ht="15.75" customHeight="1">
      <c r="A368" s="152" t="s">
        <v>268</v>
      </c>
      <c r="B368" s="24"/>
      <c r="C368" s="24"/>
      <c r="D368" s="24"/>
      <c r="E368" s="24"/>
      <c r="F368" s="44"/>
      <c r="G368" s="24"/>
      <c r="H368" s="24"/>
      <c r="I368" s="24"/>
      <c r="J368" s="24"/>
      <c r="K368" s="44"/>
      <c r="L368" s="24"/>
      <c r="M368" s="24"/>
      <c r="N368" s="24"/>
      <c r="O368" s="24"/>
      <c r="P368" s="44"/>
    </row>
    <row r="369" ht="15.75" customHeight="1">
      <c r="A369" s="11" t="s">
        <v>73</v>
      </c>
      <c r="B369" s="17">
        <f t="shared" ref="B369:E369" si="245">B342</f>
        <v>9.37</v>
      </c>
      <c r="C369" s="17">
        <f t="shared" si="245"/>
        <v>1.81</v>
      </c>
      <c r="D369" s="14">
        <f t="shared" si="245"/>
        <v>17.8</v>
      </c>
      <c r="E369" s="14">
        <f t="shared" si="245"/>
        <v>9.6</v>
      </c>
      <c r="F369" s="44"/>
      <c r="G369" s="14">
        <f t="shared" ref="G369:J369" si="246">G342</f>
        <v>8.06</v>
      </c>
      <c r="H369" s="14">
        <f t="shared" si="246"/>
        <v>1.39</v>
      </c>
      <c r="I369" s="17">
        <f t="shared" si="246"/>
        <v>19</v>
      </c>
      <c r="J369" s="17">
        <f t="shared" si="246"/>
        <v>8.64</v>
      </c>
      <c r="K369" s="44"/>
      <c r="L369" s="14">
        <f t="shared" ref="L369:O369" si="247">L342</f>
        <v>7.37</v>
      </c>
      <c r="M369" s="14">
        <f t="shared" si="247"/>
        <v>1.76</v>
      </c>
      <c r="N369" s="14">
        <f t="shared" si="247"/>
        <v>15</v>
      </c>
      <c r="O369" s="14">
        <f t="shared" si="247"/>
        <v>6.36</v>
      </c>
      <c r="P369" s="44"/>
    </row>
    <row r="370" ht="15.75" customHeight="1">
      <c r="A370" s="25" t="s">
        <v>205</v>
      </c>
      <c r="B370" s="156">
        <f>$O$139/(($F$139-2)*$P$139)*100</f>
        <v>21.56862745</v>
      </c>
      <c r="C370" s="156">
        <f>$O$155/(($F$155-2)*$P$155)*100</f>
        <v>38.65546218</v>
      </c>
      <c r="D370" s="156">
        <f>$O$171/(($F$171-2)*$P$171)*100</f>
        <v>42.05607477</v>
      </c>
      <c r="E370" s="157">
        <f>$O$123/(($F$123-2)*$P$123)*100</f>
        <v>56.09756098</v>
      </c>
      <c r="F370" s="54">
        <f>AVERAGE(B370:E370)</f>
        <v>39.59443134</v>
      </c>
      <c r="G370" s="156">
        <f>$O$140/(($F$140-2)*$P$140)*100</f>
        <v>18.75</v>
      </c>
      <c r="H370" s="157">
        <f>$O$156/(($F$156-2)*$P$156)*100</f>
        <v>50</v>
      </c>
      <c r="I370" s="157">
        <f>$O$172/(($F$172-2)*$P$172)*100</f>
        <v>51.75438596</v>
      </c>
      <c r="J370" s="156">
        <f>$O$124/(($F$124-2)*$P$124)*100</f>
        <v>53.48837209</v>
      </c>
      <c r="K370" s="54">
        <f>AVERAGE(G370:J370)</f>
        <v>43.49818951</v>
      </c>
      <c r="L370" s="157">
        <f>$O$141/(($F$141-2)*$P$141)*100</f>
        <v>26.66666667</v>
      </c>
      <c r="M370" s="156">
        <f>$O$157/(($F$157-2)*$P$157)*100</f>
        <v>42.73504274</v>
      </c>
      <c r="N370" s="156">
        <f>$O$173/(($F$173-2)*$P$173)*100</f>
        <v>45.65217391</v>
      </c>
      <c r="O370" s="156">
        <f>$O$125/(($F$125-2)*$P$125)*100</f>
        <v>40</v>
      </c>
      <c r="P370" s="54">
        <f>AVERAGE(L370:O370)</f>
        <v>38.76347083</v>
      </c>
    </row>
    <row r="371" ht="15.75" customHeight="1"/>
    <row r="372" ht="15.75" customHeight="1">
      <c r="G372" s="2" t="s">
        <v>226</v>
      </c>
      <c r="H372" s="2" t="s">
        <v>227</v>
      </c>
    </row>
    <row r="373" ht="15.75" customHeight="1">
      <c r="G373" s="2">
        <f>($F$314-P358)/$F$314*100</f>
        <v>4.922125088</v>
      </c>
      <c r="H373" s="2">
        <f>($F$323-P367)/$F$323*100</f>
        <v>-368.5251381</v>
      </c>
    </row>
    <row r="374" ht="15.75" customHeight="1">
      <c r="G374" s="2">
        <f>($F$314-K358)/$F$314*100</f>
        <v>59.57762221</v>
      </c>
    </row>
    <row r="375" ht="15.75" customHeight="1"/>
    <row r="376" ht="15.75" customHeight="1"/>
    <row r="377" ht="15.75" customHeight="1"/>
    <row r="378" ht="15.75" customHeight="1"/>
    <row r="379" ht="15.0" customHeight="1">
      <c r="A379" s="30" t="s">
        <v>327</v>
      </c>
      <c r="B379" s="31" t="s">
        <v>282</v>
      </c>
      <c r="C379" s="32"/>
      <c r="D379" s="32"/>
      <c r="E379" s="32"/>
      <c r="F379" s="8"/>
      <c r="G379" s="31" t="s">
        <v>283</v>
      </c>
      <c r="H379" s="32"/>
      <c r="I379" s="32"/>
      <c r="J379" s="32"/>
      <c r="K379" s="8"/>
      <c r="L379" s="31" t="s">
        <v>284</v>
      </c>
      <c r="M379" s="32"/>
      <c r="N379" s="32"/>
      <c r="O379" s="32"/>
      <c r="R379" s="30" t="s">
        <v>328</v>
      </c>
      <c r="S379" s="31" t="s">
        <v>282</v>
      </c>
      <c r="T379" s="31"/>
      <c r="U379" s="31"/>
      <c r="V379" s="31"/>
      <c r="W379" s="8"/>
      <c r="X379" s="31" t="s">
        <v>283</v>
      </c>
      <c r="Y379" s="31"/>
      <c r="Z379" s="31"/>
      <c r="AA379" s="31"/>
      <c r="AB379" s="8"/>
      <c r="AC379" s="31" t="s">
        <v>284</v>
      </c>
      <c r="AD379" s="31"/>
      <c r="AE379" s="31"/>
      <c r="AF379" s="31"/>
    </row>
    <row r="380" ht="15.75" customHeight="1">
      <c r="A380" s="32"/>
      <c r="B380" s="8" t="s">
        <v>63</v>
      </c>
      <c r="C380" s="8" t="s">
        <v>64</v>
      </c>
      <c r="D380" s="8" t="s">
        <v>65</v>
      </c>
      <c r="E380" s="8" t="s">
        <v>66</v>
      </c>
      <c r="F380" s="8"/>
      <c r="G380" s="8" t="s">
        <v>63</v>
      </c>
      <c r="H380" s="8" t="s">
        <v>64</v>
      </c>
      <c r="I380" s="8" t="s">
        <v>65</v>
      </c>
      <c r="J380" s="8" t="s">
        <v>66</v>
      </c>
      <c r="K380" s="8"/>
      <c r="L380" s="8" t="s">
        <v>63</v>
      </c>
      <c r="M380" s="8" t="s">
        <v>64</v>
      </c>
      <c r="N380" s="8" t="s">
        <v>65</v>
      </c>
      <c r="O380" s="8" t="s">
        <v>66</v>
      </c>
      <c r="R380" s="31"/>
      <c r="S380" s="8" t="s">
        <v>63</v>
      </c>
      <c r="T380" s="8" t="s">
        <v>64</v>
      </c>
      <c r="U380" s="8" t="s">
        <v>65</v>
      </c>
      <c r="V380" s="8" t="s">
        <v>66</v>
      </c>
      <c r="W380" s="8"/>
      <c r="X380" s="8" t="s">
        <v>63</v>
      </c>
      <c r="Y380" s="8" t="s">
        <v>64</v>
      </c>
      <c r="Z380" s="8" t="s">
        <v>65</v>
      </c>
      <c r="AA380" s="8" t="s">
        <v>66</v>
      </c>
      <c r="AB380" s="8"/>
      <c r="AC380" s="8" t="s">
        <v>63</v>
      </c>
      <c r="AD380" s="8" t="s">
        <v>64</v>
      </c>
      <c r="AE380" s="8" t="s">
        <v>65</v>
      </c>
      <c r="AF380" s="8" t="s">
        <v>66</v>
      </c>
    </row>
    <row r="381" ht="15.75" customHeight="1">
      <c r="A381" s="45" t="s">
        <v>105</v>
      </c>
      <c r="B381" s="188"/>
      <c r="C381" s="188"/>
      <c r="D381" s="188"/>
      <c r="E381" s="188"/>
      <c r="F381" s="188"/>
      <c r="G381" s="188"/>
      <c r="H381" s="188"/>
      <c r="I381" s="188"/>
      <c r="J381" s="188"/>
      <c r="K381" s="188"/>
      <c r="L381" s="188"/>
      <c r="M381" s="188"/>
      <c r="N381" s="188"/>
      <c r="O381" s="188"/>
      <c r="R381" s="45" t="s">
        <v>105</v>
      </c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</row>
    <row r="382" ht="15.75" customHeight="1">
      <c r="A382" s="47" t="s">
        <v>68</v>
      </c>
      <c r="B382" s="189">
        <v>580.0</v>
      </c>
      <c r="C382" s="189">
        <v>709.0</v>
      </c>
      <c r="D382" s="189">
        <v>417.0</v>
      </c>
      <c r="E382" s="189">
        <v>21.0</v>
      </c>
      <c r="F382" s="189"/>
      <c r="G382" s="189">
        <v>582.0</v>
      </c>
      <c r="H382" s="189">
        <v>724.0</v>
      </c>
      <c r="I382" s="189">
        <v>414.0</v>
      </c>
      <c r="J382" s="189">
        <v>30.0</v>
      </c>
      <c r="K382" s="189"/>
      <c r="L382" s="189">
        <v>599.0</v>
      </c>
      <c r="M382" s="189">
        <v>672.0</v>
      </c>
      <c r="N382" s="189">
        <v>238.0</v>
      </c>
      <c r="O382" s="189">
        <v>5.0</v>
      </c>
      <c r="R382" s="47" t="s">
        <v>68</v>
      </c>
      <c r="S382" s="189">
        <v>325.0</v>
      </c>
      <c r="T382" s="189">
        <v>241.0</v>
      </c>
      <c r="U382" s="189">
        <v>174.0</v>
      </c>
      <c r="V382" s="189">
        <v>76.0</v>
      </c>
      <c r="W382" s="189"/>
      <c r="X382" s="189">
        <v>305.0</v>
      </c>
      <c r="Y382" s="189">
        <v>219.0</v>
      </c>
      <c r="Z382" s="189">
        <v>157.0</v>
      </c>
      <c r="AA382" s="189">
        <v>74.0</v>
      </c>
      <c r="AB382" s="189"/>
      <c r="AC382" s="189">
        <v>312.0</v>
      </c>
      <c r="AD382" s="189">
        <v>261.0</v>
      </c>
      <c r="AE382" s="189">
        <v>244.0</v>
      </c>
      <c r="AF382" s="189">
        <v>87.0</v>
      </c>
    </row>
    <row r="383" ht="15.75" customHeight="1">
      <c r="A383" s="47" t="s">
        <v>73</v>
      </c>
      <c r="B383" s="189">
        <v>555.0</v>
      </c>
      <c r="C383" s="189">
        <v>623.0</v>
      </c>
      <c r="D383" s="189">
        <v>237.0</v>
      </c>
      <c r="E383" s="189">
        <v>53.0</v>
      </c>
      <c r="F383" s="189"/>
      <c r="G383" s="189">
        <v>591.0</v>
      </c>
      <c r="H383" s="189">
        <v>684.0</v>
      </c>
      <c r="I383" s="189">
        <v>226.0</v>
      </c>
      <c r="J383" s="189">
        <v>52.0</v>
      </c>
      <c r="K383" s="189"/>
      <c r="L383" s="189">
        <v>586.0</v>
      </c>
      <c r="M383" s="189">
        <v>685.0</v>
      </c>
      <c r="N383" s="189">
        <v>175.0</v>
      </c>
      <c r="O383" s="189">
        <v>22.0</v>
      </c>
      <c r="R383" s="47" t="s">
        <v>73</v>
      </c>
      <c r="S383" s="189">
        <v>306.0</v>
      </c>
      <c r="T383" s="189">
        <v>297.0</v>
      </c>
      <c r="U383" s="189">
        <v>285.0</v>
      </c>
      <c r="V383" s="189">
        <v>90.0</v>
      </c>
      <c r="W383" s="189"/>
      <c r="X383" s="189">
        <v>271.0</v>
      </c>
      <c r="Y383" s="189">
        <v>244.0</v>
      </c>
      <c r="Z383" s="189">
        <v>284.0</v>
      </c>
      <c r="AA383" s="189">
        <v>75.0</v>
      </c>
      <c r="AB383" s="189"/>
      <c r="AC383" s="189">
        <v>284.0</v>
      </c>
      <c r="AD383" s="189">
        <v>238.0</v>
      </c>
      <c r="AE383" s="189">
        <v>324.0</v>
      </c>
      <c r="AF383" s="189">
        <v>78.0</v>
      </c>
    </row>
    <row r="384" ht="15.75" customHeight="1">
      <c r="A384" s="47" t="s">
        <v>76</v>
      </c>
      <c r="B384" s="189">
        <v>416.0</v>
      </c>
      <c r="C384" s="189">
        <v>338.0</v>
      </c>
      <c r="D384" s="189">
        <v>197.0</v>
      </c>
      <c r="E384" s="189">
        <v>53.0</v>
      </c>
      <c r="F384" s="189"/>
      <c r="G384" s="189">
        <v>434.0</v>
      </c>
      <c r="H384" s="189">
        <v>337.0</v>
      </c>
      <c r="I384" s="189">
        <v>183.0</v>
      </c>
      <c r="J384" s="189">
        <v>50.0</v>
      </c>
      <c r="K384" s="189"/>
      <c r="L384" s="189">
        <v>387.0</v>
      </c>
      <c r="M384" s="189">
        <v>316.0</v>
      </c>
      <c r="N384" s="189">
        <v>112.0</v>
      </c>
      <c r="O384" s="189">
        <v>42.0</v>
      </c>
      <c r="R384" s="47" t="s">
        <v>76</v>
      </c>
      <c r="S384" s="189">
        <v>71.0</v>
      </c>
      <c r="T384" s="189">
        <v>116.0</v>
      </c>
      <c r="U384" s="189">
        <v>99.0</v>
      </c>
      <c r="V384" s="189">
        <v>30.0</v>
      </c>
      <c r="W384" s="189"/>
      <c r="X384" s="189">
        <v>58.0</v>
      </c>
      <c r="Y384" s="189">
        <v>114.0</v>
      </c>
      <c r="Z384" s="189">
        <v>120.0</v>
      </c>
      <c r="AA384" s="189">
        <v>40.0</v>
      </c>
      <c r="AB384" s="189"/>
      <c r="AC384" s="189">
        <v>68.0</v>
      </c>
      <c r="AD384" s="189">
        <v>115.0</v>
      </c>
      <c r="AE384" s="189">
        <v>135.0</v>
      </c>
      <c r="AF384" s="189">
        <v>63.0</v>
      </c>
    </row>
    <row r="385" ht="15.75" customHeight="1">
      <c r="A385" s="10" t="s">
        <v>109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R385" s="10" t="s">
        <v>109</v>
      </c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15.75" customHeight="1">
      <c r="A386" s="11" t="s">
        <v>68</v>
      </c>
      <c r="B386" s="8">
        <v>61.0</v>
      </c>
      <c r="C386" s="8">
        <v>16.0</v>
      </c>
      <c r="D386" s="8">
        <v>12.0</v>
      </c>
      <c r="E386" s="8">
        <v>2.0</v>
      </c>
      <c r="F386" s="8"/>
      <c r="G386" s="8">
        <v>53.0</v>
      </c>
      <c r="H386" s="8">
        <v>16.0</v>
      </c>
      <c r="I386" s="8">
        <v>16.0</v>
      </c>
      <c r="J386" s="8">
        <v>4.0</v>
      </c>
      <c r="K386" s="8"/>
      <c r="L386" s="8">
        <v>55.0</v>
      </c>
      <c r="M386" s="8">
        <v>10.0</v>
      </c>
      <c r="N386" s="8">
        <v>13.0</v>
      </c>
      <c r="O386" s="8">
        <v>1.0</v>
      </c>
      <c r="R386" s="11" t="s">
        <v>68</v>
      </c>
      <c r="S386" s="8">
        <v>42.0</v>
      </c>
      <c r="T386" s="8">
        <v>6.0</v>
      </c>
      <c r="U386" s="8">
        <v>22.0</v>
      </c>
      <c r="V386" s="8">
        <v>5.0</v>
      </c>
      <c r="W386" s="8"/>
      <c r="X386" s="8">
        <v>46.0</v>
      </c>
      <c r="Y386" s="8">
        <v>8.0</v>
      </c>
      <c r="Z386" s="8">
        <v>17.0</v>
      </c>
      <c r="AA386" s="8">
        <v>6.0</v>
      </c>
      <c r="AB386" s="8"/>
      <c r="AC386" s="8">
        <v>50.0</v>
      </c>
      <c r="AD386" s="8">
        <v>4.0</v>
      </c>
      <c r="AE386" s="8">
        <v>19.0</v>
      </c>
      <c r="AF386" s="8">
        <v>6.0</v>
      </c>
    </row>
    <row r="387" ht="15.75" customHeight="1">
      <c r="A387" s="11" t="s">
        <v>73</v>
      </c>
      <c r="B387" s="8">
        <v>114.0</v>
      </c>
      <c r="C387" s="8">
        <v>8.0</v>
      </c>
      <c r="D387" s="8">
        <v>11.0</v>
      </c>
      <c r="E387" s="8">
        <v>11.0</v>
      </c>
      <c r="F387" s="8"/>
      <c r="G387" s="8">
        <v>129.0</v>
      </c>
      <c r="H387" s="8">
        <v>16.0</v>
      </c>
      <c r="I387" s="8">
        <v>10.0</v>
      </c>
      <c r="J387" s="8">
        <v>5.0</v>
      </c>
      <c r="K387" s="8"/>
      <c r="L387" s="8">
        <v>170.0</v>
      </c>
      <c r="M387" s="8">
        <v>10.0</v>
      </c>
      <c r="N387" s="8">
        <v>12.0</v>
      </c>
      <c r="O387" s="8">
        <v>3.0</v>
      </c>
      <c r="R387" s="11" t="s">
        <v>73</v>
      </c>
      <c r="S387" s="8">
        <v>50.0</v>
      </c>
      <c r="T387" s="8">
        <v>11.0</v>
      </c>
      <c r="U387" s="8">
        <v>10.0</v>
      </c>
      <c r="V387" s="8">
        <v>9.0</v>
      </c>
      <c r="W387" s="8"/>
      <c r="X387" s="8">
        <v>50.0</v>
      </c>
      <c r="Y387" s="8">
        <v>6.0</v>
      </c>
      <c r="Z387" s="8">
        <v>4.0</v>
      </c>
      <c r="AA387" s="8">
        <v>4.0</v>
      </c>
      <c r="AB387" s="8"/>
      <c r="AC387" s="8">
        <v>56.0</v>
      </c>
      <c r="AD387" s="8">
        <v>7.0</v>
      </c>
      <c r="AE387" s="8">
        <v>8.0</v>
      </c>
      <c r="AF387" s="8">
        <v>13.0</v>
      </c>
    </row>
    <row r="388" ht="15.75" customHeight="1">
      <c r="A388" s="11" t="s">
        <v>76</v>
      </c>
      <c r="B388" s="8">
        <v>16.0</v>
      </c>
      <c r="C388" s="8">
        <v>4.0</v>
      </c>
      <c r="D388" s="8">
        <v>2.0</v>
      </c>
      <c r="E388" s="8">
        <v>10.0</v>
      </c>
      <c r="F388" s="8"/>
      <c r="G388" s="8">
        <v>18.0</v>
      </c>
      <c r="H388" s="8">
        <v>6.0</v>
      </c>
      <c r="I388" s="8">
        <v>6.0</v>
      </c>
      <c r="J388" s="8">
        <v>4.0</v>
      </c>
      <c r="K388" s="8"/>
      <c r="L388" s="8">
        <v>10.0</v>
      </c>
      <c r="M388" s="8">
        <v>1.0</v>
      </c>
      <c r="N388" s="8">
        <v>2.0</v>
      </c>
      <c r="O388" s="8">
        <v>7.0</v>
      </c>
      <c r="R388" s="11" t="s">
        <v>76</v>
      </c>
      <c r="S388" s="8">
        <v>4.0</v>
      </c>
      <c r="T388" s="8">
        <v>1.0</v>
      </c>
      <c r="U388" s="8">
        <v>3.0</v>
      </c>
      <c r="V388" s="8">
        <v>6.0</v>
      </c>
      <c r="W388" s="8"/>
      <c r="X388" s="8">
        <v>2.0</v>
      </c>
      <c r="Y388" s="8">
        <v>0.0</v>
      </c>
      <c r="Z388" s="8">
        <v>11.0</v>
      </c>
      <c r="AA388" s="8">
        <v>8.0</v>
      </c>
      <c r="AB388" s="8"/>
      <c r="AC388" s="8">
        <v>2.0</v>
      </c>
      <c r="AD388" s="8">
        <v>2.0</v>
      </c>
      <c r="AE388" s="8">
        <v>10.0</v>
      </c>
      <c r="AF388" s="8">
        <v>11.0</v>
      </c>
    </row>
    <row r="389" ht="15.75" customHeight="1">
      <c r="A389" s="10" t="s">
        <v>117</v>
      </c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R389" s="10" t="s">
        <v>117</v>
      </c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</row>
    <row r="390" ht="15.75" customHeight="1">
      <c r="A390" s="11" t="s">
        <v>68</v>
      </c>
      <c r="B390" s="8">
        <v>126.0</v>
      </c>
      <c r="C390" s="8">
        <v>27.0</v>
      </c>
      <c r="D390" s="8">
        <v>129.0</v>
      </c>
      <c r="E390" s="8">
        <v>4.0</v>
      </c>
      <c r="F390" s="8"/>
      <c r="G390" s="8">
        <v>163.0</v>
      </c>
      <c r="H390" s="8">
        <v>26.0</v>
      </c>
      <c r="I390" s="8">
        <v>101.0</v>
      </c>
      <c r="J390" s="8">
        <v>7.0</v>
      </c>
      <c r="K390" s="8"/>
      <c r="L390" s="8">
        <v>170.0</v>
      </c>
      <c r="M390" s="8">
        <v>19.0</v>
      </c>
      <c r="N390" s="8">
        <v>35.0</v>
      </c>
      <c r="O390" s="8">
        <v>1.0</v>
      </c>
      <c r="R390" s="11" t="s">
        <v>68</v>
      </c>
      <c r="S390" s="8">
        <v>45.0</v>
      </c>
      <c r="T390" s="8">
        <v>7.0</v>
      </c>
      <c r="U390" s="8">
        <v>31.0</v>
      </c>
      <c r="V390" s="8">
        <v>10.0</v>
      </c>
      <c r="W390" s="8"/>
      <c r="X390" s="8">
        <v>64.0</v>
      </c>
      <c r="Y390" s="8">
        <v>9.0</v>
      </c>
      <c r="Z390" s="8">
        <v>34.0</v>
      </c>
      <c r="AA390" s="8">
        <v>11.0</v>
      </c>
      <c r="AB390" s="8"/>
      <c r="AC390" s="8">
        <v>70.0</v>
      </c>
      <c r="AD390" s="8">
        <v>4.0</v>
      </c>
      <c r="AE390" s="8">
        <v>43.0</v>
      </c>
      <c r="AF390" s="8">
        <v>16.0</v>
      </c>
    </row>
    <row r="391" ht="15.75" customHeight="1">
      <c r="A391" s="11" t="s">
        <v>73</v>
      </c>
      <c r="B391" s="8">
        <v>85.0</v>
      </c>
      <c r="C391" s="8">
        <v>12.0</v>
      </c>
      <c r="D391" s="8">
        <v>65.0</v>
      </c>
      <c r="E391" s="8">
        <v>11.0</v>
      </c>
      <c r="F391" s="8"/>
      <c r="G391" s="8">
        <v>77.0</v>
      </c>
      <c r="H391" s="8">
        <v>10.0</v>
      </c>
      <c r="I391" s="8">
        <v>58.0</v>
      </c>
      <c r="J391" s="8">
        <v>9.0</v>
      </c>
      <c r="K391" s="8"/>
      <c r="L391" s="8">
        <v>37.0</v>
      </c>
      <c r="M391" s="8">
        <v>5.0</v>
      </c>
      <c r="N391" s="8">
        <v>32.0</v>
      </c>
      <c r="O391" s="8">
        <v>6.0</v>
      </c>
      <c r="R391" s="11" t="s">
        <v>73</v>
      </c>
      <c r="S391" s="8">
        <v>60.0</v>
      </c>
      <c r="T391" s="8">
        <v>13.0</v>
      </c>
      <c r="U391" s="8">
        <v>71.0</v>
      </c>
      <c r="V391" s="8">
        <v>15.0</v>
      </c>
      <c r="W391" s="8"/>
      <c r="X391" s="8">
        <v>48.0</v>
      </c>
      <c r="Y391" s="8">
        <v>8.0</v>
      </c>
      <c r="Z391" s="8">
        <v>84.0</v>
      </c>
      <c r="AA391" s="8">
        <v>17.0</v>
      </c>
      <c r="AB391" s="8"/>
      <c r="AC391" s="8">
        <v>35.0</v>
      </c>
      <c r="AD391" s="8">
        <v>10.0</v>
      </c>
      <c r="AE391" s="8">
        <v>68.0</v>
      </c>
      <c r="AF391" s="8">
        <v>10.0</v>
      </c>
    </row>
    <row r="392" ht="15.75" customHeight="1">
      <c r="A392" s="25" t="s">
        <v>76</v>
      </c>
      <c r="B392" s="51">
        <v>141.0</v>
      </c>
      <c r="C392" s="51">
        <v>9.0</v>
      </c>
      <c r="D392" s="51">
        <v>50.0</v>
      </c>
      <c r="E392" s="51">
        <v>26.0</v>
      </c>
      <c r="F392" s="51"/>
      <c r="G392" s="51">
        <v>129.0</v>
      </c>
      <c r="H392" s="51">
        <v>12.0</v>
      </c>
      <c r="I392" s="51">
        <v>44.0</v>
      </c>
      <c r="J392" s="51">
        <v>29.0</v>
      </c>
      <c r="K392" s="51"/>
      <c r="L392" s="51">
        <v>124.0</v>
      </c>
      <c r="M392" s="51">
        <v>5.0</v>
      </c>
      <c r="N392" s="51">
        <v>23.0</v>
      </c>
      <c r="O392" s="51">
        <v>14.0</v>
      </c>
      <c r="R392" s="25" t="s">
        <v>76</v>
      </c>
      <c r="S392" s="51">
        <v>28.0</v>
      </c>
      <c r="T392" s="51">
        <v>2.0</v>
      </c>
      <c r="U392" s="51">
        <v>12.0</v>
      </c>
      <c r="V392" s="51">
        <v>13.0</v>
      </c>
      <c r="W392" s="51"/>
      <c r="X392" s="51">
        <v>16.0</v>
      </c>
      <c r="Y392" s="51">
        <v>3.0</v>
      </c>
      <c r="Z392" s="51">
        <v>20.0</v>
      </c>
      <c r="AA392" s="51">
        <v>20.0</v>
      </c>
      <c r="AB392" s="51"/>
      <c r="AC392" s="51">
        <v>22.0</v>
      </c>
      <c r="AD392" s="51">
        <v>3.0</v>
      </c>
      <c r="AE392" s="51">
        <v>11.0</v>
      </c>
      <c r="AF392" s="51">
        <v>23.0</v>
      </c>
    </row>
    <row r="393" ht="15.75" customHeight="1">
      <c r="A393" s="10" t="s">
        <v>121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R393" s="10" t="s">
        <v>121</v>
      </c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</row>
    <row r="394" ht="15.75" customHeight="1">
      <c r="A394" s="11" t="s">
        <v>68</v>
      </c>
      <c r="B394" s="8">
        <v>55.0</v>
      </c>
      <c r="C394" s="8">
        <v>13.0</v>
      </c>
      <c r="D394" s="8">
        <v>68.0</v>
      </c>
      <c r="E394" s="8">
        <v>2.0</v>
      </c>
      <c r="F394" s="8"/>
      <c r="G394" s="8">
        <v>58.0</v>
      </c>
      <c r="H394" s="8">
        <v>9.0</v>
      </c>
      <c r="I394" s="8">
        <v>51.0</v>
      </c>
      <c r="J394" s="8">
        <v>7.0</v>
      </c>
      <c r="K394" s="8"/>
      <c r="L394" s="8">
        <v>41.0</v>
      </c>
      <c r="M394" s="8">
        <v>7.0</v>
      </c>
      <c r="N394" s="8">
        <v>18.0</v>
      </c>
      <c r="O394" s="8">
        <v>1.0</v>
      </c>
      <c r="R394" s="11" t="s">
        <v>68</v>
      </c>
      <c r="S394" s="8">
        <v>25.0</v>
      </c>
      <c r="T394" s="8">
        <v>3.0</v>
      </c>
      <c r="U394" s="8">
        <v>14.0</v>
      </c>
      <c r="V394" s="8">
        <v>9.0</v>
      </c>
      <c r="W394" s="8"/>
      <c r="X394" s="8">
        <v>29.0</v>
      </c>
      <c r="Y394" s="8">
        <v>1.0</v>
      </c>
      <c r="Z394" s="8">
        <v>22.0</v>
      </c>
      <c r="AA394" s="8">
        <v>9.0</v>
      </c>
      <c r="AB394" s="8"/>
      <c r="AC394" s="8">
        <v>25.0</v>
      </c>
      <c r="AD394" s="8">
        <v>1.0</v>
      </c>
      <c r="AE394" s="8">
        <v>25.0</v>
      </c>
      <c r="AF394" s="8">
        <v>16.0</v>
      </c>
    </row>
    <row r="395" ht="15.75" customHeight="1">
      <c r="A395" s="11" t="s">
        <v>73</v>
      </c>
      <c r="B395" s="8">
        <v>41.0</v>
      </c>
      <c r="C395" s="8">
        <v>6.0</v>
      </c>
      <c r="D395" s="8">
        <v>25.0</v>
      </c>
      <c r="E395" s="8">
        <v>1.0</v>
      </c>
      <c r="F395" s="8"/>
      <c r="G395" s="8">
        <v>30.0</v>
      </c>
      <c r="H395" s="8">
        <v>2.0</v>
      </c>
      <c r="I395" s="8">
        <v>21.0</v>
      </c>
      <c r="J395" s="8">
        <v>4.0</v>
      </c>
      <c r="K395" s="8"/>
      <c r="L395" s="8">
        <v>16.0</v>
      </c>
      <c r="M395" s="8">
        <v>3.0</v>
      </c>
      <c r="N395" s="8">
        <v>10.0</v>
      </c>
      <c r="O395" s="8">
        <v>4.0</v>
      </c>
      <c r="R395" s="11" t="s">
        <v>73</v>
      </c>
      <c r="S395" s="8">
        <v>33.0</v>
      </c>
      <c r="T395" s="8">
        <v>5.0</v>
      </c>
      <c r="U395" s="8">
        <v>48.0</v>
      </c>
      <c r="V395" s="8">
        <v>12.0</v>
      </c>
      <c r="W395" s="8"/>
      <c r="X395" s="8">
        <v>24.0</v>
      </c>
      <c r="Y395" s="8">
        <v>5.0</v>
      </c>
      <c r="Z395" s="8">
        <v>53.0</v>
      </c>
      <c r="AA395" s="8">
        <v>13.0</v>
      </c>
      <c r="AB395" s="8"/>
      <c r="AC395" s="8">
        <v>24.0</v>
      </c>
      <c r="AD395" s="8">
        <v>7.0</v>
      </c>
      <c r="AE395" s="8">
        <v>47.0</v>
      </c>
      <c r="AF395" s="8">
        <v>8.0</v>
      </c>
    </row>
    <row r="396" ht="15.75" customHeight="1">
      <c r="A396" s="25" t="s">
        <v>76</v>
      </c>
      <c r="B396" s="51">
        <v>37.0</v>
      </c>
      <c r="C396" s="51">
        <v>3.0</v>
      </c>
      <c r="D396" s="51">
        <v>17.0</v>
      </c>
      <c r="E396" s="51">
        <v>5.0</v>
      </c>
      <c r="F396" s="51"/>
      <c r="G396" s="51">
        <v>34.0</v>
      </c>
      <c r="H396" s="51">
        <v>2.0</v>
      </c>
      <c r="I396" s="51">
        <v>15.0</v>
      </c>
      <c r="J396" s="51">
        <v>11.0</v>
      </c>
      <c r="K396" s="51"/>
      <c r="L396" s="51">
        <v>32.0</v>
      </c>
      <c r="M396" s="51">
        <v>1.0</v>
      </c>
      <c r="N396" s="51">
        <v>3.0</v>
      </c>
      <c r="O396" s="51">
        <v>1.0</v>
      </c>
      <c r="R396" s="25" t="s">
        <v>76</v>
      </c>
      <c r="S396" s="51">
        <v>4.0</v>
      </c>
      <c r="T396" s="51">
        <v>1.0</v>
      </c>
      <c r="U396" s="51">
        <v>3.0</v>
      </c>
      <c r="V396" s="51">
        <v>2.0</v>
      </c>
      <c r="W396" s="51"/>
      <c r="X396" s="51">
        <v>5.0</v>
      </c>
      <c r="Y396" s="51">
        <v>1.0</v>
      </c>
      <c r="Z396" s="51">
        <v>12.0</v>
      </c>
      <c r="AA396" s="51">
        <v>2.0</v>
      </c>
      <c r="AB396" s="51"/>
      <c r="AC396" s="51">
        <v>8.0</v>
      </c>
      <c r="AD396" s="51">
        <v>3.0</v>
      </c>
      <c r="AE396" s="51">
        <v>3.0</v>
      </c>
      <c r="AF396" s="51">
        <v>3.0</v>
      </c>
    </row>
    <row r="397" ht="15.75" customHeight="1">
      <c r="A397" s="2" t="s">
        <v>122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R397" s="2" t="s">
        <v>122</v>
      </c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ht="15.75" customHeight="1">
      <c r="A398" s="11" t="s">
        <v>68</v>
      </c>
      <c r="B398" s="8">
        <v>257.0</v>
      </c>
      <c r="C398" s="8">
        <v>22.0</v>
      </c>
      <c r="D398" s="8">
        <v>38.0</v>
      </c>
      <c r="E398" s="8">
        <v>7.0</v>
      </c>
      <c r="F398" s="8"/>
      <c r="G398" s="8">
        <v>217.0</v>
      </c>
      <c r="H398" s="8">
        <v>24.0</v>
      </c>
      <c r="I398" s="8">
        <v>58.0</v>
      </c>
      <c r="J398" s="8">
        <v>9.0</v>
      </c>
      <c r="K398" s="8"/>
      <c r="L398" s="8">
        <v>236.0</v>
      </c>
      <c r="M398" s="8">
        <v>35.0</v>
      </c>
      <c r="N398" s="8">
        <v>34.0</v>
      </c>
      <c r="O398" s="8">
        <v>1.0</v>
      </c>
      <c r="R398" s="11" t="s">
        <v>68</v>
      </c>
      <c r="S398" s="8">
        <v>181.0</v>
      </c>
      <c r="T398" s="8">
        <v>13.0</v>
      </c>
      <c r="U398" s="8">
        <v>55.0</v>
      </c>
      <c r="V398" s="8">
        <v>54.0</v>
      </c>
      <c r="W398" s="8"/>
      <c r="X398" s="8">
        <v>148.0</v>
      </c>
      <c r="Y398" s="8">
        <v>8.0</v>
      </c>
      <c r="Z398" s="8">
        <v>48.0</v>
      </c>
      <c r="AA398" s="8">
        <v>52.0</v>
      </c>
      <c r="AB398" s="8"/>
      <c r="AC398" s="8">
        <v>139.0</v>
      </c>
      <c r="AD398" s="8">
        <v>11.0</v>
      </c>
      <c r="AE398" s="8">
        <v>77.0</v>
      </c>
      <c r="AF398" s="8">
        <v>56.0</v>
      </c>
    </row>
    <row r="399" ht="15.75" customHeight="1">
      <c r="A399" s="11" t="s">
        <v>73</v>
      </c>
      <c r="B399" s="8">
        <v>164.0</v>
      </c>
      <c r="C399" s="8">
        <v>25.0</v>
      </c>
      <c r="D399" s="8">
        <v>47.0</v>
      </c>
      <c r="E399" s="8">
        <v>8.0</v>
      </c>
      <c r="F399" s="8"/>
      <c r="G399" s="8">
        <v>191.0</v>
      </c>
      <c r="H399" s="8">
        <v>28.0</v>
      </c>
      <c r="I399" s="8">
        <v>40.0</v>
      </c>
      <c r="J399" s="8">
        <v>8.0</v>
      </c>
      <c r="K399" s="8"/>
      <c r="L399" s="8">
        <v>228.0</v>
      </c>
      <c r="M399" s="8">
        <v>29.0</v>
      </c>
      <c r="N399" s="8">
        <v>26.0</v>
      </c>
      <c r="O399" s="8">
        <v>0.0</v>
      </c>
      <c r="R399" s="11" t="s">
        <v>73</v>
      </c>
      <c r="S399" s="8">
        <v>96.0</v>
      </c>
      <c r="T399" s="8">
        <v>16.0</v>
      </c>
      <c r="U399" s="8">
        <v>126.0</v>
      </c>
      <c r="V399" s="8">
        <v>16.0</v>
      </c>
      <c r="W399" s="8"/>
      <c r="X399" s="8">
        <v>93.0</v>
      </c>
      <c r="Y399" s="8">
        <v>20.0</v>
      </c>
      <c r="Z399" s="8">
        <v>126.0</v>
      </c>
      <c r="AA399" s="8">
        <v>14.0</v>
      </c>
      <c r="AB399" s="8"/>
      <c r="AC399" s="8">
        <v>115.0</v>
      </c>
      <c r="AD399" s="8">
        <v>19.0</v>
      </c>
      <c r="AE399" s="8">
        <v>187.0</v>
      </c>
      <c r="AF399" s="8">
        <v>24.0</v>
      </c>
    </row>
    <row r="400" ht="15.75" customHeight="1">
      <c r="A400" s="25" t="s">
        <v>76</v>
      </c>
      <c r="B400" s="8">
        <v>134.0</v>
      </c>
      <c r="C400" s="8">
        <v>16.0</v>
      </c>
      <c r="D400" s="8">
        <v>37.0</v>
      </c>
      <c r="E400" s="8">
        <v>12.0</v>
      </c>
      <c r="F400" s="8"/>
      <c r="G400" s="8">
        <v>152.0</v>
      </c>
      <c r="H400" s="8">
        <v>11.0</v>
      </c>
      <c r="I400" s="8">
        <v>25.0</v>
      </c>
      <c r="J400" s="8">
        <v>8.0</v>
      </c>
      <c r="K400" s="8"/>
      <c r="L400" s="8">
        <v>138.0</v>
      </c>
      <c r="M400" s="8">
        <v>21.0</v>
      </c>
      <c r="N400" s="8">
        <v>15.0</v>
      </c>
      <c r="O400" s="8">
        <v>15.0</v>
      </c>
      <c r="R400" s="25" t="s">
        <v>76</v>
      </c>
      <c r="S400" s="8">
        <v>18.0</v>
      </c>
      <c r="T400" s="8">
        <v>4.0</v>
      </c>
      <c r="U400" s="8">
        <v>42.0</v>
      </c>
      <c r="V400" s="8">
        <v>7.0</v>
      </c>
      <c r="W400" s="8"/>
      <c r="X400" s="8">
        <v>19.0</v>
      </c>
      <c r="Y400" s="8">
        <v>3.0</v>
      </c>
      <c r="Z400" s="8">
        <v>46.0</v>
      </c>
      <c r="AA400" s="8">
        <v>10.0</v>
      </c>
      <c r="AB400" s="8"/>
      <c r="AC400" s="8">
        <v>18.0</v>
      </c>
      <c r="AD400" s="8">
        <v>2.0</v>
      </c>
      <c r="AE400" s="8">
        <v>63.0</v>
      </c>
      <c r="AF400" s="8">
        <v>21.0</v>
      </c>
    </row>
    <row r="401" ht="15.75" customHeight="1">
      <c r="A401" s="45" t="s">
        <v>123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R401" s="45" t="s">
        <v>123</v>
      </c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15.75" customHeight="1">
      <c r="A402" s="47" t="s">
        <v>68</v>
      </c>
      <c r="B402" s="14">
        <f>B382/$P$143*100</f>
        <v>64.08839779</v>
      </c>
      <c r="C402" s="14">
        <f>C382/$P$159*100</f>
        <v>74.63157895</v>
      </c>
      <c r="D402" s="14">
        <f>D382/$P$175*100</f>
        <v>70.55837563</v>
      </c>
      <c r="E402" s="14">
        <f>E382/$P$127*100</f>
        <v>21.64948454</v>
      </c>
      <c r="F402" s="33">
        <f t="shared" ref="F402:F404" si="248">AVERAGE(B402:E402)</f>
        <v>57.73195923</v>
      </c>
      <c r="G402" s="14">
        <f>G382/$P$144*100</f>
        <v>65.61443067</v>
      </c>
      <c r="H402" s="14">
        <f>H382/$P$160*100</f>
        <v>76.77624602</v>
      </c>
      <c r="I402" s="14">
        <f>I382/$P$176*100</f>
        <v>72.50437828</v>
      </c>
      <c r="J402" s="14">
        <f>J382/$P$128*100</f>
        <v>28.84615385</v>
      </c>
      <c r="K402" s="33">
        <f t="shared" ref="K402:K404" si="249">AVERAGE(G402:J402)</f>
        <v>60.9353022</v>
      </c>
      <c r="L402" s="14">
        <f>L382/$P$145*100</f>
        <v>65.75192097</v>
      </c>
      <c r="M402" s="14">
        <f>M382/$P$161*100</f>
        <v>72.02572347</v>
      </c>
      <c r="N402" s="14">
        <f>N382/$P$177*100</f>
        <v>49.37759336</v>
      </c>
      <c r="O402" s="14">
        <f>O382/$P$129*100</f>
        <v>5.434782609</v>
      </c>
      <c r="P402" s="33">
        <f t="shared" ref="P402:P404" si="250">AVERAGE(L402:O402)</f>
        <v>48.1475051</v>
      </c>
      <c r="R402" s="47" t="s">
        <v>68</v>
      </c>
      <c r="S402" s="14">
        <f>S382/$P$143*100</f>
        <v>35.91160221</v>
      </c>
      <c r="T402" s="14">
        <f>T382/$P$159*100</f>
        <v>25.36842105</v>
      </c>
      <c r="U402" s="14">
        <f>U382/$P$175*100</f>
        <v>29.44162437</v>
      </c>
      <c r="V402" s="14">
        <f>V382/$P$127*100</f>
        <v>78.35051546</v>
      </c>
      <c r="W402" s="33">
        <f t="shared" ref="W402:W404" si="251">AVERAGE(S402:V402)</f>
        <v>42.26804077</v>
      </c>
      <c r="X402" s="14">
        <f>X382/$P$144*100</f>
        <v>34.38556933</v>
      </c>
      <c r="Y402" s="14">
        <f>Y382/$P$160*100</f>
        <v>23.22375398</v>
      </c>
      <c r="Z402" s="14">
        <f>Z382/$P$176*100</f>
        <v>27.49562172</v>
      </c>
      <c r="AA402" s="14">
        <f>AA382/$P$128*100</f>
        <v>71.15384615</v>
      </c>
      <c r="AB402" s="33">
        <f t="shared" ref="AB402:AB404" si="252">AVERAGE(X402:AA402)</f>
        <v>39.0646978</v>
      </c>
      <c r="AC402" s="14">
        <f>AC382/$P$145*100</f>
        <v>34.24807903</v>
      </c>
      <c r="AD402" s="14">
        <f>AD382/$P$161*100</f>
        <v>27.97427653</v>
      </c>
      <c r="AE402" s="14">
        <f>AE382/$P$177*100</f>
        <v>50.62240664</v>
      </c>
      <c r="AF402" s="14">
        <f>AF382/$P$129*100</f>
        <v>94.56521739</v>
      </c>
      <c r="AG402" s="33">
        <f t="shared" ref="AG402:AG404" si="253">AVERAGE(AC402:AF402)</f>
        <v>51.8524949</v>
      </c>
    </row>
    <row r="403" ht="15.75" customHeight="1">
      <c r="A403" s="47" t="s">
        <v>73</v>
      </c>
      <c r="B403" s="14">
        <f>B383/$P$135*100</f>
        <v>64.45993031</v>
      </c>
      <c r="C403" s="14">
        <f>C383/$P$151*100</f>
        <v>67.7173913</v>
      </c>
      <c r="D403" s="14">
        <f>D383/$P$167*100</f>
        <v>45.40229885</v>
      </c>
      <c r="E403" s="14">
        <f>E383/$P$119*100</f>
        <v>37.06293706</v>
      </c>
      <c r="F403" s="33">
        <f t="shared" si="248"/>
        <v>53.66063938</v>
      </c>
      <c r="G403" s="14">
        <f>G383/$P$136*100</f>
        <v>68.56148492</v>
      </c>
      <c r="H403" s="14">
        <f>H383/$P$152*100</f>
        <v>73.70689655</v>
      </c>
      <c r="I403" s="14">
        <f>I383/$P$168*100</f>
        <v>44.31372549</v>
      </c>
      <c r="J403" s="14">
        <f>J383/$P$120*100</f>
        <v>40.94488189</v>
      </c>
      <c r="K403" s="33">
        <f t="shared" si="249"/>
        <v>56.88174721</v>
      </c>
      <c r="L403" s="14">
        <f>L383/$P$137*100</f>
        <v>67.35632184</v>
      </c>
      <c r="M403" s="14">
        <f>M383/$P$153*100</f>
        <v>74.21451788</v>
      </c>
      <c r="N403" s="14">
        <f>N383/$P$169*100</f>
        <v>35.07014028</v>
      </c>
      <c r="O403" s="14">
        <f>O383/$P$121*100</f>
        <v>22</v>
      </c>
      <c r="P403" s="33">
        <f t="shared" si="250"/>
        <v>49.660245</v>
      </c>
      <c r="R403" s="47" t="s">
        <v>73</v>
      </c>
      <c r="S403" s="14">
        <f>S383/$P$135*100</f>
        <v>35.54006969</v>
      </c>
      <c r="T403" s="14">
        <f>T383/$P$151*100</f>
        <v>32.2826087</v>
      </c>
      <c r="U403" s="14">
        <f>U383/$P$167*100</f>
        <v>54.59770115</v>
      </c>
      <c r="V403" s="14">
        <f>V383/$P$119*100</f>
        <v>62.93706294</v>
      </c>
      <c r="W403" s="33">
        <f t="shared" si="251"/>
        <v>46.33936062</v>
      </c>
      <c r="X403" s="14">
        <f>X383/$P$136*100</f>
        <v>31.43851508</v>
      </c>
      <c r="Y403" s="14">
        <f>Y383/$P$152*100</f>
        <v>26.29310345</v>
      </c>
      <c r="Z403" s="14">
        <f>Z383/$P$168*100</f>
        <v>55.68627451</v>
      </c>
      <c r="AA403" s="14">
        <f>AA383/$P$120*100</f>
        <v>59.05511811</v>
      </c>
      <c r="AB403" s="33">
        <f t="shared" si="252"/>
        <v>43.11825279</v>
      </c>
      <c r="AC403" s="14">
        <f>AC383/$P$137*100</f>
        <v>32.64367816</v>
      </c>
      <c r="AD403" s="14">
        <f>AD383/$P$153*100</f>
        <v>25.78548212</v>
      </c>
      <c r="AE403" s="14">
        <f>AE383/$P$169*100</f>
        <v>64.92985972</v>
      </c>
      <c r="AF403" s="14">
        <f>AF383/$P$121*100</f>
        <v>78</v>
      </c>
      <c r="AG403" s="33">
        <f t="shared" si="253"/>
        <v>50.339755</v>
      </c>
    </row>
    <row r="404" ht="15.75" customHeight="1">
      <c r="A404" s="47" t="s">
        <v>76</v>
      </c>
      <c r="B404" s="70">
        <f>B384/$P$131*100</f>
        <v>85.42094456</v>
      </c>
      <c r="C404" s="70">
        <f>C384/$P$147*100</f>
        <v>74.44933921</v>
      </c>
      <c r="D404" s="70">
        <f>D384/$P$163*100</f>
        <v>66.55405405</v>
      </c>
      <c r="E404" s="70">
        <f>E384/$P$115*100</f>
        <v>63.85542169</v>
      </c>
      <c r="F404" s="33">
        <f t="shared" si="248"/>
        <v>72.56993988</v>
      </c>
      <c r="G404" s="70">
        <f>G384/$P$132*100</f>
        <v>88.21138211</v>
      </c>
      <c r="H404" s="70">
        <f>H384/$P$148*100</f>
        <v>74.72283814</v>
      </c>
      <c r="I404" s="70">
        <f>I384/$P$164*100</f>
        <v>60.3960396</v>
      </c>
      <c r="J404" s="70">
        <f>J384/$P$116*100</f>
        <v>55.55555556</v>
      </c>
      <c r="K404" s="33">
        <f t="shared" si="249"/>
        <v>69.72145385</v>
      </c>
      <c r="L404" s="70">
        <f>L384/$P$133*100</f>
        <v>85.05494505</v>
      </c>
      <c r="M404" s="70">
        <f>M384/$P$149*100</f>
        <v>73.31786543</v>
      </c>
      <c r="N404" s="70">
        <f>N384/$P$165*100</f>
        <v>45.34412955</v>
      </c>
      <c r="O404" s="70">
        <f>O384/$P$117*100</f>
        <v>40</v>
      </c>
      <c r="P404" s="33">
        <f t="shared" si="250"/>
        <v>60.92923501</v>
      </c>
      <c r="R404" s="47" t="s">
        <v>76</v>
      </c>
      <c r="S404" s="70">
        <f>S384/$P$131*100</f>
        <v>14.57905544</v>
      </c>
      <c r="T404" s="70">
        <f>T384/$P$147*100</f>
        <v>25.55066079</v>
      </c>
      <c r="U404" s="70">
        <f>U384/$P$163*100</f>
        <v>33.44594595</v>
      </c>
      <c r="V404" s="70">
        <f>V384/$P$115*100</f>
        <v>36.14457831</v>
      </c>
      <c r="W404" s="33">
        <f t="shared" si="251"/>
        <v>27.43006012</v>
      </c>
      <c r="X404" s="70">
        <f>X384/$P$132*100</f>
        <v>11.78861789</v>
      </c>
      <c r="Y404" s="70">
        <f>Y384/$P$148*100</f>
        <v>25.27716186</v>
      </c>
      <c r="Z404" s="70">
        <f>Z384/$P$164*100</f>
        <v>39.6039604</v>
      </c>
      <c r="AA404" s="70">
        <f>AA384/$P$116*100</f>
        <v>44.44444444</v>
      </c>
      <c r="AB404" s="33">
        <f t="shared" si="252"/>
        <v>30.27854615</v>
      </c>
      <c r="AC404" s="70">
        <f>AC384/$P$133*100</f>
        <v>14.94505495</v>
      </c>
      <c r="AD404" s="70">
        <f>AD384/$P$149*100</f>
        <v>26.68213457</v>
      </c>
      <c r="AE404" s="70">
        <f>AE384/$P$165*100</f>
        <v>54.65587045</v>
      </c>
      <c r="AF404" s="70">
        <f>AF384/$P$117*100</f>
        <v>60</v>
      </c>
      <c r="AG404" s="33">
        <f t="shared" si="253"/>
        <v>39.07076499</v>
      </c>
    </row>
    <row r="405" ht="15.75" customHeight="1">
      <c r="A405" s="10" t="s">
        <v>130</v>
      </c>
      <c r="B405" s="24"/>
      <c r="C405" s="24"/>
      <c r="D405" s="24"/>
      <c r="E405" s="24"/>
      <c r="F405" s="190">
        <f>AVERAGE(B402:E404)</f>
        <v>61.32084616</v>
      </c>
      <c r="G405" s="10"/>
      <c r="H405" s="10"/>
      <c r="I405" s="10"/>
      <c r="J405" s="10"/>
      <c r="K405" s="190">
        <f>AVERAGE(G402:J404)</f>
        <v>62.51283442</v>
      </c>
      <c r="L405" s="10"/>
      <c r="M405" s="10"/>
      <c r="N405" s="10"/>
      <c r="O405" s="10"/>
      <c r="P405" s="190">
        <f>AVERAGE(L402:O404)</f>
        <v>52.91232837</v>
      </c>
      <c r="R405" s="10" t="s">
        <v>130</v>
      </c>
      <c r="S405" s="24"/>
      <c r="T405" s="24"/>
      <c r="U405" s="24"/>
      <c r="V405" s="24"/>
      <c r="W405" s="190">
        <f>AVERAGE(S402:V404)</f>
        <v>38.67915384</v>
      </c>
      <c r="X405" s="10"/>
      <c r="Y405" s="10"/>
      <c r="Z405" s="10"/>
      <c r="AA405" s="10"/>
      <c r="AB405" s="190">
        <f>AVERAGE(X402:AA404)</f>
        <v>37.48716558</v>
      </c>
      <c r="AC405" s="10"/>
      <c r="AD405" s="10"/>
      <c r="AE405" s="10"/>
      <c r="AF405" s="10"/>
      <c r="AG405" s="190">
        <f>AVERAGE(AC402:AF404)</f>
        <v>47.08767163</v>
      </c>
    </row>
    <row r="406" ht="15.75" customHeight="1">
      <c r="A406" s="11" t="s">
        <v>68</v>
      </c>
      <c r="B406" s="14">
        <f>B386/$H$143*100</f>
        <v>59.22330097</v>
      </c>
      <c r="C406" s="14">
        <f>C386/$H$159*100</f>
        <v>72.72727273</v>
      </c>
      <c r="D406" s="14">
        <f>D386/$H$175*100</f>
        <v>35.29411765</v>
      </c>
      <c r="E406" s="14">
        <f>E386/$H$127*100</f>
        <v>28.57142857</v>
      </c>
      <c r="F406" s="33">
        <f t="shared" ref="F406:F408" si="254">AVERAGE(B406:E406)</f>
        <v>48.95402998</v>
      </c>
      <c r="G406" s="14">
        <f>G386/$H$144*100</f>
        <v>53.53535354</v>
      </c>
      <c r="H406" s="14">
        <f>H386/$H$160*100</f>
        <v>66.66666667</v>
      </c>
      <c r="I406" s="14">
        <f>I386/$H$176*100</f>
        <v>48.48484848</v>
      </c>
      <c r="J406" s="14">
        <f>J386/$H$128*100</f>
        <v>40</v>
      </c>
      <c r="K406" s="33">
        <f t="shared" ref="K406:K408" si="255">AVERAGE(G406:J406)</f>
        <v>52.17171717</v>
      </c>
      <c r="L406" s="14">
        <f>L386/$H$145*100</f>
        <v>52.38095238</v>
      </c>
      <c r="M406" s="14">
        <f>M386/$H$161*100</f>
        <v>71.42857143</v>
      </c>
      <c r="N406" s="14">
        <f>N386/$H$177*100</f>
        <v>40.625</v>
      </c>
      <c r="O406" s="14">
        <f>O386/$H$129*100</f>
        <v>14.28571429</v>
      </c>
      <c r="P406" s="33">
        <f t="shared" ref="P406:P408" si="256">AVERAGE(L406:O406)</f>
        <v>44.68005952</v>
      </c>
      <c r="R406" s="11" t="s">
        <v>68</v>
      </c>
      <c r="S406" s="14">
        <f>S386/$H$143*100</f>
        <v>40.77669903</v>
      </c>
      <c r="T406" s="14">
        <f>T386/$H$159*100</f>
        <v>27.27272727</v>
      </c>
      <c r="U406" s="14">
        <f>U386/$H$175*100</f>
        <v>64.70588235</v>
      </c>
      <c r="V406" s="14">
        <f>V386/$H$127*100</f>
        <v>71.42857143</v>
      </c>
      <c r="W406" s="33">
        <f t="shared" ref="W406:W408" si="257">AVERAGE(S406:V406)</f>
        <v>51.04597002</v>
      </c>
      <c r="X406" s="14">
        <f>X386/$H$144*100</f>
        <v>46.46464646</v>
      </c>
      <c r="Y406" s="14">
        <f>Y386/$H$160*100</f>
        <v>33.33333333</v>
      </c>
      <c r="Z406" s="14">
        <f>Z386/$H$176*100</f>
        <v>51.51515152</v>
      </c>
      <c r="AA406" s="14">
        <f>AA386/$H$128*100</f>
        <v>60</v>
      </c>
      <c r="AB406" s="33">
        <f t="shared" ref="AB406:AB408" si="258">AVERAGE(X406:AA406)</f>
        <v>47.82828283</v>
      </c>
      <c r="AC406" s="14">
        <f>AC386/$H$145*100</f>
        <v>47.61904762</v>
      </c>
      <c r="AD406" s="14">
        <f>AD386/$H$161*100</f>
        <v>28.57142857</v>
      </c>
      <c r="AE406" s="14">
        <f>AE386/$H$177*100</f>
        <v>59.375</v>
      </c>
      <c r="AF406" s="14">
        <f>AF386/$H$129*100</f>
        <v>85.71428571</v>
      </c>
      <c r="AG406" s="33">
        <f t="shared" ref="AG406:AG408" si="259">AVERAGE(AC406:AF406)</f>
        <v>55.31994048</v>
      </c>
    </row>
    <row r="407" ht="15.75" customHeight="1">
      <c r="A407" s="11" t="s">
        <v>73</v>
      </c>
      <c r="B407" s="14">
        <f>B387/$H$135*100</f>
        <v>69.51219512</v>
      </c>
      <c r="C407" s="14">
        <f>C387/$H$151*100</f>
        <v>42.10526316</v>
      </c>
      <c r="D407" s="14">
        <f>D387/$H$167*100</f>
        <v>52.38095238</v>
      </c>
      <c r="E407" s="14">
        <f>E387/$H$119*100</f>
        <v>55</v>
      </c>
      <c r="F407" s="33">
        <f t="shared" si="254"/>
        <v>54.74960267</v>
      </c>
      <c r="G407" s="14">
        <f>G387/$H$136*100</f>
        <v>72.06703911</v>
      </c>
      <c r="H407" s="14">
        <f>H387/$H$152*100</f>
        <v>72.72727273</v>
      </c>
      <c r="I407" s="14">
        <f>I387/$H$168*100</f>
        <v>71.42857143</v>
      </c>
      <c r="J407" s="14">
        <f>J387/$H$120*100</f>
        <v>55.55555556</v>
      </c>
      <c r="K407" s="33">
        <f t="shared" si="255"/>
        <v>67.9446097</v>
      </c>
      <c r="L407" s="14">
        <f>L387/$H$137*100</f>
        <v>75.22123894</v>
      </c>
      <c r="M407" s="14">
        <f>M387/$H$153*100</f>
        <v>58.82352941</v>
      </c>
      <c r="N407" s="14">
        <f>N387/$H$169*100</f>
        <v>60</v>
      </c>
      <c r="O407" s="14">
        <f>O387/$H$121*100</f>
        <v>18.75</v>
      </c>
      <c r="P407" s="33">
        <f t="shared" si="256"/>
        <v>53.19869209</v>
      </c>
      <c r="R407" s="11" t="s">
        <v>73</v>
      </c>
      <c r="S407" s="14">
        <f>S387/$H$135*100</f>
        <v>30.48780488</v>
      </c>
      <c r="T407" s="14">
        <f>T387/$H$151*100</f>
        <v>57.89473684</v>
      </c>
      <c r="U407" s="14">
        <f>U387/$H$167*100</f>
        <v>47.61904762</v>
      </c>
      <c r="V407" s="14">
        <f>V387/$H$119*100</f>
        <v>45</v>
      </c>
      <c r="W407" s="33">
        <f t="shared" si="257"/>
        <v>45.25039733</v>
      </c>
      <c r="X407" s="14">
        <f>X387/$H$136*100</f>
        <v>27.93296089</v>
      </c>
      <c r="Y407" s="14">
        <f>Y387/$H$152*100</f>
        <v>27.27272727</v>
      </c>
      <c r="Z407" s="14">
        <f>Z387/$H$168*100</f>
        <v>28.57142857</v>
      </c>
      <c r="AA407" s="14">
        <f>AA387/$H$120*100</f>
        <v>44.44444444</v>
      </c>
      <c r="AB407" s="33">
        <f t="shared" si="258"/>
        <v>32.0553903</v>
      </c>
      <c r="AC407" s="14">
        <f>AC387/$H$137*100</f>
        <v>24.77876106</v>
      </c>
      <c r="AD407" s="14">
        <f>AD387/$H$153*100</f>
        <v>41.17647059</v>
      </c>
      <c r="AE407" s="14">
        <f>AE387/$H$169*100</f>
        <v>40</v>
      </c>
      <c r="AF407" s="14">
        <f>AF387/$H$121*100</f>
        <v>81.25</v>
      </c>
      <c r="AG407" s="33">
        <f t="shared" si="259"/>
        <v>46.80130791</v>
      </c>
    </row>
    <row r="408" ht="15.75" customHeight="1">
      <c r="A408" s="25" t="s">
        <v>76</v>
      </c>
      <c r="B408" s="70">
        <f>B388/$H$131*100</f>
        <v>80</v>
      </c>
      <c r="C408" s="70">
        <f>C388/$H$147*100</f>
        <v>80</v>
      </c>
      <c r="D408" s="70">
        <f>D388/$H$163*100</f>
        <v>40</v>
      </c>
      <c r="E408" s="70">
        <f>E388/$H$115*100</f>
        <v>62.5</v>
      </c>
      <c r="F408" s="33">
        <f t="shared" si="254"/>
        <v>65.625</v>
      </c>
      <c r="G408" s="70">
        <f>G388/$H$132*100</f>
        <v>90</v>
      </c>
      <c r="H408" s="70">
        <f>H388/$H$148*100</f>
        <v>100</v>
      </c>
      <c r="I408" s="70">
        <f>I388/$H$164*100</f>
        <v>35.29411765</v>
      </c>
      <c r="J408" s="70">
        <f>J388/$H$116*100</f>
        <v>33.33333333</v>
      </c>
      <c r="K408" s="33">
        <f t="shared" si="255"/>
        <v>64.65686275</v>
      </c>
      <c r="L408" s="70">
        <f>L388/$H$133*100</f>
        <v>83.33333333</v>
      </c>
      <c r="M408" s="70">
        <f>M388/$H$149*100</f>
        <v>33.33333333</v>
      </c>
      <c r="N408" s="70">
        <f>N388/$H$165*100</f>
        <v>16.66666667</v>
      </c>
      <c r="O408" s="70">
        <f>O388/$H$117*100</f>
        <v>38.88888889</v>
      </c>
      <c r="P408" s="33">
        <f t="shared" si="256"/>
        <v>43.05555556</v>
      </c>
      <c r="R408" s="25" t="s">
        <v>76</v>
      </c>
      <c r="S408" s="70">
        <f>S388/$H$131*100</f>
        <v>20</v>
      </c>
      <c r="T408" s="70">
        <f>T388/$H$147*100</f>
        <v>20</v>
      </c>
      <c r="U408" s="70">
        <f>U388/$H$163*100</f>
        <v>60</v>
      </c>
      <c r="V408" s="70">
        <f>V388/$H$115*100</f>
        <v>37.5</v>
      </c>
      <c r="W408" s="33">
        <f t="shared" si="257"/>
        <v>34.375</v>
      </c>
      <c r="X408" s="70">
        <f>X388/$H$132*100</f>
        <v>10</v>
      </c>
      <c r="Y408" s="70">
        <f>Y388/$H$148*100</f>
        <v>0</v>
      </c>
      <c r="Z408" s="70">
        <f>Z388/$H$164*100</f>
        <v>64.70588235</v>
      </c>
      <c r="AA408" s="70">
        <f>AA388/$H$116*100</f>
        <v>66.66666667</v>
      </c>
      <c r="AB408" s="33">
        <f t="shared" si="258"/>
        <v>35.34313725</v>
      </c>
      <c r="AC408" s="70">
        <f>AC388/$H$133*100</f>
        <v>16.66666667</v>
      </c>
      <c r="AD408" s="70">
        <f>AD388/$H$149*100</f>
        <v>66.66666667</v>
      </c>
      <c r="AE408" s="70">
        <f>AE388/$H$165*100</f>
        <v>83.33333333</v>
      </c>
      <c r="AF408" s="70">
        <f>AF388/$H$117*100</f>
        <v>61.11111111</v>
      </c>
      <c r="AG408" s="33">
        <f t="shared" si="259"/>
        <v>56.94444444</v>
      </c>
    </row>
    <row r="409" ht="15.75" customHeight="1">
      <c r="A409" s="10" t="s">
        <v>139</v>
      </c>
      <c r="B409" s="24"/>
      <c r="C409" s="24"/>
      <c r="D409" s="24"/>
      <c r="E409" s="24"/>
      <c r="F409" s="190">
        <f>AVERAGE(B406:E408)</f>
        <v>56.44287755</v>
      </c>
      <c r="G409" s="10"/>
      <c r="H409" s="10"/>
      <c r="I409" s="10"/>
      <c r="J409" s="10"/>
      <c r="K409" s="190">
        <f>AVERAGE(G406:J408)</f>
        <v>61.59106321</v>
      </c>
      <c r="L409" s="10"/>
      <c r="M409" s="10"/>
      <c r="N409" s="10"/>
      <c r="O409" s="10"/>
      <c r="P409" s="190">
        <f>AVERAGE(L406:O408)</f>
        <v>46.97810239</v>
      </c>
      <c r="R409" s="10" t="s">
        <v>139</v>
      </c>
      <c r="S409" s="24"/>
      <c r="T409" s="24"/>
      <c r="U409" s="24"/>
      <c r="V409" s="24"/>
      <c r="W409" s="190">
        <f>AVERAGE(S406:V408)</f>
        <v>43.55712245</v>
      </c>
      <c r="X409" s="10"/>
      <c r="Y409" s="10"/>
      <c r="Z409" s="10"/>
      <c r="AA409" s="10"/>
      <c r="AB409" s="190">
        <f>AVERAGE(X406:AA408)</f>
        <v>38.40893679</v>
      </c>
      <c r="AC409" s="10"/>
      <c r="AD409" s="10"/>
      <c r="AE409" s="10"/>
      <c r="AF409" s="10"/>
      <c r="AG409" s="190">
        <f>AVERAGE(AC406:AF408)</f>
        <v>53.02189761</v>
      </c>
    </row>
    <row r="410" ht="15.75" customHeight="1">
      <c r="A410" s="11" t="s">
        <v>68</v>
      </c>
      <c r="B410" s="14">
        <f>B390/($L$143+$M$143)*100</f>
        <v>73.68421053</v>
      </c>
      <c r="C410" s="14">
        <f>C390/($L$159+$M$159)*100</f>
        <v>79.41176471</v>
      </c>
      <c r="D410" s="14">
        <f>D390/($L$175+$M$175)*100</f>
        <v>80.625</v>
      </c>
      <c r="E410" s="14">
        <f>E390/($L$127+$M$127)*100</f>
        <v>28.57142857</v>
      </c>
      <c r="F410" s="33">
        <f t="shared" ref="F410:F412" si="260">AVERAGE(B410:E410)</f>
        <v>65.57310095</v>
      </c>
      <c r="G410" s="14">
        <f>G390/($L$144+$M$144)*100</f>
        <v>71.8061674</v>
      </c>
      <c r="H410" s="14">
        <f>H390/($L$160+$M$160)*100</f>
        <v>74.28571429</v>
      </c>
      <c r="I410" s="14">
        <f>I390/($L$176+$M$176)*100</f>
        <v>74.81481481</v>
      </c>
      <c r="J410" s="14">
        <f>J390/($L$128+$M$128)*100</f>
        <v>38.88888889</v>
      </c>
      <c r="K410" s="33">
        <f t="shared" ref="K410:K412" si="261">AVERAGE(G410:J410)</f>
        <v>64.94889635</v>
      </c>
      <c r="L410" s="14">
        <f>L390/($L$145+$M$145)*100</f>
        <v>70.83333333</v>
      </c>
      <c r="M410" s="14">
        <f>M390/($L$161+$M$161)*100</f>
        <v>82.60869565</v>
      </c>
      <c r="N410" s="14">
        <f>N390/($L$177+$M$177)*100</f>
        <v>44.87179487</v>
      </c>
      <c r="O410" s="14">
        <f>O390/($L$129+$M$129)*100</f>
        <v>5.882352941</v>
      </c>
      <c r="P410" s="33">
        <f t="shared" ref="P410:P412" si="262">AVERAGE(L410:O410)</f>
        <v>51.0490442</v>
      </c>
      <c r="R410" s="11" t="s">
        <v>68</v>
      </c>
      <c r="S410" s="14">
        <f>S390/($L$143+$M$143)*100</f>
        <v>26.31578947</v>
      </c>
      <c r="T410" s="14">
        <f>T390/($L$159+$M$159)*100</f>
        <v>20.58823529</v>
      </c>
      <c r="U410" s="14">
        <f>U390/($L$175+$M$175)*100</f>
        <v>19.375</v>
      </c>
      <c r="V410" s="14">
        <f>V390/($L$127+$M$127)*100</f>
        <v>71.42857143</v>
      </c>
      <c r="W410" s="33">
        <f t="shared" ref="W410:W412" si="263">AVERAGE(S410:V410)</f>
        <v>34.42689905</v>
      </c>
      <c r="X410" s="14">
        <f>X390/($L$144+$M$144)*100</f>
        <v>28.1938326</v>
      </c>
      <c r="Y410" s="14">
        <f>Y390/($L$160+$M$160)*100</f>
        <v>25.71428571</v>
      </c>
      <c r="Z410" s="14">
        <f>Z390/($L$176+$M$176)*100</f>
        <v>25.18518519</v>
      </c>
      <c r="AA410" s="14">
        <f>AA390/($L$128+$M$128)*100</f>
        <v>61.11111111</v>
      </c>
      <c r="AB410" s="33">
        <f t="shared" ref="AB410:AB412" si="264">AVERAGE(X410:AA410)</f>
        <v>35.05110365</v>
      </c>
      <c r="AC410" s="14">
        <f>AC390/($L$145+$M$145)*100</f>
        <v>29.16666667</v>
      </c>
      <c r="AD410" s="14">
        <f>AD390/($L$161+$M$161)*100</f>
        <v>17.39130435</v>
      </c>
      <c r="AE410" s="14">
        <f>AE390/($L$177+$M$177)*100</f>
        <v>55.12820513</v>
      </c>
      <c r="AF410" s="14">
        <f>AF390/($L$129+$M$129)*100</f>
        <v>94.11764706</v>
      </c>
      <c r="AG410" s="33">
        <f t="shared" ref="AG410:AG412" si="265">AVERAGE(AC410:AF410)</f>
        <v>48.9509558</v>
      </c>
    </row>
    <row r="411" ht="15.75" customHeight="1">
      <c r="A411" s="11" t="s">
        <v>73</v>
      </c>
      <c r="B411" s="14">
        <f>B391/($L$135+$M$135)*100</f>
        <v>58.62068966</v>
      </c>
      <c r="C411" s="14">
        <f>C391/($L$151+$M$151)*100</f>
        <v>48</v>
      </c>
      <c r="D411" s="14">
        <f>D391/($L$167+$M$167)*100</f>
        <v>47.79411765</v>
      </c>
      <c r="E411" s="14">
        <f>E391/($L$119+$M$119)*100</f>
        <v>42.30769231</v>
      </c>
      <c r="F411" s="33">
        <f t="shared" si="260"/>
        <v>49.1806249</v>
      </c>
      <c r="G411" s="14">
        <f>G391/($L$136+$M$136)*100</f>
        <v>61.6</v>
      </c>
      <c r="H411" s="14">
        <f>H391/($L$152+$M$152)*100</f>
        <v>55.55555556</v>
      </c>
      <c r="I411" s="14">
        <f>I391/($L$168+$M$168)*100</f>
        <v>40.84507042</v>
      </c>
      <c r="J411" s="14">
        <f>J391/($L$120+$M$120)*100</f>
        <v>34.61538462</v>
      </c>
      <c r="K411" s="33">
        <f t="shared" si="261"/>
        <v>48.15400265</v>
      </c>
      <c r="L411" s="14">
        <f>L391/($L$137+$M$137)*100</f>
        <v>51.38888889</v>
      </c>
      <c r="M411" s="14">
        <f>M391/($L$153+$M$153)*100</f>
        <v>33.33333333</v>
      </c>
      <c r="N411" s="14">
        <f>N391/($L$169+$M$169)*100</f>
        <v>32</v>
      </c>
      <c r="O411" s="14">
        <f>O391/($L$121+$M$121)*100</f>
        <v>37.5</v>
      </c>
      <c r="P411" s="33">
        <f t="shared" si="262"/>
        <v>38.55555556</v>
      </c>
      <c r="R411" s="11" t="s">
        <v>73</v>
      </c>
      <c r="S411" s="14">
        <f>S391/($L$135+$M$135)*100</f>
        <v>41.37931034</v>
      </c>
      <c r="T411" s="14">
        <f>T391/($L$151+$M$151)*100</f>
        <v>52</v>
      </c>
      <c r="U411" s="14">
        <f>U391/($L$167+$M$167)*100</f>
        <v>52.20588235</v>
      </c>
      <c r="V411" s="14">
        <f>V391/($L$119+$M$119)*100</f>
        <v>57.69230769</v>
      </c>
      <c r="W411" s="33">
        <f t="shared" si="263"/>
        <v>50.8193751</v>
      </c>
      <c r="X411" s="14">
        <f>X391/($L$136+$M$136)*100</f>
        <v>38.4</v>
      </c>
      <c r="Y411" s="14">
        <f>Y391/($L$152+$M$152)*100</f>
        <v>44.44444444</v>
      </c>
      <c r="Z411" s="14">
        <f>Z391/($L$168+$M$168)*100</f>
        <v>59.15492958</v>
      </c>
      <c r="AA411" s="14">
        <f>AA391/($L$120+$M$120)*100</f>
        <v>65.38461538</v>
      </c>
      <c r="AB411" s="33">
        <f t="shared" si="264"/>
        <v>51.84599735</v>
      </c>
      <c r="AC411" s="14">
        <f>AC391/($L$137+$M$137)*100</f>
        <v>48.61111111</v>
      </c>
      <c r="AD411" s="14">
        <f>AD391/($L$153+$M$153)*100</f>
        <v>66.66666667</v>
      </c>
      <c r="AE411" s="14">
        <f>AE391/($L$169+$M$169)*100</f>
        <v>68</v>
      </c>
      <c r="AF411" s="14">
        <f>AF391/($L$121+$M$121)*100</f>
        <v>62.5</v>
      </c>
      <c r="AG411" s="33">
        <f t="shared" si="265"/>
        <v>61.44444444</v>
      </c>
    </row>
    <row r="412" ht="15.75" customHeight="1">
      <c r="A412" s="25" t="s">
        <v>76</v>
      </c>
      <c r="B412" s="70">
        <f>B392/($L$131+$M$131)*100</f>
        <v>83.43195266</v>
      </c>
      <c r="C412" s="70">
        <f>C392/($L$147+$M$147)*100</f>
        <v>81.81818182</v>
      </c>
      <c r="D412" s="70">
        <f>D392/($L$163+$M$163)*100</f>
        <v>80.64516129</v>
      </c>
      <c r="E412" s="70">
        <f>E392/($L$115+$M$115)*100</f>
        <v>66.66666667</v>
      </c>
      <c r="F412" s="33">
        <f t="shared" si="260"/>
        <v>78.14049061</v>
      </c>
      <c r="G412" s="70">
        <f>G392/($L$132+$M$132)*100</f>
        <v>88.96551724</v>
      </c>
      <c r="H412" s="70">
        <f>H392/($L$148+$M$148)*100</f>
        <v>80</v>
      </c>
      <c r="I412" s="70">
        <f>I392/($L$164+$M$164)*100</f>
        <v>68.75</v>
      </c>
      <c r="J412" s="70">
        <f>J392/($L$116+$M$116)*100</f>
        <v>59.18367347</v>
      </c>
      <c r="K412" s="33">
        <f t="shared" si="261"/>
        <v>74.22479768</v>
      </c>
      <c r="L412" s="70">
        <f>L392/($L$133+$M$133)*100</f>
        <v>84.93150685</v>
      </c>
      <c r="M412" s="70">
        <f>M392/($L$149+$M$149)*100</f>
        <v>62.5</v>
      </c>
      <c r="N412" s="70">
        <f>N392/($L$165+$M$165)*100</f>
        <v>67.64705882</v>
      </c>
      <c r="O412" s="70">
        <f>O392/($L$117+$M$117)*100</f>
        <v>37.83783784</v>
      </c>
      <c r="P412" s="33">
        <f t="shared" si="262"/>
        <v>63.22910088</v>
      </c>
      <c r="R412" s="25" t="s">
        <v>76</v>
      </c>
      <c r="S412" s="70">
        <f>S392/($L$131+$M$131)*100</f>
        <v>16.56804734</v>
      </c>
      <c r="T412" s="70">
        <f>T392/($L$147+$M$147)*100</f>
        <v>18.18181818</v>
      </c>
      <c r="U412" s="70">
        <f>U392/($L$163+$M$163)*100</f>
        <v>19.35483871</v>
      </c>
      <c r="V412" s="70">
        <f>V392/($L$115+$M$115)*100</f>
        <v>33.33333333</v>
      </c>
      <c r="W412" s="33">
        <f t="shared" si="263"/>
        <v>21.85950939</v>
      </c>
      <c r="X412" s="70">
        <f>X392/($L$132+$M$132)*100</f>
        <v>11.03448276</v>
      </c>
      <c r="Y412" s="70">
        <f>Y392/($L$148+$M$148)*100</f>
        <v>20</v>
      </c>
      <c r="Z412" s="70">
        <f>Z392/($L$164+$M$164)*100</f>
        <v>31.25</v>
      </c>
      <c r="AA412" s="70">
        <f>AA392/($L$116+$M$116)*100</f>
        <v>40.81632653</v>
      </c>
      <c r="AB412" s="33">
        <f t="shared" si="264"/>
        <v>25.77520232</v>
      </c>
      <c r="AC412" s="70">
        <f>AC392/($L$133+$M$133)*100</f>
        <v>15.06849315</v>
      </c>
      <c r="AD412" s="70">
        <f>AD392/($L$149+$M$149)*100</f>
        <v>37.5</v>
      </c>
      <c r="AE412" s="70">
        <f>AE392/($L$165+$M$165)*100</f>
        <v>32.35294118</v>
      </c>
      <c r="AF412" s="70">
        <f>AF392/($L$117+$M$117)*100</f>
        <v>62.16216216</v>
      </c>
      <c r="AG412" s="33">
        <f t="shared" si="265"/>
        <v>36.77089912</v>
      </c>
    </row>
    <row r="413" ht="15.75" customHeight="1">
      <c r="A413" s="10" t="s">
        <v>150</v>
      </c>
      <c r="B413" s="24"/>
      <c r="C413" s="24"/>
      <c r="D413" s="24"/>
      <c r="E413" s="24"/>
      <c r="F413" s="191">
        <f>AVERAGE(B410:E412)</f>
        <v>64.29807215</v>
      </c>
      <c r="G413" s="10"/>
      <c r="H413" s="10"/>
      <c r="I413" s="10"/>
      <c r="J413" s="10"/>
      <c r="K413" s="191">
        <f>AVERAGE(G410:J412)</f>
        <v>62.44256556</v>
      </c>
      <c r="L413" s="10"/>
      <c r="M413" s="10"/>
      <c r="N413" s="10"/>
      <c r="O413" s="10"/>
      <c r="P413" s="190">
        <f>AVERAGE(L410:O412)</f>
        <v>50.94456688</v>
      </c>
      <c r="R413" s="10" t="s">
        <v>150</v>
      </c>
      <c r="S413" s="24"/>
      <c r="T413" s="24"/>
      <c r="U413" s="24"/>
      <c r="V413" s="24"/>
      <c r="W413" s="191">
        <f>AVERAGE(S410:V412)</f>
        <v>35.70192785</v>
      </c>
      <c r="X413" s="10"/>
      <c r="Y413" s="10"/>
      <c r="Z413" s="10"/>
      <c r="AA413" s="10"/>
      <c r="AB413" s="191">
        <f>AVERAGE(X410:AA412)</f>
        <v>37.55743444</v>
      </c>
      <c r="AC413" s="10"/>
      <c r="AD413" s="10"/>
      <c r="AE413" s="10"/>
      <c r="AF413" s="10"/>
      <c r="AG413" s="190">
        <f>AVERAGE(AC410:AF412)</f>
        <v>49.05543312</v>
      </c>
    </row>
    <row r="414" ht="15.75" customHeight="1">
      <c r="A414" s="11" t="s">
        <v>68</v>
      </c>
      <c r="B414" s="14">
        <f>B394/$M$143*100</f>
        <v>68.75</v>
      </c>
      <c r="C414" s="14">
        <f>C394/$M$159*100</f>
        <v>81.25</v>
      </c>
      <c r="D414" s="14">
        <f>D394/$M$175*100</f>
        <v>82.92682927</v>
      </c>
      <c r="E414" s="14">
        <f>E394/$M$127*100</f>
        <v>18.18181818</v>
      </c>
      <c r="F414" s="33">
        <f t="shared" ref="F414:F416" si="266">AVERAGE(B414:E414)</f>
        <v>62.77716186</v>
      </c>
      <c r="G414" s="14">
        <f>G394/$M$144*100</f>
        <v>66.66666667</v>
      </c>
      <c r="H414" s="14">
        <f>H394/$M$160*100</f>
        <v>90</v>
      </c>
      <c r="I414" s="14">
        <f>I394/$M$176*100</f>
        <v>69.8630137</v>
      </c>
      <c r="J414" s="14">
        <f>J394/$M$128*100</f>
        <v>43.75</v>
      </c>
      <c r="K414" s="33">
        <f t="shared" ref="K414:K416" si="267">AVERAGE(G414:J414)</f>
        <v>67.56992009</v>
      </c>
      <c r="L414" s="14">
        <f>L394/$M$145*100</f>
        <v>62.12121212</v>
      </c>
      <c r="M414" s="14">
        <f>M394/$M$161*100</f>
        <v>87.5</v>
      </c>
      <c r="N414" s="14">
        <f>N394/$M$177*100</f>
        <v>41.86046512</v>
      </c>
      <c r="O414" s="14">
        <f>O394/$M$129*100</f>
        <v>5.882352941</v>
      </c>
      <c r="P414" s="33">
        <f t="shared" ref="P414:P416" si="268">AVERAGE(L414:O414)</f>
        <v>49.34100754</v>
      </c>
      <c r="R414" s="11" t="s">
        <v>68</v>
      </c>
      <c r="S414" s="14">
        <f>S394/$M$143*100</f>
        <v>31.25</v>
      </c>
      <c r="T414" s="14">
        <f>T394/$M$159*100</f>
        <v>18.75</v>
      </c>
      <c r="U414" s="14">
        <f>U394/$M$175*100</f>
        <v>17.07317073</v>
      </c>
      <c r="V414" s="14">
        <f>V394/$M$127*100</f>
        <v>81.81818182</v>
      </c>
      <c r="W414" s="33">
        <f t="shared" ref="W414:W416" si="269">AVERAGE(S414:V414)</f>
        <v>37.22283814</v>
      </c>
      <c r="X414" s="14">
        <f>X394/$M$144*100</f>
        <v>33.33333333</v>
      </c>
      <c r="Y414" s="14">
        <f>Y394/$M$160*100</f>
        <v>10</v>
      </c>
      <c r="Z414" s="14">
        <f>Z394/$M$176*100</f>
        <v>30.1369863</v>
      </c>
      <c r="AA414" s="14">
        <f>AA394/$M$128*100</f>
        <v>56.25</v>
      </c>
      <c r="AB414" s="33">
        <f t="shared" ref="AB414:AB416" si="270">AVERAGE(X414:AA414)</f>
        <v>32.43007991</v>
      </c>
      <c r="AC414" s="14">
        <f>AC394/$M$145*100</f>
        <v>37.87878788</v>
      </c>
      <c r="AD414" s="14">
        <f>AD394/$M$161*100</f>
        <v>12.5</v>
      </c>
      <c r="AE414" s="14">
        <f>AE394/$M$177*100</f>
        <v>58.13953488</v>
      </c>
      <c r="AF414" s="14">
        <f>AF394/$M$129*100</f>
        <v>94.11764706</v>
      </c>
      <c r="AG414" s="33">
        <f t="shared" ref="AG414:AG416" si="271">AVERAGE(AC414:AF414)</f>
        <v>50.65899246</v>
      </c>
    </row>
    <row r="415" ht="15.75" customHeight="1">
      <c r="A415" s="11" t="s">
        <v>73</v>
      </c>
      <c r="B415" s="14">
        <f>B395/$M$135*100</f>
        <v>55.40540541</v>
      </c>
      <c r="C415" s="14">
        <f>C395/$M$151*100</f>
        <v>54.54545455</v>
      </c>
      <c r="D415" s="14">
        <f>D395/$M$167*100</f>
        <v>34.24657534</v>
      </c>
      <c r="E415" s="14">
        <f>E395/$M$119*100</f>
        <v>7.692307692</v>
      </c>
      <c r="F415" s="33">
        <f t="shared" si="266"/>
        <v>37.97243575</v>
      </c>
      <c r="G415" s="14">
        <f>G395/$M$136*100</f>
        <v>55.55555556</v>
      </c>
      <c r="H415" s="14">
        <f>H395/$M$152*100</f>
        <v>28.57142857</v>
      </c>
      <c r="I415" s="14">
        <f>I395/$M$168*100</f>
        <v>28.37837838</v>
      </c>
      <c r="J415" s="14">
        <f>J395/$M$120*100</f>
        <v>23.52941176</v>
      </c>
      <c r="K415" s="33">
        <f t="shared" si="267"/>
        <v>34.00869357</v>
      </c>
      <c r="L415" s="14">
        <f>L395/$M$137*100</f>
        <v>40</v>
      </c>
      <c r="M415" s="14">
        <f>M395/$M$153*100</f>
        <v>30</v>
      </c>
      <c r="N415" s="14">
        <f>N395/$M$169*100</f>
        <v>17.54385965</v>
      </c>
      <c r="O415" s="14">
        <f>O395/$M$121*100</f>
        <v>33.33333333</v>
      </c>
      <c r="P415" s="33">
        <f t="shared" si="268"/>
        <v>30.21929825</v>
      </c>
      <c r="R415" s="11" t="s">
        <v>73</v>
      </c>
      <c r="S415" s="14">
        <f>S395/$M$135*100</f>
        <v>44.59459459</v>
      </c>
      <c r="T415" s="14">
        <f>T395/$M$151*100</f>
        <v>45.45454545</v>
      </c>
      <c r="U415" s="14">
        <f>U395/$M$167*100</f>
        <v>65.75342466</v>
      </c>
      <c r="V415" s="14">
        <f>V395/$M$119*100</f>
        <v>92.30769231</v>
      </c>
      <c r="W415" s="33">
        <f t="shared" si="269"/>
        <v>62.02756425</v>
      </c>
      <c r="X415" s="14">
        <f>X395/$M$136*100</f>
        <v>44.44444444</v>
      </c>
      <c r="Y415" s="14">
        <f>Y395/$M$152*100</f>
        <v>71.42857143</v>
      </c>
      <c r="Z415" s="14">
        <f>Z395/$M$168*100</f>
        <v>71.62162162</v>
      </c>
      <c r="AA415" s="14">
        <f>AA395/$M$120*100</f>
        <v>76.47058824</v>
      </c>
      <c r="AB415" s="33">
        <f t="shared" si="270"/>
        <v>65.99130643</v>
      </c>
      <c r="AC415" s="14">
        <f>AC395/$M$137*100</f>
        <v>60</v>
      </c>
      <c r="AD415" s="14">
        <f>AD395/$M$153*100</f>
        <v>70</v>
      </c>
      <c r="AE415" s="14">
        <f>AE395/$M$169*100</f>
        <v>82.45614035</v>
      </c>
      <c r="AF415" s="14">
        <f>AF395/$M$121*100</f>
        <v>66.66666667</v>
      </c>
      <c r="AG415" s="33">
        <f t="shared" si="271"/>
        <v>69.78070175</v>
      </c>
    </row>
    <row r="416" ht="15.75" customHeight="1">
      <c r="A416" s="25" t="s">
        <v>76</v>
      </c>
      <c r="B416" s="70">
        <f>B396/$M$131*100</f>
        <v>90.24390244</v>
      </c>
      <c r="C416" s="70">
        <f>C396/$M$147*100</f>
        <v>75</v>
      </c>
      <c r="D416" s="70">
        <f>D396/$M$163*100</f>
        <v>85</v>
      </c>
      <c r="E416" s="70">
        <f>E396/$M$115*100</f>
        <v>71.42857143</v>
      </c>
      <c r="F416" s="33">
        <f t="shared" si="266"/>
        <v>80.41811847</v>
      </c>
      <c r="G416" s="70">
        <f>G396/$M$132*100</f>
        <v>87.17948718</v>
      </c>
      <c r="H416" s="70">
        <f>H396/$M$148*100</f>
        <v>66.66666667</v>
      </c>
      <c r="I416" s="70">
        <f>I396/$M$164*100</f>
        <v>55.55555556</v>
      </c>
      <c r="J416" s="70">
        <f>J396/$M$116*100</f>
        <v>84.61538462</v>
      </c>
      <c r="K416" s="33">
        <f t="shared" si="267"/>
        <v>73.5042735</v>
      </c>
      <c r="L416" s="70">
        <f>L396/$M$133*100</f>
        <v>80</v>
      </c>
      <c r="M416" s="70">
        <f>M396/$M$149*100</f>
        <v>25</v>
      </c>
      <c r="N416" s="70">
        <f>N396/$M$165*100</f>
        <v>50</v>
      </c>
      <c r="O416" s="70">
        <f>O396/$M$117*100</f>
        <v>25</v>
      </c>
      <c r="P416" s="33">
        <f t="shared" si="268"/>
        <v>45</v>
      </c>
      <c r="R416" s="25" t="s">
        <v>76</v>
      </c>
      <c r="S416" s="70">
        <f>S396/$M$131*100</f>
        <v>9.756097561</v>
      </c>
      <c r="T416" s="70">
        <f>T396/$M$147*100</f>
        <v>25</v>
      </c>
      <c r="U416" s="70">
        <f>U396/$M$163*100</f>
        <v>15</v>
      </c>
      <c r="V416" s="70">
        <f>V396/$M$115*100</f>
        <v>28.57142857</v>
      </c>
      <c r="W416" s="33">
        <f t="shared" si="269"/>
        <v>19.58188153</v>
      </c>
      <c r="X416" s="70">
        <f>X396/$M$132*100</f>
        <v>12.82051282</v>
      </c>
      <c r="Y416" s="70">
        <f>Y396/$M$148*100</f>
        <v>33.33333333</v>
      </c>
      <c r="Z416" s="70">
        <f>Z396/$M$164*100</f>
        <v>44.44444444</v>
      </c>
      <c r="AA416" s="70">
        <f>AA396/$M$116*100</f>
        <v>15.38461538</v>
      </c>
      <c r="AB416" s="33">
        <f t="shared" si="270"/>
        <v>26.4957265</v>
      </c>
      <c r="AC416" s="70">
        <f>AC396/$M$133*100</f>
        <v>20</v>
      </c>
      <c r="AD416" s="70">
        <f>AD396/$M$149*100</f>
        <v>75</v>
      </c>
      <c r="AE416" s="70">
        <f>AE396/$M$165*100</f>
        <v>50</v>
      </c>
      <c r="AF416" s="70">
        <f>AF396/$M$117*100</f>
        <v>75</v>
      </c>
      <c r="AG416" s="33">
        <f t="shared" si="271"/>
        <v>55</v>
      </c>
    </row>
    <row r="417" ht="15.75" customHeight="1">
      <c r="A417" s="10" t="s">
        <v>158</v>
      </c>
      <c r="B417" s="24"/>
      <c r="C417" s="24"/>
      <c r="D417" s="24"/>
      <c r="E417" s="24"/>
      <c r="F417" s="191">
        <f>AVERAGE(B414:E416)</f>
        <v>60.38923869</v>
      </c>
      <c r="G417" s="10"/>
      <c r="H417" s="10"/>
      <c r="I417" s="10"/>
      <c r="J417" s="10"/>
      <c r="K417" s="191">
        <f>AVERAGE(G414:J416)</f>
        <v>58.36096239</v>
      </c>
      <c r="L417" s="10"/>
      <c r="M417" s="10"/>
      <c r="N417" s="10"/>
      <c r="O417" s="10"/>
      <c r="P417" s="191">
        <f>AVERAGE(L414:O416)</f>
        <v>41.52010193</v>
      </c>
      <c r="R417" s="10" t="s">
        <v>158</v>
      </c>
      <c r="S417" s="24"/>
      <c r="T417" s="24"/>
      <c r="U417" s="24"/>
      <c r="V417" s="24"/>
      <c r="W417" s="191">
        <f>AVERAGE(S414:V416)</f>
        <v>39.61076131</v>
      </c>
      <c r="X417" s="10"/>
      <c r="Y417" s="10"/>
      <c r="Z417" s="10"/>
      <c r="AA417" s="10"/>
      <c r="AB417" s="191">
        <f>AVERAGE(X414:AA416)</f>
        <v>41.63903761</v>
      </c>
      <c r="AC417" s="10"/>
      <c r="AD417" s="10"/>
      <c r="AE417" s="10"/>
      <c r="AF417" s="10"/>
      <c r="AG417" s="191">
        <f>AVERAGE(AC414:AF416)</f>
        <v>58.47989807</v>
      </c>
    </row>
    <row r="418" ht="15.0" customHeight="1">
      <c r="A418" s="11" t="s">
        <v>68</v>
      </c>
      <c r="B418" s="14">
        <f>B398/$N$143*100</f>
        <v>58.67579909</v>
      </c>
      <c r="C418" s="14">
        <f>C398/$N$159*100</f>
        <v>62.85714286</v>
      </c>
      <c r="D418" s="14">
        <f>D398/$N$175*100</f>
        <v>40.86021505</v>
      </c>
      <c r="E418" s="14">
        <f>E398/$N$127*100</f>
        <v>11.47540984</v>
      </c>
      <c r="F418" s="33">
        <f t="shared" ref="F418:F420" si="272">AVERAGE(B418:E418)</f>
        <v>43.46714171</v>
      </c>
      <c r="G418" s="14">
        <f>G398/$N$144*100</f>
        <v>59.45205479</v>
      </c>
      <c r="H418" s="14">
        <f>H398/$N$160*100</f>
        <v>75</v>
      </c>
      <c r="I418" s="14">
        <f>I398/$N$176*100</f>
        <v>54.71698113</v>
      </c>
      <c r="J418" s="14">
        <f>J398/$N$128*100</f>
        <v>14.75409836</v>
      </c>
      <c r="K418" s="33">
        <f t="shared" ref="K418:K420" si="273">AVERAGE(G418:J418)</f>
        <v>50.98078357</v>
      </c>
      <c r="L418" s="14">
        <f>L398/$N$145*100</f>
        <v>62.93333333</v>
      </c>
      <c r="M418" s="14">
        <f>M398/$N$161*100</f>
        <v>76.08695652</v>
      </c>
      <c r="N418" s="14">
        <f>N398/$N$177*100</f>
        <v>30.63063063</v>
      </c>
      <c r="O418" s="14">
        <f>O398/$N$129*100</f>
        <v>1.754385965</v>
      </c>
      <c r="P418" s="33">
        <f t="shared" ref="P418:P420" si="274">AVERAGE(L418:O418)</f>
        <v>42.85132661</v>
      </c>
      <c r="R418" s="11" t="s">
        <v>68</v>
      </c>
      <c r="S418" s="14">
        <f>S398/$N$143*100</f>
        <v>41.32420091</v>
      </c>
      <c r="T418" s="14">
        <f>T398/$N$159*100</f>
        <v>37.14285714</v>
      </c>
      <c r="U418" s="14">
        <f>U398/$N$175*100</f>
        <v>59.13978495</v>
      </c>
      <c r="V418" s="14">
        <f>V398/$N$127*100</f>
        <v>88.52459016</v>
      </c>
      <c r="W418" s="33">
        <f t="shared" ref="W418:W420" si="275">AVERAGE(S418:V418)</f>
        <v>56.53285829</v>
      </c>
      <c r="X418" s="14">
        <f>X398/$N$144*100</f>
        <v>40.54794521</v>
      </c>
      <c r="Y418" s="14">
        <f>Y398/$N$160*100</f>
        <v>25</v>
      </c>
      <c r="Z418" s="14">
        <f>Z398/$N$176*100</f>
        <v>45.28301887</v>
      </c>
      <c r="AA418" s="14">
        <f>AA398/$N$128*100</f>
        <v>85.24590164</v>
      </c>
      <c r="AB418" s="33">
        <f t="shared" ref="AB418:AB420" si="276">AVERAGE(X418:AA418)</f>
        <v>49.01921643</v>
      </c>
      <c r="AC418" s="14">
        <f>AC398/$N$145*100</f>
        <v>37.06666667</v>
      </c>
      <c r="AD418" s="14">
        <f>AD398/$N$161*100</f>
        <v>23.91304348</v>
      </c>
      <c r="AE418" s="14">
        <f>AE398/$N$177*100</f>
        <v>69.36936937</v>
      </c>
      <c r="AF418" s="14">
        <f>AF398/$N$129*100</f>
        <v>98.24561404</v>
      </c>
      <c r="AG418" s="33">
        <f t="shared" ref="AG418:AG420" si="277">AVERAGE(AC418:AF418)</f>
        <v>57.14867339</v>
      </c>
    </row>
    <row r="419" ht="15.75" customHeight="1">
      <c r="A419" s="11" t="s">
        <v>73</v>
      </c>
      <c r="B419" s="14">
        <f>B399/$N$135*100</f>
        <v>63.07692308</v>
      </c>
      <c r="C419" s="14">
        <f>C399/$N$151*100</f>
        <v>60.97560976</v>
      </c>
      <c r="D419" s="14">
        <f>D399/$N$167*100</f>
        <v>27.16763006</v>
      </c>
      <c r="E419" s="14">
        <f>E399/$N$119*100</f>
        <v>33.33333333</v>
      </c>
      <c r="F419" s="33">
        <f t="shared" si="272"/>
        <v>46.13837406</v>
      </c>
      <c r="G419" s="14">
        <f>G399/$N$136*100</f>
        <v>67.25352113</v>
      </c>
      <c r="H419" s="14">
        <f>H399/$N$152*100</f>
        <v>58.33333333</v>
      </c>
      <c r="I419" s="14">
        <f>I399/$N$168*100</f>
        <v>24.09638554</v>
      </c>
      <c r="J419" s="14">
        <f>J399/$N$120*100</f>
        <v>36.36363636</v>
      </c>
      <c r="K419" s="33">
        <f t="shared" si="273"/>
        <v>46.51171909</v>
      </c>
      <c r="L419" s="14">
        <f>L399/$N$137*100</f>
        <v>66.47230321</v>
      </c>
      <c r="M419" s="14">
        <f>M399/$N$153*100</f>
        <v>60.41666667</v>
      </c>
      <c r="N419" s="14">
        <f>N399/$N$169*100</f>
        <v>12.20657277</v>
      </c>
      <c r="O419" s="14">
        <f>O399/$N$121*100</f>
        <v>0</v>
      </c>
      <c r="P419" s="33">
        <f t="shared" si="274"/>
        <v>34.77388566</v>
      </c>
      <c r="R419" s="11" t="s">
        <v>73</v>
      </c>
      <c r="S419" s="14">
        <f>S399/$N$135*100</f>
        <v>36.92307692</v>
      </c>
      <c r="T419" s="14">
        <f>T399/$N$151*100</f>
        <v>39.02439024</v>
      </c>
      <c r="U419" s="14">
        <f>U399/$N$167*100</f>
        <v>72.83236994</v>
      </c>
      <c r="V419" s="14">
        <f>V399/$N$119*100</f>
        <v>66.66666667</v>
      </c>
      <c r="W419" s="33">
        <f t="shared" si="275"/>
        <v>53.86162594</v>
      </c>
      <c r="X419" s="14">
        <f>X399/$N$136*100</f>
        <v>32.74647887</v>
      </c>
      <c r="Y419" s="14">
        <f>Y399/$N$152*100</f>
        <v>41.66666667</v>
      </c>
      <c r="Z419" s="14">
        <f>Z399/$N$168*100</f>
        <v>75.90361446</v>
      </c>
      <c r="AA419" s="14">
        <f>AA399/$N$120*100</f>
        <v>63.63636364</v>
      </c>
      <c r="AB419" s="33">
        <f t="shared" si="276"/>
        <v>53.48828091</v>
      </c>
      <c r="AC419" s="14">
        <f>AC399/$N$137*100</f>
        <v>33.52769679</v>
      </c>
      <c r="AD419" s="14">
        <f>AD399/$N$153*100</f>
        <v>39.58333333</v>
      </c>
      <c r="AE419" s="14">
        <f>AE399/$N$169*100</f>
        <v>87.79342723</v>
      </c>
      <c r="AF419" s="14">
        <f>AF399/$N$121*100</f>
        <v>100</v>
      </c>
      <c r="AG419" s="33">
        <f t="shared" si="277"/>
        <v>65.22611434</v>
      </c>
    </row>
    <row r="420" ht="15.75" customHeight="1">
      <c r="A420" s="25" t="s">
        <v>76</v>
      </c>
      <c r="B420" s="70">
        <f>B400/$N$131*100</f>
        <v>88.15789474</v>
      </c>
      <c r="C420" s="70">
        <f>C400/$N$147*100</f>
        <v>80</v>
      </c>
      <c r="D420" s="70">
        <f>D400/$N$163*100</f>
        <v>46.83544304</v>
      </c>
      <c r="E420" s="70">
        <f>E400/$N$115*100</f>
        <v>63.15789474</v>
      </c>
      <c r="F420" s="33">
        <f t="shared" si="272"/>
        <v>69.53780813</v>
      </c>
      <c r="G420" s="70">
        <f>G400/$N$132*100</f>
        <v>88.88888889</v>
      </c>
      <c r="H420" s="70">
        <f>H400/$N$148*100</f>
        <v>78.57142857</v>
      </c>
      <c r="I420" s="70">
        <f>I400/$N$164*100</f>
        <v>35.21126761</v>
      </c>
      <c r="J420" s="70">
        <f>J400/$N$116*100</f>
        <v>44.44444444</v>
      </c>
      <c r="K420" s="33">
        <f t="shared" si="273"/>
        <v>61.77900738</v>
      </c>
      <c r="L420" s="70">
        <f>L400/$N$133*100</f>
        <v>88.46153846</v>
      </c>
      <c r="M420" s="70">
        <f>M400/$N$149*100</f>
        <v>91.30434783</v>
      </c>
      <c r="N420" s="70">
        <f>N400/$N$165*100</f>
        <v>19.23076923</v>
      </c>
      <c r="O420" s="70">
        <f>O400/$N$117*100</f>
        <v>41.66666667</v>
      </c>
      <c r="P420" s="33">
        <f t="shared" si="274"/>
        <v>60.16583055</v>
      </c>
      <c r="R420" s="25" t="s">
        <v>76</v>
      </c>
      <c r="S420" s="70">
        <f>S400/$N$131*100</f>
        <v>11.84210526</v>
      </c>
      <c r="T420" s="70">
        <f>T400/$N$147*100</f>
        <v>20</v>
      </c>
      <c r="U420" s="70">
        <f>U400/$N$163*100</f>
        <v>53.16455696</v>
      </c>
      <c r="V420" s="70">
        <f>V400/$N$115*100</f>
        <v>36.84210526</v>
      </c>
      <c r="W420" s="33">
        <f t="shared" si="275"/>
        <v>30.46219187</v>
      </c>
      <c r="X420" s="70">
        <f>X400/$N$132*100</f>
        <v>11.11111111</v>
      </c>
      <c r="Y420" s="70">
        <f>Y400/$N$148*100</f>
        <v>21.42857143</v>
      </c>
      <c r="Z420" s="70">
        <f>Z400/$N$164*100</f>
        <v>64.78873239</v>
      </c>
      <c r="AA420" s="70">
        <f>AA400/$N$116*100</f>
        <v>55.55555556</v>
      </c>
      <c r="AB420" s="33">
        <f t="shared" si="276"/>
        <v>38.22099262</v>
      </c>
      <c r="AC420" s="70">
        <f>AC400/$N$133*100</f>
        <v>11.53846154</v>
      </c>
      <c r="AD420" s="70">
        <f>AD400/$N$149*100</f>
        <v>8.695652174</v>
      </c>
      <c r="AE420" s="70">
        <f>AE400/$N$165*100</f>
        <v>80.76923077</v>
      </c>
      <c r="AF420" s="70">
        <f>AF400/$N$117*100</f>
        <v>58.33333333</v>
      </c>
      <c r="AG420" s="33">
        <f t="shared" si="277"/>
        <v>39.83416945</v>
      </c>
    </row>
    <row r="421" ht="15.75" customHeight="1">
      <c r="F421" s="191">
        <f>AVERAGE(B418:E420)</f>
        <v>53.04777463</v>
      </c>
      <c r="K421" s="191">
        <f>AVERAGE(G418:J420)</f>
        <v>53.09050335</v>
      </c>
      <c r="P421" s="191">
        <f>AVERAGE(L418:O420)</f>
        <v>45.93034761</v>
      </c>
      <c r="W421" s="191">
        <f>AVERAGE(S418:V420)</f>
        <v>46.95222537</v>
      </c>
      <c r="AB421" s="191">
        <f>AVERAGE(X418:AA420)</f>
        <v>46.90949665</v>
      </c>
      <c r="AG421" s="191">
        <f>AVERAGE(AC418:AF420)</f>
        <v>54.06965239</v>
      </c>
    </row>
    <row r="422" ht="15.0" customHeight="1">
      <c r="I422" s="42" t="s">
        <v>329</v>
      </c>
      <c r="J422" s="43" t="s">
        <v>282</v>
      </c>
      <c r="K422" s="32"/>
      <c r="L422" s="192"/>
      <c r="M422" s="43" t="s">
        <v>283</v>
      </c>
      <c r="N422" s="32"/>
      <c r="O422" s="45"/>
      <c r="P422" s="43" t="s">
        <v>284</v>
      </c>
      <c r="Q422" s="32"/>
    </row>
    <row r="423" ht="15.75" customHeight="1">
      <c r="J423" s="63" t="s">
        <v>196</v>
      </c>
      <c r="K423" s="63" t="s">
        <v>197</v>
      </c>
      <c r="L423" s="44"/>
      <c r="M423" s="63" t="s">
        <v>196</v>
      </c>
      <c r="N423" s="63" t="s">
        <v>197</v>
      </c>
      <c r="O423" s="44"/>
      <c r="P423" s="63" t="s">
        <v>196</v>
      </c>
      <c r="Q423" s="63" t="s">
        <v>197</v>
      </c>
    </row>
    <row r="424" ht="15.75" customHeight="1">
      <c r="I424" s="64" t="s">
        <v>180</v>
      </c>
      <c r="J424" s="10"/>
      <c r="K424" s="10"/>
      <c r="L424" s="10"/>
      <c r="M424" s="10"/>
      <c r="N424" s="10"/>
      <c r="O424" s="10"/>
      <c r="P424" s="10"/>
      <c r="Q424" s="10"/>
    </row>
    <row r="425" ht="15.75" customHeight="1">
      <c r="I425" s="65" t="s">
        <v>123</v>
      </c>
      <c r="J425" s="17">
        <f>$F$405</f>
        <v>61.32084616</v>
      </c>
      <c r="K425" s="14">
        <f>$W$405</f>
        <v>38.67915384</v>
      </c>
      <c r="L425" s="8"/>
      <c r="M425" s="17">
        <f>$K$405</f>
        <v>62.51283442</v>
      </c>
      <c r="N425" s="14">
        <f>$AB$405</f>
        <v>37.48716558</v>
      </c>
      <c r="O425" s="8"/>
      <c r="P425" s="17">
        <f>$P$405</f>
        <v>52.91232837</v>
      </c>
      <c r="Q425" s="14">
        <f>$AG$405</f>
        <v>47.08767163</v>
      </c>
    </row>
    <row r="426" ht="15.75" customHeight="1">
      <c r="I426" s="65" t="s">
        <v>130</v>
      </c>
      <c r="J426" s="17">
        <f>$F$409</f>
        <v>56.44287755</v>
      </c>
      <c r="K426" s="14">
        <f>$W$409</f>
        <v>43.55712245</v>
      </c>
      <c r="L426" s="8"/>
      <c r="M426" s="17">
        <f>$K$409</f>
        <v>61.59106321</v>
      </c>
      <c r="N426" s="14">
        <f>$AB$409</f>
        <v>38.40893679</v>
      </c>
      <c r="O426" s="8"/>
      <c r="P426" s="14">
        <f>$P$409</f>
        <v>46.97810239</v>
      </c>
      <c r="Q426" s="17">
        <f>$AG$409</f>
        <v>53.02189761</v>
      </c>
    </row>
    <row r="427" ht="15.75" customHeight="1">
      <c r="I427" s="65" t="s">
        <v>139</v>
      </c>
      <c r="J427" s="17">
        <f>$F$413</f>
        <v>64.29807215</v>
      </c>
      <c r="K427" s="14">
        <f>$W$413</f>
        <v>35.70192785</v>
      </c>
      <c r="L427" s="8"/>
      <c r="M427" s="17">
        <f>$K$413</f>
        <v>62.44256556</v>
      </c>
      <c r="N427" s="14">
        <f>$AB$413</f>
        <v>37.55743444</v>
      </c>
      <c r="O427" s="8"/>
      <c r="P427" s="17">
        <f>$P$413</f>
        <v>50.94456688</v>
      </c>
      <c r="Q427" s="14">
        <f>$AG$413</f>
        <v>49.05543312</v>
      </c>
    </row>
    <row r="428" ht="15.75" customHeight="1">
      <c r="I428" s="65" t="s">
        <v>150</v>
      </c>
      <c r="J428" s="17">
        <f>$F$417</f>
        <v>60.38923869</v>
      </c>
      <c r="K428" s="14">
        <f>$W$417</f>
        <v>39.61076131</v>
      </c>
      <c r="L428" s="8"/>
      <c r="M428" s="17">
        <f>$K$417</f>
        <v>58.36096239</v>
      </c>
      <c r="N428" s="14">
        <f>$AB$417</f>
        <v>41.63903761</v>
      </c>
      <c r="O428" s="8"/>
      <c r="P428" s="14">
        <f>$P$417</f>
        <v>41.52010193</v>
      </c>
      <c r="Q428" s="17">
        <f>$AG$417</f>
        <v>58.47989807</v>
      </c>
    </row>
    <row r="429" ht="15.75" customHeight="1">
      <c r="I429" s="65" t="s">
        <v>158</v>
      </c>
      <c r="J429" s="17">
        <f>$F$421</f>
        <v>53.04777463</v>
      </c>
      <c r="K429" s="14">
        <f>$W$421</f>
        <v>46.95222537</v>
      </c>
      <c r="L429" s="8"/>
      <c r="M429" s="17">
        <f>$K$421</f>
        <v>53.09050335</v>
      </c>
      <c r="N429" s="14">
        <f>$AB$421</f>
        <v>46.90949665</v>
      </c>
      <c r="O429" s="8"/>
      <c r="P429" s="14">
        <f>$P$421</f>
        <v>45.93034761</v>
      </c>
      <c r="Q429" s="17">
        <f>$AG$421</f>
        <v>54.06965239</v>
      </c>
    </row>
    <row r="430" ht="15.0" customHeight="1">
      <c r="I430" s="66" t="s">
        <v>195</v>
      </c>
      <c r="J430" s="67"/>
      <c r="K430" s="68"/>
      <c r="L430" s="67"/>
      <c r="M430" s="67"/>
      <c r="N430" s="68"/>
      <c r="O430" s="24"/>
      <c r="P430" s="67"/>
      <c r="Q430" s="68"/>
    </row>
    <row r="431" ht="15.75" customHeight="1">
      <c r="I431" s="65" t="s">
        <v>123</v>
      </c>
      <c r="J431" s="17">
        <f>F402</f>
        <v>57.73195923</v>
      </c>
      <c r="K431" s="14">
        <f>W402</f>
        <v>42.26804077</v>
      </c>
      <c r="L431" s="8"/>
      <c r="M431" s="17">
        <f>K402</f>
        <v>60.9353022</v>
      </c>
      <c r="N431" s="14">
        <f>AB402</f>
        <v>39.0646978</v>
      </c>
      <c r="O431" s="8"/>
      <c r="P431" s="14">
        <f>P402</f>
        <v>48.1475051</v>
      </c>
      <c r="Q431" s="17">
        <f>AG402</f>
        <v>51.8524949</v>
      </c>
    </row>
    <row r="432" ht="15.75" customHeight="1">
      <c r="I432" s="65" t="s">
        <v>130</v>
      </c>
      <c r="J432" s="14">
        <f>F406</f>
        <v>48.95402998</v>
      </c>
      <c r="K432" s="17">
        <f>W406</f>
        <v>51.04597002</v>
      </c>
      <c r="M432" s="193">
        <f>K406</f>
        <v>52.17171717</v>
      </c>
      <c r="N432" s="14">
        <f>AB406</f>
        <v>47.82828283</v>
      </c>
      <c r="P432" s="14">
        <f>P406</f>
        <v>44.68005952</v>
      </c>
      <c r="Q432" s="17">
        <f>AG406</f>
        <v>55.31994048</v>
      </c>
    </row>
    <row r="433" ht="15.75" customHeight="1">
      <c r="I433" s="65" t="s">
        <v>139</v>
      </c>
      <c r="J433" s="17">
        <f>F410</f>
        <v>65.57310095</v>
      </c>
      <c r="K433" s="14">
        <f>W410</f>
        <v>34.42689905</v>
      </c>
      <c r="M433" s="193">
        <f>K410</f>
        <v>64.94889635</v>
      </c>
      <c r="N433" s="14">
        <f>AB410</f>
        <v>35.05110365</v>
      </c>
      <c r="P433" s="17">
        <f>P410</f>
        <v>51.0490442</v>
      </c>
      <c r="Q433" s="14">
        <f>AG410</f>
        <v>48.9509558</v>
      </c>
    </row>
    <row r="434" ht="15.75" customHeight="1">
      <c r="I434" s="65" t="s">
        <v>150</v>
      </c>
      <c r="J434" s="17">
        <f>F414</f>
        <v>62.77716186</v>
      </c>
      <c r="K434" s="14">
        <f>W414</f>
        <v>37.22283814</v>
      </c>
      <c r="M434" s="17">
        <f>K414</f>
        <v>67.56992009</v>
      </c>
      <c r="N434" s="14">
        <f>AB414</f>
        <v>32.43007991</v>
      </c>
      <c r="P434" s="14">
        <f>P414</f>
        <v>49.34100754</v>
      </c>
      <c r="Q434" s="17">
        <f>AG414</f>
        <v>50.65899246</v>
      </c>
    </row>
    <row r="435" ht="15.75" customHeight="1">
      <c r="I435" s="69" t="s">
        <v>158</v>
      </c>
      <c r="J435" s="70">
        <f>F418</f>
        <v>43.46714171</v>
      </c>
      <c r="K435" s="71">
        <f>W418</f>
        <v>56.53285829</v>
      </c>
      <c r="L435" s="51"/>
      <c r="M435" s="71">
        <f>K418</f>
        <v>50.98078357</v>
      </c>
      <c r="N435" s="70">
        <f>AB418</f>
        <v>49.01921643</v>
      </c>
      <c r="O435" s="51"/>
      <c r="P435" s="70">
        <f>P418</f>
        <v>42.85132661</v>
      </c>
      <c r="Q435" s="71">
        <f>AG418</f>
        <v>57.14867339</v>
      </c>
    </row>
    <row r="436" ht="15.75" customHeight="1">
      <c r="I436" s="47" t="s">
        <v>199</v>
      </c>
    </row>
    <row r="437" ht="15.75" customHeight="1">
      <c r="I437" s="65" t="s">
        <v>123</v>
      </c>
      <c r="J437" s="17">
        <f>F403</f>
        <v>53.66063938</v>
      </c>
      <c r="K437" s="14">
        <f>W403</f>
        <v>46.33936062</v>
      </c>
      <c r="L437" s="8"/>
      <c r="M437" s="17">
        <f>K403</f>
        <v>56.88174721</v>
      </c>
      <c r="N437" s="14">
        <f>AB403</f>
        <v>43.11825279</v>
      </c>
      <c r="O437" s="8"/>
      <c r="P437" s="14">
        <f>P403</f>
        <v>49.660245</v>
      </c>
      <c r="Q437" s="17">
        <f>AG403</f>
        <v>50.339755</v>
      </c>
    </row>
    <row r="438" ht="15.0" customHeight="1">
      <c r="I438" s="65" t="s">
        <v>130</v>
      </c>
      <c r="J438" s="17">
        <f>F407</f>
        <v>54.74960267</v>
      </c>
      <c r="K438" s="14">
        <f>W407</f>
        <v>45.25039733</v>
      </c>
      <c r="L438" s="8"/>
      <c r="M438" s="193">
        <f>K407</f>
        <v>67.9446097</v>
      </c>
      <c r="N438" s="14">
        <f>AB407</f>
        <v>32.0553903</v>
      </c>
      <c r="O438" s="8"/>
      <c r="P438" s="17">
        <f>P407</f>
        <v>53.19869209</v>
      </c>
      <c r="Q438" s="14">
        <f>AG407</f>
        <v>46.80130791</v>
      </c>
    </row>
    <row r="439" ht="15.75" customHeight="1">
      <c r="I439" s="65" t="s">
        <v>139</v>
      </c>
      <c r="J439" s="14">
        <f>F411</f>
        <v>49.1806249</v>
      </c>
      <c r="K439" s="17">
        <f>W411</f>
        <v>50.8193751</v>
      </c>
      <c r="L439" s="8"/>
      <c r="M439" s="194">
        <f>K411</f>
        <v>48.15400265</v>
      </c>
      <c r="N439" s="17">
        <f>AB411</f>
        <v>51.84599735</v>
      </c>
      <c r="O439" s="8"/>
      <c r="P439" s="14">
        <f>P411</f>
        <v>38.55555556</v>
      </c>
      <c r="Q439" s="17">
        <f>AG411</f>
        <v>61.44444444</v>
      </c>
    </row>
    <row r="440" ht="15.75" customHeight="1">
      <c r="I440" s="65" t="s">
        <v>150</v>
      </c>
      <c r="J440" s="14">
        <f>F415</f>
        <v>37.97243575</v>
      </c>
      <c r="K440" s="17">
        <f>W415</f>
        <v>62.02756425</v>
      </c>
      <c r="L440" s="8"/>
      <c r="M440" s="14">
        <f>K415</f>
        <v>34.00869357</v>
      </c>
      <c r="N440" s="17">
        <f>AB415</f>
        <v>65.99130643</v>
      </c>
      <c r="O440" s="8"/>
      <c r="P440" s="14">
        <f>P415</f>
        <v>30.21929825</v>
      </c>
      <c r="Q440" s="17">
        <f>AG415</f>
        <v>69.78070175</v>
      </c>
    </row>
    <row r="441" ht="15.75" customHeight="1">
      <c r="I441" s="65" t="s">
        <v>158</v>
      </c>
      <c r="J441" s="14">
        <f>F419</f>
        <v>46.13837406</v>
      </c>
      <c r="K441" s="17">
        <f>W419</f>
        <v>53.86162594</v>
      </c>
      <c r="L441" s="8"/>
      <c r="M441" s="14">
        <f>K419</f>
        <v>46.51171909</v>
      </c>
      <c r="N441" s="17">
        <f>AB419</f>
        <v>53.48828091</v>
      </c>
      <c r="O441" s="8"/>
      <c r="P441" s="14">
        <f>P419</f>
        <v>34.77388566</v>
      </c>
      <c r="Q441" s="17">
        <f>AG419</f>
        <v>65.22611434</v>
      </c>
    </row>
    <row r="442" ht="15.75" customHeight="1">
      <c r="I442" s="74" t="s">
        <v>201</v>
      </c>
      <c r="J442" s="10"/>
      <c r="K442" s="10"/>
      <c r="L442" s="10"/>
      <c r="M442" s="10"/>
      <c r="N442" s="10"/>
      <c r="O442" s="10"/>
      <c r="P442" s="10"/>
      <c r="Q442" s="10"/>
    </row>
    <row r="443" ht="15.75" customHeight="1">
      <c r="I443" s="65" t="s">
        <v>123</v>
      </c>
      <c r="J443" s="17">
        <f>F404</f>
        <v>72.56993988</v>
      </c>
      <c r="K443" s="14">
        <f>W404</f>
        <v>27.43006012</v>
      </c>
      <c r="L443" s="8"/>
      <c r="M443" s="17">
        <f>K404</f>
        <v>69.72145385</v>
      </c>
      <c r="N443" s="14">
        <f>AB404</f>
        <v>30.27854615</v>
      </c>
      <c r="O443" s="8"/>
      <c r="P443" s="17">
        <f>P404</f>
        <v>60.92923501</v>
      </c>
      <c r="Q443" s="14">
        <f>AG404</f>
        <v>39.07076499</v>
      </c>
    </row>
    <row r="444" ht="15.75" customHeight="1">
      <c r="I444" s="65" t="s">
        <v>130</v>
      </c>
      <c r="J444" s="17">
        <f>F408</f>
        <v>65.625</v>
      </c>
      <c r="K444" s="14">
        <f>W408</f>
        <v>34.375</v>
      </c>
      <c r="L444" s="8"/>
      <c r="M444" s="193">
        <f>K408</f>
        <v>64.65686275</v>
      </c>
      <c r="N444" s="14">
        <f>AB408</f>
        <v>35.34313725</v>
      </c>
      <c r="O444" s="8"/>
      <c r="P444" s="14">
        <f>P408</f>
        <v>43.05555556</v>
      </c>
      <c r="Q444" s="17">
        <f>AG408</f>
        <v>56.94444444</v>
      </c>
    </row>
    <row r="445" ht="15.75" customHeight="1">
      <c r="I445" s="65" t="s">
        <v>139</v>
      </c>
      <c r="J445" s="17">
        <f>F412</f>
        <v>78.14049061</v>
      </c>
      <c r="K445" s="14">
        <f>W412</f>
        <v>21.85950939</v>
      </c>
      <c r="L445" s="8"/>
      <c r="M445" s="193">
        <f>K412</f>
        <v>74.22479768</v>
      </c>
      <c r="N445" s="14">
        <f>AB412</f>
        <v>25.77520232</v>
      </c>
      <c r="O445" s="8"/>
      <c r="P445" s="17">
        <f>P412</f>
        <v>63.22910088</v>
      </c>
      <c r="Q445" s="14">
        <f>AG412</f>
        <v>36.77089912</v>
      </c>
    </row>
    <row r="446" ht="15.0" customHeight="1">
      <c r="A446" s="47"/>
      <c r="B446" s="53"/>
      <c r="C446" s="53"/>
      <c r="D446" s="53"/>
      <c r="E446" s="53"/>
      <c r="F446" s="53"/>
      <c r="G446" s="53"/>
      <c r="H446" s="53"/>
      <c r="I446" s="65" t="s">
        <v>150</v>
      </c>
      <c r="J446" s="17">
        <f>F416</f>
        <v>80.41811847</v>
      </c>
      <c r="K446" s="14">
        <f>W416</f>
        <v>19.58188153</v>
      </c>
      <c r="L446" s="8"/>
      <c r="M446" s="17">
        <f>K416</f>
        <v>73.5042735</v>
      </c>
      <c r="N446" s="14">
        <f>AB416</f>
        <v>26.4957265</v>
      </c>
      <c r="O446" s="8"/>
      <c r="P446" s="14">
        <f>P416</f>
        <v>45</v>
      </c>
      <c r="Q446" s="17">
        <f>AG416</f>
        <v>55</v>
      </c>
    </row>
    <row r="447" ht="15.75" customHeight="1">
      <c r="A447" s="47"/>
      <c r="B447" s="53"/>
      <c r="C447" s="53"/>
      <c r="D447" s="53"/>
      <c r="E447" s="53"/>
      <c r="F447" s="33"/>
      <c r="G447" s="53"/>
      <c r="H447" s="53"/>
      <c r="I447" s="69" t="s">
        <v>158</v>
      </c>
      <c r="J447" s="71">
        <f>F420</f>
        <v>69.53780813</v>
      </c>
      <c r="K447" s="70">
        <f>W420</f>
        <v>30.46219187</v>
      </c>
      <c r="L447" s="51"/>
      <c r="M447" s="71">
        <f>K420</f>
        <v>61.77900738</v>
      </c>
      <c r="N447" s="70">
        <f>AB420</f>
        <v>38.22099262</v>
      </c>
      <c r="O447" s="51"/>
      <c r="P447" s="71">
        <f>P420</f>
        <v>60.16583055</v>
      </c>
      <c r="Q447" s="70">
        <f>AG420</f>
        <v>39.83416945</v>
      </c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>
      <c r="A454" s="180" t="s">
        <v>330</v>
      </c>
      <c r="B454" s="181" t="s">
        <v>331</v>
      </c>
      <c r="C454" s="133"/>
      <c r="D454" s="133"/>
      <c r="E454" s="133"/>
      <c r="F454" s="10"/>
      <c r="G454" s="181" t="s">
        <v>332</v>
      </c>
      <c r="H454" s="133"/>
      <c r="I454" s="133"/>
      <c r="J454" s="133"/>
      <c r="K454" s="10"/>
      <c r="L454" s="132" t="s">
        <v>333</v>
      </c>
      <c r="M454" s="133"/>
      <c r="N454" s="133"/>
      <c r="O454" s="133"/>
    </row>
    <row r="455" ht="15.75" customHeight="1">
      <c r="B455" s="8" t="s">
        <v>63</v>
      </c>
      <c r="C455" s="8" t="s">
        <v>64</v>
      </c>
      <c r="D455" s="8" t="s">
        <v>65</v>
      </c>
      <c r="E455" s="8" t="s">
        <v>66</v>
      </c>
      <c r="G455" s="8" t="s">
        <v>63</v>
      </c>
      <c r="H455" s="8" t="s">
        <v>64</v>
      </c>
      <c r="I455" s="8" t="s">
        <v>65</v>
      </c>
      <c r="J455" s="8" t="s">
        <v>66</v>
      </c>
      <c r="L455" s="44" t="s">
        <v>63</v>
      </c>
      <c r="M455" s="44" t="s">
        <v>64</v>
      </c>
      <c r="N455" s="44" t="s">
        <v>65</v>
      </c>
      <c r="O455" s="44" t="s">
        <v>66</v>
      </c>
    </row>
    <row r="456" ht="15.75" customHeight="1">
      <c r="A456" s="10" t="s">
        <v>203</v>
      </c>
      <c r="B456" s="10"/>
      <c r="C456" s="10"/>
      <c r="D456" s="10"/>
      <c r="E456" s="10"/>
      <c r="G456" s="10"/>
      <c r="H456" s="10"/>
      <c r="I456" s="10"/>
      <c r="J456" s="10"/>
      <c r="L456" s="114"/>
      <c r="M456" s="114"/>
      <c r="N456" s="114"/>
      <c r="O456" s="114"/>
    </row>
    <row r="457" ht="15.75" customHeight="1">
      <c r="A457" s="11" t="s">
        <v>68</v>
      </c>
      <c r="B457" s="53">
        <v>10.5</v>
      </c>
      <c r="C457" s="54">
        <v>2.35</v>
      </c>
      <c r="D457" s="135">
        <v>8.01</v>
      </c>
      <c r="E457" s="145">
        <v>10.6</v>
      </c>
      <c r="G457" s="119">
        <v>9.02</v>
      </c>
      <c r="H457" s="119">
        <v>1.92</v>
      </c>
      <c r="I457" s="54">
        <v>8.81</v>
      </c>
      <c r="J457" s="117">
        <v>10.7</v>
      </c>
      <c r="L457" s="54">
        <v>8.73</v>
      </c>
      <c r="M457" s="54">
        <v>1.54</v>
      </c>
      <c r="N457" s="53">
        <v>12.3</v>
      </c>
      <c r="O457" s="53">
        <v>13.8</v>
      </c>
    </row>
    <row r="458" ht="15.75" customHeight="1">
      <c r="A458" s="11" t="s">
        <v>73</v>
      </c>
      <c r="B458" s="137">
        <v>24.1</v>
      </c>
      <c r="C458" s="54">
        <v>2.5</v>
      </c>
      <c r="D458" s="54">
        <v>4.67</v>
      </c>
      <c r="E458" s="134">
        <v>17.5</v>
      </c>
      <c r="G458" s="53">
        <v>24.5</v>
      </c>
      <c r="H458" s="119">
        <v>1.43</v>
      </c>
      <c r="I458" s="119">
        <v>4.38</v>
      </c>
      <c r="J458" s="120">
        <v>13.7</v>
      </c>
      <c r="L458" s="53">
        <v>29.4</v>
      </c>
      <c r="M458" s="54">
        <v>2.01</v>
      </c>
      <c r="N458" s="116">
        <v>4.36</v>
      </c>
      <c r="O458" s="53">
        <v>18.5</v>
      </c>
    </row>
    <row r="459" ht="15.75" customHeight="1">
      <c r="A459" s="11" t="s">
        <v>76</v>
      </c>
      <c r="B459" s="136">
        <v>5.69</v>
      </c>
      <c r="C459" s="123">
        <v>0.851</v>
      </c>
      <c r="D459" s="136">
        <v>2.9</v>
      </c>
      <c r="E459" s="120">
        <v>12.9</v>
      </c>
      <c r="F459" s="59"/>
      <c r="G459" s="116">
        <v>6.61</v>
      </c>
      <c r="H459" s="116">
        <v>1.03</v>
      </c>
      <c r="I459" s="116">
        <v>3.86</v>
      </c>
      <c r="J459" s="53">
        <v>13.7</v>
      </c>
      <c r="K459" s="59"/>
      <c r="L459" s="142">
        <v>6.21</v>
      </c>
      <c r="M459" s="143">
        <v>0.731</v>
      </c>
      <c r="N459" s="54">
        <v>5.69</v>
      </c>
      <c r="O459" s="116">
        <v>8.74</v>
      </c>
    </row>
    <row r="460" ht="15.75" customHeight="1">
      <c r="A460" s="10" t="s">
        <v>210</v>
      </c>
      <c r="B460" s="95"/>
      <c r="C460" s="95"/>
      <c r="D460" s="95"/>
      <c r="E460" s="95"/>
      <c r="G460" s="95"/>
      <c r="H460" s="95"/>
      <c r="I460" s="95"/>
      <c r="J460" s="95"/>
      <c r="L460" s="45"/>
      <c r="M460" s="114"/>
      <c r="N460" s="114"/>
      <c r="O460" s="114"/>
    </row>
    <row r="461" ht="15.75" customHeight="1">
      <c r="A461" s="11" t="s">
        <v>68</v>
      </c>
      <c r="B461" s="137">
        <v>41.1</v>
      </c>
      <c r="C461" s="136">
        <v>4.29</v>
      </c>
      <c r="D461" s="145">
        <v>20.5</v>
      </c>
      <c r="E461" s="120">
        <v>43.6</v>
      </c>
      <c r="G461" s="53">
        <v>59.9</v>
      </c>
      <c r="H461" s="116">
        <v>5.39</v>
      </c>
      <c r="I461" s="117">
        <v>21.3</v>
      </c>
      <c r="J461" s="53">
        <v>66.8</v>
      </c>
      <c r="L461" s="53">
        <v>63.9</v>
      </c>
      <c r="M461" s="54">
        <v>7.03</v>
      </c>
      <c r="N461" s="117">
        <v>28.3</v>
      </c>
      <c r="O461" s="53">
        <v>43.2</v>
      </c>
    </row>
    <row r="462" ht="15.75" customHeight="1">
      <c r="A462" s="11" t="s">
        <v>73</v>
      </c>
      <c r="B462" s="134">
        <v>39.1</v>
      </c>
      <c r="C462" s="135">
        <v>5.21</v>
      </c>
      <c r="D462" s="137">
        <v>41.4</v>
      </c>
      <c r="E462" s="117">
        <v>26.2</v>
      </c>
      <c r="G462" s="115">
        <v>38.6</v>
      </c>
      <c r="H462" s="54">
        <v>6.05</v>
      </c>
      <c r="I462" s="53">
        <v>43.7</v>
      </c>
      <c r="J462" s="115">
        <v>23.9</v>
      </c>
      <c r="L462" s="117">
        <v>45.7</v>
      </c>
      <c r="M462" s="54">
        <v>7.21</v>
      </c>
      <c r="N462" s="53">
        <v>43.8</v>
      </c>
      <c r="O462" s="117">
        <v>25.3</v>
      </c>
    </row>
    <row r="463" ht="15.75" customHeight="1">
      <c r="A463" s="11" t="s">
        <v>76</v>
      </c>
      <c r="B463" s="145">
        <v>38.1</v>
      </c>
      <c r="C463" s="135">
        <v>5.32</v>
      </c>
      <c r="D463" s="137">
        <v>27.0</v>
      </c>
      <c r="E463" s="137">
        <v>31.7</v>
      </c>
      <c r="G463" s="53">
        <v>59.0</v>
      </c>
      <c r="H463" s="54">
        <v>6.05</v>
      </c>
      <c r="I463" s="53">
        <v>39.9</v>
      </c>
      <c r="J463" s="53">
        <v>37.7</v>
      </c>
      <c r="L463" s="129">
        <v>56.9</v>
      </c>
      <c r="M463" s="142">
        <v>6.3</v>
      </c>
      <c r="N463" s="129">
        <v>35.0</v>
      </c>
      <c r="O463" s="129">
        <v>60.5</v>
      </c>
    </row>
    <row r="464" ht="15.75" customHeight="1">
      <c r="A464" s="10" t="s">
        <v>213</v>
      </c>
      <c r="B464" s="95"/>
      <c r="C464" s="95"/>
      <c r="D464" s="95"/>
      <c r="E464" s="95"/>
      <c r="F464" s="10"/>
      <c r="G464" s="95"/>
      <c r="H464" s="95"/>
      <c r="I464" s="95"/>
      <c r="J464" s="95"/>
      <c r="K464" s="10"/>
      <c r="L464" s="44"/>
      <c r="M464" s="44"/>
      <c r="N464" s="44"/>
      <c r="O464" s="44"/>
    </row>
    <row r="465" ht="15.75" customHeight="1">
      <c r="A465" s="11" t="s">
        <v>68</v>
      </c>
      <c r="B465" s="53">
        <v>22.1</v>
      </c>
      <c r="C465" s="53">
        <v>90.1</v>
      </c>
      <c r="D465" s="145">
        <v>50.2</v>
      </c>
      <c r="E465" s="120">
        <v>18.2</v>
      </c>
      <c r="G465" s="120">
        <v>23.6</v>
      </c>
      <c r="H465" s="120">
        <v>90.7</v>
      </c>
      <c r="I465" s="117">
        <v>49.0</v>
      </c>
      <c r="J465" s="53">
        <v>14.8</v>
      </c>
      <c r="L465" s="53">
        <v>24.1</v>
      </c>
      <c r="M465" s="53">
        <v>90.8</v>
      </c>
      <c r="N465" s="53">
        <v>46.1</v>
      </c>
      <c r="O465" s="53">
        <v>34.7</v>
      </c>
    </row>
    <row r="466" ht="15.75" customHeight="1">
      <c r="A466" s="11" t="s">
        <v>73</v>
      </c>
      <c r="B466" s="134">
        <v>27.4</v>
      </c>
      <c r="C466" s="134">
        <v>90.5</v>
      </c>
      <c r="D466" s="53">
        <v>36.2</v>
      </c>
      <c r="E466" s="117">
        <v>46.7</v>
      </c>
      <c r="G466" s="115">
        <v>28.8</v>
      </c>
      <c r="H466" s="120">
        <v>91.7</v>
      </c>
      <c r="I466" s="120">
        <v>37.0</v>
      </c>
      <c r="J466" s="115">
        <v>52.3</v>
      </c>
      <c r="L466" s="53">
        <v>22.2</v>
      </c>
      <c r="M466" s="53">
        <v>90.1</v>
      </c>
      <c r="N466" s="53">
        <v>43.2</v>
      </c>
      <c r="O466" s="117">
        <v>50.3</v>
      </c>
    </row>
    <row r="467" ht="15.75" customHeight="1">
      <c r="A467" s="11" t="s">
        <v>76</v>
      </c>
      <c r="B467" s="145">
        <v>30.7</v>
      </c>
      <c r="C467" s="145">
        <v>92.8</v>
      </c>
      <c r="D467" s="120">
        <v>49.5</v>
      </c>
      <c r="E467" s="120">
        <v>16.1</v>
      </c>
      <c r="F467" s="59"/>
      <c r="G467" s="53">
        <v>26.1</v>
      </c>
      <c r="H467" s="117">
        <v>92.4</v>
      </c>
      <c r="I467" s="53">
        <v>45.7</v>
      </c>
      <c r="J467" s="53">
        <v>15.6</v>
      </c>
      <c r="K467" s="59"/>
      <c r="L467" s="131">
        <v>28.9</v>
      </c>
      <c r="M467" s="131">
        <v>91.7</v>
      </c>
      <c r="N467" s="131">
        <v>50.9</v>
      </c>
      <c r="O467" s="129">
        <v>21.6</v>
      </c>
    </row>
    <row r="468" ht="15.75" customHeight="1">
      <c r="A468" s="10" t="s">
        <v>221</v>
      </c>
      <c r="B468" s="95"/>
      <c r="C468" s="95"/>
      <c r="D468" s="95"/>
      <c r="E468" s="95"/>
      <c r="F468" s="10"/>
      <c r="G468" s="95"/>
      <c r="H468" s="95"/>
      <c r="I468" s="95"/>
      <c r="J468" s="95"/>
      <c r="K468" s="10"/>
      <c r="L468" s="44"/>
      <c r="M468" s="44"/>
      <c r="N468" s="44"/>
      <c r="O468" s="44"/>
    </row>
    <row r="469" ht="15.75" customHeight="1">
      <c r="A469" s="11" t="s">
        <v>68</v>
      </c>
      <c r="B469" s="145">
        <v>26.3</v>
      </c>
      <c r="C469" s="136">
        <v>3.27</v>
      </c>
      <c r="D469" s="145">
        <v>21.3</v>
      </c>
      <c r="E469" s="137">
        <v>27.5</v>
      </c>
      <c r="G469" s="54">
        <v>7.42</v>
      </c>
      <c r="H469" s="116">
        <v>1.97</v>
      </c>
      <c r="I469" s="117">
        <v>20.8</v>
      </c>
      <c r="J469" s="54">
        <v>7.79</v>
      </c>
      <c r="L469" s="54">
        <v>3.28</v>
      </c>
      <c r="M469" s="118">
        <v>0.602</v>
      </c>
      <c r="N469" s="117">
        <v>13.3</v>
      </c>
      <c r="O469" s="54">
        <v>8.33</v>
      </c>
    </row>
    <row r="470" ht="15.75" customHeight="1">
      <c r="A470" s="11" t="s">
        <v>73</v>
      </c>
      <c r="B470" s="135">
        <v>9.37</v>
      </c>
      <c r="C470" s="135">
        <v>1.81</v>
      </c>
      <c r="D470" s="137">
        <v>17.8</v>
      </c>
      <c r="E470" s="138">
        <v>9.6</v>
      </c>
      <c r="G470" s="54">
        <v>8.08</v>
      </c>
      <c r="H470" s="118">
        <v>0.849</v>
      </c>
      <c r="I470" s="53">
        <v>14.9</v>
      </c>
      <c r="J470" s="120">
        <v>10.1</v>
      </c>
      <c r="L470" s="54">
        <v>2.65</v>
      </c>
      <c r="M470" s="118">
        <v>0.637</v>
      </c>
      <c r="N470" s="54">
        <v>8.66</v>
      </c>
      <c r="O470" s="54">
        <v>5.78</v>
      </c>
    </row>
    <row r="471" ht="15.75" customHeight="1">
      <c r="A471" s="11" t="s">
        <v>76</v>
      </c>
      <c r="B471" s="137">
        <v>25.4</v>
      </c>
      <c r="C471" s="119">
        <v>1.06</v>
      </c>
      <c r="D471" s="137">
        <v>20.6</v>
      </c>
      <c r="E471" s="145">
        <v>39.2</v>
      </c>
      <c r="F471" s="59"/>
      <c r="G471" s="116">
        <v>8.35</v>
      </c>
      <c r="H471" s="118">
        <v>0.571</v>
      </c>
      <c r="I471" s="53">
        <v>10.5</v>
      </c>
      <c r="J471" s="117">
        <v>33.0</v>
      </c>
      <c r="L471" s="116">
        <v>8.02</v>
      </c>
      <c r="M471" s="116">
        <v>1.23</v>
      </c>
      <c r="N471" s="54">
        <v>8.37</v>
      </c>
      <c r="O471" s="116">
        <v>9.2</v>
      </c>
    </row>
    <row r="472" ht="15.75" customHeight="1">
      <c r="A472" s="72" t="s">
        <v>308</v>
      </c>
      <c r="B472" s="95"/>
      <c r="C472" s="95"/>
      <c r="D472" s="95"/>
      <c r="E472" s="95"/>
      <c r="G472" s="95"/>
      <c r="H472" s="95"/>
      <c r="I472" s="95"/>
      <c r="J472" s="95"/>
      <c r="K472" s="10"/>
      <c r="L472" s="10"/>
      <c r="M472" s="10"/>
      <c r="N472" s="10"/>
      <c r="O472" s="10"/>
    </row>
    <row r="473" ht="15.75" customHeight="1">
      <c r="A473" s="11" t="s">
        <v>68</v>
      </c>
      <c r="B473" s="115">
        <v>12.9</v>
      </c>
      <c r="C473" s="53">
        <v>13.8</v>
      </c>
      <c r="D473" s="117">
        <v>20.9</v>
      </c>
      <c r="E473" s="115">
        <v>37.7</v>
      </c>
      <c r="G473" s="54">
        <v>4.86</v>
      </c>
      <c r="H473" s="117">
        <v>15.3</v>
      </c>
      <c r="I473" s="115">
        <v>21.3</v>
      </c>
      <c r="J473" s="54">
        <v>9.43</v>
      </c>
      <c r="L473" s="8" t="s">
        <v>152</v>
      </c>
      <c r="M473" s="8" t="s">
        <v>152</v>
      </c>
      <c r="N473" s="8" t="s">
        <v>152</v>
      </c>
      <c r="O473" s="8" t="s">
        <v>152</v>
      </c>
    </row>
    <row r="474" ht="15.75" customHeight="1">
      <c r="A474" s="11" t="s">
        <v>73</v>
      </c>
      <c r="B474" s="119">
        <v>8.98</v>
      </c>
      <c r="C474" s="115">
        <v>18.5</v>
      </c>
      <c r="D474" s="120">
        <v>18.8</v>
      </c>
      <c r="E474" s="120">
        <v>15.9</v>
      </c>
      <c r="G474" s="116">
        <v>6.13</v>
      </c>
      <c r="H474" s="53">
        <v>15.0</v>
      </c>
      <c r="I474" s="53">
        <v>14.6</v>
      </c>
      <c r="J474" s="117">
        <v>15.4</v>
      </c>
      <c r="L474" s="8" t="s">
        <v>152</v>
      </c>
      <c r="M474" s="8" t="s">
        <v>152</v>
      </c>
      <c r="N474" s="8" t="s">
        <v>152</v>
      </c>
      <c r="O474" s="8" t="s">
        <v>152</v>
      </c>
    </row>
    <row r="475" ht="15.75" customHeight="1">
      <c r="A475" s="25" t="s">
        <v>76</v>
      </c>
      <c r="B475" s="195">
        <v>7.48</v>
      </c>
      <c r="C475" s="130">
        <v>13.3</v>
      </c>
      <c r="D475" s="130">
        <v>18.6</v>
      </c>
      <c r="E475" s="129">
        <v>11.3</v>
      </c>
      <c r="F475" s="59"/>
      <c r="G475" s="165">
        <v>3.67</v>
      </c>
      <c r="H475" s="165">
        <v>6.74</v>
      </c>
      <c r="I475" s="129">
        <v>10.1</v>
      </c>
      <c r="J475" s="130">
        <v>11.8</v>
      </c>
      <c r="K475" s="59"/>
      <c r="L475" s="51" t="s">
        <v>152</v>
      </c>
      <c r="M475" s="51" t="s">
        <v>152</v>
      </c>
      <c r="N475" s="51" t="s">
        <v>152</v>
      </c>
      <c r="O475" s="51" t="s">
        <v>152</v>
      </c>
    </row>
    <row r="476" ht="15.75" customHeight="1"/>
    <row r="477" ht="15.0" customHeight="1">
      <c r="A477" s="30" t="s">
        <v>243</v>
      </c>
      <c r="B477" s="43" t="s">
        <v>244</v>
      </c>
      <c r="C477" s="32"/>
      <c r="D477" s="32"/>
      <c r="E477" s="32"/>
      <c r="F477" s="44"/>
      <c r="G477" s="43" t="s">
        <v>245</v>
      </c>
      <c r="H477" s="32"/>
      <c r="I477" s="32"/>
      <c r="J477" s="32"/>
      <c r="K477" s="45"/>
      <c r="L477" s="43" t="s">
        <v>246</v>
      </c>
      <c r="M477" s="32"/>
      <c r="N477" s="32"/>
      <c r="O477" s="32"/>
      <c r="Q477" s="132" t="s">
        <v>275</v>
      </c>
      <c r="R477" s="133"/>
      <c r="S477" s="133"/>
      <c r="T477" s="133"/>
    </row>
    <row r="478" ht="15.75" customHeight="1">
      <c r="B478" s="44" t="s">
        <v>63</v>
      </c>
      <c r="C478" s="44" t="s">
        <v>64</v>
      </c>
      <c r="D478" s="44" t="s">
        <v>65</v>
      </c>
      <c r="E478" s="44" t="s">
        <v>66</v>
      </c>
      <c r="F478" s="32"/>
      <c r="G478" s="44" t="s">
        <v>63</v>
      </c>
      <c r="H478" s="44" t="s">
        <v>64</v>
      </c>
      <c r="I478" s="44" t="s">
        <v>65</v>
      </c>
      <c r="J478" s="44" t="s">
        <v>66</v>
      </c>
      <c r="K478" s="186"/>
      <c r="L478" s="44" t="s">
        <v>63</v>
      </c>
      <c r="M478" s="44" t="s">
        <v>64</v>
      </c>
      <c r="N478" s="44" t="s">
        <v>65</v>
      </c>
      <c r="O478" s="44" t="s">
        <v>66</v>
      </c>
      <c r="Q478" s="44" t="s">
        <v>63</v>
      </c>
      <c r="R478" s="44" t="s">
        <v>64</v>
      </c>
      <c r="S478" s="44" t="s">
        <v>65</v>
      </c>
      <c r="T478" s="44" t="s">
        <v>66</v>
      </c>
    </row>
    <row r="479" ht="15.75" customHeight="1">
      <c r="A479" s="10" t="s">
        <v>203</v>
      </c>
      <c r="B479" s="114"/>
      <c r="C479" s="114"/>
      <c r="D479" s="114"/>
      <c r="E479" s="114"/>
      <c r="F479" s="114"/>
      <c r="G479" s="114"/>
      <c r="H479" s="114"/>
      <c r="I479" s="114"/>
      <c r="J479" s="114"/>
      <c r="K479" s="45"/>
      <c r="L479" s="114"/>
      <c r="M479" s="114"/>
      <c r="N479" s="114"/>
      <c r="O479" s="114"/>
      <c r="Q479" s="114"/>
      <c r="R479" s="114"/>
      <c r="S479" s="114"/>
      <c r="T479" s="114"/>
    </row>
    <row r="480" ht="15.75" customHeight="1">
      <c r="A480" s="11" t="s">
        <v>68</v>
      </c>
      <c r="B480" s="53">
        <v>10.5</v>
      </c>
      <c r="C480" s="54">
        <v>2.35</v>
      </c>
      <c r="D480" s="135">
        <v>8.01</v>
      </c>
      <c r="E480" s="145">
        <v>10.6</v>
      </c>
      <c r="F480" s="44"/>
      <c r="G480" s="54">
        <v>9.67</v>
      </c>
      <c r="H480" s="138">
        <v>1.5</v>
      </c>
      <c r="I480" s="134">
        <v>10.1</v>
      </c>
      <c r="J480" s="144">
        <v>10.9</v>
      </c>
      <c r="K480" s="45"/>
      <c r="L480" s="135">
        <v>8.6</v>
      </c>
      <c r="M480" s="135">
        <v>1.36</v>
      </c>
      <c r="N480" s="134">
        <v>10.3</v>
      </c>
      <c r="O480" s="53">
        <v>15.9</v>
      </c>
      <c r="Q480" s="54">
        <v>8.73</v>
      </c>
      <c r="R480" s="54">
        <v>1.54</v>
      </c>
      <c r="S480" s="53">
        <v>12.3</v>
      </c>
      <c r="T480" s="53">
        <v>13.8</v>
      </c>
    </row>
    <row r="481" ht="15.75" customHeight="1">
      <c r="A481" s="11" t="s">
        <v>73</v>
      </c>
      <c r="B481" s="137">
        <v>24.1</v>
      </c>
      <c r="C481" s="54">
        <v>2.5</v>
      </c>
      <c r="D481" s="54">
        <v>4.67</v>
      </c>
      <c r="E481" s="137">
        <v>17.5</v>
      </c>
      <c r="F481" s="44"/>
      <c r="G481" s="134">
        <v>25.7</v>
      </c>
      <c r="H481" s="135">
        <v>2.0</v>
      </c>
      <c r="I481" s="54">
        <v>4.48</v>
      </c>
      <c r="J481" s="53">
        <v>21.4</v>
      </c>
      <c r="K481" s="45"/>
      <c r="L481" s="134">
        <v>25.8</v>
      </c>
      <c r="M481" s="54">
        <v>2.19</v>
      </c>
      <c r="N481" s="136">
        <v>3.7</v>
      </c>
      <c r="O481" s="53">
        <v>18.6</v>
      </c>
      <c r="Q481" s="53">
        <v>29.4</v>
      </c>
      <c r="R481" s="54">
        <v>2.01</v>
      </c>
      <c r="S481" s="116">
        <v>4.36</v>
      </c>
      <c r="T481" s="53">
        <v>18.5</v>
      </c>
    </row>
    <row r="482" ht="15.75" customHeight="1">
      <c r="A482" s="11" t="s">
        <v>76</v>
      </c>
      <c r="B482" s="139">
        <v>5.69</v>
      </c>
      <c r="C482" s="143">
        <v>0.851</v>
      </c>
      <c r="D482" s="136">
        <v>2.9</v>
      </c>
      <c r="E482" s="120">
        <v>12.9</v>
      </c>
      <c r="F482" s="44"/>
      <c r="G482" s="136">
        <v>4.45</v>
      </c>
      <c r="H482" s="123">
        <v>0.849</v>
      </c>
      <c r="I482" s="139">
        <v>4.4</v>
      </c>
      <c r="J482" s="53">
        <v>16.1</v>
      </c>
      <c r="K482" s="45"/>
      <c r="L482" s="139">
        <v>5.34</v>
      </c>
      <c r="M482" s="143">
        <v>0.879</v>
      </c>
      <c r="N482" s="138">
        <v>4.29</v>
      </c>
      <c r="O482" s="117">
        <v>15.0</v>
      </c>
      <c r="Q482" s="142">
        <v>6.21</v>
      </c>
      <c r="R482" s="143">
        <v>0.731</v>
      </c>
      <c r="S482" s="54">
        <v>5.69</v>
      </c>
      <c r="T482" s="116">
        <v>8.74</v>
      </c>
    </row>
    <row r="483" ht="15.75" customHeight="1">
      <c r="A483" s="10" t="s">
        <v>210</v>
      </c>
      <c r="B483" s="95"/>
      <c r="C483" s="95"/>
      <c r="D483" s="95"/>
      <c r="E483" s="95"/>
      <c r="F483" s="95"/>
      <c r="G483" s="95"/>
      <c r="H483" s="95"/>
      <c r="I483" s="95"/>
      <c r="J483" s="95"/>
      <c r="K483" s="114"/>
      <c r="L483" s="95"/>
      <c r="M483" s="95"/>
      <c r="N483" s="95"/>
      <c r="O483" s="95"/>
      <c r="Q483" s="45"/>
      <c r="R483" s="114"/>
      <c r="S483" s="114"/>
      <c r="T483" s="114"/>
    </row>
    <row r="484" ht="15.75" customHeight="1">
      <c r="A484" s="11" t="s">
        <v>68</v>
      </c>
      <c r="B484" s="134">
        <v>41.1</v>
      </c>
      <c r="C484" s="139">
        <v>4.29</v>
      </c>
      <c r="D484" s="145">
        <v>20.5</v>
      </c>
      <c r="E484" s="53">
        <v>43.6</v>
      </c>
      <c r="F484" s="44"/>
      <c r="G484" s="134">
        <v>45.2</v>
      </c>
      <c r="H484" s="139">
        <v>4.62</v>
      </c>
      <c r="I484" s="117">
        <v>28.5</v>
      </c>
      <c r="J484" s="53">
        <v>48.0</v>
      </c>
      <c r="K484" s="45"/>
      <c r="L484" s="145">
        <v>36.8</v>
      </c>
      <c r="M484" s="136">
        <v>3.56</v>
      </c>
      <c r="N484" s="144">
        <v>22.5</v>
      </c>
      <c r="O484" s="137">
        <v>42.2</v>
      </c>
      <c r="Q484" s="53">
        <v>63.9</v>
      </c>
      <c r="R484" s="54">
        <v>7.03</v>
      </c>
      <c r="S484" s="117">
        <v>28.3</v>
      </c>
      <c r="T484" s="53">
        <v>43.2</v>
      </c>
    </row>
    <row r="485" ht="15.75" customHeight="1">
      <c r="A485" s="11" t="s">
        <v>73</v>
      </c>
      <c r="B485" s="137">
        <v>39.1</v>
      </c>
      <c r="C485" s="135">
        <v>5.21</v>
      </c>
      <c r="D485" s="137">
        <v>41.4</v>
      </c>
      <c r="E485" s="115">
        <v>26.2</v>
      </c>
      <c r="F485" s="44"/>
      <c r="G485" s="134">
        <v>39.9</v>
      </c>
      <c r="H485" s="138">
        <v>5.38</v>
      </c>
      <c r="I485" s="53">
        <v>44.2</v>
      </c>
      <c r="J485" s="117">
        <v>31.4</v>
      </c>
      <c r="K485" s="45"/>
      <c r="L485" s="134">
        <v>41.2</v>
      </c>
      <c r="M485" s="138">
        <v>5.5</v>
      </c>
      <c r="N485" s="134">
        <v>48.1</v>
      </c>
      <c r="O485" s="117">
        <v>30.9</v>
      </c>
      <c r="Q485" s="117">
        <v>45.7</v>
      </c>
      <c r="R485" s="54">
        <v>7.21</v>
      </c>
      <c r="S485" s="53">
        <v>43.8</v>
      </c>
      <c r="T485" s="117">
        <v>25.3</v>
      </c>
    </row>
    <row r="486" ht="15.75" customHeight="1">
      <c r="A486" s="11" t="s">
        <v>76</v>
      </c>
      <c r="B486" s="144">
        <v>38.1</v>
      </c>
      <c r="C486" s="138">
        <v>5.32</v>
      </c>
      <c r="D486" s="137">
        <v>27.0</v>
      </c>
      <c r="E486" s="134">
        <v>31.7</v>
      </c>
      <c r="F486" s="44"/>
      <c r="G486" s="145">
        <v>37.8</v>
      </c>
      <c r="H486" s="138">
        <v>5.31</v>
      </c>
      <c r="I486" s="134">
        <v>34.9</v>
      </c>
      <c r="J486" s="134">
        <v>36.0</v>
      </c>
      <c r="K486" s="45"/>
      <c r="L486" s="134">
        <v>39.4</v>
      </c>
      <c r="M486" s="135">
        <v>4.84</v>
      </c>
      <c r="N486" s="134">
        <v>32.9</v>
      </c>
      <c r="O486" s="137">
        <v>31.0</v>
      </c>
      <c r="Q486" s="129">
        <v>56.9</v>
      </c>
      <c r="R486" s="142">
        <v>6.3</v>
      </c>
      <c r="S486" s="129">
        <v>35.0</v>
      </c>
      <c r="T486" s="129">
        <v>60.5</v>
      </c>
    </row>
    <row r="487" ht="15.75" customHeight="1">
      <c r="A487" s="10" t="s">
        <v>213</v>
      </c>
      <c r="B487" s="95"/>
      <c r="C487" s="95"/>
      <c r="D487" s="95"/>
      <c r="E487" s="95"/>
      <c r="F487" s="95"/>
      <c r="G487" s="95"/>
      <c r="H487" s="95"/>
      <c r="I487" s="95"/>
      <c r="J487" s="95"/>
      <c r="K487" s="114"/>
      <c r="L487" s="95"/>
      <c r="M487" s="95"/>
      <c r="N487" s="95"/>
      <c r="O487" s="95"/>
      <c r="Q487" s="44"/>
      <c r="R487" s="44"/>
      <c r="S487" s="44"/>
      <c r="T487" s="44"/>
    </row>
    <row r="488" ht="15.75" customHeight="1">
      <c r="A488" s="11" t="s">
        <v>68</v>
      </c>
      <c r="B488" s="53">
        <v>22.1</v>
      </c>
      <c r="C488" s="53">
        <v>90.1</v>
      </c>
      <c r="D488" s="145">
        <v>50.2</v>
      </c>
      <c r="E488" s="53">
        <v>18.2</v>
      </c>
      <c r="F488" s="53"/>
      <c r="G488" s="53">
        <v>23.0</v>
      </c>
      <c r="H488" s="134">
        <v>90.8</v>
      </c>
      <c r="I488" s="134">
        <v>49.2</v>
      </c>
      <c r="J488" s="120">
        <v>19.8</v>
      </c>
      <c r="K488" s="53"/>
      <c r="L488" s="120">
        <v>23.6</v>
      </c>
      <c r="M488" s="137">
        <v>91.2</v>
      </c>
      <c r="N488" s="134">
        <v>48.5</v>
      </c>
      <c r="O488" s="53">
        <v>18.1</v>
      </c>
      <c r="Q488" s="53">
        <v>24.1</v>
      </c>
      <c r="R488" s="53">
        <v>90.8</v>
      </c>
      <c r="S488" s="53">
        <v>46.1</v>
      </c>
      <c r="T488" s="53">
        <v>34.7</v>
      </c>
    </row>
    <row r="489" ht="15.75" customHeight="1">
      <c r="A489" s="11" t="s">
        <v>73</v>
      </c>
      <c r="B489" s="137">
        <v>27.4</v>
      </c>
      <c r="C489" s="134">
        <v>90.5</v>
      </c>
      <c r="D489" s="120">
        <v>36.2</v>
      </c>
      <c r="E489" s="115">
        <v>46.7</v>
      </c>
      <c r="F489" s="53"/>
      <c r="G489" s="134">
        <v>26.3</v>
      </c>
      <c r="H489" s="137">
        <v>91.2</v>
      </c>
      <c r="I489" s="53">
        <v>32.4</v>
      </c>
      <c r="J489" s="117">
        <v>38.6</v>
      </c>
      <c r="K489" s="53"/>
      <c r="L489" s="134">
        <v>25.6</v>
      </c>
      <c r="M489" s="134">
        <v>90.6</v>
      </c>
      <c r="N489" s="53">
        <v>33.3</v>
      </c>
      <c r="O489" s="117">
        <v>44.1</v>
      </c>
      <c r="Q489" s="53">
        <v>22.2</v>
      </c>
      <c r="R489" s="53">
        <v>90.1</v>
      </c>
      <c r="S489" s="53">
        <v>43.2</v>
      </c>
      <c r="T489" s="117">
        <v>50.3</v>
      </c>
    </row>
    <row r="490" ht="15.75" customHeight="1">
      <c r="A490" s="11" t="s">
        <v>76</v>
      </c>
      <c r="B490" s="144">
        <v>30.7</v>
      </c>
      <c r="C490" s="144">
        <v>92.8</v>
      </c>
      <c r="D490" s="53">
        <v>49.5</v>
      </c>
      <c r="E490" s="120">
        <v>16.1</v>
      </c>
      <c r="F490" s="53"/>
      <c r="G490" s="145">
        <v>31.7</v>
      </c>
      <c r="H490" s="144">
        <v>92.1</v>
      </c>
      <c r="I490" s="115">
        <v>49.7</v>
      </c>
      <c r="J490" s="120">
        <v>16.1</v>
      </c>
      <c r="K490" s="53"/>
      <c r="L490" s="144">
        <v>30.0</v>
      </c>
      <c r="M490" s="145">
        <v>93.0</v>
      </c>
      <c r="N490" s="117">
        <v>49.6</v>
      </c>
      <c r="O490" s="53">
        <v>14.0</v>
      </c>
      <c r="Q490" s="131">
        <v>28.9</v>
      </c>
      <c r="R490" s="131">
        <v>91.7</v>
      </c>
      <c r="S490" s="131">
        <v>50.9</v>
      </c>
      <c r="T490" s="129">
        <v>21.6</v>
      </c>
    </row>
    <row r="491" ht="15.75" customHeight="1">
      <c r="A491" s="10" t="s">
        <v>221</v>
      </c>
      <c r="B491" s="95"/>
      <c r="C491" s="95"/>
      <c r="D491" s="95"/>
      <c r="E491" s="95"/>
      <c r="F491" s="95"/>
      <c r="G491" s="95"/>
      <c r="H491" s="95"/>
      <c r="I491" s="95"/>
      <c r="J491" s="95"/>
      <c r="K491" s="45"/>
      <c r="L491" s="95"/>
      <c r="M491" s="95"/>
      <c r="N491" s="95"/>
      <c r="O491" s="95"/>
      <c r="Q491" s="44"/>
      <c r="R491" s="44"/>
      <c r="S491" s="44"/>
      <c r="T491" s="44"/>
    </row>
    <row r="492" ht="15.75" customHeight="1">
      <c r="A492" s="11" t="s">
        <v>68</v>
      </c>
      <c r="B492" s="144">
        <v>26.3</v>
      </c>
      <c r="C492" s="139">
        <v>3.27</v>
      </c>
      <c r="D492" s="145">
        <v>21.3</v>
      </c>
      <c r="E492" s="137">
        <v>27.5</v>
      </c>
      <c r="F492" s="53"/>
      <c r="G492" s="134">
        <v>22.1</v>
      </c>
      <c r="H492" s="139">
        <v>3.06</v>
      </c>
      <c r="I492" s="53">
        <v>12.2</v>
      </c>
      <c r="J492" s="134">
        <v>21.4</v>
      </c>
      <c r="K492" s="53"/>
      <c r="L492" s="145">
        <v>31.0</v>
      </c>
      <c r="M492" s="136">
        <v>3.87</v>
      </c>
      <c r="N492" s="144">
        <v>18.6</v>
      </c>
      <c r="O492" s="134">
        <v>23.7</v>
      </c>
      <c r="Q492" s="54">
        <v>3.28</v>
      </c>
      <c r="R492" s="118">
        <v>0.602</v>
      </c>
      <c r="S492" s="117">
        <v>13.3</v>
      </c>
      <c r="T492" s="54">
        <v>8.33</v>
      </c>
    </row>
    <row r="493" ht="15.75" customHeight="1">
      <c r="A493" s="11" t="s">
        <v>73</v>
      </c>
      <c r="B493" s="135">
        <v>9.37</v>
      </c>
      <c r="C493" s="135">
        <v>1.81</v>
      </c>
      <c r="D493" s="134">
        <v>17.8</v>
      </c>
      <c r="E493" s="135">
        <v>9.6</v>
      </c>
      <c r="F493" s="53"/>
      <c r="G493" s="138">
        <v>8.06</v>
      </c>
      <c r="H493" s="138">
        <v>1.39</v>
      </c>
      <c r="I493" s="145">
        <v>19.0</v>
      </c>
      <c r="J493" s="138">
        <v>8.64</v>
      </c>
      <c r="K493" s="53"/>
      <c r="L493" s="138">
        <v>7.37</v>
      </c>
      <c r="M493" s="138">
        <v>1.76</v>
      </c>
      <c r="N493" s="134">
        <v>15.0</v>
      </c>
      <c r="O493" s="138">
        <v>6.36</v>
      </c>
      <c r="Q493" s="54">
        <v>2.65</v>
      </c>
      <c r="R493" s="118">
        <v>0.637</v>
      </c>
      <c r="S493" s="54">
        <v>8.66</v>
      </c>
      <c r="T493" s="54">
        <v>5.78</v>
      </c>
    </row>
    <row r="494" ht="15.75" customHeight="1">
      <c r="A494" s="11" t="s">
        <v>76</v>
      </c>
      <c r="B494" s="134">
        <v>25.4</v>
      </c>
      <c r="C494" s="54">
        <v>1.06</v>
      </c>
      <c r="D494" s="137">
        <v>20.6</v>
      </c>
      <c r="E494" s="144">
        <v>39.2</v>
      </c>
      <c r="F494" s="53"/>
      <c r="G494" s="145">
        <v>26.0</v>
      </c>
      <c r="H494" s="135">
        <v>1.7</v>
      </c>
      <c r="I494" s="134">
        <v>11.0</v>
      </c>
      <c r="J494" s="144">
        <v>31.7</v>
      </c>
      <c r="K494" s="53"/>
      <c r="L494" s="134">
        <v>25.3</v>
      </c>
      <c r="M494" s="138">
        <v>1.32</v>
      </c>
      <c r="N494" s="134">
        <v>13.2</v>
      </c>
      <c r="O494" s="145">
        <v>40.0</v>
      </c>
      <c r="Q494" s="116">
        <v>8.02</v>
      </c>
      <c r="R494" s="116">
        <v>1.23</v>
      </c>
      <c r="S494" s="54">
        <v>8.37</v>
      </c>
      <c r="T494" s="116">
        <v>9.2</v>
      </c>
    </row>
    <row r="495" ht="15.75" customHeight="1">
      <c r="A495" s="72" t="s">
        <v>308</v>
      </c>
      <c r="B495" s="95"/>
      <c r="C495" s="95"/>
      <c r="D495" s="95"/>
      <c r="E495" s="95"/>
      <c r="F495" s="95"/>
      <c r="G495" s="95"/>
      <c r="H495" s="95"/>
      <c r="I495" s="95"/>
      <c r="J495" s="95"/>
      <c r="K495" s="114"/>
      <c r="L495" s="95"/>
      <c r="M495" s="95"/>
      <c r="N495" s="95"/>
      <c r="O495" s="95"/>
      <c r="Q495" s="10"/>
      <c r="R495" s="10"/>
      <c r="S495" s="10"/>
      <c r="T495" s="10"/>
    </row>
    <row r="496" ht="15.75" customHeight="1">
      <c r="A496" s="11" t="s">
        <v>68</v>
      </c>
      <c r="B496" s="115">
        <v>12.9</v>
      </c>
      <c r="C496" s="53">
        <v>13.8</v>
      </c>
      <c r="D496" s="117">
        <v>20.9</v>
      </c>
      <c r="E496" s="115">
        <v>37.7</v>
      </c>
      <c r="F496" s="53"/>
      <c r="G496" s="116">
        <v>9.87</v>
      </c>
      <c r="H496" s="115">
        <v>16.0</v>
      </c>
      <c r="I496" s="117">
        <v>18.8</v>
      </c>
      <c r="J496" s="117">
        <v>32.7</v>
      </c>
      <c r="K496" s="53"/>
      <c r="L496" s="117">
        <v>10.2</v>
      </c>
      <c r="M496" s="117">
        <v>10.7</v>
      </c>
      <c r="N496" s="115">
        <v>21.2</v>
      </c>
      <c r="O496" s="117">
        <v>21.9</v>
      </c>
      <c r="Q496" s="8" t="s">
        <v>152</v>
      </c>
      <c r="R496" s="8" t="s">
        <v>152</v>
      </c>
      <c r="S496" s="8" t="s">
        <v>152</v>
      </c>
      <c r="T496" s="8" t="s">
        <v>152</v>
      </c>
    </row>
    <row r="497" ht="15.75" customHeight="1">
      <c r="A497" s="11" t="s">
        <v>73</v>
      </c>
      <c r="B497" s="119">
        <v>8.98</v>
      </c>
      <c r="C497" s="115">
        <v>18.5</v>
      </c>
      <c r="D497" s="120">
        <v>18.8</v>
      </c>
      <c r="E497" s="53">
        <v>15.9</v>
      </c>
      <c r="F497" s="53"/>
      <c r="G497" s="54">
        <v>7.2</v>
      </c>
      <c r="H497" s="53">
        <v>13.2</v>
      </c>
      <c r="I497" s="53">
        <v>13.9</v>
      </c>
      <c r="J497" s="120">
        <v>20.9</v>
      </c>
      <c r="K497" s="53"/>
      <c r="L497" s="54">
        <v>6.06</v>
      </c>
      <c r="M497" s="53">
        <v>10.4</v>
      </c>
      <c r="N497" s="53">
        <v>13.2</v>
      </c>
      <c r="O497" s="53">
        <v>14.5</v>
      </c>
      <c r="Q497" s="8" t="s">
        <v>152</v>
      </c>
      <c r="R497" s="8" t="s">
        <v>152</v>
      </c>
      <c r="S497" s="8" t="s">
        <v>152</v>
      </c>
      <c r="T497" s="8" t="s">
        <v>152</v>
      </c>
    </row>
    <row r="498" ht="15.75" customHeight="1">
      <c r="A498" s="25" t="s">
        <v>76</v>
      </c>
      <c r="B498" s="165">
        <v>7.48</v>
      </c>
      <c r="C498" s="130">
        <v>13.3</v>
      </c>
      <c r="D498" s="130">
        <v>18.6</v>
      </c>
      <c r="E498" s="129">
        <v>11.3</v>
      </c>
      <c r="F498" s="53"/>
      <c r="G498" s="195">
        <v>8.82</v>
      </c>
      <c r="H498" s="165">
        <v>9.87</v>
      </c>
      <c r="I498" s="129">
        <v>12.6</v>
      </c>
      <c r="J498" s="165">
        <v>5.38</v>
      </c>
      <c r="K498" s="53"/>
      <c r="L498" s="165">
        <v>7.07</v>
      </c>
      <c r="M498" s="165">
        <v>8.46</v>
      </c>
      <c r="N498" s="129">
        <v>16.8</v>
      </c>
      <c r="O498" s="130">
        <v>12.0</v>
      </c>
      <c r="Q498" s="51" t="s">
        <v>152</v>
      </c>
      <c r="R498" s="51" t="s">
        <v>152</v>
      </c>
      <c r="S498" s="51" t="s">
        <v>152</v>
      </c>
      <c r="T498" s="51" t="s">
        <v>152</v>
      </c>
    </row>
    <row r="499" ht="15.75" customHeight="1"/>
    <row r="500" ht="15.75" customHeight="1"/>
    <row r="501" ht="15.75" customHeight="1">
      <c r="A501" s="180" t="s">
        <v>330</v>
      </c>
      <c r="B501" s="181" t="s">
        <v>334</v>
      </c>
      <c r="C501" s="133"/>
      <c r="D501" s="133"/>
      <c r="E501" s="133"/>
      <c r="F501" s="10"/>
      <c r="G501" s="181" t="s">
        <v>335</v>
      </c>
      <c r="H501" s="133"/>
      <c r="I501" s="133"/>
      <c r="J501" s="133"/>
      <c r="K501" s="10"/>
      <c r="L501" s="132"/>
      <c r="M501" s="133"/>
      <c r="N501" s="133"/>
      <c r="O501" s="133"/>
    </row>
    <row r="502" ht="15.75" customHeight="1">
      <c r="B502" s="8" t="s">
        <v>63</v>
      </c>
      <c r="C502" s="8" t="s">
        <v>64</v>
      </c>
      <c r="D502" s="8" t="s">
        <v>65</v>
      </c>
      <c r="E502" s="8" t="s">
        <v>66</v>
      </c>
      <c r="G502" s="8" t="s">
        <v>63</v>
      </c>
      <c r="H502" s="8" t="s">
        <v>64</v>
      </c>
      <c r="I502" s="8" t="s">
        <v>65</v>
      </c>
      <c r="J502" s="8" t="s">
        <v>66</v>
      </c>
      <c r="L502" s="44"/>
      <c r="M502" s="44"/>
      <c r="N502" s="44"/>
      <c r="O502" s="44"/>
    </row>
    <row r="503" ht="15.75" customHeight="1">
      <c r="A503" s="10" t="s">
        <v>203</v>
      </c>
      <c r="B503" s="10"/>
      <c r="C503" s="10"/>
      <c r="D503" s="10"/>
      <c r="E503" s="10"/>
      <c r="G503" s="10"/>
      <c r="H503" s="10"/>
      <c r="I503" s="10"/>
      <c r="J503" s="10"/>
      <c r="L503" s="114"/>
      <c r="M503" s="114"/>
      <c r="N503" s="114"/>
      <c r="O503" s="114"/>
    </row>
    <row r="504" ht="15.75" customHeight="1">
      <c r="A504" s="11" t="s">
        <v>68</v>
      </c>
      <c r="B504" s="54">
        <v>9.67</v>
      </c>
      <c r="C504" s="54">
        <v>1.5</v>
      </c>
      <c r="D504" s="53">
        <v>10.1</v>
      </c>
      <c r="E504" s="117">
        <v>10.9</v>
      </c>
      <c r="G504" s="119">
        <v>9.34</v>
      </c>
      <c r="H504" s="119">
        <v>1.49</v>
      </c>
      <c r="I504" s="119">
        <v>9.74</v>
      </c>
      <c r="J504" s="121">
        <v>7.02</v>
      </c>
      <c r="L504" s="54"/>
      <c r="M504" s="54"/>
      <c r="N504" s="53"/>
      <c r="O504" s="53"/>
    </row>
    <row r="505" ht="15.75" customHeight="1">
      <c r="A505" s="11" t="s">
        <v>73</v>
      </c>
      <c r="B505" s="120">
        <v>25.7</v>
      </c>
      <c r="C505" s="54">
        <v>2.0</v>
      </c>
      <c r="D505" s="54">
        <v>4.48</v>
      </c>
      <c r="E505" s="53">
        <v>21.4</v>
      </c>
      <c r="G505" s="53">
        <v>25.8</v>
      </c>
      <c r="H505" s="119">
        <v>1.37</v>
      </c>
      <c r="I505" s="121">
        <v>3.75</v>
      </c>
      <c r="J505" s="120">
        <v>17.7</v>
      </c>
      <c r="L505" s="53"/>
      <c r="M505" s="54"/>
      <c r="N505" s="116"/>
      <c r="O505" s="53"/>
    </row>
    <row r="506" ht="15.75" customHeight="1">
      <c r="A506" s="11" t="s">
        <v>76</v>
      </c>
      <c r="B506" s="121">
        <v>4.45</v>
      </c>
      <c r="C506" s="123">
        <v>0.849</v>
      </c>
      <c r="D506" s="121">
        <v>4.4</v>
      </c>
      <c r="E506" s="53">
        <v>16.1</v>
      </c>
      <c r="F506" s="59"/>
      <c r="G506" s="116">
        <v>6.3</v>
      </c>
      <c r="H506" s="116">
        <v>1.15</v>
      </c>
      <c r="I506" s="54">
        <v>5.15</v>
      </c>
      <c r="J506" s="120">
        <v>12.2</v>
      </c>
      <c r="K506" s="59"/>
      <c r="L506" s="142"/>
      <c r="M506" s="143"/>
      <c r="N506" s="54"/>
      <c r="O506" s="116"/>
    </row>
    <row r="507" ht="15.75" customHeight="1">
      <c r="A507" s="10" t="s">
        <v>210</v>
      </c>
      <c r="B507" s="95"/>
      <c r="C507" s="95"/>
      <c r="D507" s="95"/>
      <c r="E507" s="95"/>
      <c r="G507" s="95"/>
      <c r="H507" s="95"/>
      <c r="I507" s="95"/>
      <c r="J507" s="95"/>
      <c r="L507" s="45"/>
      <c r="M507" s="114"/>
      <c r="N507" s="114"/>
      <c r="O507" s="114"/>
    </row>
    <row r="508" ht="15.75" customHeight="1">
      <c r="A508" s="11" t="s">
        <v>68</v>
      </c>
      <c r="B508" s="120">
        <v>45.2</v>
      </c>
      <c r="C508" s="121">
        <v>4.62</v>
      </c>
      <c r="D508" s="117">
        <v>28.5</v>
      </c>
      <c r="E508" s="120">
        <v>48.0</v>
      </c>
      <c r="G508" s="53">
        <v>59.0</v>
      </c>
      <c r="H508" s="116">
        <v>4.78</v>
      </c>
      <c r="I508" s="115">
        <v>25.1</v>
      </c>
      <c r="J508" s="53">
        <v>56.1</v>
      </c>
      <c r="L508" s="53"/>
      <c r="M508" s="54"/>
      <c r="N508" s="117"/>
      <c r="O508" s="53"/>
    </row>
    <row r="509" ht="15.75" customHeight="1">
      <c r="A509" s="11" t="s">
        <v>73</v>
      </c>
      <c r="B509" s="53">
        <v>39.9</v>
      </c>
      <c r="C509" s="119">
        <v>5.38</v>
      </c>
      <c r="D509" s="120">
        <v>44.2</v>
      </c>
      <c r="E509" s="117">
        <v>31.4</v>
      </c>
      <c r="G509" s="115">
        <v>39.6</v>
      </c>
      <c r="H509" s="54">
        <v>6.15</v>
      </c>
      <c r="I509" s="53">
        <v>52.4</v>
      </c>
      <c r="J509" s="115">
        <v>25.5</v>
      </c>
      <c r="L509" s="117"/>
      <c r="M509" s="54"/>
      <c r="N509" s="53"/>
      <c r="O509" s="117"/>
    </row>
    <row r="510" ht="15.75" customHeight="1">
      <c r="A510" s="11" t="s">
        <v>76</v>
      </c>
      <c r="B510" s="115">
        <v>37.8</v>
      </c>
      <c r="C510" s="119">
        <v>5.31</v>
      </c>
      <c r="D510" s="53">
        <v>34.9</v>
      </c>
      <c r="E510" s="53">
        <v>36.0</v>
      </c>
      <c r="G510" s="53">
        <v>59.9</v>
      </c>
      <c r="H510" s="54">
        <v>6.44</v>
      </c>
      <c r="I510" s="120">
        <v>34.5</v>
      </c>
      <c r="J510" s="120">
        <v>31.1</v>
      </c>
      <c r="L510" s="129"/>
      <c r="M510" s="142"/>
      <c r="N510" s="129"/>
      <c r="O510" s="129"/>
    </row>
    <row r="511" ht="15.75" customHeight="1">
      <c r="A511" s="10" t="s">
        <v>213</v>
      </c>
      <c r="B511" s="95"/>
      <c r="C511" s="95"/>
      <c r="D511" s="95"/>
      <c r="E511" s="95"/>
      <c r="F511" s="10"/>
      <c r="G511" s="95"/>
      <c r="H511" s="95"/>
      <c r="I511" s="95"/>
      <c r="J511" s="95"/>
      <c r="K511" s="10"/>
      <c r="L511" s="44"/>
      <c r="M511" s="44"/>
      <c r="N511" s="44"/>
      <c r="O511" s="44"/>
    </row>
    <row r="512" ht="15.75" customHeight="1">
      <c r="A512" s="11" t="s">
        <v>68</v>
      </c>
      <c r="B512" s="120">
        <v>23.0</v>
      </c>
      <c r="C512" s="53">
        <v>90.8</v>
      </c>
      <c r="D512" s="120">
        <v>49.2</v>
      </c>
      <c r="E512" s="120">
        <v>19.8</v>
      </c>
      <c r="G512" s="120">
        <v>23.0</v>
      </c>
      <c r="H512" s="120">
        <v>90.9</v>
      </c>
      <c r="I512" s="117">
        <v>49.1</v>
      </c>
      <c r="J512" s="53">
        <v>16.7</v>
      </c>
      <c r="L512" s="53"/>
      <c r="M512" s="53"/>
      <c r="N512" s="53"/>
      <c r="O512" s="53"/>
    </row>
    <row r="513" ht="15.75" customHeight="1">
      <c r="A513" s="11" t="s">
        <v>73</v>
      </c>
      <c r="B513" s="53">
        <v>26.3</v>
      </c>
      <c r="C513" s="53">
        <v>91.2</v>
      </c>
      <c r="D513" s="53">
        <v>32.4</v>
      </c>
      <c r="E513" s="117">
        <v>38.6</v>
      </c>
      <c r="G513" s="115">
        <v>27.7</v>
      </c>
      <c r="H513" s="115">
        <v>91.8</v>
      </c>
      <c r="I513" s="120">
        <v>33.2</v>
      </c>
      <c r="J513" s="115">
        <v>48.9</v>
      </c>
      <c r="L513" s="53"/>
      <c r="M513" s="53"/>
      <c r="N513" s="53"/>
      <c r="O513" s="117"/>
    </row>
    <row r="514" ht="15.75" customHeight="1">
      <c r="A514" s="11" t="s">
        <v>76</v>
      </c>
      <c r="B514" s="115">
        <v>31.7</v>
      </c>
      <c r="C514" s="115">
        <v>92.1</v>
      </c>
      <c r="D514" s="115">
        <v>49.7</v>
      </c>
      <c r="E514" s="53">
        <v>16.1</v>
      </c>
      <c r="F514" s="59"/>
      <c r="G514" s="53">
        <v>25.3</v>
      </c>
      <c r="H514" s="53">
        <v>91.0</v>
      </c>
      <c r="I514" s="53">
        <v>46.7</v>
      </c>
      <c r="J514" s="120">
        <v>17.6</v>
      </c>
      <c r="K514" s="59"/>
      <c r="L514" s="131"/>
      <c r="M514" s="131"/>
      <c r="N514" s="131"/>
      <c r="O514" s="129"/>
    </row>
    <row r="515" ht="15.75" customHeight="1">
      <c r="A515" s="10" t="s">
        <v>221</v>
      </c>
      <c r="B515" s="95"/>
      <c r="C515" s="95"/>
      <c r="D515" s="95"/>
      <c r="E515" s="95"/>
      <c r="F515" s="10"/>
      <c r="G515" s="95"/>
      <c r="H515" s="95"/>
      <c r="I515" s="95"/>
      <c r="J515" s="95"/>
      <c r="K515" s="10"/>
      <c r="L515" s="44"/>
      <c r="M515" s="44"/>
      <c r="N515" s="44"/>
      <c r="O515" s="44"/>
    </row>
    <row r="516" ht="15.75" customHeight="1">
      <c r="A516" s="11" t="s">
        <v>68</v>
      </c>
      <c r="B516" s="120">
        <v>22.1</v>
      </c>
      <c r="C516" s="121">
        <v>3.06</v>
      </c>
      <c r="D516" s="53">
        <v>12.2</v>
      </c>
      <c r="E516" s="120">
        <v>21.4</v>
      </c>
      <c r="G516" s="116">
        <v>8.63</v>
      </c>
      <c r="H516" s="116">
        <v>2.87</v>
      </c>
      <c r="I516" s="115">
        <v>16.1</v>
      </c>
      <c r="J516" s="53">
        <v>20.2</v>
      </c>
      <c r="L516" s="54"/>
      <c r="M516" s="118"/>
      <c r="N516" s="117"/>
      <c r="O516" s="54"/>
    </row>
    <row r="517" ht="15.75" customHeight="1">
      <c r="A517" s="11" t="s">
        <v>73</v>
      </c>
      <c r="B517" s="119">
        <v>8.06</v>
      </c>
      <c r="C517" s="119">
        <v>1.39</v>
      </c>
      <c r="D517" s="115">
        <v>19.0</v>
      </c>
      <c r="E517" s="119">
        <v>8.64</v>
      </c>
      <c r="G517" s="54">
        <v>6.95</v>
      </c>
      <c r="H517" s="118">
        <v>0.659</v>
      </c>
      <c r="I517" s="53">
        <v>10.7</v>
      </c>
      <c r="J517" s="54">
        <v>7.8</v>
      </c>
      <c r="L517" s="54"/>
      <c r="M517" s="118"/>
      <c r="N517" s="54"/>
      <c r="O517" s="54"/>
    </row>
    <row r="518" ht="15.75" customHeight="1">
      <c r="A518" s="11" t="s">
        <v>76</v>
      </c>
      <c r="B518" s="115">
        <v>26.0</v>
      </c>
      <c r="C518" s="119">
        <v>1.7</v>
      </c>
      <c r="D518" s="53">
        <v>11.0</v>
      </c>
      <c r="E518" s="117">
        <v>31.7</v>
      </c>
      <c r="F518" s="59"/>
      <c r="G518" s="54">
        <v>8.55</v>
      </c>
      <c r="H518" s="54">
        <v>1.38</v>
      </c>
      <c r="I518" s="120">
        <v>13.6</v>
      </c>
      <c r="J518" s="115">
        <v>39.2</v>
      </c>
      <c r="L518" s="116"/>
      <c r="M518" s="116"/>
      <c r="N518" s="54"/>
      <c r="O518" s="116"/>
    </row>
    <row r="519" ht="15.75" customHeight="1">
      <c r="A519" s="72" t="s">
        <v>308</v>
      </c>
      <c r="B519" s="95"/>
      <c r="C519" s="95"/>
      <c r="D519" s="95"/>
      <c r="E519" s="95"/>
      <c r="G519" s="95"/>
      <c r="H519" s="95"/>
      <c r="I519" s="95"/>
      <c r="J519" s="95"/>
      <c r="K519" s="10"/>
      <c r="L519" s="10"/>
      <c r="M519" s="10"/>
      <c r="N519" s="10"/>
      <c r="O519" s="10"/>
    </row>
    <row r="520" ht="15.75" customHeight="1">
      <c r="A520" s="11" t="s">
        <v>68</v>
      </c>
      <c r="B520" s="121">
        <v>9.87</v>
      </c>
      <c r="C520" s="117">
        <v>16.0</v>
      </c>
      <c r="D520" s="115">
        <v>18.8</v>
      </c>
      <c r="E520" s="115">
        <v>32.7</v>
      </c>
      <c r="G520" s="116">
        <v>5.81</v>
      </c>
      <c r="H520" s="115">
        <v>16.8</v>
      </c>
      <c r="I520" s="117">
        <v>16.5</v>
      </c>
      <c r="J520" s="117">
        <v>18.4</v>
      </c>
      <c r="L520" s="8"/>
      <c r="M520" s="8"/>
      <c r="N520" s="8"/>
      <c r="O520" s="8"/>
    </row>
    <row r="521" ht="15.75" customHeight="1">
      <c r="A521" s="11" t="s">
        <v>73</v>
      </c>
      <c r="B521" s="119">
        <v>7.2</v>
      </c>
      <c r="C521" s="120">
        <v>13.2</v>
      </c>
      <c r="D521" s="120">
        <v>13.9</v>
      </c>
      <c r="E521" s="120">
        <v>20.9</v>
      </c>
      <c r="G521" s="54">
        <v>4.71</v>
      </c>
      <c r="H521" s="53">
        <v>10.2</v>
      </c>
      <c r="I521" s="54">
        <v>9.68</v>
      </c>
      <c r="J521" s="117">
        <v>18.4</v>
      </c>
      <c r="L521" s="8"/>
      <c r="M521" s="8"/>
      <c r="N521" s="8"/>
      <c r="O521" s="8"/>
    </row>
    <row r="522" ht="15.75" customHeight="1">
      <c r="A522" s="25" t="s">
        <v>76</v>
      </c>
      <c r="B522" s="195">
        <v>8.82</v>
      </c>
      <c r="C522" s="195">
        <v>9.87</v>
      </c>
      <c r="D522" s="130">
        <v>12.6</v>
      </c>
      <c r="E522" s="165">
        <v>5.38</v>
      </c>
      <c r="F522" s="59"/>
      <c r="G522" s="165">
        <v>2.35</v>
      </c>
      <c r="H522" s="165">
        <v>7.01</v>
      </c>
      <c r="I522" s="129">
        <v>10.5</v>
      </c>
      <c r="J522" s="130">
        <v>12.6</v>
      </c>
      <c r="K522" s="59"/>
      <c r="L522" s="51"/>
      <c r="M522" s="51"/>
      <c r="N522" s="51"/>
      <c r="O522" s="51"/>
    </row>
    <row r="523" ht="15.75" customHeight="1"/>
    <row r="524" ht="15.75" customHeight="1"/>
    <row r="525" ht="15.75" customHeight="1">
      <c r="A525" s="180" t="s">
        <v>330</v>
      </c>
      <c r="B525" s="181" t="s">
        <v>336</v>
      </c>
      <c r="C525" s="133"/>
      <c r="D525" s="133"/>
      <c r="E525" s="133"/>
      <c r="F525" s="10"/>
      <c r="G525" s="181" t="s">
        <v>337</v>
      </c>
      <c r="H525" s="133"/>
      <c r="I525" s="133"/>
      <c r="J525" s="133"/>
    </row>
    <row r="526" ht="15.75" customHeight="1">
      <c r="B526" s="44" t="s">
        <v>63</v>
      </c>
      <c r="C526" s="44" t="s">
        <v>64</v>
      </c>
      <c r="D526" s="44" t="s">
        <v>65</v>
      </c>
      <c r="E526" s="44" t="s">
        <v>66</v>
      </c>
      <c r="G526" s="44" t="s">
        <v>63</v>
      </c>
      <c r="H526" s="44" t="s">
        <v>64</v>
      </c>
      <c r="I526" s="44" t="s">
        <v>65</v>
      </c>
      <c r="J526" s="44" t="s">
        <v>66</v>
      </c>
    </row>
    <row r="527" ht="15.75" customHeight="1">
      <c r="A527" s="10" t="s">
        <v>203</v>
      </c>
      <c r="B527" s="114"/>
      <c r="C527" s="114"/>
      <c r="D527" s="114"/>
      <c r="E527" s="114"/>
      <c r="G527" s="114"/>
      <c r="H527" s="114"/>
      <c r="I527" s="114"/>
      <c r="J527" s="114"/>
    </row>
    <row r="528" ht="15.75" customHeight="1">
      <c r="A528" s="11" t="s">
        <v>68</v>
      </c>
      <c r="B528" s="119">
        <v>8.6</v>
      </c>
      <c r="C528" s="119">
        <v>1.36</v>
      </c>
      <c r="D528" s="53">
        <v>10.3</v>
      </c>
      <c r="E528" s="53">
        <v>15.9</v>
      </c>
      <c r="G528" s="54">
        <v>8.65</v>
      </c>
      <c r="H528" s="54">
        <v>1.57</v>
      </c>
      <c r="I528" s="119">
        <v>9.98</v>
      </c>
      <c r="J528" s="121">
        <v>6.36</v>
      </c>
    </row>
    <row r="529" ht="15.75" customHeight="1">
      <c r="A529" s="11" t="s">
        <v>73</v>
      </c>
      <c r="B529" s="120">
        <v>25.8</v>
      </c>
      <c r="C529" s="54">
        <v>2.19</v>
      </c>
      <c r="D529" s="121">
        <v>3.7</v>
      </c>
      <c r="E529" s="53">
        <v>18.6</v>
      </c>
      <c r="G529" s="53">
        <v>26.3</v>
      </c>
      <c r="H529" s="119">
        <v>2.07</v>
      </c>
      <c r="I529" s="116">
        <v>4.37</v>
      </c>
      <c r="J529" s="120">
        <v>17.8</v>
      </c>
    </row>
    <row r="530" ht="15.75" customHeight="1">
      <c r="A530" s="11" t="s">
        <v>76</v>
      </c>
      <c r="B530" s="121">
        <v>5.34</v>
      </c>
      <c r="C530" s="123">
        <v>0.879</v>
      </c>
      <c r="D530" s="119">
        <v>4.29</v>
      </c>
      <c r="E530" s="117">
        <v>15.0</v>
      </c>
      <c r="F530" s="59"/>
      <c r="G530" s="116">
        <v>5.95</v>
      </c>
      <c r="H530" s="116">
        <v>1.05</v>
      </c>
      <c r="I530" s="54">
        <v>4.93</v>
      </c>
      <c r="J530" s="120">
        <v>11.4</v>
      </c>
    </row>
    <row r="531" ht="15.75" customHeight="1">
      <c r="A531" s="10" t="s">
        <v>210</v>
      </c>
      <c r="B531" s="95"/>
      <c r="C531" s="95"/>
      <c r="D531" s="95"/>
      <c r="E531" s="95"/>
      <c r="G531" s="95"/>
      <c r="H531" s="95"/>
      <c r="I531" s="95"/>
      <c r="J531" s="95"/>
    </row>
    <row r="532" ht="15.75" customHeight="1">
      <c r="A532" s="11" t="s">
        <v>68</v>
      </c>
      <c r="B532" s="115">
        <v>36.8</v>
      </c>
      <c r="C532" s="121">
        <v>3.56</v>
      </c>
      <c r="D532" s="115">
        <v>22.5</v>
      </c>
      <c r="E532" s="120">
        <v>42.2</v>
      </c>
      <c r="G532" s="53">
        <v>55.5</v>
      </c>
      <c r="H532" s="116">
        <v>5.13</v>
      </c>
      <c r="I532" s="117">
        <v>24.8</v>
      </c>
      <c r="J532" s="53">
        <v>59.7</v>
      </c>
    </row>
    <row r="533" ht="15.75" customHeight="1">
      <c r="A533" s="11" t="s">
        <v>73</v>
      </c>
      <c r="B533" s="53">
        <v>41.2</v>
      </c>
      <c r="C533" s="119">
        <v>5.5</v>
      </c>
      <c r="D533" s="53">
        <v>48.1</v>
      </c>
      <c r="E533" s="117">
        <v>30.9</v>
      </c>
      <c r="G533" s="115">
        <v>38.0</v>
      </c>
      <c r="H533" s="54">
        <v>6.05</v>
      </c>
      <c r="I533" s="53">
        <v>50.6</v>
      </c>
      <c r="J533" s="115">
        <v>22.1</v>
      </c>
    </row>
    <row r="534" ht="15.75" customHeight="1">
      <c r="A534" s="11" t="s">
        <v>76</v>
      </c>
      <c r="B534" s="120">
        <v>39.4</v>
      </c>
      <c r="C534" s="119">
        <v>4.84</v>
      </c>
      <c r="D534" s="120">
        <v>32.9</v>
      </c>
      <c r="E534" s="53">
        <v>31.0</v>
      </c>
      <c r="G534" s="53">
        <v>60.7</v>
      </c>
      <c r="H534" s="54">
        <v>6.99</v>
      </c>
      <c r="I534" s="53">
        <v>35.9</v>
      </c>
      <c r="J534" s="120">
        <v>27.1</v>
      </c>
    </row>
    <row r="535" ht="15.75" customHeight="1">
      <c r="A535" s="10" t="s">
        <v>213</v>
      </c>
      <c r="B535" s="95"/>
      <c r="C535" s="95"/>
      <c r="D535" s="95"/>
      <c r="E535" s="95"/>
      <c r="F535" s="10"/>
      <c r="G535" s="95"/>
      <c r="H535" s="95"/>
      <c r="I535" s="95"/>
      <c r="J535" s="95"/>
    </row>
    <row r="536" ht="15.75" customHeight="1">
      <c r="A536" s="11" t="s">
        <v>68</v>
      </c>
      <c r="B536" s="120">
        <v>23.6</v>
      </c>
      <c r="C536" s="120">
        <v>91.2</v>
      </c>
      <c r="D536" s="53">
        <v>48.5</v>
      </c>
      <c r="E536" s="120">
        <v>18.1</v>
      </c>
      <c r="G536" s="53">
        <v>21.9</v>
      </c>
      <c r="H536" s="53">
        <v>90.9</v>
      </c>
      <c r="I536" s="115">
        <v>49.4</v>
      </c>
      <c r="J536" s="53">
        <v>17.4</v>
      </c>
    </row>
    <row r="537" ht="15.75" customHeight="1">
      <c r="A537" s="11" t="s">
        <v>73</v>
      </c>
      <c r="B537" s="53">
        <v>25.6</v>
      </c>
      <c r="C537" s="53">
        <v>90.6</v>
      </c>
      <c r="D537" s="53">
        <v>33.3</v>
      </c>
      <c r="E537" s="117">
        <v>44.1</v>
      </c>
      <c r="G537" s="115">
        <v>28.0</v>
      </c>
      <c r="H537" s="120">
        <v>91.1</v>
      </c>
      <c r="I537" s="120">
        <v>33.9</v>
      </c>
      <c r="J537" s="115">
        <v>46.7</v>
      </c>
    </row>
    <row r="538" ht="15.75" customHeight="1">
      <c r="A538" s="11" t="s">
        <v>76</v>
      </c>
      <c r="B538" s="115">
        <v>30.0</v>
      </c>
      <c r="C538" s="115">
        <v>93.0</v>
      </c>
      <c r="D538" s="115">
        <v>49.6</v>
      </c>
      <c r="E538" s="53">
        <v>14.0</v>
      </c>
      <c r="F538" s="59"/>
      <c r="G538" s="53">
        <v>25.7</v>
      </c>
      <c r="H538" s="117">
        <v>91.5</v>
      </c>
      <c r="I538" s="53">
        <v>45.1</v>
      </c>
      <c r="J538" s="120">
        <v>19.0</v>
      </c>
    </row>
    <row r="539" ht="15.75" customHeight="1">
      <c r="A539" s="10" t="s">
        <v>221</v>
      </c>
      <c r="B539" s="95"/>
      <c r="C539" s="95"/>
      <c r="D539" s="95"/>
      <c r="E539" s="95"/>
      <c r="F539" s="10"/>
      <c r="G539" s="95"/>
      <c r="H539" s="95"/>
      <c r="I539" s="95"/>
      <c r="J539" s="95"/>
    </row>
    <row r="540" ht="15.75" customHeight="1">
      <c r="A540" s="11" t="s">
        <v>68</v>
      </c>
      <c r="B540" s="115">
        <v>31.0</v>
      </c>
      <c r="C540" s="121">
        <v>3.87</v>
      </c>
      <c r="D540" s="115">
        <v>18.6</v>
      </c>
      <c r="E540" s="120">
        <v>23.7</v>
      </c>
      <c r="G540" s="117">
        <v>13.9</v>
      </c>
      <c r="H540" s="116">
        <v>2.41</v>
      </c>
      <c r="I540" s="117">
        <v>15.9</v>
      </c>
      <c r="J540" s="53">
        <v>16.5</v>
      </c>
    </row>
    <row r="541" ht="15.75" customHeight="1">
      <c r="A541" s="11" t="s">
        <v>73</v>
      </c>
      <c r="B541" s="54">
        <v>7.37</v>
      </c>
      <c r="C541" s="119">
        <v>1.76</v>
      </c>
      <c r="D541" s="120">
        <v>15.0</v>
      </c>
      <c r="E541" s="54">
        <v>6.36</v>
      </c>
      <c r="G541" s="119">
        <v>7.74</v>
      </c>
      <c r="H541" s="118">
        <v>0.817</v>
      </c>
      <c r="I541" s="53">
        <v>11.2</v>
      </c>
      <c r="J541" s="120">
        <v>13.4</v>
      </c>
    </row>
    <row r="542" ht="15.75" customHeight="1">
      <c r="A542" s="11" t="s">
        <v>76</v>
      </c>
      <c r="B542" s="120">
        <v>25.3</v>
      </c>
      <c r="C542" s="119">
        <v>1.32</v>
      </c>
      <c r="D542" s="53">
        <v>13.2</v>
      </c>
      <c r="E542" s="117">
        <v>40.0</v>
      </c>
      <c r="F542" s="59"/>
      <c r="G542" s="54">
        <v>7.68</v>
      </c>
      <c r="H542" s="118">
        <v>0.466</v>
      </c>
      <c r="I542" s="120">
        <v>14.1</v>
      </c>
      <c r="J542" s="115">
        <v>42.4</v>
      </c>
    </row>
    <row r="543" ht="15.75" customHeight="1">
      <c r="A543" s="72" t="s">
        <v>308</v>
      </c>
      <c r="B543" s="95"/>
      <c r="C543" s="95"/>
      <c r="D543" s="95"/>
      <c r="E543" s="95"/>
      <c r="G543" s="95"/>
      <c r="H543" s="95"/>
      <c r="I543" s="95"/>
      <c r="J543" s="95"/>
    </row>
    <row r="544" ht="15.75" customHeight="1">
      <c r="A544" s="11" t="s">
        <v>68</v>
      </c>
      <c r="B544" s="115">
        <v>10.2</v>
      </c>
      <c r="C544" s="117">
        <v>10.7</v>
      </c>
      <c r="D544" s="115">
        <v>21.2</v>
      </c>
      <c r="E544" s="115">
        <v>21.9</v>
      </c>
      <c r="G544" s="116">
        <v>6.38</v>
      </c>
      <c r="H544" s="115">
        <v>14.7</v>
      </c>
      <c r="I544" s="117">
        <v>20.0</v>
      </c>
      <c r="J544" s="117">
        <v>21.6</v>
      </c>
    </row>
    <row r="545" ht="15.75" customHeight="1">
      <c r="A545" s="11" t="s">
        <v>73</v>
      </c>
      <c r="B545" s="119">
        <v>6.06</v>
      </c>
      <c r="C545" s="53">
        <v>10.4</v>
      </c>
      <c r="D545" s="120">
        <v>13.2</v>
      </c>
      <c r="E545" s="53">
        <v>14.5</v>
      </c>
      <c r="G545" s="54">
        <v>6.04</v>
      </c>
      <c r="H545" s="120">
        <v>12.0</v>
      </c>
      <c r="I545" s="53">
        <v>10.3</v>
      </c>
      <c r="J545" s="120">
        <v>16.7</v>
      </c>
    </row>
    <row r="546" ht="15.75" customHeight="1">
      <c r="A546" s="25" t="s">
        <v>76</v>
      </c>
      <c r="B546" s="195">
        <v>7.07</v>
      </c>
      <c r="C546" s="165">
        <v>8.46</v>
      </c>
      <c r="D546" s="130">
        <v>16.8</v>
      </c>
      <c r="E546" s="129">
        <v>12.0</v>
      </c>
      <c r="F546" s="59"/>
      <c r="G546" s="165">
        <v>2.88</v>
      </c>
      <c r="H546" s="195">
        <v>9.32</v>
      </c>
      <c r="I546" s="129">
        <v>14.1</v>
      </c>
      <c r="J546" s="130">
        <v>20.0</v>
      </c>
    </row>
    <row r="547" ht="15.75" customHeight="1"/>
    <row r="548" ht="15.75" customHeight="1"/>
    <row r="549" ht="15.75" customHeight="1"/>
    <row r="550" ht="15.0" customHeight="1">
      <c r="A550" s="42" t="s">
        <v>338</v>
      </c>
      <c r="B550" s="43" t="s">
        <v>244</v>
      </c>
      <c r="C550" s="32"/>
      <c r="D550" s="32"/>
      <c r="E550" s="32"/>
      <c r="G550" s="43" t="s">
        <v>284</v>
      </c>
      <c r="H550" s="32"/>
      <c r="I550" s="32"/>
      <c r="J550" s="32"/>
    </row>
    <row r="551" ht="15.75" customHeight="1">
      <c r="A551" s="32"/>
      <c r="B551" s="44" t="s">
        <v>63</v>
      </c>
      <c r="C551" s="44" t="s">
        <v>64</v>
      </c>
      <c r="D551" s="44" t="s">
        <v>65</v>
      </c>
      <c r="E551" s="44" t="s">
        <v>66</v>
      </c>
      <c r="G551" s="44" t="s">
        <v>63</v>
      </c>
      <c r="H551" s="44" t="s">
        <v>64</v>
      </c>
      <c r="I551" s="44" t="s">
        <v>65</v>
      </c>
      <c r="J551" s="44" t="s">
        <v>66</v>
      </c>
    </row>
    <row r="552" ht="15.75" customHeight="1">
      <c r="A552" s="10" t="s">
        <v>203</v>
      </c>
      <c r="B552" s="114"/>
      <c r="C552" s="114"/>
      <c r="D552" s="114"/>
      <c r="E552" s="114"/>
      <c r="G552" s="166"/>
      <c r="H552" s="166"/>
      <c r="I552" s="166"/>
      <c r="J552" s="166"/>
    </row>
    <row r="553" ht="15.75" customHeight="1">
      <c r="A553" s="47" t="s">
        <v>68</v>
      </c>
      <c r="B553" s="120">
        <v>10.5</v>
      </c>
      <c r="C553" s="54">
        <v>2.35</v>
      </c>
      <c r="D553" s="54">
        <v>8.01</v>
      </c>
      <c r="E553" s="117">
        <v>10.6</v>
      </c>
      <c r="G553" s="53">
        <v>11.5</v>
      </c>
      <c r="H553" s="119">
        <v>1.5</v>
      </c>
      <c r="I553" s="119">
        <v>6.64</v>
      </c>
      <c r="J553" s="121">
        <v>7.61</v>
      </c>
    </row>
    <row r="554" ht="15.75" customHeight="1">
      <c r="A554" s="47" t="s">
        <v>73</v>
      </c>
      <c r="B554" s="120">
        <v>24.1</v>
      </c>
      <c r="C554" s="54">
        <v>2.5</v>
      </c>
      <c r="D554" s="54">
        <v>4.67</v>
      </c>
      <c r="E554" s="53">
        <v>17.5</v>
      </c>
      <c r="G554" s="53">
        <v>26.0</v>
      </c>
      <c r="H554" s="119">
        <v>1.84</v>
      </c>
      <c r="I554" s="121">
        <v>4.01</v>
      </c>
      <c r="J554" s="120">
        <v>16.0</v>
      </c>
    </row>
    <row r="555" ht="15.75" customHeight="1">
      <c r="A555" s="47" t="s">
        <v>76</v>
      </c>
      <c r="B555" s="116">
        <v>5.69</v>
      </c>
      <c r="C555" s="143">
        <v>0.851</v>
      </c>
      <c r="D555" s="121">
        <v>2.9</v>
      </c>
      <c r="E555" s="120">
        <v>12.9</v>
      </c>
      <c r="G555" s="121">
        <v>2.64</v>
      </c>
      <c r="H555" s="196">
        <v>0.696</v>
      </c>
      <c r="I555" s="165">
        <v>4.86</v>
      </c>
      <c r="J555" s="53">
        <v>17.1</v>
      </c>
    </row>
    <row r="556" ht="15.75" customHeight="1">
      <c r="A556" s="10" t="s">
        <v>210</v>
      </c>
      <c r="B556" s="95"/>
      <c r="C556" s="95"/>
      <c r="D556" s="95"/>
      <c r="E556" s="95"/>
      <c r="G556" s="166"/>
      <c r="H556" s="54"/>
      <c r="I556" s="54"/>
      <c r="J556" s="166"/>
    </row>
    <row r="557" ht="15.75" customHeight="1">
      <c r="A557" s="47" t="s">
        <v>68</v>
      </c>
      <c r="B557" s="120">
        <v>41.1</v>
      </c>
      <c r="C557" s="121">
        <v>4.29</v>
      </c>
      <c r="D557" s="115">
        <v>20.5</v>
      </c>
      <c r="E557" s="120">
        <v>43.6</v>
      </c>
      <c r="G557" s="53">
        <v>41.2</v>
      </c>
      <c r="H557" s="116">
        <v>4.93</v>
      </c>
      <c r="I557" s="117">
        <v>23.0</v>
      </c>
      <c r="J557" s="53">
        <v>62.0</v>
      </c>
    </row>
    <row r="558" ht="15.75" customHeight="1">
      <c r="A558" s="47" t="s">
        <v>73</v>
      </c>
      <c r="B558" s="120">
        <v>39.1</v>
      </c>
      <c r="C558" s="54">
        <v>5.21</v>
      </c>
      <c r="D558" s="120">
        <v>41.4</v>
      </c>
      <c r="E558" s="117">
        <v>26.2</v>
      </c>
      <c r="G558" s="53">
        <v>39.4</v>
      </c>
      <c r="H558" s="119">
        <v>5.2</v>
      </c>
      <c r="I558" s="53">
        <v>42.7</v>
      </c>
      <c r="J558" s="115">
        <v>24.0</v>
      </c>
    </row>
    <row r="559" ht="15.75" customHeight="1">
      <c r="A559" s="47" t="s">
        <v>76</v>
      </c>
      <c r="B559" s="117">
        <v>38.1</v>
      </c>
      <c r="C559" s="119">
        <v>5.32</v>
      </c>
      <c r="D559" s="120">
        <v>27.0</v>
      </c>
      <c r="E559" s="120">
        <v>31.7</v>
      </c>
      <c r="G559" s="187">
        <v>34.3</v>
      </c>
      <c r="H559" s="165">
        <v>5.34</v>
      </c>
      <c r="I559" s="129">
        <v>31.6</v>
      </c>
      <c r="J559" s="129">
        <v>34.3</v>
      </c>
    </row>
    <row r="560" ht="15.75" customHeight="1">
      <c r="A560" s="10" t="s">
        <v>213</v>
      </c>
      <c r="B560" s="95"/>
      <c r="C560" s="95"/>
      <c r="D560" s="95"/>
      <c r="E560" s="95"/>
      <c r="G560" s="54"/>
      <c r="H560" s="91"/>
      <c r="I560" s="91"/>
      <c r="J560" s="54"/>
    </row>
    <row r="561" ht="15.75" customHeight="1">
      <c r="A561" s="47" t="s">
        <v>68</v>
      </c>
      <c r="B561" s="120">
        <v>22.1</v>
      </c>
      <c r="C561" s="53">
        <v>90.1</v>
      </c>
      <c r="D561" s="117">
        <v>50.2</v>
      </c>
      <c r="E561" s="120">
        <v>18.2</v>
      </c>
      <c r="G561" s="53">
        <v>21.0</v>
      </c>
      <c r="H561" s="120">
        <v>91.1</v>
      </c>
      <c r="I561" s="115">
        <v>54.1</v>
      </c>
      <c r="J561" s="53">
        <v>12.0</v>
      </c>
    </row>
    <row r="562" ht="15.75" customHeight="1">
      <c r="A562" s="47" t="s">
        <v>73</v>
      </c>
      <c r="B562" s="120">
        <v>27.4</v>
      </c>
      <c r="C562" s="53">
        <v>90.5</v>
      </c>
      <c r="D562" s="120">
        <v>36.2</v>
      </c>
      <c r="E562" s="115">
        <v>46.7</v>
      </c>
      <c r="G562" s="53">
        <v>26.3</v>
      </c>
      <c r="H562" s="120">
        <v>91.3</v>
      </c>
      <c r="I562" s="53">
        <v>33.3</v>
      </c>
      <c r="J562" s="117">
        <v>44.0</v>
      </c>
    </row>
    <row r="563" ht="15.75" customHeight="1">
      <c r="A563" s="47" t="s">
        <v>76</v>
      </c>
      <c r="B563" s="117">
        <v>30.7</v>
      </c>
      <c r="C563" s="115">
        <v>92.8</v>
      </c>
      <c r="D563" s="53">
        <v>49.5</v>
      </c>
      <c r="E563" s="120">
        <v>16.1</v>
      </c>
      <c r="G563" s="115">
        <v>31.0</v>
      </c>
      <c r="H563" s="131">
        <v>92.1</v>
      </c>
      <c r="I563" s="130">
        <v>49.8</v>
      </c>
      <c r="J563" s="53">
        <v>13.3</v>
      </c>
    </row>
    <row r="564" ht="15.75" customHeight="1">
      <c r="A564" s="10" t="s">
        <v>221</v>
      </c>
      <c r="B564" s="95"/>
      <c r="C564" s="95"/>
      <c r="D564" s="95"/>
      <c r="E564" s="95"/>
      <c r="G564" s="166"/>
      <c r="H564" s="54"/>
      <c r="I564" s="54"/>
      <c r="J564" s="166"/>
    </row>
    <row r="565" ht="15.75" customHeight="1">
      <c r="A565" s="47" t="s">
        <v>68</v>
      </c>
      <c r="B565" s="115">
        <v>26.3</v>
      </c>
      <c r="C565" s="121">
        <v>3.27</v>
      </c>
      <c r="D565" s="115">
        <v>21.3</v>
      </c>
      <c r="E565" s="120">
        <v>27.5</v>
      </c>
      <c r="G565" s="115">
        <v>26.3</v>
      </c>
      <c r="H565" s="116">
        <v>2.47</v>
      </c>
      <c r="I565" s="53">
        <v>16.2</v>
      </c>
      <c r="J565" s="53">
        <v>18.5</v>
      </c>
    </row>
    <row r="566" ht="15.75" customHeight="1">
      <c r="A566" s="47" t="s">
        <v>73</v>
      </c>
      <c r="B566" s="119">
        <v>9.37</v>
      </c>
      <c r="C566" s="119">
        <v>1.81</v>
      </c>
      <c r="D566" s="53">
        <v>17.8</v>
      </c>
      <c r="E566" s="54">
        <v>9.6</v>
      </c>
      <c r="G566" s="54">
        <v>8.28</v>
      </c>
      <c r="H566" s="54">
        <v>1.63</v>
      </c>
      <c r="I566" s="115">
        <v>20.0</v>
      </c>
      <c r="J566" s="120">
        <v>16.0</v>
      </c>
    </row>
    <row r="567" ht="15.75" customHeight="1">
      <c r="A567" s="47" t="s">
        <v>76</v>
      </c>
      <c r="B567" s="53">
        <v>25.4</v>
      </c>
      <c r="C567" s="54">
        <v>1.06</v>
      </c>
      <c r="D567" s="120">
        <v>20.6</v>
      </c>
      <c r="E567" s="115">
        <v>39.2</v>
      </c>
      <c r="G567" s="130">
        <v>32.1</v>
      </c>
      <c r="H567" s="195">
        <v>1.86</v>
      </c>
      <c r="I567" s="129">
        <v>13.8</v>
      </c>
      <c r="J567" s="131">
        <v>35.2</v>
      </c>
    </row>
    <row r="568" ht="15.75" customHeight="1">
      <c r="A568" s="72" t="s">
        <v>308</v>
      </c>
      <c r="B568" s="95"/>
      <c r="C568" s="95"/>
      <c r="D568" s="95"/>
      <c r="E568" s="95"/>
      <c r="G568" s="54"/>
      <c r="H568" s="54"/>
      <c r="I568" s="54"/>
      <c r="J568" s="54"/>
    </row>
    <row r="569" ht="15.75" customHeight="1">
      <c r="A569" s="47" t="s">
        <v>68</v>
      </c>
      <c r="B569" s="117">
        <v>12.9</v>
      </c>
      <c r="C569" s="53">
        <v>13.8</v>
      </c>
      <c r="D569" s="117">
        <v>20.9</v>
      </c>
      <c r="E569" s="115">
        <v>37.7</v>
      </c>
      <c r="G569" s="120">
        <v>13.5</v>
      </c>
      <c r="H569" s="115">
        <v>21.8</v>
      </c>
      <c r="I569" s="115">
        <v>25.1</v>
      </c>
      <c r="J569" s="53">
        <v>26.1</v>
      </c>
    </row>
    <row r="570" ht="15.75" customHeight="1">
      <c r="A570" s="47" t="s">
        <v>73</v>
      </c>
      <c r="B570" s="54">
        <v>8.98</v>
      </c>
      <c r="C570" s="115">
        <v>18.5</v>
      </c>
      <c r="D570" s="53">
        <v>18.8</v>
      </c>
      <c r="E570" s="53">
        <v>15.9</v>
      </c>
      <c r="G570" s="120">
        <v>10.0</v>
      </c>
      <c r="H570" s="53">
        <v>16.1</v>
      </c>
      <c r="I570" s="120">
        <v>21.2</v>
      </c>
      <c r="J570" s="115">
        <v>28.0</v>
      </c>
    </row>
    <row r="571" ht="15.75" customHeight="1">
      <c r="A571" s="127" t="s">
        <v>76</v>
      </c>
      <c r="B571" s="165">
        <v>7.48</v>
      </c>
      <c r="C571" s="129">
        <v>13.3</v>
      </c>
      <c r="D571" s="130">
        <v>18.6</v>
      </c>
      <c r="E571" s="130">
        <v>11.3</v>
      </c>
      <c r="G571" s="115">
        <v>14.3</v>
      </c>
      <c r="H571" s="120">
        <v>14.8</v>
      </c>
      <c r="I571" s="54">
        <v>9.31</v>
      </c>
      <c r="J571" s="54">
        <v>4.76</v>
      </c>
    </row>
    <row r="572" ht="15.75" customHeight="1"/>
    <row r="573" ht="15.75" customHeight="1"/>
    <row r="574" ht="15.0" customHeight="1">
      <c r="A574" s="42" t="s">
        <v>338</v>
      </c>
      <c r="B574" s="43" t="s">
        <v>244</v>
      </c>
      <c r="C574" s="32"/>
      <c r="D574" s="32"/>
      <c r="E574" s="32"/>
      <c r="F574" s="45"/>
      <c r="G574" s="43" t="s">
        <v>283</v>
      </c>
      <c r="H574" s="32"/>
      <c r="I574" s="32"/>
      <c r="J574" s="32"/>
    </row>
    <row r="575" ht="15.75" customHeight="1">
      <c r="A575" s="32"/>
      <c r="B575" s="44" t="s">
        <v>63</v>
      </c>
      <c r="C575" s="44" t="s">
        <v>64</v>
      </c>
      <c r="D575" s="44" t="s">
        <v>65</v>
      </c>
      <c r="E575" s="44" t="s">
        <v>66</v>
      </c>
      <c r="F575" s="45"/>
      <c r="G575" s="44" t="s">
        <v>63</v>
      </c>
      <c r="H575" s="44" t="s">
        <v>64</v>
      </c>
      <c r="I575" s="44" t="s">
        <v>65</v>
      </c>
      <c r="J575" s="44" t="s">
        <v>66</v>
      </c>
    </row>
    <row r="576" ht="15.75" customHeight="1">
      <c r="A576" s="10" t="s">
        <v>203</v>
      </c>
      <c r="B576" s="114"/>
      <c r="C576" s="114"/>
      <c r="D576" s="114"/>
      <c r="E576" s="114"/>
      <c r="G576" s="166"/>
      <c r="H576" s="166"/>
      <c r="I576" s="166"/>
      <c r="J576" s="166"/>
    </row>
    <row r="577" ht="15.75" customHeight="1">
      <c r="A577" s="47" t="s">
        <v>68</v>
      </c>
      <c r="B577" s="120">
        <v>10.5</v>
      </c>
      <c r="C577" s="119">
        <v>2.35</v>
      </c>
      <c r="D577" s="54">
        <v>8.01</v>
      </c>
      <c r="E577" s="117">
        <v>10.6</v>
      </c>
      <c r="G577" s="53">
        <v>11.2</v>
      </c>
      <c r="H577" s="54">
        <v>2.55</v>
      </c>
      <c r="I577" s="119">
        <v>5.78</v>
      </c>
      <c r="J577" s="119">
        <v>9.62</v>
      </c>
    </row>
    <row r="578" ht="15.75" customHeight="1">
      <c r="A578" s="47" t="s">
        <v>73</v>
      </c>
      <c r="B578" s="53">
        <v>24.1</v>
      </c>
      <c r="C578" s="54">
        <v>2.5</v>
      </c>
      <c r="D578" s="54">
        <v>4.67</v>
      </c>
      <c r="E578" s="53">
        <v>17.5</v>
      </c>
      <c r="G578" s="120">
        <v>20.8</v>
      </c>
      <c r="H578" s="119">
        <v>2.37</v>
      </c>
      <c r="I578" s="121">
        <v>2.75</v>
      </c>
      <c r="J578" s="121">
        <v>7.09</v>
      </c>
    </row>
    <row r="579" ht="15.75" customHeight="1">
      <c r="A579" s="47" t="s">
        <v>76</v>
      </c>
      <c r="B579" s="116">
        <v>5.69</v>
      </c>
      <c r="C579" s="123">
        <v>0.851</v>
      </c>
      <c r="D579" s="121">
        <v>2.9</v>
      </c>
      <c r="E579" s="120">
        <v>12.9</v>
      </c>
      <c r="G579" s="121">
        <v>4.07</v>
      </c>
      <c r="H579" s="142">
        <v>1.33</v>
      </c>
      <c r="I579" s="165">
        <v>5.61</v>
      </c>
      <c r="J579" s="53">
        <v>13.3</v>
      </c>
    </row>
    <row r="580" ht="15.75" customHeight="1">
      <c r="A580" s="10" t="s">
        <v>210</v>
      </c>
      <c r="B580" s="95"/>
      <c r="C580" s="95"/>
      <c r="D580" s="95"/>
      <c r="E580" s="95"/>
      <c r="G580" s="166"/>
      <c r="H580" s="54"/>
      <c r="I580" s="54"/>
      <c r="J580" s="166"/>
    </row>
    <row r="581" ht="15.75" customHeight="1">
      <c r="A581" s="47" t="s">
        <v>68</v>
      </c>
      <c r="B581" s="120">
        <v>41.1</v>
      </c>
      <c r="C581" s="116">
        <v>4.29</v>
      </c>
      <c r="D581" s="117">
        <v>20.5</v>
      </c>
      <c r="E581" s="120">
        <v>43.6</v>
      </c>
      <c r="G581" s="120">
        <v>41.1</v>
      </c>
      <c r="H581" s="119">
        <v>3.39</v>
      </c>
      <c r="I581" s="115">
        <v>18.6</v>
      </c>
      <c r="J581" s="53">
        <v>58.7</v>
      </c>
    </row>
    <row r="582" ht="15.75" customHeight="1">
      <c r="A582" s="47" t="s">
        <v>73</v>
      </c>
      <c r="B582" s="53">
        <v>39.1</v>
      </c>
      <c r="C582" s="54">
        <v>5.21</v>
      </c>
      <c r="D582" s="53">
        <v>41.4</v>
      </c>
      <c r="E582" s="117">
        <v>26.2</v>
      </c>
      <c r="G582" s="115">
        <v>32.9</v>
      </c>
      <c r="H582" s="119">
        <v>5.17</v>
      </c>
      <c r="I582" s="120">
        <v>32.5</v>
      </c>
      <c r="J582" s="115">
        <v>17.3</v>
      </c>
    </row>
    <row r="583" ht="15.75" customHeight="1">
      <c r="A583" s="47" t="s">
        <v>76</v>
      </c>
      <c r="B583" s="117">
        <v>38.1</v>
      </c>
      <c r="C583" s="54">
        <v>5.32</v>
      </c>
      <c r="D583" s="53">
        <v>27.0</v>
      </c>
      <c r="E583" s="53">
        <v>31.7</v>
      </c>
      <c r="G583" s="130">
        <v>34.8</v>
      </c>
      <c r="H583" s="197">
        <v>3.1</v>
      </c>
      <c r="I583" s="130">
        <v>23.4</v>
      </c>
      <c r="J583" s="130">
        <v>20.0</v>
      </c>
    </row>
    <row r="584" ht="15.75" customHeight="1">
      <c r="A584" s="10" t="s">
        <v>213</v>
      </c>
      <c r="B584" s="95"/>
      <c r="C584" s="95"/>
      <c r="D584" s="95"/>
      <c r="E584" s="95"/>
      <c r="G584" s="54"/>
      <c r="H584" s="91"/>
      <c r="I584" s="91"/>
      <c r="J584" s="54"/>
    </row>
    <row r="585" ht="15.75" customHeight="1">
      <c r="A585" s="47" t="s">
        <v>68</v>
      </c>
      <c r="B585" s="120">
        <v>22.1</v>
      </c>
      <c r="C585" s="53">
        <v>90.1</v>
      </c>
      <c r="D585" s="117">
        <v>50.2</v>
      </c>
      <c r="E585" s="120">
        <v>18.2</v>
      </c>
      <c r="G585" s="120">
        <v>22.1</v>
      </c>
      <c r="H585" s="120">
        <v>90.3</v>
      </c>
      <c r="I585" s="115">
        <v>52.0</v>
      </c>
      <c r="J585" s="53">
        <v>14.4</v>
      </c>
    </row>
    <row r="586" ht="15.75" customHeight="1">
      <c r="A586" s="47" t="s">
        <v>73</v>
      </c>
      <c r="B586" s="53">
        <v>27.4</v>
      </c>
      <c r="C586" s="53">
        <v>90.5</v>
      </c>
      <c r="D586" s="53">
        <v>36.2</v>
      </c>
      <c r="E586" s="117">
        <v>46.7</v>
      </c>
      <c r="G586" s="115">
        <v>31.8</v>
      </c>
      <c r="H586" s="120">
        <v>90.5</v>
      </c>
      <c r="I586" s="120">
        <v>36.9</v>
      </c>
      <c r="J586" s="115">
        <v>55.1</v>
      </c>
    </row>
    <row r="587" ht="15.75" customHeight="1">
      <c r="A587" s="47" t="s">
        <v>76</v>
      </c>
      <c r="B587" s="117">
        <v>30.7</v>
      </c>
      <c r="C587" s="115">
        <v>92.8</v>
      </c>
      <c r="D587" s="53">
        <v>49.5</v>
      </c>
      <c r="E587" s="120">
        <v>16.1</v>
      </c>
      <c r="G587" s="120">
        <v>31.7</v>
      </c>
      <c r="H587" s="131">
        <v>92.2</v>
      </c>
      <c r="I587" s="130">
        <v>49.8</v>
      </c>
      <c r="J587" s="53">
        <v>12.2</v>
      </c>
    </row>
    <row r="588" ht="15.75" customHeight="1">
      <c r="A588" s="10" t="s">
        <v>221</v>
      </c>
      <c r="B588" s="95"/>
      <c r="C588" s="95"/>
      <c r="D588" s="95"/>
      <c r="E588" s="95"/>
      <c r="G588" s="166"/>
      <c r="H588" s="54"/>
      <c r="I588" s="54"/>
      <c r="J588" s="166"/>
    </row>
    <row r="589" ht="15.75" customHeight="1">
      <c r="A589" s="47" t="s">
        <v>68</v>
      </c>
      <c r="B589" s="115">
        <v>26.3</v>
      </c>
      <c r="C589" s="116">
        <v>3.27</v>
      </c>
      <c r="D589" s="117">
        <v>21.3</v>
      </c>
      <c r="E589" s="120">
        <v>27.5</v>
      </c>
      <c r="G589" s="53">
        <v>25.6</v>
      </c>
      <c r="H589" s="121">
        <v>3.71</v>
      </c>
      <c r="I589" s="120">
        <v>23.6</v>
      </c>
      <c r="J589" s="53">
        <v>17.3</v>
      </c>
    </row>
    <row r="590" ht="15.75" customHeight="1">
      <c r="A590" s="47" t="s">
        <v>73</v>
      </c>
      <c r="B590" s="54">
        <v>9.37</v>
      </c>
      <c r="C590" s="54">
        <v>1.81</v>
      </c>
      <c r="D590" s="53">
        <v>17.8</v>
      </c>
      <c r="E590" s="54">
        <v>9.6</v>
      </c>
      <c r="G590" s="120">
        <v>14.5</v>
      </c>
      <c r="H590" s="119">
        <v>1.94</v>
      </c>
      <c r="I590" s="115">
        <v>27.8</v>
      </c>
      <c r="J590" s="120">
        <v>20.5</v>
      </c>
    </row>
    <row r="591" ht="15.75" customHeight="1">
      <c r="A591" s="47" t="s">
        <v>76</v>
      </c>
      <c r="B591" s="53">
        <v>25.4</v>
      </c>
      <c r="C591" s="54">
        <v>1.06</v>
      </c>
      <c r="D591" s="53">
        <v>20.6</v>
      </c>
      <c r="E591" s="117">
        <v>39.2</v>
      </c>
      <c r="G591" s="187">
        <v>29.5</v>
      </c>
      <c r="H591" s="195">
        <v>3.33</v>
      </c>
      <c r="I591" s="130">
        <v>21.1</v>
      </c>
      <c r="J591" s="187">
        <v>54.4</v>
      </c>
    </row>
    <row r="592" ht="15.75" customHeight="1">
      <c r="A592" s="72" t="s">
        <v>308</v>
      </c>
      <c r="B592" s="95"/>
      <c r="C592" s="95"/>
      <c r="D592" s="95"/>
      <c r="E592" s="95"/>
      <c r="G592" s="54"/>
      <c r="H592" s="54"/>
      <c r="I592" s="54"/>
      <c r="J592" s="54"/>
    </row>
    <row r="593" ht="15.75" customHeight="1">
      <c r="A593" s="47" t="s">
        <v>68</v>
      </c>
      <c r="B593" s="117">
        <v>12.9</v>
      </c>
      <c r="C593" s="53">
        <v>13.8</v>
      </c>
      <c r="D593" s="117">
        <v>20.9</v>
      </c>
      <c r="E593" s="115">
        <v>37.7</v>
      </c>
      <c r="G593" s="115">
        <v>17.9</v>
      </c>
      <c r="H593" s="120">
        <v>25.3</v>
      </c>
      <c r="I593" s="115">
        <v>31.5</v>
      </c>
      <c r="J593" s="53">
        <v>26.9</v>
      </c>
    </row>
    <row r="594" ht="15.75" customHeight="1">
      <c r="A594" s="47" t="s">
        <v>73</v>
      </c>
      <c r="B594" s="54">
        <v>8.98</v>
      </c>
      <c r="C594" s="117">
        <v>18.5</v>
      </c>
      <c r="D594" s="53">
        <v>18.8</v>
      </c>
      <c r="E594" s="53">
        <v>15.9</v>
      </c>
      <c r="G594" s="120">
        <v>16.5</v>
      </c>
      <c r="H594" s="115">
        <v>26.0</v>
      </c>
      <c r="I594" s="120">
        <v>30.6</v>
      </c>
      <c r="J594" s="115">
        <v>41.7</v>
      </c>
    </row>
    <row r="595" ht="15.75" customHeight="1">
      <c r="A595" s="127" t="s">
        <v>76</v>
      </c>
      <c r="B595" s="165">
        <v>7.48</v>
      </c>
      <c r="C595" s="129">
        <v>13.3</v>
      </c>
      <c r="D595" s="129">
        <v>18.6</v>
      </c>
      <c r="E595" s="129">
        <v>11.3</v>
      </c>
      <c r="G595" s="120">
        <v>14.4</v>
      </c>
      <c r="H595" s="120">
        <v>18.4</v>
      </c>
      <c r="I595" s="120">
        <v>23.1</v>
      </c>
      <c r="J595" s="120">
        <v>17.8</v>
      </c>
    </row>
  </sheetData>
  <mergeCells count="99">
    <mergeCell ref="R298:U298"/>
    <mergeCell ref="W298:Z298"/>
    <mergeCell ref="AB298:AE298"/>
    <mergeCell ref="A281:A282"/>
    <mergeCell ref="B281:E281"/>
    <mergeCell ref="F281:F282"/>
    <mergeCell ref="G281:J281"/>
    <mergeCell ref="L281:O281"/>
    <mergeCell ref="Q298:Q299"/>
    <mergeCell ref="V298:V299"/>
    <mergeCell ref="A310:A311"/>
    <mergeCell ref="B310:E310"/>
    <mergeCell ref="G310:G311"/>
    <mergeCell ref="H310:K310"/>
    <mergeCell ref="A329:A331"/>
    <mergeCell ref="B329:E330"/>
    <mergeCell ref="F329:F330"/>
    <mergeCell ref="A353:A355"/>
    <mergeCell ref="B353:E354"/>
    <mergeCell ref="F353:F354"/>
    <mergeCell ref="G353:J354"/>
    <mergeCell ref="L353:O354"/>
    <mergeCell ref="A379:A380"/>
    <mergeCell ref="B379:E379"/>
    <mergeCell ref="G379:J379"/>
    <mergeCell ref="L379:O379"/>
    <mergeCell ref="I422:I423"/>
    <mergeCell ref="J422:K422"/>
    <mergeCell ref="M422:N422"/>
    <mergeCell ref="P422:Q422"/>
    <mergeCell ref="J430:K430"/>
    <mergeCell ref="G477:J477"/>
    <mergeCell ref="L477:O477"/>
    <mergeCell ref="Q477:T477"/>
    <mergeCell ref="M430:N430"/>
    <mergeCell ref="P430:Q430"/>
    <mergeCell ref="A454:A455"/>
    <mergeCell ref="B454:E454"/>
    <mergeCell ref="G454:J454"/>
    <mergeCell ref="L454:O454"/>
    <mergeCell ref="A477:A478"/>
    <mergeCell ref="B525:E525"/>
    <mergeCell ref="G525:J525"/>
    <mergeCell ref="A550:A551"/>
    <mergeCell ref="B550:E550"/>
    <mergeCell ref="G550:J550"/>
    <mergeCell ref="A574:A575"/>
    <mergeCell ref="B574:E574"/>
    <mergeCell ref="G574:J574"/>
    <mergeCell ref="B477:E477"/>
    <mergeCell ref="F477:F478"/>
    <mergeCell ref="A501:A502"/>
    <mergeCell ref="B501:E501"/>
    <mergeCell ref="G501:J501"/>
    <mergeCell ref="L501:O501"/>
    <mergeCell ref="A525:A526"/>
    <mergeCell ref="R199:U199"/>
    <mergeCell ref="W199:Z199"/>
    <mergeCell ref="AB199:AE199"/>
    <mergeCell ref="A182:A183"/>
    <mergeCell ref="B182:E182"/>
    <mergeCell ref="F182:F183"/>
    <mergeCell ref="G182:J182"/>
    <mergeCell ref="L182:O182"/>
    <mergeCell ref="Q199:Q200"/>
    <mergeCell ref="V199:V200"/>
    <mergeCell ref="A209:A211"/>
    <mergeCell ref="B209:E210"/>
    <mergeCell ref="F209:F210"/>
    <mergeCell ref="G209:J210"/>
    <mergeCell ref="L209:O210"/>
    <mergeCell ref="Q210:Q211"/>
    <mergeCell ref="R210:U210"/>
    <mergeCell ref="Q224:Q225"/>
    <mergeCell ref="R224:U224"/>
    <mergeCell ref="V224:V225"/>
    <mergeCell ref="W224:Z224"/>
    <mergeCell ref="AB224:AE224"/>
    <mergeCell ref="A231:A232"/>
    <mergeCell ref="B231:E231"/>
    <mergeCell ref="G231:J231"/>
    <mergeCell ref="L231:O231"/>
    <mergeCell ref="Q236:Q237"/>
    <mergeCell ref="R236:U236"/>
    <mergeCell ref="W236:Z236"/>
    <mergeCell ref="AB236:AE236"/>
    <mergeCell ref="Q249:Q250"/>
    <mergeCell ref="AB249:AE249"/>
    <mergeCell ref="R249:U249"/>
    <mergeCell ref="W249:Z249"/>
    <mergeCell ref="A258:A260"/>
    <mergeCell ref="B258:E259"/>
    <mergeCell ref="F258:F259"/>
    <mergeCell ref="G258:J259"/>
    <mergeCell ref="L258:O259"/>
    <mergeCell ref="G329:J330"/>
    <mergeCell ref="L329:O330"/>
    <mergeCell ref="S338:S339"/>
    <mergeCell ref="T338:W33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3" width="8.0"/>
    <col customWidth="1" min="4" max="4" width="12.0"/>
    <col customWidth="1" min="5" max="5" width="20.0"/>
    <col customWidth="1" min="6" max="6" width="12.0"/>
    <col customWidth="1" min="7" max="7" width="18.0"/>
    <col customWidth="1" min="8" max="8" width="15.0"/>
    <col customWidth="1" min="9" max="9" width="20.0"/>
    <col customWidth="1" min="10" max="10" width="18.0"/>
    <col customWidth="1" min="11" max="11" width="20.0"/>
    <col customWidth="1" min="12" max="12" width="15.0"/>
    <col customWidth="1" min="13" max="13" width="20.0"/>
    <col customWidth="1" min="14" max="14" width="17.0"/>
    <col customWidth="1" min="15" max="15" width="20.0"/>
    <col customWidth="1" min="16" max="16" width="11.0"/>
    <col customWidth="1" min="17" max="17" width="17.0"/>
    <col customWidth="1" min="18" max="20" width="20.0"/>
    <col customWidth="1" min="2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286</v>
      </c>
      <c r="B2" s="2" t="s">
        <v>21</v>
      </c>
      <c r="C2" s="2" t="s">
        <v>22</v>
      </c>
      <c r="D2" s="2" t="s">
        <v>270</v>
      </c>
      <c r="E2" s="2" t="s">
        <v>287</v>
      </c>
      <c r="F2" s="2">
        <v>3.0</v>
      </c>
      <c r="G2" s="2" t="s">
        <v>25</v>
      </c>
      <c r="H2" s="2">
        <v>261.0</v>
      </c>
      <c r="I2" s="2">
        <v>234.0</v>
      </c>
      <c r="J2" s="2">
        <v>486.0</v>
      </c>
      <c r="K2" s="2">
        <v>0.0</v>
      </c>
      <c r="L2" s="2">
        <v>98.0</v>
      </c>
      <c r="M2" s="2">
        <v>0.0</v>
      </c>
      <c r="N2" s="2">
        <v>1912.0</v>
      </c>
      <c r="O2" s="2">
        <v>0.0</v>
      </c>
      <c r="P2" s="2">
        <v>997.0</v>
      </c>
      <c r="Q2" s="2">
        <v>0.0</v>
      </c>
      <c r="R2" s="2">
        <v>0.0</v>
      </c>
      <c r="S2" s="2">
        <v>0.0</v>
      </c>
      <c r="T2" s="2">
        <v>0.0</v>
      </c>
    </row>
    <row r="3">
      <c r="A3" s="2" t="s">
        <v>286</v>
      </c>
      <c r="B3" s="2" t="s">
        <v>21</v>
      </c>
      <c r="C3" s="2" t="s">
        <v>22</v>
      </c>
      <c r="D3" s="2" t="s">
        <v>288</v>
      </c>
      <c r="E3" s="2" t="s">
        <v>289</v>
      </c>
      <c r="F3" s="2">
        <v>3.0</v>
      </c>
      <c r="G3" s="2" t="s">
        <v>25</v>
      </c>
      <c r="H3" s="2">
        <v>270.0</v>
      </c>
      <c r="I3" s="2">
        <v>240.0</v>
      </c>
      <c r="J3" s="2">
        <v>477.0</v>
      </c>
      <c r="K3" s="2">
        <v>0.0</v>
      </c>
      <c r="L3" s="2">
        <v>89.0</v>
      </c>
      <c r="M3" s="2">
        <v>0.0</v>
      </c>
      <c r="N3" s="2">
        <v>1921.0</v>
      </c>
      <c r="O3" s="2">
        <v>0.0</v>
      </c>
      <c r="P3" s="2">
        <v>999.0</v>
      </c>
      <c r="Q3" s="2">
        <v>0.0</v>
      </c>
      <c r="R3" s="2">
        <v>0.0</v>
      </c>
      <c r="S3" s="2">
        <v>0.0</v>
      </c>
      <c r="T3" s="2">
        <v>0.0</v>
      </c>
    </row>
    <row r="4">
      <c r="A4" s="2" t="s">
        <v>286</v>
      </c>
      <c r="B4" s="2" t="s">
        <v>21</v>
      </c>
      <c r="C4" s="2" t="s">
        <v>22</v>
      </c>
      <c r="D4" s="2" t="s">
        <v>290</v>
      </c>
      <c r="E4" s="2" t="s">
        <v>291</v>
      </c>
      <c r="F4" s="2">
        <v>3.0</v>
      </c>
      <c r="G4" s="2" t="s">
        <v>25</v>
      </c>
      <c r="H4" s="2">
        <v>222.0</v>
      </c>
      <c r="I4" s="2">
        <v>360.0</v>
      </c>
      <c r="J4" s="2">
        <v>399.0</v>
      </c>
      <c r="K4" s="2">
        <v>0.0</v>
      </c>
      <c r="L4" s="2">
        <v>63.0</v>
      </c>
      <c r="M4" s="2">
        <v>0.0</v>
      </c>
      <c r="N4" s="2">
        <v>1950.0</v>
      </c>
      <c r="O4" s="2">
        <v>0.0</v>
      </c>
      <c r="P4" s="2">
        <v>998.0</v>
      </c>
      <c r="Q4" s="2">
        <v>0.0</v>
      </c>
      <c r="R4" s="2">
        <v>0.0</v>
      </c>
      <c r="S4" s="2">
        <v>0.0</v>
      </c>
      <c r="T4" s="2">
        <v>0.0</v>
      </c>
    </row>
    <row r="5">
      <c r="A5" s="2" t="s">
        <v>292</v>
      </c>
      <c r="B5" s="2" t="s">
        <v>21</v>
      </c>
      <c r="C5" s="2" t="s">
        <v>22</v>
      </c>
      <c r="D5" s="2" t="s">
        <v>270</v>
      </c>
      <c r="E5" s="2" t="s">
        <v>293</v>
      </c>
      <c r="F5" s="2">
        <v>3.0</v>
      </c>
      <c r="G5" s="2" t="s">
        <v>25</v>
      </c>
      <c r="H5" s="2">
        <v>46.0</v>
      </c>
      <c r="I5" s="2">
        <v>1505.0</v>
      </c>
      <c r="J5" s="2">
        <v>1209.0</v>
      </c>
      <c r="K5" s="2">
        <v>0.0</v>
      </c>
      <c r="L5" s="2">
        <v>18.0</v>
      </c>
      <c r="M5" s="2">
        <v>0.0</v>
      </c>
      <c r="N5" s="2">
        <v>210.0</v>
      </c>
      <c r="O5" s="2">
        <v>0.0</v>
      </c>
      <c r="P5" s="2">
        <v>996.0</v>
      </c>
      <c r="Q5" s="2">
        <v>0.0</v>
      </c>
      <c r="R5" s="2">
        <v>0.0</v>
      </c>
      <c r="S5" s="2">
        <v>0.0</v>
      </c>
      <c r="T5" s="2">
        <v>0.0</v>
      </c>
    </row>
    <row r="6">
      <c r="A6" s="2" t="s">
        <v>292</v>
      </c>
      <c r="B6" s="2" t="s">
        <v>21</v>
      </c>
      <c r="C6" s="2" t="s">
        <v>22</v>
      </c>
      <c r="D6" s="2" t="s">
        <v>288</v>
      </c>
      <c r="E6" s="2" t="s">
        <v>294</v>
      </c>
      <c r="F6" s="2">
        <v>3.0</v>
      </c>
      <c r="G6" s="2" t="s">
        <v>25</v>
      </c>
      <c r="H6" s="2">
        <v>50.0</v>
      </c>
      <c r="I6" s="2">
        <v>1687.0</v>
      </c>
      <c r="J6" s="2">
        <v>1008.0</v>
      </c>
      <c r="K6" s="2">
        <v>0.0</v>
      </c>
      <c r="L6" s="2">
        <v>24.0</v>
      </c>
      <c r="M6" s="2">
        <v>0.0</v>
      </c>
      <c r="N6" s="2">
        <v>204.0</v>
      </c>
      <c r="O6" s="2">
        <v>0.0</v>
      </c>
      <c r="P6" s="2">
        <v>991.0</v>
      </c>
      <c r="Q6" s="2">
        <v>0.0</v>
      </c>
      <c r="R6" s="2">
        <v>0.0</v>
      </c>
      <c r="S6" s="2">
        <v>0.0</v>
      </c>
      <c r="T6" s="2">
        <v>0.0</v>
      </c>
    </row>
    <row r="7">
      <c r="A7" s="2" t="s">
        <v>292</v>
      </c>
      <c r="B7" s="2" t="s">
        <v>21</v>
      </c>
      <c r="C7" s="2" t="s">
        <v>22</v>
      </c>
      <c r="D7" s="2" t="s">
        <v>290</v>
      </c>
      <c r="E7" s="2" t="s">
        <v>295</v>
      </c>
      <c r="F7" s="2">
        <v>3.0</v>
      </c>
      <c r="G7" s="2" t="s">
        <v>25</v>
      </c>
      <c r="H7" s="2">
        <v>55.0</v>
      </c>
      <c r="I7" s="2">
        <v>1679.0</v>
      </c>
      <c r="J7" s="2">
        <v>1023.0</v>
      </c>
      <c r="K7" s="2">
        <v>0.0</v>
      </c>
      <c r="L7" s="2">
        <v>25.0</v>
      </c>
      <c r="M7" s="2">
        <v>0.0</v>
      </c>
      <c r="N7" s="2">
        <v>200.0</v>
      </c>
      <c r="O7" s="2">
        <v>0.0</v>
      </c>
      <c r="P7" s="2">
        <v>994.0</v>
      </c>
      <c r="Q7" s="2">
        <v>0.0</v>
      </c>
      <c r="R7" s="2">
        <v>0.0</v>
      </c>
      <c r="S7" s="2">
        <v>0.0</v>
      </c>
      <c r="T7" s="2">
        <v>0.0</v>
      </c>
    </row>
    <row r="8">
      <c r="A8" s="2" t="s">
        <v>296</v>
      </c>
      <c r="B8" s="2" t="s">
        <v>21</v>
      </c>
      <c r="C8" s="2" t="s">
        <v>22</v>
      </c>
      <c r="D8" s="2" t="s">
        <v>270</v>
      </c>
      <c r="E8" s="2" t="s">
        <v>297</v>
      </c>
      <c r="F8" s="2">
        <v>3.0</v>
      </c>
      <c r="G8" s="2" t="s">
        <v>25</v>
      </c>
      <c r="H8" s="2">
        <v>253.0</v>
      </c>
      <c r="I8" s="2">
        <v>365.0</v>
      </c>
      <c r="J8" s="2">
        <v>582.0</v>
      </c>
      <c r="K8" s="2">
        <v>0.0</v>
      </c>
      <c r="L8" s="2">
        <v>273.0</v>
      </c>
      <c r="M8" s="2">
        <v>0.0</v>
      </c>
      <c r="N8" s="2">
        <v>582.0</v>
      </c>
      <c r="O8" s="2">
        <v>0.0</v>
      </c>
      <c r="P8" s="2">
        <v>685.0</v>
      </c>
      <c r="Q8" s="2">
        <v>0.0</v>
      </c>
      <c r="R8" s="2">
        <v>0.0</v>
      </c>
      <c r="S8" s="2">
        <v>0.0</v>
      </c>
      <c r="T8" s="2">
        <v>0.0</v>
      </c>
    </row>
    <row r="9">
      <c r="A9" s="2" t="s">
        <v>296</v>
      </c>
      <c r="B9" s="2" t="s">
        <v>21</v>
      </c>
      <c r="C9" s="2" t="s">
        <v>22</v>
      </c>
      <c r="D9" s="2" t="s">
        <v>288</v>
      </c>
      <c r="E9" s="2" t="s">
        <v>298</v>
      </c>
      <c r="F9" s="2">
        <v>3.0</v>
      </c>
      <c r="G9" s="2" t="s">
        <v>25</v>
      </c>
      <c r="H9" s="2">
        <v>212.0</v>
      </c>
      <c r="I9" s="2">
        <v>460.0</v>
      </c>
      <c r="J9" s="2">
        <v>519.0</v>
      </c>
      <c r="K9" s="2">
        <v>0.0</v>
      </c>
      <c r="L9" s="2">
        <v>286.0</v>
      </c>
      <c r="M9" s="2">
        <v>0.0</v>
      </c>
      <c r="N9" s="2">
        <v>575.0</v>
      </c>
      <c r="O9" s="2">
        <v>0.0</v>
      </c>
      <c r="P9" s="2">
        <v>684.0</v>
      </c>
      <c r="Q9" s="2">
        <v>0.0</v>
      </c>
      <c r="R9" s="2">
        <v>0.0</v>
      </c>
      <c r="S9" s="2">
        <v>0.0</v>
      </c>
      <c r="T9" s="2">
        <v>0.0</v>
      </c>
    </row>
    <row r="10">
      <c r="A10" s="2" t="s">
        <v>296</v>
      </c>
      <c r="B10" s="2" t="s">
        <v>21</v>
      </c>
      <c r="C10" s="2" t="s">
        <v>22</v>
      </c>
      <c r="D10" s="2" t="s">
        <v>290</v>
      </c>
      <c r="E10" s="2" t="s">
        <v>299</v>
      </c>
      <c r="F10" s="2">
        <v>3.0</v>
      </c>
      <c r="G10" s="2" t="s">
        <v>25</v>
      </c>
      <c r="H10" s="2">
        <v>226.0</v>
      </c>
      <c r="I10" s="2">
        <v>434.0</v>
      </c>
      <c r="J10" s="2">
        <v>531.0</v>
      </c>
      <c r="K10" s="2">
        <v>0.0</v>
      </c>
      <c r="L10" s="2">
        <v>265.0</v>
      </c>
      <c r="M10" s="2">
        <v>0.0</v>
      </c>
      <c r="N10" s="2">
        <v>581.0</v>
      </c>
      <c r="O10" s="2">
        <v>0.0</v>
      </c>
      <c r="P10" s="2">
        <v>679.0</v>
      </c>
      <c r="Q10" s="2">
        <v>0.0</v>
      </c>
      <c r="R10" s="2">
        <v>0.0</v>
      </c>
      <c r="S10" s="2">
        <v>0.0</v>
      </c>
      <c r="T10" s="2">
        <v>0.0</v>
      </c>
    </row>
    <row r="11">
      <c r="A11" s="2" t="s">
        <v>301</v>
      </c>
      <c r="B11" s="2" t="s">
        <v>21</v>
      </c>
      <c r="C11" s="2" t="s">
        <v>22</v>
      </c>
      <c r="D11" s="2" t="s">
        <v>270</v>
      </c>
      <c r="E11" s="2" t="s">
        <v>302</v>
      </c>
      <c r="F11" s="2">
        <v>3.0</v>
      </c>
      <c r="G11" s="2" t="s">
        <v>25</v>
      </c>
      <c r="H11" s="2">
        <v>81.0</v>
      </c>
      <c r="I11" s="2">
        <v>6.0</v>
      </c>
      <c r="J11" s="2">
        <v>198.0</v>
      </c>
      <c r="K11" s="2">
        <v>0.0</v>
      </c>
      <c r="L11" s="2">
        <v>49.0</v>
      </c>
      <c r="M11" s="2">
        <v>0.0</v>
      </c>
      <c r="N11" s="2">
        <v>254.0</v>
      </c>
      <c r="O11" s="2">
        <v>0.0</v>
      </c>
      <c r="P11" s="2">
        <v>196.0</v>
      </c>
      <c r="Q11" s="2">
        <v>0.0</v>
      </c>
      <c r="R11" s="2">
        <v>0.0</v>
      </c>
      <c r="S11" s="2">
        <v>0.0</v>
      </c>
      <c r="T11" s="2">
        <v>0.0</v>
      </c>
    </row>
    <row r="12">
      <c r="A12" s="2" t="s">
        <v>301</v>
      </c>
      <c r="B12" s="2" t="s">
        <v>21</v>
      </c>
      <c r="C12" s="2" t="s">
        <v>22</v>
      </c>
      <c r="D12" s="2" t="s">
        <v>288</v>
      </c>
      <c r="E12" s="2" t="s">
        <v>303</v>
      </c>
      <c r="F12" s="2">
        <v>3.0</v>
      </c>
      <c r="G12" s="2" t="s">
        <v>25</v>
      </c>
      <c r="H12" s="2">
        <v>83.0</v>
      </c>
      <c r="I12" s="2">
        <v>25.0</v>
      </c>
      <c r="J12" s="2">
        <v>180.0</v>
      </c>
      <c r="K12" s="2">
        <v>0.0</v>
      </c>
      <c r="L12" s="2">
        <v>37.0</v>
      </c>
      <c r="M12" s="2">
        <v>0.0</v>
      </c>
      <c r="N12" s="2">
        <v>266.0</v>
      </c>
      <c r="O12" s="2">
        <v>0.0</v>
      </c>
      <c r="P12" s="2">
        <v>197.0</v>
      </c>
      <c r="Q12" s="2">
        <v>0.0</v>
      </c>
      <c r="R12" s="2">
        <v>0.0</v>
      </c>
      <c r="S12" s="2">
        <v>0.0</v>
      </c>
      <c r="T12" s="2">
        <v>0.0</v>
      </c>
    </row>
    <row r="13">
      <c r="A13" s="2" t="s">
        <v>301</v>
      </c>
      <c r="B13" s="2" t="s">
        <v>21</v>
      </c>
      <c r="C13" s="2" t="s">
        <v>22</v>
      </c>
      <c r="D13" s="2" t="s">
        <v>290</v>
      </c>
      <c r="E13" s="2" t="s">
        <v>304</v>
      </c>
      <c r="F13" s="2">
        <v>3.0</v>
      </c>
      <c r="G13" s="2" t="s">
        <v>25</v>
      </c>
      <c r="H13" s="2">
        <v>61.0</v>
      </c>
      <c r="I13" s="2">
        <v>56.0</v>
      </c>
      <c r="J13" s="2">
        <v>168.0</v>
      </c>
      <c r="K13" s="2">
        <v>0.0</v>
      </c>
      <c r="L13" s="2">
        <v>70.0</v>
      </c>
      <c r="M13" s="2">
        <v>0.0</v>
      </c>
      <c r="N13" s="2">
        <v>233.0</v>
      </c>
      <c r="O13" s="2">
        <v>0.0</v>
      </c>
      <c r="P13" s="2">
        <v>196.0</v>
      </c>
      <c r="Q13" s="2">
        <v>0.0</v>
      </c>
      <c r="R13" s="2">
        <v>0.0</v>
      </c>
      <c r="S13" s="2">
        <v>0.0</v>
      </c>
      <c r="T13" s="2">
        <v>0.0</v>
      </c>
    </row>
    <row r="14">
      <c r="A14" s="2" t="s">
        <v>305</v>
      </c>
      <c r="B14" s="2" t="s">
        <v>32</v>
      </c>
      <c r="C14" s="2" t="s">
        <v>22</v>
      </c>
      <c r="D14" s="2" t="s">
        <v>270</v>
      </c>
      <c r="E14" s="2" t="s">
        <v>287</v>
      </c>
      <c r="F14" s="2">
        <v>3.0</v>
      </c>
      <c r="G14" s="2" t="s">
        <v>25</v>
      </c>
      <c r="H14" s="2">
        <v>879.0</v>
      </c>
      <c r="I14" s="2">
        <v>483.0</v>
      </c>
      <c r="J14" s="2">
        <v>180.0</v>
      </c>
      <c r="K14" s="2">
        <v>0.0</v>
      </c>
      <c r="L14" s="2">
        <v>79.0</v>
      </c>
      <c r="M14" s="2">
        <v>0.0</v>
      </c>
      <c r="N14" s="2">
        <v>1364.0</v>
      </c>
      <c r="O14" s="2">
        <v>0.0</v>
      </c>
      <c r="P14" s="2">
        <v>995.0</v>
      </c>
      <c r="Q14" s="2">
        <v>0.0</v>
      </c>
      <c r="R14" s="2">
        <v>0.0</v>
      </c>
      <c r="S14" s="2">
        <v>0.0</v>
      </c>
      <c r="T14" s="2">
        <v>0.0</v>
      </c>
    </row>
    <row r="15">
      <c r="A15" s="2" t="s">
        <v>305</v>
      </c>
      <c r="B15" s="2" t="s">
        <v>32</v>
      </c>
      <c r="C15" s="2" t="s">
        <v>22</v>
      </c>
      <c r="D15" s="2" t="s">
        <v>288</v>
      </c>
      <c r="E15" s="2" t="s">
        <v>289</v>
      </c>
      <c r="F15" s="2">
        <v>3.0</v>
      </c>
      <c r="G15" s="2" t="s">
        <v>25</v>
      </c>
      <c r="H15" s="2">
        <v>901.0</v>
      </c>
      <c r="I15" s="2">
        <v>452.0</v>
      </c>
      <c r="J15" s="2">
        <v>198.0</v>
      </c>
      <c r="K15" s="2">
        <v>0.0</v>
      </c>
      <c r="L15" s="2">
        <v>77.0</v>
      </c>
      <c r="M15" s="2">
        <v>0.0</v>
      </c>
      <c r="N15" s="2">
        <v>1366.0</v>
      </c>
      <c r="O15" s="2">
        <v>0.0</v>
      </c>
      <c r="P15" s="2">
        <v>998.0</v>
      </c>
      <c r="Q15" s="2">
        <v>0.0</v>
      </c>
      <c r="R15" s="2">
        <v>0.0</v>
      </c>
      <c r="S15" s="2">
        <v>0.0</v>
      </c>
      <c r="T15" s="2">
        <v>0.0</v>
      </c>
    </row>
    <row r="16">
      <c r="A16" s="2" t="s">
        <v>305</v>
      </c>
      <c r="B16" s="2" t="s">
        <v>32</v>
      </c>
      <c r="C16" s="2" t="s">
        <v>22</v>
      </c>
      <c r="D16" s="2" t="s">
        <v>290</v>
      </c>
      <c r="E16" s="2" t="s">
        <v>291</v>
      </c>
      <c r="F16" s="2">
        <v>3.0</v>
      </c>
      <c r="G16" s="2" t="s">
        <v>25</v>
      </c>
      <c r="H16" s="2">
        <v>806.0</v>
      </c>
      <c r="I16" s="2">
        <v>583.0</v>
      </c>
      <c r="J16" s="2">
        <v>162.0</v>
      </c>
      <c r="K16" s="2">
        <v>0.0</v>
      </c>
      <c r="L16" s="2">
        <v>84.0</v>
      </c>
      <c r="M16" s="2">
        <v>0.0</v>
      </c>
      <c r="N16" s="2">
        <v>1359.0</v>
      </c>
      <c r="O16" s="2">
        <v>0.0</v>
      </c>
      <c r="P16" s="2">
        <v>998.0</v>
      </c>
      <c r="Q16" s="2">
        <v>0.0</v>
      </c>
      <c r="R16" s="2">
        <v>0.0</v>
      </c>
      <c r="S16" s="2">
        <v>0.0</v>
      </c>
      <c r="T16" s="2">
        <v>0.0</v>
      </c>
    </row>
    <row r="17">
      <c r="A17" s="2" t="s">
        <v>306</v>
      </c>
      <c r="B17" s="2" t="s">
        <v>32</v>
      </c>
      <c r="C17" s="2" t="s">
        <v>22</v>
      </c>
      <c r="D17" s="2" t="s">
        <v>270</v>
      </c>
      <c r="E17" s="2" t="s">
        <v>293</v>
      </c>
      <c r="F17" s="2">
        <v>3.0</v>
      </c>
      <c r="G17" s="2" t="s">
        <v>25</v>
      </c>
      <c r="H17" s="2">
        <v>60.0</v>
      </c>
      <c r="I17" s="2">
        <v>1479.0</v>
      </c>
      <c r="J17" s="2">
        <v>1209.0</v>
      </c>
      <c r="K17" s="2">
        <v>0.0</v>
      </c>
      <c r="L17" s="2">
        <v>19.0</v>
      </c>
      <c r="M17" s="2">
        <v>0.0</v>
      </c>
      <c r="N17" s="2">
        <v>215.0</v>
      </c>
      <c r="O17" s="2">
        <v>0.0</v>
      </c>
      <c r="P17" s="2">
        <v>994.0</v>
      </c>
      <c r="Q17" s="2">
        <v>0.0</v>
      </c>
      <c r="R17" s="2">
        <v>0.0</v>
      </c>
      <c r="S17" s="2">
        <v>0.0</v>
      </c>
      <c r="T17" s="2">
        <v>0.0</v>
      </c>
    </row>
    <row r="18">
      <c r="A18" s="2" t="s">
        <v>306</v>
      </c>
      <c r="B18" s="2" t="s">
        <v>32</v>
      </c>
      <c r="C18" s="2" t="s">
        <v>22</v>
      </c>
      <c r="D18" s="2" t="s">
        <v>288</v>
      </c>
      <c r="E18" s="2" t="s">
        <v>294</v>
      </c>
      <c r="F18" s="2">
        <v>3.0</v>
      </c>
      <c r="G18" s="2" t="s">
        <v>25</v>
      </c>
      <c r="H18" s="2">
        <v>48.0</v>
      </c>
      <c r="I18" s="2">
        <v>1635.0</v>
      </c>
      <c r="J18" s="2">
        <v>1080.0</v>
      </c>
      <c r="K18" s="2">
        <v>0.0</v>
      </c>
      <c r="L18" s="2">
        <v>23.0</v>
      </c>
      <c r="M18" s="2">
        <v>0.0</v>
      </c>
      <c r="N18" s="2">
        <v>205.0</v>
      </c>
      <c r="O18" s="2">
        <v>0.0</v>
      </c>
      <c r="P18" s="2">
        <v>997.0</v>
      </c>
      <c r="Q18" s="2">
        <v>0.0</v>
      </c>
      <c r="R18" s="2">
        <v>0.0</v>
      </c>
      <c r="S18" s="2">
        <v>0.0</v>
      </c>
      <c r="T18" s="2">
        <v>0.0</v>
      </c>
    </row>
    <row r="19">
      <c r="A19" s="2" t="s">
        <v>306</v>
      </c>
      <c r="B19" s="2" t="s">
        <v>32</v>
      </c>
      <c r="C19" s="2" t="s">
        <v>22</v>
      </c>
      <c r="D19" s="2" t="s">
        <v>290</v>
      </c>
      <c r="E19" s="2" t="s">
        <v>295</v>
      </c>
      <c r="F19" s="2">
        <v>3.0</v>
      </c>
      <c r="G19" s="2" t="s">
        <v>25</v>
      </c>
      <c r="H19" s="2">
        <v>49.0</v>
      </c>
      <c r="I19" s="2">
        <v>1559.0</v>
      </c>
      <c r="J19" s="2">
        <v>1149.0</v>
      </c>
      <c r="K19" s="2">
        <v>0.0</v>
      </c>
      <c r="L19" s="2">
        <v>18.0</v>
      </c>
      <c r="M19" s="2">
        <v>0.0</v>
      </c>
      <c r="N19" s="2">
        <v>213.0</v>
      </c>
      <c r="O19" s="2">
        <v>0.0</v>
      </c>
      <c r="P19" s="2">
        <v>996.0</v>
      </c>
      <c r="Q19" s="2">
        <v>0.0</v>
      </c>
      <c r="R19" s="2">
        <v>0.0</v>
      </c>
      <c r="S19" s="2">
        <v>0.0</v>
      </c>
      <c r="T19" s="2">
        <v>0.0</v>
      </c>
    </row>
    <row r="20">
      <c r="A20" s="2" t="s">
        <v>307</v>
      </c>
      <c r="B20" s="2" t="s">
        <v>32</v>
      </c>
      <c r="C20" s="2" t="s">
        <v>22</v>
      </c>
      <c r="D20" s="2" t="s">
        <v>270</v>
      </c>
      <c r="E20" s="2" t="s">
        <v>297</v>
      </c>
      <c r="F20" s="2">
        <v>3.0</v>
      </c>
      <c r="G20" s="2" t="s">
        <v>25</v>
      </c>
      <c r="H20" s="2">
        <v>89.0</v>
      </c>
      <c r="I20" s="2">
        <v>325.0</v>
      </c>
      <c r="J20" s="2">
        <v>558.0</v>
      </c>
      <c r="K20" s="2">
        <v>0.0</v>
      </c>
      <c r="L20" s="2">
        <v>177.0</v>
      </c>
      <c r="M20" s="2">
        <v>0.0</v>
      </c>
      <c r="N20" s="2">
        <v>894.0</v>
      </c>
      <c r="O20" s="2">
        <v>0.0</v>
      </c>
      <c r="P20" s="2">
        <v>681.0</v>
      </c>
      <c r="Q20" s="2">
        <v>0.0</v>
      </c>
      <c r="R20" s="2">
        <v>0.0</v>
      </c>
      <c r="S20" s="2">
        <v>0.0</v>
      </c>
      <c r="T20" s="2">
        <v>0.0</v>
      </c>
    </row>
    <row r="21" ht="15.75" customHeight="1">
      <c r="A21" s="2" t="s">
        <v>307</v>
      </c>
      <c r="B21" s="2" t="s">
        <v>32</v>
      </c>
      <c r="C21" s="2" t="s">
        <v>22</v>
      </c>
      <c r="D21" s="2" t="s">
        <v>288</v>
      </c>
      <c r="E21" s="2" t="s">
        <v>298</v>
      </c>
      <c r="F21" s="2">
        <v>3.0</v>
      </c>
      <c r="G21" s="2" t="s">
        <v>25</v>
      </c>
      <c r="H21" s="2">
        <v>81.0</v>
      </c>
      <c r="I21" s="2">
        <v>360.0</v>
      </c>
      <c r="J21" s="2">
        <v>531.0</v>
      </c>
      <c r="K21" s="2">
        <v>0.0</v>
      </c>
      <c r="L21" s="2">
        <v>217.0</v>
      </c>
      <c r="M21" s="2">
        <v>0.0</v>
      </c>
      <c r="N21" s="2">
        <v>851.0</v>
      </c>
      <c r="O21" s="2">
        <v>0.0</v>
      </c>
      <c r="P21" s="2">
        <v>680.0</v>
      </c>
      <c r="Q21" s="2">
        <v>0.0</v>
      </c>
      <c r="R21" s="2">
        <v>0.0</v>
      </c>
      <c r="S21" s="2">
        <v>0.0</v>
      </c>
      <c r="T21" s="2">
        <v>0.0</v>
      </c>
    </row>
    <row r="22" ht="15.75" customHeight="1">
      <c r="A22" s="2" t="s">
        <v>307</v>
      </c>
      <c r="B22" s="2" t="s">
        <v>32</v>
      </c>
      <c r="C22" s="2" t="s">
        <v>22</v>
      </c>
      <c r="D22" s="2" t="s">
        <v>290</v>
      </c>
      <c r="E22" s="2" t="s">
        <v>299</v>
      </c>
      <c r="F22" s="2">
        <v>3.0</v>
      </c>
      <c r="G22" s="2" t="s">
        <v>25</v>
      </c>
      <c r="H22" s="2">
        <v>87.0</v>
      </c>
      <c r="I22" s="2">
        <v>279.0</v>
      </c>
      <c r="J22" s="2">
        <v>606.0</v>
      </c>
      <c r="K22" s="2">
        <v>0.0</v>
      </c>
      <c r="L22" s="2">
        <v>84.0</v>
      </c>
      <c r="M22" s="2">
        <v>0.0</v>
      </c>
      <c r="N22" s="2">
        <v>984.0</v>
      </c>
      <c r="O22" s="2">
        <v>0.0</v>
      </c>
      <c r="P22" s="2">
        <v>680.0</v>
      </c>
      <c r="Q22" s="2">
        <v>0.0</v>
      </c>
      <c r="R22" s="2">
        <v>0.0</v>
      </c>
      <c r="S22" s="2">
        <v>0.0</v>
      </c>
      <c r="T22" s="2">
        <v>0.0</v>
      </c>
    </row>
    <row r="23" ht="15.75" customHeight="1">
      <c r="A23" s="2" t="s">
        <v>309</v>
      </c>
      <c r="B23" s="2" t="s">
        <v>32</v>
      </c>
      <c r="C23" s="2" t="s">
        <v>22</v>
      </c>
      <c r="D23" s="2" t="s">
        <v>270</v>
      </c>
      <c r="E23" s="2" t="s">
        <v>310</v>
      </c>
      <c r="F23" s="2">
        <v>3.0</v>
      </c>
      <c r="G23" s="2" t="s">
        <v>25</v>
      </c>
      <c r="H23" s="2">
        <v>109.0</v>
      </c>
      <c r="I23" s="2">
        <v>155.0</v>
      </c>
      <c r="J23" s="2">
        <v>141.0</v>
      </c>
      <c r="K23" s="2">
        <v>0.0</v>
      </c>
      <c r="L23" s="2">
        <v>34.0</v>
      </c>
      <c r="M23" s="2">
        <v>0.0</v>
      </c>
      <c r="N23" s="2">
        <v>149.0</v>
      </c>
      <c r="O23" s="2">
        <v>0.0</v>
      </c>
      <c r="P23" s="2">
        <v>196.0</v>
      </c>
      <c r="Q23" s="2">
        <v>0.0</v>
      </c>
      <c r="R23" s="2">
        <v>0.0</v>
      </c>
      <c r="S23" s="2">
        <v>0.0</v>
      </c>
      <c r="T23" s="2">
        <v>0.0</v>
      </c>
    </row>
    <row r="24" ht="15.75" customHeight="1">
      <c r="A24" s="2" t="s">
        <v>309</v>
      </c>
      <c r="B24" s="2" t="s">
        <v>32</v>
      </c>
      <c r="C24" s="2" t="s">
        <v>22</v>
      </c>
      <c r="D24" s="2" t="s">
        <v>288</v>
      </c>
      <c r="E24" s="2" t="s">
        <v>312</v>
      </c>
      <c r="F24" s="2">
        <v>3.0</v>
      </c>
      <c r="G24" s="2" t="s">
        <v>25</v>
      </c>
      <c r="H24" s="2">
        <v>110.0</v>
      </c>
      <c r="I24" s="2">
        <v>154.0</v>
      </c>
      <c r="J24" s="2">
        <v>141.0</v>
      </c>
      <c r="K24" s="2">
        <v>0.0</v>
      </c>
      <c r="L24" s="2">
        <v>29.0</v>
      </c>
      <c r="M24" s="2">
        <v>0.0</v>
      </c>
      <c r="N24" s="2">
        <v>154.0</v>
      </c>
      <c r="O24" s="2">
        <v>0.0</v>
      </c>
      <c r="P24" s="2">
        <v>196.0</v>
      </c>
      <c r="Q24" s="2">
        <v>0.0</v>
      </c>
      <c r="R24" s="2">
        <v>0.0</v>
      </c>
      <c r="S24" s="2">
        <v>0.0</v>
      </c>
      <c r="T24" s="2">
        <v>0.0</v>
      </c>
    </row>
    <row r="25" ht="15.75" customHeight="1">
      <c r="A25" s="2" t="s">
        <v>309</v>
      </c>
      <c r="B25" s="2" t="s">
        <v>32</v>
      </c>
      <c r="C25" s="2" t="s">
        <v>22</v>
      </c>
      <c r="D25" s="2" t="s">
        <v>290</v>
      </c>
      <c r="E25" s="2" t="s">
        <v>313</v>
      </c>
      <c r="F25" s="2">
        <v>3.0</v>
      </c>
      <c r="G25" s="2" t="s">
        <v>25</v>
      </c>
      <c r="H25" s="2">
        <v>111.0</v>
      </c>
      <c r="I25" s="2">
        <v>138.0</v>
      </c>
      <c r="J25" s="2">
        <v>159.0</v>
      </c>
      <c r="K25" s="2">
        <v>0.0</v>
      </c>
      <c r="L25" s="2">
        <v>30.0</v>
      </c>
      <c r="M25" s="2">
        <v>0.0</v>
      </c>
      <c r="N25" s="2">
        <v>153.0</v>
      </c>
      <c r="O25" s="2">
        <v>0.0</v>
      </c>
      <c r="P25" s="2">
        <v>197.0</v>
      </c>
      <c r="Q25" s="2">
        <v>0.0</v>
      </c>
      <c r="R25" s="2">
        <v>0.0</v>
      </c>
      <c r="S25" s="2">
        <v>0.0</v>
      </c>
      <c r="T25" s="2">
        <v>0.0</v>
      </c>
    </row>
    <row r="26" ht="15.75" customHeight="1">
      <c r="A26" s="2" t="s">
        <v>314</v>
      </c>
      <c r="B26" s="2" t="s">
        <v>43</v>
      </c>
      <c r="C26" s="2" t="s">
        <v>22</v>
      </c>
      <c r="D26" s="2" t="s">
        <v>270</v>
      </c>
      <c r="E26" s="2" t="s">
        <v>287</v>
      </c>
      <c r="F26" s="2">
        <v>3.0</v>
      </c>
      <c r="G26" s="2" t="s">
        <v>25</v>
      </c>
      <c r="H26" s="2">
        <v>162.0</v>
      </c>
      <c r="I26" s="2">
        <v>312.0</v>
      </c>
      <c r="J26" s="2">
        <v>441.0</v>
      </c>
      <c r="K26" s="2">
        <v>0.0</v>
      </c>
      <c r="L26" s="2">
        <v>209.0</v>
      </c>
      <c r="M26" s="2">
        <v>0.0</v>
      </c>
      <c r="N26" s="2">
        <v>1483.0</v>
      </c>
      <c r="O26" s="2">
        <v>0.0</v>
      </c>
      <c r="P26" s="2">
        <v>869.0</v>
      </c>
      <c r="Q26" s="2">
        <v>0.0</v>
      </c>
      <c r="R26" s="2">
        <v>0.0</v>
      </c>
      <c r="S26" s="2">
        <v>0.0</v>
      </c>
      <c r="T26" s="2">
        <v>0.0</v>
      </c>
    </row>
    <row r="27" ht="15.75" customHeight="1">
      <c r="A27" s="2" t="s">
        <v>314</v>
      </c>
      <c r="B27" s="2" t="s">
        <v>43</v>
      </c>
      <c r="C27" s="2" t="s">
        <v>22</v>
      </c>
      <c r="D27" s="2" t="s">
        <v>288</v>
      </c>
      <c r="E27" s="2" t="s">
        <v>289</v>
      </c>
      <c r="F27" s="2">
        <v>3.0</v>
      </c>
      <c r="G27" s="2" t="s">
        <v>25</v>
      </c>
      <c r="H27" s="2">
        <v>186.0</v>
      </c>
      <c r="I27" s="2">
        <v>348.0</v>
      </c>
      <c r="J27" s="2">
        <v>414.0</v>
      </c>
      <c r="K27" s="2">
        <v>0.0</v>
      </c>
      <c r="L27" s="2">
        <v>199.0</v>
      </c>
      <c r="M27" s="2">
        <v>0.0</v>
      </c>
      <c r="N27" s="2">
        <v>1553.0</v>
      </c>
      <c r="O27" s="2">
        <v>0.0</v>
      </c>
      <c r="P27" s="2">
        <v>900.0</v>
      </c>
      <c r="Q27" s="2">
        <v>0.0</v>
      </c>
      <c r="R27" s="2">
        <v>0.0</v>
      </c>
      <c r="S27" s="2">
        <v>0.0</v>
      </c>
      <c r="T27" s="2">
        <v>0.0</v>
      </c>
    </row>
    <row r="28" ht="15.75" customHeight="1">
      <c r="A28" s="2" t="s">
        <v>314</v>
      </c>
      <c r="B28" s="2" t="s">
        <v>43</v>
      </c>
      <c r="C28" s="2" t="s">
        <v>22</v>
      </c>
      <c r="D28" s="2" t="s">
        <v>290</v>
      </c>
      <c r="E28" s="2" t="s">
        <v>291</v>
      </c>
      <c r="F28" s="2">
        <v>3.0</v>
      </c>
      <c r="G28" s="2" t="s">
        <v>25</v>
      </c>
      <c r="H28" s="2">
        <v>110.0</v>
      </c>
      <c r="I28" s="2">
        <v>355.0</v>
      </c>
      <c r="J28" s="2">
        <v>351.0</v>
      </c>
      <c r="K28" s="2">
        <v>0.0</v>
      </c>
      <c r="L28" s="2">
        <v>115.0</v>
      </c>
      <c r="M28" s="2">
        <v>0.0</v>
      </c>
      <c r="N28" s="2">
        <v>1547.0</v>
      </c>
      <c r="O28" s="2">
        <v>0.0</v>
      </c>
      <c r="P28" s="2">
        <v>826.0</v>
      </c>
      <c r="Q28" s="2">
        <v>0.0</v>
      </c>
      <c r="R28" s="2">
        <v>0.0</v>
      </c>
      <c r="S28" s="2">
        <v>0.0</v>
      </c>
      <c r="T28" s="2">
        <v>0.0</v>
      </c>
    </row>
    <row r="29" ht="15.75" customHeight="1">
      <c r="A29" s="2" t="s">
        <v>315</v>
      </c>
      <c r="B29" s="2" t="s">
        <v>43</v>
      </c>
      <c r="C29" s="2" t="s">
        <v>22</v>
      </c>
      <c r="D29" s="2" t="s">
        <v>270</v>
      </c>
      <c r="E29" s="2" t="s">
        <v>293</v>
      </c>
      <c r="F29" s="2">
        <v>3.0</v>
      </c>
      <c r="G29" s="2" t="s">
        <v>25</v>
      </c>
      <c r="H29" s="2">
        <v>16.0</v>
      </c>
      <c r="I29" s="2">
        <v>734.0</v>
      </c>
      <c r="J29" s="2">
        <v>1275.0</v>
      </c>
      <c r="K29" s="2">
        <v>0.0</v>
      </c>
      <c r="L29" s="2">
        <v>27.0</v>
      </c>
      <c r="M29" s="2">
        <v>0.0</v>
      </c>
      <c r="N29" s="2">
        <v>138.0</v>
      </c>
      <c r="O29" s="2">
        <v>0.0</v>
      </c>
      <c r="P29" s="2">
        <v>730.0</v>
      </c>
      <c r="Q29" s="2">
        <v>0.0</v>
      </c>
      <c r="R29" s="2">
        <v>0.0</v>
      </c>
      <c r="S29" s="2">
        <v>0.0</v>
      </c>
      <c r="T29" s="2">
        <v>0.0</v>
      </c>
    </row>
    <row r="30" ht="15.75" customHeight="1">
      <c r="A30" s="2" t="s">
        <v>315</v>
      </c>
      <c r="B30" s="2" t="s">
        <v>43</v>
      </c>
      <c r="C30" s="2" t="s">
        <v>22</v>
      </c>
      <c r="D30" s="2" t="s">
        <v>288</v>
      </c>
      <c r="E30" s="2" t="s">
        <v>294</v>
      </c>
      <c r="F30" s="2">
        <v>3.0</v>
      </c>
      <c r="G30" s="2" t="s">
        <v>25</v>
      </c>
      <c r="H30" s="2">
        <v>19.0</v>
      </c>
      <c r="I30" s="2">
        <v>899.0</v>
      </c>
      <c r="J30" s="2">
        <v>1023.0</v>
      </c>
      <c r="K30" s="2">
        <v>0.0</v>
      </c>
      <c r="L30" s="2">
        <v>27.0</v>
      </c>
      <c r="M30" s="2">
        <v>0.0</v>
      </c>
      <c r="N30" s="2">
        <v>126.0</v>
      </c>
      <c r="O30" s="2">
        <v>0.0</v>
      </c>
      <c r="P30" s="2">
        <v>698.0</v>
      </c>
      <c r="Q30" s="2">
        <v>0.0</v>
      </c>
      <c r="R30" s="2">
        <v>0.0</v>
      </c>
      <c r="S30" s="2">
        <v>0.0</v>
      </c>
      <c r="T30" s="2">
        <v>0.0</v>
      </c>
    </row>
    <row r="31" ht="15.75" customHeight="1">
      <c r="A31" s="2" t="s">
        <v>315</v>
      </c>
      <c r="B31" s="2" t="s">
        <v>43</v>
      </c>
      <c r="C31" s="2" t="s">
        <v>22</v>
      </c>
      <c r="D31" s="2" t="s">
        <v>290</v>
      </c>
      <c r="E31" s="2" t="s">
        <v>295</v>
      </c>
      <c r="F31" s="2">
        <v>3.0</v>
      </c>
      <c r="G31" s="2" t="s">
        <v>25</v>
      </c>
      <c r="H31" s="2">
        <v>15.0</v>
      </c>
      <c r="I31" s="2">
        <v>786.0</v>
      </c>
      <c r="J31" s="2">
        <v>1209.0</v>
      </c>
      <c r="K31" s="2">
        <v>0.0</v>
      </c>
      <c r="L31" s="2">
        <v>12.0</v>
      </c>
      <c r="M31" s="2">
        <v>0.0</v>
      </c>
      <c r="N31" s="2">
        <v>144.0</v>
      </c>
      <c r="O31" s="2">
        <v>0.0</v>
      </c>
      <c r="P31" s="2">
        <v>722.0</v>
      </c>
      <c r="Q31" s="2">
        <v>0.0</v>
      </c>
      <c r="R31" s="2">
        <v>0.0</v>
      </c>
      <c r="S31" s="2">
        <v>0.0</v>
      </c>
      <c r="T31" s="2">
        <v>0.0</v>
      </c>
    </row>
    <row r="32" ht="15.75" customHeight="1">
      <c r="A32" s="2" t="s">
        <v>316</v>
      </c>
      <c r="B32" s="2" t="s">
        <v>43</v>
      </c>
      <c r="C32" s="2" t="s">
        <v>22</v>
      </c>
      <c r="D32" s="2" t="s">
        <v>270</v>
      </c>
      <c r="E32" s="2" t="s">
        <v>297</v>
      </c>
      <c r="F32" s="2">
        <v>3.0</v>
      </c>
      <c r="G32" s="2" t="s">
        <v>25</v>
      </c>
      <c r="H32" s="2">
        <v>85.0</v>
      </c>
      <c r="I32" s="2">
        <v>188.0</v>
      </c>
      <c r="J32" s="2">
        <v>573.0</v>
      </c>
      <c r="K32" s="2">
        <v>0.0</v>
      </c>
      <c r="L32" s="2">
        <v>125.0</v>
      </c>
      <c r="M32" s="2">
        <v>0.0</v>
      </c>
      <c r="N32" s="2">
        <v>523.0</v>
      </c>
      <c r="O32" s="2">
        <v>0.0</v>
      </c>
      <c r="P32" s="2">
        <v>498.0</v>
      </c>
      <c r="Q32" s="2">
        <v>0.0</v>
      </c>
      <c r="R32" s="2">
        <v>0.0</v>
      </c>
      <c r="S32" s="2">
        <v>0.0</v>
      </c>
      <c r="T32" s="2">
        <v>0.0</v>
      </c>
    </row>
    <row r="33" ht="15.75" customHeight="1">
      <c r="A33" s="2" t="s">
        <v>316</v>
      </c>
      <c r="B33" s="2" t="s">
        <v>43</v>
      </c>
      <c r="C33" s="2" t="s">
        <v>22</v>
      </c>
      <c r="D33" s="2" t="s">
        <v>288</v>
      </c>
      <c r="E33" s="2" t="s">
        <v>298</v>
      </c>
      <c r="F33" s="2">
        <v>3.0</v>
      </c>
      <c r="G33" s="2" t="s">
        <v>25</v>
      </c>
      <c r="H33" s="2">
        <v>98.0</v>
      </c>
      <c r="I33" s="2">
        <v>256.0</v>
      </c>
      <c r="J33" s="2">
        <v>456.0</v>
      </c>
      <c r="K33" s="2">
        <v>0.0</v>
      </c>
      <c r="L33" s="2">
        <v>84.0</v>
      </c>
      <c r="M33" s="2">
        <v>0.0</v>
      </c>
      <c r="N33" s="2">
        <v>507.0</v>
      </c>
      <c r="O33" s="2">
        <v>0.0</v>
      </c>
      <c r="P33" s="2">
        <v>467.0</v>
      </c>
      <c r="Q33" s="2">
        <v>0.0</v>
      </c>
      <c r="R33" s="2">
        <v>0.0</v>
      </c>
      <c r="S33" s="2">
        <v>0.0</v>
      </c>
      <c r="T33" s="2">
        <v>0.0</v>
      </c>
    </row>
    <row r="34" ht="15.75" customHeight="1">
      <c r="A34" s="2" t="s">
        <v>316</v>
      </c>
      <c r="B34" s="2" t="s">
        <v>43</v>
      </c>
      <c r="C34" s="2" t="s">
        <v>22</v>
      </c>
      <c r="D34" s="2" t="s">
        <v>290</v>
      </c>
      <c r="E34" s="2" t="s">
        <v>299</v>
      </c>
      <c r="F34" s="2">
        <v>3.0</v>
      </c>
      <c r="G34" s="2" t="s">
        <v>25</v>
      </c>
      <c r="H34" s="2">
        <v>87.0</v>
      </c>
      <c r="I34" s="2">
        <v>222.0</v>
      </c>
      <c r="J34" s="2">
        <v>519.0</v>
      </c>
      <c r="K34" s="2">
        <v>0.0</v>
      </c>
      <c r="L34" s="2">
        <v>76.0</v>
      </c>
      <c r="M34" s="2">
        <v>0.0</v>
      </c>
      <c r="N34" s="2">
        <v>626.0</v>
      </c>
      <c r="O34" s="2">
        <v>0.0</v>
      </c>
      <c r="P34" s="2">
        <v>510.0</v>
      </c>
      <c r="Q34" s="2">
        <v>0.0</v>
      </c>
      <c r="R34" s="2">
        <v>0.0</v>
      </c>
      <c r="S34" s="2">
        <v>0.0</v>
      </c>
      <c r="T34" s="2">
        <v>0.0</v>
      </c>
    </row>
    <row r="35" ht="15.75" customHeight="1">
      <c r="A35" s="2" t="s">
        <v>317</v>
      </c>
      <c r="B35" s="2" t="s">
        <v>43</v>
      </c>
      <c r="C35" s="2" t="s">
        <v>22</v>
      </c>
      <c r="D35" s="2" t="s">
        <v>270</v>
      </c>
      <c r="E35" s="2" t="s">
        <v>310</v>
      </c>
      <c r="F35" s="2">
        <v>3.0</v>
      </c>
      <c r="G35" s="2" t="s">
        <v>25</v>
      </c>
      <c r="H35" s="2">
        <v>38.0</v>
      </c>
      <c r="I35" s="2">
        <v>7.0</v>
      </c>
      <c r="J35" s="2">
        <v>87.0</v>
      </c>
      <c r="K35" s="2">
        <v>0.0</v>
      </c>
      <c r="L35" s="2">
        <v>40.0</v>
      </c>
      <c r="M35" s="2">
        <v>0.0</v>
      </c>
      <c r="N35" s="2">
        <v>263.0</v>
      </c>
      <c r="O35" s="2">
        <v>0.0</v>
      </c>
      <c r="P35" s="2">
        <v>145.0</v>
      </c>
      <c r="Q35" s="2">
        <v>0.0</v>
      </c>
      <c r="R35" s="2">
        <v>0.0</v>
      </c>
      <c r="S35" s="2">
        <v>0.0</v>
      </c>
      <c r="T35" s="2">
        <v>0.0</v>
      </c>
    </row>
    <row r="36" ht="15.75" customHeight="1">
      <c r="A36" s="2" t="s">
        <v>317</v>
      </c>
      <c r="B36" s="2" t="s">
        <v>43</v>
      </c>
      <c r="C36" s="2" t="s">
        <v>22</v>
      </c>
      <c r="D36" s="2" t="s">
        <v>288</v>
      </c>
      <c r="E36" s="2" t="s">
        <v>312</v>
      </c>
      <c r="F36" s="2">
        <v>3.0</v>
      </c>
      <c r="G36" s="2" t="s">
        <v>25</v>
      </c>
      <c r="H36" s="2">
        <v>25.0</v>
      </c>
      <c r="I36" s="2">
        <v>41.0</v>
      </c>
      <c r="J36" s="2">
        <v>39.0</v>
      </c>
      <c r="K36" s="2">
        <v>0.0</v>
      </c>
      <c r="L36" s="2">
        <v>71.0</v>
      </c>
      <c r="M36" s="2">
        <v>0.0</v>
      </c>
      <c r="N36" s="2">
        <v>184.0</v>
      </c>
      <c r="O36" s="2">
        <v>0.0</v>
      </c>
      <c r="P36" s="2">
        <v>120.0</v>
      </c>
      <c r="Q36" s="2">
        <v>0.0</v>
      </c>
      <c r="R36" s="2">
        <v>0.0</v>
      </c>
      <c r="S36" s="2">
        <v>0.0</v>
      </c>
      <c r="T36" s="2">
        <v>0.0</v>
      </c>
    </row>
    <row r="37" ht="15.75" customHeight="1">
      <c r="A37" s="2" t="s">
        <v>317</v>
      </c>
      <c r="B37" s="2" t="s">
        <v>43</v>
      </c>
      <c r="C37" s="2" t="s">
        <v>22</v>
      </c>
      <c r="D37" s="2" t="s">
        <v>290</v>
      </c>
      <c r="E37" s="2" t="s">
        <v>313</v>
      </c>
      <c r="F37" s="2">
        <v>3.0</v>
      </c>
      <c r="G37" s="2" t="s">
        <v>25</v>
      </c>
      <c r="H37" s="2">
        <v>63.0</v>
      </c>
      <c r="I37" s="2">
        <v>15.0</v>
      </c>
      <c r="J37" s="2">
        <v>60.0</v>
      </c>
      <c r="K37" s="2">
        <v>0.0</v>
      </c>
      <c r="L37" s="2">
        <v>64.0</v>
      </c>
      <c r="M37" s="2">
        <v>0.0</v>
      </c>
      <c r="N37" s="2">
        <v>263.0</v>
      </c>
      <c r="O37" s="2">
        <v>0.0</v>
      </c>
      <c r="P37" s="2">
        <v>155.0</v>
      </c>
      <c r="Q37" s="2">
        <v>0.0</v>
      </c>
      <c r="R37" s="2">
        <v>0.0</v>
      </c>
      <c r="S37" s="2">
        <v>0.0</v>
      </c>
      <c r="T37" s="2">
        <v>0.0</v>
      </c>
    </row>
    <row r="38" ht="15.75" customHeight="1"/>
    <row r="39" ht="15.75" customHeight="1"/>
    <row r="40" ht="15.75" customHeight="1">
      <c r="A40" s="9" t="s">
        <v>318</v>
      </c>
      <c r="B40" s="31" t="s">
        <v>290</v>
      </c>
      <c r="C40" s="32"/>
      <c r="D40" s="32"/>
      <c r="E40" s="32"/>
      <c r="F40" s="8"/>
      <c r="G40" s="31" t="s">
        <v>288</v>
      </c>
      <c r="H40" s="32"/>
      <c r="I40" s="32"/>
      <c r="J40" s="32"/>
      <c r="K40" s="8"/>
      <c r="L40" s="31" t="s">
        <v>270</v>
      </c>
      <c r="M40" s="32"/>
      <c r="N40" s="32"/>
      <c r="O40" s="32"/>
    </row>
    <row r="41" ht="15.75" customHeight="1">
      <c r="B41" s="8" t="s">
        <v>63</v>
      </c>
      <c r="C41" s="8" t="s">
        <v>64</v>
      </c>
      <c r="D41" s="8" t="s">
        <v>65</v>
      </c>
      <c r="E41" s="8" t="s">
        <v>66</v>
      </c>
      <c r="G41" s="8" t="s">
        <v>63</v>
      </c>
      <c r="H41" s="8" t="s">
        <v>64</v>
      </c>
      <c r="I41" s="8" t="s">
        <v>65</v>
      </c>
      <c r="J41" s="8" t="s">
        <v>66</v>
      </c>
      <c r="L41" s="8" t="s">
        <v>63</v>
      </c>
      <c r="M41" s="8" t="s">
        <v>64</v>
      </c>
      <c r="N41" s="8" t="s">
        <v>65</v>
      </c>
      <c r="O41" s="8" t="s">
        <v>66</v>
      </c>
    </row>
    <row r="42" ht="15.75" customHeight="1">
      <c r="A42" s="10" t="s">
        <v>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1" t="s">
        <v>68</v>
      </c>
      <c r="B43" s="12">
        <f>H4/(F4*P4)*100</f>
        <v>7.414829659</v>
      </c>
      <c r="C43" s="20">
        <f>H7/(F7*P7)*100</f>
        <v>1.844399732</v>
      </c>
      <c r="D43" s="13">
        <f>H10/(F10*P10)*100</f>
        <v>11.09474718</v>
      </c>
      <c r="E43" s="14">
        <f>H13/(F13*P13)*100</f>
        <v>10.37414966</v>
      </c>
      <c r="F43" s="12">
        <f t="shared" ref="F43:F45" si="1">AVERAGE(B43:E43)</f>
        <v>7.682031557</v>
      </c>
      <c r="G43" s="15">
        <f>H3/(F3*P3)*100</f>
        <v>9.009009009</v>
      </c>
      <c r="H43" s="16">
        <f>H6/(F6*P6)*100</f>
        <v>1.681802893</v>
      </c>
      <c r="I43" s="13">
        <f>H9/(F9*P9)*100</f>
        <v>10.33138402</v>
      </c>
      <c r="J43" s="17">
        <f>H12/(F12*P12)*100</f>
        <v>14.04399323</v>
      </c>
      <c r="K43" s="12">
        <f t="shared" ref="K43:K45" si="2">AVERAGE(G43:J43)</f>
        <v>8.766547287</v>
      </c>
      <c r="L43" s="12">
        <f>H2/(F2*P2)*100</f>
        <v>8.726178536</v>
      </c>
      <c r="M43" s="12">
        <f>H5/(F5*P5)*100</f>
        <v>1.539491299</v>
      </c>
      <c r="N43" s="18">
        <f>H8/(F8*P8)*100</f>
        <v>12.31143552</v>
      </c>
      <c r="O43" s="14">
        <f>H11/(F11*P11)*100</f>
        <v>13.7755102</v>
      </c>
      <c r="P43" s="12">
        <f t="shared" ref="P43:P45" si="3">AVERAGE(L43:O43)</f>
        <v>9.08815389</v>
      </c>
    </row>
    <row r="44" ht="15.75" customHeight="1">
      <c r="A44" s="11" t="s">
        <v>73</v>
      </c>
      <c r="B44" s="13">
        <f>H16/(F16*P16)*100</f>
        <v>26.92050768</v>
      </c>
      <c r="C44" s="12">
        <f>H19/(F19*P19)*100</f>
        <v>1.639892905</v>
      </c>
      <c r="D44" s="12">
        <f>H22/(F22*P22)*100</f>
        <v>4.264705882</v>
      </c>
      <c r="E44" s="18">
        <f>H25/(F25*P25)*100</f>
        <v>18.78172589</v>
      </c>
      <c r="F44" s="12">
        <f t="shared" si="1"/>
        <v>12.90170809</v>
      </c>
      <c r="G44" s="18">
        <f>H15/(F15*P15)*100</f>
        <v>30.09352037</v>
      </c>
      <c r="H44" s="12">
        <f>H18/(F18*P18)*100</f>
        <v>1.604814443</v>
      </c>
      <c r="I44" s="12">
        <f>H21/(F21*P21)*100</f>
        <v>3.970588235</v>
      </c>
      <c r="J44" s="13">
        <f>H24/(F24*P24)*100</f>
        <v>18.70748299</v>
      </c>
      <c r="K44" s="12">
        <f t="shared" si="2"/>
        <v>13.59410151</v>
      </c>
      <c r="L44" s="13">
        <f>H14/(F14*P14)*100</f>
        <v>29.44723618</v>
      </c>
      <c r="M44" s="20">
        <f>H17/(F17*P17)*100</f>
        <v>2.012072435</v>
      </c>
      <c r="N44" s="15">
        <f>H20/(F20*P20)*100</f>
        <v>4.356338718</v>
      </c>
      <c r="O44" s="13">
        <f>H23/(F23*P23)*100</f>
        <v>18.53741497</v>
      </c>
      <c r="P44" s="12">
        <f t="shared" si="3"/>
        <v>13.58826557</v>
      </c>
    </row>
    <row r="45" ht="15.75" customHeight="1">
      <c r="A45" s="11" t="s">
        <v>76</v>
      </c>
      <c r="B45" s="12">
        <f>H28/(F28*P28)*100</f>
        <v>4.439063761</v>
      </c>
      <c r="C45" s="21">
        <f>H31/(F31*P31)*100</f>
        <v>0.6925207756</v>
      </c>
      <c r="D45" s="12">
        <f> H34/(F34*P34)*100</f>
        <v>5.68627451</v>
      </c>
      <c r="E45" s="17">
        <f>H37/(F37*P37)*100</f>
        <v>13.5483871</v>
      </c>
      <c r="F45" s="12">
        <f t="shared" si="1"/>
        <v>6.091561536</v>
      </c>
      <c r="G45" s="15">
        <f>H27/(F27*P27)*100</f>
        <v>6.888888889</v>
      </c>
      <c r="H45" s="22">
        <f>H30/(F30*P30)*100</f>
        <v>0.9073543457</v>
      </c>
      <c r="I45" s="15">
        <f>H33/(F33*P33)*100</f>
        <v>6.995003569</v>
      </c>
      <c r="J45" s="12">
        <f>H36/(F36*P36)*100</f>
        <v>6.944444444</v>
      </c>
      <c r="K45" s="12">
        <f t="shared" si="2"/>
        <v>5.433922812</v>
      </c>
      <c r="L45" s="12">
        <f>H26/(F26*P26)*100</f>
        <v>6.214039125</v>
      </c>
      <c r="M45" s="21">
        <f>H29/(F29*P29)*100</f>
        <v>0.7305936073</v>
      </c>
      <c r="N45" s="12">
        <f>H32/(F32*P32)*100</f>
        <v>5.689424364</v>
      </c>
      <c r="O45" s="12">
        <f>H35/(F35*P35)*100</f>
        <v>8.735632184</v>
      </c>
      <c r="P45" s="12">
        <f t="shared" si="3"/>
        <v>5.34242232</v>
      </c>
    </row>
    <row r="46" ht="15.75" customHeight="1">
      <c r="A46" s="10" t="s">
        <v>13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Q46" s="2" t="s">
        <v>172</v>
      </c>
    </row>
    <row r="47" ht="15.75" customHeight="1">
      <c r="A47" s="11" t="s">
        <v>68</v>
      </c>
      <c r="B47" s="18">
        <f>N4/(F4*P4)*100</f>
        <v>65.13026052</v>
      </c>
      <c r="C47" s="12">
        <f>N7/(F7*P7)*100</f>
        <v>6.706908115</v>
      </c>
      <c r="D47" s="17">
        <f>N10/(F10*P10)*100</f>
        <v>28.52233677</v>
      </c>
      <c r="E47" s="14">
        <f>N13/(F13*P13)*100</f>
        <v>39.62585034</v>
      </c>
      <c r="G47" s="13">
        <f>N3/(F3*P3)*100</f>
        <v>64.09743076</v>
      </c>
      <c r="H47" s="16">
        <f>N6/(F6*P6)*100</f>
        <v>6.861755802</v>
      </c>
      <c r="I47" s="14">
        <f>N9/(F9*P9)*100</f>
        <v>28.0214425</v>
      </c>
      <c r="J47" s="17">
        <f>N12/(F12*P12)*100</f>
        <v>45.00846024</v>
      </c>
      <c r="K47" s="11"/>
      <c r="L47" s="13">
        <f>N2/(F2*P2)*100</f>
        <v>63.92510866</v>
      </c>
      <c r="M47" s="15">
        <f>N5/(F5*P5)*100</f>
        <v>7.02811245</v>
      </c>
      <c r="N47" s="14">
        <f>N8/(F8*P8)*100</f>
        <v>28.32116788</v>
      </c>
      <c r="O47" s="14">
        <f>N11/(F11*P11)*100</f>
        <v>43.19727891</v>
      </c>
      <c r="Q47" s="29">
        <f t="shared" ref="Q47:T47" si="4">L47+L55</f>
        <v>67.20160481</v>
      </c>
      <c r="R47" s="29">
        <f t="shared" si="4"/>
        <v>7.630522088</v>
      </c>
      <c r="S47" s="29">
        <f t="shared" si="4"/>
        <v>41.60583942</v>
      </c>
      <c r="T47" s="29">
        <f t="shared" si="4"/>
        <v>51.53061224</v>
      </c>
    </row>
    <row r="48" ht="15.75" customHeight="1">
      <c r="A48" s="11" t="s">
        <v>73</v>
      </c>
      <c r="B48" s="14">
        <f>N16/(F16*P16)*100</f>
        <v>45.39078156</v>
      </c>
      <c r="C48" s="16">
        <f>N19/(F19*P19)*100</f>
        <v>7.128514056</v>
      </c>
      <c r="D48" s="18">
        <f>N22/(F22*P22)*100</f>
        <v>48.23529412</v>
      </c>
      <c r="E48" s="17">
        <f>N25/(F25*P25)*100</f>
        <v>25.88832487</v>
      </c>
      <c r="G48" s="14">
        <f>N15/(F15*P15)*100</f>
        <v>45.6245825</v>
      </c>
      <c r="H48" s="12">
        <f>N18/(F18*P18)*100</f>
        <v>6.853895018</v>
      </c>
      <c r="I48" s="13">
        <f>N21/(F21*P21)*100</f>
        <v>41.71568627</v>
      </c>
      <c r="J48" s="14">
        <f>N23/(F23*P23)*100</f>
        <v>25.34013605</v>
      </c>
      <c r="K48" s="11"/>
      <c r="L48" s="17">
        <f>N14/(F14*P14)*100</f>
        <v>45.69514238</v>
      </c>
      <c r="M48" s="20">
        <f>N17/(F17*P17)*100</f>
        <v>7.209926224</v>
      </c>
      <c r="N48" s="13">
        <f>N20/(F20*P20)*100</f>
        <v>43.75917768</v>
      </c>
      <c r="O48" s="14">
        <f>N23/(F23*P23)*100</f>
        <v>25.34013605</v>
      </c>
      <c r="Q48" s="29">
        <f t="shared" ref="Q48:T48" si="5">L48+L56</f>
        <v>48.34170854</v>
      </c>
      <c r="R48" s="29">
        <f t="shared" si="5"/>
        <v>7.847082495</v>
      </c>
      <c r="S48" s="29">
        <f t="shared" si="5"/>
        <v>52.42290749</v>
      </c>
      <c r="T48" s="29">
        <f t="shared" si="5"/>
        <v>31.12244898</v>
      </c>
    </row>
    <row r="49" ht="15.75" customHeight="1">
      <c r="A49" s="23" t="s">
        <v>76</v>
      </c>
      <c r="B49" s="173">
        <f>N28/(F28*P28)*100</f>
        <v>62.42937853</v>
      </c>
      <c r="C49" s="174">
        <f>N31/(F31*P31)*100</f>
        <v>6.648199446</v>
      </c>
      <c r="D49" s="173">
        <f>N34/(F34*P34)*100</f>
        <v>40.91503268</v>
      </c>
      <c r="E49" s="13">
        <f>N37/(F37*P37)*100</f>
        <v>56.55913978</v>
      </c>
      <c r="G49" s="175">
        <f>N27/(F27*P27)*100</f>
        <v>57.51851852</v>
      </c>
      <c r="H49" s="176">
        <f>N30/(F30*P30)*100</f>
        <v>6.017191977</v>
      </c>
      <c r="I49" s="175">
        <f>N33/(F33*P33)*100</f>
        <v>36.18843683</v>
      </c>
      <c r="J49" s="177">
        <f>N36/(F36*P36)*100</f>
        <v>51.11111111</v>
      </c>
      <c r="K49" s="23"/>
      <c r="L49" s="175">
        <f>N26/(F26*P26)*100</f>
        <v>56.88530878</v>
      </c>
      <c r="M49" s="176">
        <f>N29/(F29*P29)*100</f>
        <v>6.301369863</v>
      </c>
      <c r="N49" s="175">
        <f>N32/(F32*P32)*100</f>
        <v>35.00669344</v>
      </c>
      <c r="O49" s="178">
        <f>N35/(F35*P35)*100</f>
        <v>60.45977011</v>
      </c>
      <c r="Q49" s="29">
        <f t="shared" ref="Q49:T49" si="6">L49+L57</f>
        <v>64.90218642</v>
      </c>
      <c r="R49" s="29">
        <f t="shared" si="6"/>
        <v>7.534246575</v>
      </c>
      <c r="S49" s="29">
        <f t="shared" si="6"/>
        <v>43.37349398</v>
      </c>
      <c r="T49" s="29">
        <f t="shared" si="6"/>
        <v>69.65517241</v>
      </c>
    </row>
    <row r="50" ht="15.75" customHeight="1">
      <c r="A50" s="10" t="s">
        <v>79</v>
      </c>
      <c r="B50" s="24"/>
      <c r="C50" s="24"/>
      <c r="D50" s="24"/>
      <c r="E50" s="24"/>
      <c r="F50" s="24"/>
      <c r="G50" s="24"/>
      <c r="H50" s="24"/>
      <c r="I50" s="24"/>
      <c r="J50" s="24"/>
      <c r="K50" s="10"/>
      <c r="L50" s="24"/>
      <c r="M50" s="24"/>
      <c r="N50" s="24"/>
      <c r="O50" s="24"/>
    </row>
    <row r="51" ht="15.75" customHeight="1">
      <c r="A51" s="11" t="s">
        <v>68</v>
      </c>
      <c r="B51" s="14">
        <f>(I4+J4)/(F4*P4)*100</f>
        <v>25.3507014</v>
      </c>
      <c r="C51" s="18">
        <f>(I7+J7)/(F7*P7)*100</f>
        <v>90.61032864</v>
      </c>
      <c r="D51" s="14">
        <f>(I10+J10)/(F10*P10)*100</f>
        <v>47.37358861</v>
      </c>
      <c r="E51" s="14">
        <f>(I13+J13)/(F13*P13)*100</f>
        <v>38.0952381</v>
      </c>
      <c r="F51" s="8"/>
      <c r="G51" s="17">
        <f>(I3+J3)/(F3*P3)*100</f>
        <v>23.92392392</v>
      </c>
      <c r="H51" s="18">
        <f>(I6+J6)/(F6*P6)*100</f>
        <v>90.64917592</v>
      </c>
      <c r="I51" s="14">
        <f>(I9+J9)/(F9*P9)*100</f>
        <v>47.70955166</v>
      </c>
      <c r="J51" s="17">
        <f>(I12+J12)/(F12*P12)*100</f>
        <v>34.68697124</v>
      </c>
      <c r="K51" s="11"/>
      <c r="L51" s="14">
        <f>(I2+J2)/(F2*P2)*100</f>
        <v>24.07221665</v>
      </c>
      <c r="M51" s="14">
        <f>(I5+J5)/(F5*P5)*100</f>
        <v>90.82998661</v>
      </c>
      <c r="N51" s="17">
        <f>(I8+J8)/(F8*P8)*100</f>
        <v>46.08272506</v>
      </c>
      <c r="O51" s="17">
        <f>(I11+J11)/(F11*P11)*100</f>
        <v>34.69387755</v>
      </c>
    </row>
    <row r="52" ht="15.75" customHeight="1">
      <c r="A52" s="11" t="s">
        <v>73</v>
      </c>
      <c r="B52" s="13">
        <f>(I16+J16)/(F16*P16)*100</f>
        <v>24.88309953</v>
      </c>
      <c r="C52" s="13">
        <f>(I19+J19)/(F19*P19)*100</f>
        <v>90.6291834</v>
      </c>
      <c r="D52" s="13">
        <f>(I22+J22)/(F22*P22)*100</f>
        <v>43.38235294</v>
      </c>
      <c r="E52" s="14">
        <f>(I25+J25)/(F25*P25)*100</f>
        <v>50.25380711</v>
      </c>
      <c r="F52" s="8"/>
      <c r="G52" s="18">
        <f>(I15+J15)/(F15*P15)*100</f>
        <v>21.71008684</v>
      </c>
      <c r="H52" s="14">
        <f>(I18+J18)/(F18*P18)*100</f>
        <v>90.77231695</v>
      </c>
      <c r="I52" s="13">
        <f>(I21+J21)/(F21*P21)*100</f>
        <v>43.67647059</v>
      </c>
      <c r="J52" s="17">
        <f>(I24+J24)/(F24*P24)*100</f>
        <v>50.17006803</v>
      </c>
      <c r="K52" s="11"/>
      <c r="L52" s="13">
        <f>(I14+J14)/(F14*P14)*100</f>
        <v>22.21105528</v>
      </c>
      <c r="M52" s="18">
        <f>(I17+J17)/(F17*P17)*100</f>
        <v>90.14084507</v>
      </c>
      <c r="N52" s="18">
        <f>(I20+J20)/(F20*P20)*100</f>
        <v>43.22075379</v>
      </c>
      <c r="O52" s="14">
        <f>(I23+J23)/(F23*P23)*100</f>
        <v>50.34013605</v>
      </c>
      <c r="Q52" s="2" t="s">
        <v>319</v>
      </c>
    </row>
    <row r="53" ht="15.75" customHeight="1">
      <c r="A53" s="25" t="s">
        <v>76</v>
      </c>
      <c r="B53" s="70">
        <f>(I28+J28)/(F28*P28)*100</f>
        <v>28.49071832</v>
      </c>
      <c r="C53" s="70">
        <f>(I31+J31)/(F31*P31)*100</f>
        <v>92.10526316</v>
      </c>
      <c r="D53" s="71">
        <f>(I34+J34)/(F34*P34)*100</f>
        <v>48.43137255</v>
      </c>
      <c r="E53" s="157">
        <f>(I37+J37)/(F37*P37)*100</f>
        <v>16.12903226</v>
      </c>
      <c r="F53" s="51"/>
      <c r="G53" s="71">
        <f>(I27+J27)/(F27*P27)*100</f>
        <v>28.22222222</v>
      </c>
      <c r="H53" s="70">
        <f>(I30+J30)/(F30*P30)*100</f>
        <v>91.7860554</v>
      </c>
      <c r="I53" s="70">
        <f>(I33+J33)/(F33*P33)*100</f>
        <v>50.82084226</v>
      </c>
      <c r="J53" s="156">
        <f>(I36+J36)/(F36*P36)*100</f>
        <v>22.22222222</v>
      </c>
      <c r="K53" s="25"/>
      <c r="L53" s="70">
        <f>(I26+J26)/(F26*P26)*100</f>
        <v>28.88377445</v>
      </c>
      <c r="M53" s="71">
        <f>(I29+J29)/(F29*P29)*100</f>
        <v>91.73515982</v>
      </c>
      <c r="N53" s="70">
        <f>(I32+J32)/(F32*P32)*100</f>
        <v>50.93708166</v>
      </c>
      <c r="O53" s="156">
        <f>(I35+J35)/(F35*P35)*100</f>
        <v>21.6091954</v>
      </c>
      <c r="Q53" s="2" t="s">
        <v>321</v>
      </c>
    </row>
    <row r="54" ht="15.75" customHeight="1">
      <c r="A54" s="2" t="s">
        <v>11</v>
      </c>
      <c r="B54" s="8"/>
      <c r="C54" s="8"/>
      <c r="D54" s="8"/>
      <c r="E54" s="8"/>
      <c r="F54" s="8"/>
      <c r="G54" s="8"/>
      <c r="H54" s="8"/>
      <c r="I54" s="8"/>
      <c r="J54" s="8"/>
      <c r="L54" s="8"/>
      <c r="M54" s="8"/>
      <c r="N54" s="8"/>
      <c r="O54" s="8"/>
      <c r="Q54" s="2" t="s">
        <v>322</v>
      </c>
    </row>
    <row r="55" ht="15.75" customHeight="1">
      <c r="A55" s="11" t="s">
        <v>68</v>
      </c>
      <c r="B55" s="20">
        <f>L4/(F4*P4)*100</f>
        <v>2.104208417</v>
      </c>
      <c r="C55" s="21">
        <f>L7/(F7*P7)*100</f>
        <v>0.8383635144</v>
      </c>
      <c r="D55" s="17">
        <f>L10/(F10*P10)*100</f>
        <v>13.00932744</v>
      </c>
      <c r="E55" s="14">
        <f>L13/(F13*P13)*100</f>
        <v>11.9047619</v>
      </c>
      <c r="F55" s="12">
        <f t="shared" ref="F55:F57" si="7">AVERAGE(B55:E55)</f>
        <v>6.96416532</v>
      </c>
      <c r="G55" s="12">
        <f>L3/(F3*P3)*100</f>
        <v>2.969636303</v>
      </c>
      <c r="H55" s="21">
        <f>L6/(F6*P6)*100</f>
        <v>0.8072653885</v>
      </c>
      <c r="I55" s="14">
        <f>L9/(F9*P9)*100</f>
        <v>13.93762183</v>
      </c>
      <c r="J55" s="15">
        <f>L12/(F12*P12)*100</f>
        <v>6.260575296</v>
      </c>
      <c r="K55" s="179">
        <f t="shared" ref="K55:K57" si="8">AVERAGE(G55:J55)</f>
        <v>5.993774705</v>
      </c>
      <c r="L55" s="12">
        <f>L2/(F2*P2)*100</f>
        <v>3.276496155</v>
      </c>
      <c r="M55" s="27">
        <f>L5/(F5*P5)*100</f>
        <v>0.6024096386</v>
      </c>
      <c r="N55" s="14">
        <f>L8/(F8*P8)*100</f>
        <v>13.28467153</v>
      </c>
      <c r="O55" s="12">
        <f>L11/(F11*P11)*100</f>
        <v>8.333333333</v>
      </c>
      <c r="P55" s="12">
        <f t="shared" ref="P55:P57" si="9">AVERAGE(L55:O55)</f>
        <v>6.374227665</v>
      </c>
    </row>
    <row r="56" ht="15.75" customHeight="1">
      <c r="A56" s="11" t="s">
        <v>73</v>
      </c>
      <c r="B56" s="12">
        <f>L16/(F16*P16)*100</f>
        <v>2.805611222</v>
      </c>
      <c r="C56" s="22">
        <f>L19/(F19*P19)*100</f>
        <v>0.6024096386</v>
      </c>
      <c r="D56" s="20">
        <f>L22/(F22*P22)*100</f>
        <v>4.117647059</v>
      </c>
      <c r="E56" s="20">
        <f>L25/(F25*P25)*100</f>
        <v>5.076142132</v>
      </c>
      <c r="F56" s="12">
        <f t="shared" si="7"/>
        <v>3.150452513</v>
      </c>
      <c r="G56" s="20">
        <f>L15/(F15*P15)*100</f>
        <v>2.571810287</v>
      </c>
      <c r="H56" s="28">
        <f>L18/(F18*P18)*100</f>
        <v>0.7689735874</v>
      </c>
      <c r="I56" s="14">
        <f>L21/(F21*P21)*100</f>
        <v>10.6372549</v>
      </c>
      <c r="J56" s="16">
        <f>L23/(F23*P23)*100</f>
        <v>5.782312925</v>
      </c>
      <c r="K56" s="179">
        <f t="shared" si="8"/>
        <v>4.940087925</v>
      </c>
      <c r="L56" s="16">
        <f>L14/(F14*P14)*100</f>
        <v>2.646566164</v>
      </c>
      <c r="M56" s="21">
        <f>L17/(F17*P17)*100</f>
        <v>0.637156271</v>
      </c>
      <c r="N56" s="12">
        <f>L20/(F20*P20)*100</f>
        <v>8.663729809</v>
      </c>
      <c r="O56" s="16">
        <f>L23/(F23*P23)*100</f>
        <v>5.782312925</v>
      </c>
      <c r="P56" s="12">
        <f t="shared" si="9"/>
        <v>4.432441292</v>
      </c>
    </row>
    <row r="57" ht="15.75" customHeight="1">
      <c r="A57" s="11" t="s">
        <v>76</v>
      </c>
      <c r="B57" s="15">
        <f>L28/(F28*P28)*100</f>
        <v>4.640839387</v>
      </c>
      <c r="C57" s="27">
        <f>L31/(F31*P31)*100</f>
        <v>0.5540166205</v>
      </c>
      <c r="D57" s="15">
        <f>L34/(F34*P34)*100</f>
        <v>4.967320261</v>
      </c>
      <c r="E57" s="14">
        <f>L37/(F37*P37)*100</f>
        <v>13.76344086</v>
      </c>
      <c r="F57" s="12">
        <f t="shared" si="7"/>
        <v>5.981404282</v>
      </c>
      <c r="G57" s="12">
        <f>L27/(F27*P27)*100</f>
        <v>7.37037037</v>
      </c>
      <c r="H57" s="12">
        <f>L30/(F30*P30)*100</f>
        <v>1.289398281</v>
      </c>
      <c r="I57" s="16">
        <f>L33/(F33*P33)*100</f>
        <v>5.995717345</v>
      </c>
      <c r="J57" s="14">
        <f>L36/(F36*P36)*100</f>
        <v>19.72222222</v>
      </c>
      <c r="K57" s="179">
        <f t="shared" si="8"/>
        <v>8.594427055</v>
      </c>
      <c r="L57" s="12">
        <f>L26/(F26*P26)*100</f>
        <v>8.016877637</v>
      </c>
      <c r="M57" s="12">
        <f>L29/(F29*P29)*100</f>
        <v>1.232876712</v>
      </c>
      <c r="N57" s="16">
        <f>L32/(F32*P32)*100</f>
        <v>8.366800535</v>
      </c>
      <c r="O57" s="15">
        <f>L35/(F35*P35)*100</f>
        <v>9.195402299</v>
      </c>
      <c r="P57" s="12">
        <f t="shared" si="9"/>
        <v>6.702989296</v>
      </c>
    </row>
    <row r="58" ht="15.75" customHeight="1">
      <c r="B58" s="29">
        <f t="shared" ref="B58:E58" si="10">SUM(B43+B51+B55+B47)</f>
        <v>100</v>
      </c>
      <c r="C58" s="29">
        <f t="shared" si="10"/>
        <v>100</v>
      </c>
      <c r="D58" s="29">
        <f t="shared" si="10"/>
        <v>100</v>
      </c>
      <c r="E58" s="29">
        <f t="shared" si="10"/>
        <v>100</v>
      </c>
      <c r="G58" s="29">
        <f t="shared" ref="G58:J58" si="11">SUM(G43+G51+G55+G47)</f>
        <v>100</v>
      </c>
      <c r="H58" s="29">
        <f t="shared" si="11"/>
        <v>100</v>
      </c>
      <c r="I58" s="29">
        <f t="shared" si="11"/>
        <v>100</v>
      </c>
      <c r="J58" s="29">
        <f t="shared" si="11"/>
        <v>100</v>
      </c>
      <c r="L58" s="29">
        <f t="shared" ref="L58:O58" si="12">SUM(L43+L51+L55+L47)</f>
        <v>100</v>
      </c>
      <c r="M58" s="29">
        <f t="shared" si="12"/>
        <v>100</v>
      </c>
      <c r="N58" s="29">
        <f t="shared" si="12"/>
        <v>100</v>
      </c>
      <c r="O58" s="29">
        <f t="shared" si="12"/>
        <v>100</v>
      </c>
    </row>
    <row r="59" ht="15.75" customHeight="1">
      <c r="B59" s="29">
        <f t="shared" ref="B59:E59" si="13">SUM(B44+B52+B56+B48)</f>
        <v>100</v>
      </c>
      <c r="C59" s="29">
        <f t="shared" si="13"/>
        <v>100</v>
      </c>
      <c r="D59" s="29">
        <f t="shared" si="13"/>
        <v>100</v>
      </c>
      <c r="E59" s="29">
        <f t="shared" si="13"/>
        <v>100</v>
      </c>
      <c r="G59" s="29">
        <f t="shared" ref="G59:J59" si="14">SUM(G44+G52+G56+G48)</f>
        <v>100</v>
      </c>
      <c r="H59" s="29">
        <f t="shared" si="14"/>
        <v>100</v>
      </c>
      <c r="I59" s="29">
        <f t="shared" si="14"/>
        <v>100</v>
      </c>
      <c r="J59" s="29">
        <f t="shared" si="14"/>
        <v>100</v>
      </c>
      <c r="L59" s="29">
        <f t="shared" ref="L59:O59" si="15">SUM(L44+L52+L56+L48)</f>
        <v>100</v>
      </c>
      <c r="M59" s="29">
        <f t="shared" si="15"/>
        <v>100</v>
      </c>
      <c r="N59" s="29">
        <f t="shared" si="15"/>
        <v>100</v>
      </c>
      <c r="O59" s="29">
        <f t="shared" si="15"/>
        <v>100</v>
      </c>
    </row>
    <row r="60" ht="15.75" customHeight="1">
      <c r="B60" s="29">
        <f t="shared" ref="B60:E60" si="16">SUM(B45+B53+B57+B49)</f>
        <v>100</v>
      </c>
      <c r="C60" s="29">
        <f t="shared" si="16"/>
        <v>100</v>
      </c>
      <c r="D60" s="29">
        <f t="shared" si="16"/>
        <v>100</v>
      </c>
      <c r="E60" s="29">
        <f t="shared" si="16"/>
        <v>100</v>
      </c>
      <c r="G60" s="29">
        <f t="shared" ref="G60:J60" si="17">SUM(G45+G53+G57+G49)</f>
        <v>100</v>
      </c>
      <c r="H60" s="29">
        <f t="shared" si="17"/>
        <v>100</v>
      </c>
      <c r="I60" s="29">
        <f t="shared" si="17"/>
        <v>100</v>
      </c>
      <c r="J60" s="29">
        <f t="shared" si="17"/>
        <v>100</v>
      </c>
      <c r="L60" s="29">
        <f t="shared" ref="L60:O60" si="18">SUM(L45+L53+L57+L49)</f>
        <v>100</v>
      </c>
      <c r="M60" s="29">
        <f t="shared" si="18"/>
        <v>100</v>
      </c>
      <c r="N60" s="29">
        <f t="shared" si="18"/>
        <v>100</v>
      </c>
      <c r="O60" s="29">
        <f t="shared" si="18"/>
        <v>100</v>
      </c>
    </row>
    <row r="61" ht="15.75" customHeight="1"/>
    <row r="62" ht="15.75" customHeight="1"/>
    <row r="63" ht="15.75" customHeight="1">
      <c r="A63" s="30" t="s">
        <v>90</v>
      </c>
      <c r="B63" s="31" t="s">
        <v>290</v>
      </c>
      <c r="C63" s="32"/>
      <c r="D63" s="32"/>
      <c r="E63" s="32"/>
      <c r="F63" s="8"/>
      <c r="G63" s="31" t="s">
        <v>288</v>
      </c>
      <c r="H63" s="32"/>
      <c r="I63" s="32"/>
      <c r="J63" s="32"/>
      <c r="K63" s="8"/>
      <c r="L63" s="31" t="s">
        <v>270</v>
      </c>
      <c r="M63" s="32"/>
      <c r="N63" s="32"/>
      <c r="O63" s="32"/>
      <c r="P63" s="8" t="s">
        <v>92</v>
      </c>
    </row>
    <row r="64" ht="15.75" customHeight="1">
      <c r="B64" s="8" t="s">
        <v>63</v>
      </c>
      <c r="C64" s="8" t="s">
        <v>64</v>
      </c>
      <c r="D64" s="8" t="s">
        <v>65</v>
      </c>
      <c r="E64" s="8" t="s">
        <v>66</v>
      </c>
      <c r="G64" s="8" t="s">
        <v>63</v>
      </c>
      <c r="H64" s="8" t="s">
        <v>64</v>
      </c>
      <c r="I64" s="8" t="s">
        <v>65</v>
      </c>
      <c r="J64" s="8" t="s">
        <v>66</v>
      </c>
      <c r="L64" s="8" t="s">
        <v>63</v>
      </c>
      <c r="M64" s="8" t="s">
        <v>64</v>
      </c>
      <c r="N64" s="8" t="s">
        <v>65</v>
      </c>
      <c r="O64" s="8" t="s">
        <v>66</v>
      </c>
    </row>
    <row r="65" ht="15.75" customHeight="1">
      <c r="A65" s="11" t="s">
        <v>68</v>
      </c>
      <c r="B65" s="35">
        <f t="shared" ref="B65:E65" si="19">B43+B47</f>
        <v>72.54509018</v>
      </c>
      <c r="C65" s="29">
        <f t="shared" si="19"/>
        <v>8.551307847</v>
      </c>
      <c r="D65" s="33">
        <f t="shared" si="19"/>
        <v>39.61708395</v>
      </c>
      <c r="E65" s="35">
        <f t="shared" si="19"/>
        <v>50</v>
      </c>
      <c r="F65" s="29"/>
      <c r="G65" s="33">
        <f t="shared" ref="G65:J65" si="20">G43+G47</f>
        <v>73.10643977</v>
      </c>
      <c r="H65" s="34">
        <f t="shared" si="20"/>
        <v>8.543558695</v>
      </c>
      <c r="I65" s="35">
        <f t="shared" si="20"/>
        <v>38.35282651</v>
      </c>
      <c r="J65" s="33">
        <f t="shared" si="20"/>
        <v>59.05245347</v>
      </c>
      <c r="K65" s="11" t="s">
        <v>68</v>
      </c>
      <c r="L65" s="33">
        <f t="shared" ref="L65:O65" si="21">L43+L47</f>
        <v>72.65128719</v>
      </c>
      <c r="M65" s="29">
        <f t="shared" si="21"/>
        <v>8.567603748</v>
      </c>
      <c r="N65" s="33">
        <f t="shared" si="21"/>
        <v>40.63260341</v>
      </c>
      <c r="O65" s="33">
        <f t="shared" si="21"/>
        <v>56.97278912</v>
      </c>
      <c r="P65" s="29">
        <f t="shared" ref="P65:P67" si="25">AVERAGE(L65:O65)</f>
        <v>44.70607087</v>
      </c>
    </row>
    <row r="66" ht="15.75" customHeight="1">
      <c r="A66" s="11" t="s">
        <v>73</v>
      </c>
      <c r="B66" s="35">
        <f t="shared" ref="B66:E66" si="22">B44+B48</f>
        <v>72.31128925</v>
      </c>
      <c r="C66" s="29">
        <f t="shared" si="22"/>
        <v>8.768406961</v>
      </c>
      <c r="D66" s="33">
        <f t="shared" si="22"/>
        <v>52.5</v>
      </c>
      <c r="E66" s="33">
        <f t="shared" si="22"/>
        <v>44.67005076</v>
      </c>
      <c r="F66" s="29"/>
      <c r="G66" s="33">
        <f t="shared" ref="G66:J66" si="23">G44+G48</f>
        <v>75.71810287</v>
      </c>
      <c r="H66" s="34">
        <f t="shared" si="23"/>
        <v>8.458709462</v>
      </c>
      <c r="I66" s="35">
        <f t="shared" si="23"/>
        <v>45.68627451</v>
      </c>
      <c r="J66" s="33">
        <f t="shared" si="23"/>
        <v>44.04761905</v>
      </c>
      <c r="K66" s="11" t="s">
        <v>73</v>
      </c>
      <c r="L66" s="33">
        <f t="shared" ref="L66:O66" si="24">L44+L48</f>
        <v>75.14237856</v>
      </c>
      <c r="M66" s="29">
        <f t="shared" si="24"/>
        <v>9.221998659</v>
      </c>
      <c r="N66" s="33">
        <f t="shared" si="24"/>
        <v>48.1155164</v>
      </c>
      <c r="O66" s="35">
        <f t="shared" si="24"/>
        <v>43.87755102</v>
      </c>
      <c r="P66" s="29">
        <f t="shared" si="25"/>
        <v>44.08936116</v>
      </c>
    </row>
    <row r="67" ht="15.75" customHeight="1">
      <c r="A67" s="23" t="s">
        <v>76</v>
      </c>
      <c r="B67" s="33">
        <f t="shared" ref="B67:E67" si="26">B45+B49</f>
        <v>66.86844229</v>
      </c>
      <c r="C67" s="29">
        <f t="shared" si="26"/>
        <v>7.340720222</v>
      </c>
      <c r="D67" s="33">
        <f t="shared" si="26"/>
        <v>46.60130719</v>
      </c>
      <c r="E67" s="33">
        <f t="shared" si="26"/>
        <v>70.10752688</v>
      </c>
      <c r="F67" s="29"/>
      <c r="G67" s="33">
        <f t="shared" ref="G67:J67" si="27">G45+G49</f>
        <v>64.40740741</v>
      </c>
      <c r="H67" s="34">
        <f t="shared" si="27"/>
        <v>6.924546323</v>
      </c>
      <c r="I67" s="33">
        <f t="shared" si="27"/>
        <v>43.1834404</v>
      </c>
      <c r="J67" s="35">
        <f t="shared" si="27"/>
        <v>58.05555556</v>
      </c>
      <c r="K67" s="23" t="s">
        <v>76</v>
      </c>
      <c r="L67" s="35">
        <f t="shared" ref="L67:O67" si="28">L45+L49</f>
        <v>63.09934791</v>
      </c>
      <c r="M67" s="29">
        <f t="shared" si="28"/>
        <v>7.03196347</v>
      </c>
      <c r="N67" s="33">
        <f t="shared" si="28"/>
        <v>40.6961178</v>
      </c>
      <c r="O67" s="33">
        <f t="shared" si="28"/>
        <v>69.1954023</v>
      </c>
      <c r="P67" s="29">
        <f t="shared" si="25"/>
        <v>45.00570787</v>
      </c>
    </row>
    <row r="68" ht="15.75" customHeight="1">
      <c r="A68" s="37" t="s">
        <v>92</v>
      </c>
      <c r="B68" s="38">
        <f t="shared" ref="B68:E68" si="29">AVERAGE(B65:B67)</f>
        <v>70.57494057</v>
      </c>
      <c r="C68" s="39">
        <f t="shared" si="29"/>
        <v>8.22014501</v>
      </c>
      <c r="D68" s="38">
        <f t="shared" si="29"/>
        <v>46.23946371</v>
      </c>
      <c r="E68" s="38">
        <f t="shared" si="29"/>
        <v>54.92585921</v>
      </c>
      <c r="F68" s="39"/>
      <c r="G68" s="38">
        <f t="shared" ref="G68:J68" si="30">AVERAGE(G65:G67)</f>
        <v>71.07731668</v>
      </c>
      <c r="H68" s="40">
        <f t="shared" si="30"/>
        <v>7.975604826</v>
      </c>
      <c r="I68" s="41">
        <f t="shared" si="30"/>
        <v>42.40751381</v>
      </c>
      <c r="J68" s="41">
        <f t="shared" si="30"/>
        <v>53.71854269</v>
      </c>
      <c r="K68" s="39"/>
      <c r="L68" s="41">
        <f t="shared" ref="L68:O68" si="31">AVERAGE(L65:L67)</f>
        <v>70.29767122</v>
      </c>
      <c r="M68" s="39">
        <f t="shared" si="31"/>
        <v>8.273855292</v>
      </c>
      <c r="N68" s="38">
        <f t="shared" si="31"/>
        <v>43.1480792</v>
      </c>
      <c r="O68" s="38">
        <f t="shared" si="31"/>
        <v>56.68191414</v>
      </c>
    </row>
    <row r="69" ht="15.75" customHeight="1">
      <c r="C69" s="33">
        <f>AVERAGE(B68:E68)</f>
        <v>44.99010213</v>
      </c>
      <c r="H69" s="33">
        <f>AVERAGE(G68:J68)</f>
        <v>43.7947445</v>
      </c>
      <c r="M69" s="33">
        <f>AVERAGE(L68:O68)</f>
        <v>44.60037997</v>
      </c>
    </row>
    <row r="70" ht="15.75" customHeight="1">
      <c r="B70" s="33">
        <f t="shared" ref="B70:E70" si="32">(B68-L68)/B68*100</f>
        <v>0.3928722419</v>
      </c>
      <c r="C70" s="33">
        <f t="shared" si="32"/>
        <v>-0.6533982357</v>
      </c>
      <c r="D70" s="33">
        <f t="shared" si="32"/>
        <v>6.685597672</v>
      </c>
      <c r="E70" s="33">
        <f t="shared" si="32"/>
        <v>-3.197136933</v>
      </c>
      <c r="F70" s="33">
        <f>(C69-M69)/C69*100</f>
        <v>0.8662397805</v>
      </c>
    </row>
    <row r="71" ht="15.75" customHeight="1"/>
    <row r="72" ht="15.75" customHeight="1">
      <c r="A72" s="180" t="s">
        <v>90</v>
      </c>
      <c r="B72" s="181" t="s">
        <v>290</v>
      </c>
      <c r="C72" s="133"/>
      <c r="D72" s="133"/>
      <c r="E72" s="133"/>
      <c r="F72" s="133"/>
      <c r="H72" s="9" t="s">
        <v>288</v>
      </c>
      <c r="N72" s="31" t="s">
        <v>270</v>
      </c>
      <c r="O72" s="32"/>
      <c r="P72" s="32"/>
      <c r="Q72" s="32"/>
      <c r="R72" s="32"/>
    </row>
    <row r="73" ht="15.75" customHeight="1">
      <c r="A73" s="32"/>
      <c r="B73" s="31" t="s">
        <v>324</v>
      </c>
      <c r="D73" s="31" t="s">
        <v>68</v>
      </c>
      <c r="E73" s="31" t="s">
        <v>73</v>
      </c>
      <c r="F73" s="31" t="s">
        <v>76</v>
      </c>
      <c r="G73" s="59"/>
      <c r="H73" s="31" t="s">
        <v>324</v>
      </c>
      <c r="J73" s="31" t="s">
        <v>68</v>
      </c>
      <c r="K73" s="31" t="s">
        <v>73</v>
      </c>
      <c r="L73" s="31" t="s">
        <v>76</v>
      </c>
      <c r="M73" s="59"/>
      <c r="N73" s="31" t="s">
        <v>324</v>
      </c>
      <c r="P73" s="31" t="s">
        <v>68</v>
      </c>
      <c r="Q73" s="31" t="s">
        <v>73</v>
      </c>
      <c r="R73" s="31" t="s">
        <v>76</v>
      </c>
    </row>
    <row r="74" ht="15.75" customHeight="1">
      <c r="A74" s="182" t="s">
        <v>63</v>
      </c>
      <c r="B74" s="33">
        <f>B68</f>
        <v>70.57494057</v>
      </c>
      <c r="C74" s="29"/>
      <c r="D74" s="33">
        <f>B65</f>
        <v>72.54509018</v>
      </c>
      <c r="E74" s="33">
        <f>B66</f>
        <v>72.31128925</v>
      </c>
      <c r="F74" s="33">
        <f>B67</f>
        <v>66.86844229</v>
      </c>
      <c r="H74" s="33">
        <f>G68</f>
        <v>71.07731668</v>
      </c>
      <c r="J74" s="33">
        <f>G65</f>
        <v>73.10643977</v>
      </c>
      <c r="K74" s="33">
        <f>G66</f>
        <v>75.71810287</v>
      </c>
      <c r="L74" s="33">
        <f>G67</f>
        <v>64.40740741</v>
      </c>
      <c r="N74" s="33">
        <f>L68</f>
        <v>70.29767122</v>
      </c>
      <c r="P74" s="33">
        <f>M65</f>
        <v>8.567603748</v>
      </c>
      <c r="Q74" s="33">
        <f>M66</f>
        <v>9.221998659</v>
      </c>
      <c r="R74" s="33">
        <f>M67</f>
        <v>7.03196347</v>
      </c>
    </row>
    <row r="75" ht="15.75" customHeight="1">
      <c r="A75" s="182" t="s">
        <v>64</v>
      </c>
      <c r="B75" s="29">
        <f>C68</f>
        <v>8.22014501</v>
      </c>
      <c r="D75" s="29">
        <f>C65</f>
        <v>8.551307847</v>
      </c>
      <c r="E75" s="33">
        <f>C66</f>
        <v>8.768406961</v>
      </c>
      <c r="F75" s="33">
        <f>C67</f>
        <v>7.340720222</v>
      </c>
      <c r="H75" s="29">
        <f>H68</f>
        <v>7.975604826</v>
      </c>
      <c r="J75" s="29">
        <f>H65</f>
        <v>8.543558695</v>
      </c>
      <c r="K75" s="33">
        <f>H66</f>
        <v>8.458709462</v>
      </c>
      <c r="L75" s="33">
        <f>H67</f>
        <v>6.924546323</v>
      </c>
      <c r="N75" s="29">
        <f>M68</f>
        <v>8.273855292</v>
      </c>
      <c r="P75" s="29">
        <f>N65</f>
        <v>40.63260341</v>
      </c>
      <c r="Q75" s="33">
        <f>N66</f>
        <v>48.1155164</v>
      </c>
      <c r="R75" s="33">
        <f>N67</f>
        <v>40.6961178</v>
      </c>
    </row>
    <row r="76" ht="15.75" customHeight="1">
      <c r="A76" s="182" t="s">
        <v>65</v>
      </c>
      <c r="B76" s="33">
        <f>D68</f>
        <v>46.23946371</v>
      </c>
      <c r="D76" s="33">
        <f>D65</f>
        <v>39.61708395</v>
      </c>
      <c r="E76" s="33">
        <f>D66</f>
        <v>52.5</v>
      </c>
      <c r="F76" s="33">
        <f>D67</f>
        <v>46.60130719</v>
      </c>
      <c r="H76" s="33">
        <f>I68</f>
        <v>42.40751381</v>
      </c>
      <c r="J76" s="33">
        <f>I65</f>
        <v>38.35282651</v>
      </c>
      <c r="K76" s="33">
        <f>I66</f>
        <v>45.68627451</v>
      </c>
      <c r="L76" s="33">
        <f>I67</f>
        <v>43.1834404</v>
      </c>
      <c r="N76" s="33">
        <f>N68</f>
        <v>43.1480792</v>
      </c>
      <c r="P76" s="33">
        <f>O65</f>
        <v>56.97278912</v>
      </c>
      <c r="Q76" s="33">
        <f>O66</f>
        <v>43.87755102</v>
      </c>
      <c r="R76" s="33">
        <f>O67</f>
        <v>69.1954023</v>
      </c>
    </row>
    <row r="77" ht="15.75" customHeight="1">
      <c r="A77" s="182" t="s">
        <v>66</v>
      </c>
      <c r="B77" s="33">
        <f>E68</f>
        <v>54.92585921</v>
      </c>
      <c r="D77" s="33">
        <f>E65</f>
        <v>50</v>
      </c>
      <c r="E77" s="33">
        <f>E66</f>
        <v>44.67005076</v>
      </c>
      <c r="F77" s="33">
        <f>E67</f>
        <v>70.10752688</v>
      </c>
      <c r="H77" s="33">
        <f>J68</f>
        <v>53.71854269</v>
      </c>
      <c r="J77" s="33">
        <f>J65</f>
        <v>59.05245347</v>
      </c>
      <c r="K77" s="33">
        <f>J66</f>
        <v>44.04761905</v>
      </c>
      <c r="L77" s="33">
        <f>J67</f>
        <v>58.05555556</v>
      </c>
      <c r="N77" s="33">
        <f>O68</f>
        <v>56.68191414</v>
      </c>
      <c r="P77" s="33">
        <f>P65</f>
        <v>44.70607087</v>
      </c>
      <c r="Q77" s="33">
        <f>P66</f>
        <v>44.08936116</v>
      </c>
      <c r="R77" s="33">
        <f>P67</f>
        <v>45.00570787</v>
      </c>
    </row>
    <row r="78" ht="15.75" customHeight="1">
      <c r="P78" s="29"/>
    </row>
    <row r="79" ht="15.75" customHeight="1">
      <c r="A79" s="30" t="s">
        <v>90</v>
      </c>
      <c r="B79" s="183" t="s">
        <v>290</v>
      </c>
      <c r="C79" s="68"/>
      <c r="D79" s="68"/>
      <c r="E79" s="68"/>
      <c r="F79" s="68"/>
      <c r="G79" s="68"/>
      <c r="H79" s="10"/>
      <c r="I79" s="183" t="s">
        <v>288</v>
      </c>
      <c r="J79" s="68"/>
      <c r="K79" s="68"/>
      <c r="L79" s="68"/>
      <c r="M79" s="68"/>
      <c r="N79" s="68"/>
      <c r="O79" s="10"/>
      <c r="P79" s="183" t="s">
        <v>270</v>
      </c>
      <c r="Q79" s="68"/>
      <c r="R79" s="68"/>
      <c r="S79" s="68"/>
      <c r="T79" s="68"/>
      <c r="U79" s="68"/>
    </row>
    <row r="80" ht="15.75" customHeight="1">
      <c r="B80" s="51" t="s">
        <v>324</v>
      </c>
      <c r="C80" s="59"/>
      <c r="D80" s="51" t="s">
        <v>63</v>
      </c>
      <c r="E80" s="51" t="s">
        <v>64</v>
      </c>
      <c r="F80" s="51" t="s">
        <v>65</v>
      </c>
      <c r="G80" s="51" t="s">
        <v>66</v>
      </c>
      <c r="H80" s="59"/>
      <c r="I80" s="51" t="s">
        <v>324</v>
      </c>
      <c r="J80" s="59"/>
      <c r="K80" s="51" t="s">
        <v>63</v>
      </c>
      <c r="L80" s="51" t="s">
        <v>64</v>
      </c>
      <c r="M80" s="51" t="s">
        <v>65</v>
      </c>
      <c r="N80" s="51" t="s">
        <v>66</v>
      </c>
      <c r="O80" s="59"/>
      <c r="P80" s="51" t="s">
        <v>324</v>
      </c>
      <c r="Q80" s="59"/>
      <c r="R80" s="51" t="s">
        <v>63</v>
      </c>
      <c r="S80" s="51" t="s">
        <v>64</v>
      </c>
      <c r="T80" s="51" t="s">
        <v>65</v>
      </c>
      <c r="U80" s="51" t="s">
        <v>66</v>
      </c>
    </row>
    <row r="81" ht="15.75" customHeight="1">
      <c r="A81" s="11" t="s">
        <v>68</v>
      </c>
      <c r="B81" s="29">
        <f t="shared" ref="B81:B83" si="36">AVERAGE(D81:G81)</f>
        <v>42.67837049</v>
      </c>
      <c r="C81" s="35"/>
      <c r="D81" s="29">
        <f t="shared" ref="D81:G81" si="33">B65</f>
        <v>72.54509018</v>
      </c>
      <c r="E81" s="29">
        <f t="shared" si="33"/>
        <v>8.551307847</v>
      </c>
      <c r="F81" s="29">
        <f t="shared" si="33"/>
        <v>39.61708395</v>
      </c>
      <c r="G81" s="29">
        <f t="shared" si="33"/>
        <v>50</v>
      </c>
      <c r="H81" s="33"/>
      <c r="I81" s="29">
        <f t="shared" ref="I81:I83" si="38">AVERAGE(K81:N81)</f>
        <v>44.76381961</v>
      </c>
      <c r="J81" s="35"/>
      <c r="K81" s="33">
        <f t="shared" ref="K81:N81" si="34">G65</f>
        <v>73.10643977</v>
      </c>
      <c r="L81" s="33">
        <f t="shared" si="34"/>
        <v>8.543558695</v>
      </c>
      <c r="M81" s="33">
        <f t="shared" si="34"/>
        <v>38.35282651</v>
      </c>
      <c r="N81" s="33">
        <f t="shared" si="34"/>
        <v>59.05245347</v>
      </c>
      <c r="O81" s="33"/>
      <c r="P81" s="29">
        <f t="shared" ref="P81:P83" si="40">AVERAGE(R81:U81)</f>
        <v>44.70607087</v>
      </c>
      <c r="R81" s="33">
        <f t="shared" ref="R81:U81" si="35">L65</f>
        <v>72.65128719</v>
      </c>
      <c r="S81" s="33">
        <f t="shared" si="35"/>
        <v>8.567603748</v>
      </c>
      <c r="T81" s="33">
        <f t="shared" si="35"/>
        <v>40.63260341</v>
      </c>
      <c r="U81" s="33">
        <f t="shared" si="35"/>
        <v>56.97278912</v>
      </c>
    </row>
    <row r="82" ht="15.75" customHeight="1">
      <c r="A82" s="11" t="s">
        <v>73</v>
      </c>
      <c r="B82" s="29">
        <f t="shared" si="36"/>
        <v>44.56243674</v>
      </c>
      <c r="C82" s="35"/>
      <c r="D82" s="29">
        <f t="shared" ref="D82:G82" si="37">B66</f>
        <v>72.31128925</v>
      </c>
      <c r="E82" s="29">
        <f t="shared" si="37"/>
        <v>8.768406961</v>
      </c>
      <c r="F82" s="29">
        <f t="shared" si="37"/>
        <v>52.5</v>
      </c>
      <c r="G82" s="29">
        <f t="shared" si="37"/>
        <v>44.67005076</v>
      </c>
      <c r="H82" s="33"/>
      <c r="I82" s="29">
        <f t="shared" si="38"/>
        <v>43.47767647</v>
      </c>
      <c r="J82" s="35"/>
      <c r="K82" s="33">
        <f t="shared" ref="K82:N82" si="39">G66</f>
        <v>75.71810287</v>
      </c>
      <c r="L82" s="33">
        <f t="shared" si="39"/>
        <v>8.458709462</v>
      </c>
      <c r="M82" s="33">
        <f t="shared" si="39"/>
        <v>45.68627451</v>
      </c>
      <c r="N82" s="33">
        <f t="shared" si="39"/>
        <v>44.04761905</v>
      </c>
      <c r="O82" s="33"/>
      <c r="P82" s="29">
        <f t="shared" si="40"/>
        <v>44.08936116</v>
      </c>
      <c r="R82" s="33">
        <f t="shared" ref="R82:U82" si="41">L66</f>
        <v>75.14237856</v>
      </c>
      <c r="S82" s="33">
        <f t="shared" si="41"/>
        <v>9.221998659</v>
      </c>
      <c r="T82" s="33">
        <f t="shared" si="41"/>
        <v>48.1155164</v>
      </c>
      <c r="U82" s="33">
        <f t="shared" si="41"/>
        <v>43.87755102</v>
      </c>
    </row>
    <row r="83" ht="15.75" customHeight="1">
      <c r="A83" s="23" t="s">
        <v>76</v>
      </c>
      <c r="B83" s="29">
        <f t="shared" si="36"/>
        <v>47.72949915</v>
      </c>
      <c r="C83" s="33"/>
      <c r="D83" s="29">
        <f t="shared" ref="D83:G83" si="42">B67</f>
        <v>66.86844229</v>
      </c>
      <c r="E83" s="29">
        <f t="shared" si="42"/>
        <v>7.340720222</v>
      </c>
      <c r="F83" s="29">
        <f t="shared" si="42"/>
        <v>46.60130719</v>
      </c>
      <c r="G83" s="29">
        <f t="shared" si="42"/>
        <v>70.10752688</v>
      </c>
      <c r="H83" s="33"/>
      <c r="I83" s="29">
        <f t="shared" si="38"/>
        <v>43.14273742</v>
      </c>
      <c r="J83" s="33"/>
      <c r="K83" s="33">
        <f t="shared" ref="K83:N83" si="43">G67</f>
        <v>64.40740741</v>
      </c>
      <c r="L83" s="33">
        <f t="shared" si="43"/>
        <v>6.924546323</v>
      </c>
      <c r="M83" s="33">
        <f t="shared" si="43"/>
        <v>43.1834404</v>
      </c>
      <c r="N83" s="33">
        <f t="shared" si="43"/>
        <v>58.05555556</v>
      </c>
      <c r="O83" s="33"/>
      <c r="P83" s="29">
        <f t="shared" si="40"/>
        <v>45.00570787</v>
      </c>
      <c r="R83" s="33">
        <f t="shared" ref="R83:U83" si="44">L67</f>
        <v>63.09934791</v>
      </c>
      <c r="S83" s="33">
        <f t="shared" si="44"/>
        <v>7.03196347</v>
      </c>
      <c r="T83" s="33">
        <f t="shared" si="44"/>
        <v>40.6961178</v>
      </c>
      <c r="U83" s="33">
        <f t="shared" si="44"/>
        <v>69.1954023</v>
      </c>
    </row>
    <row r="84" ht="15.75" customHeight="1">
      <c r="A84" s="62"/>
      <c r="C84" s="33"/>
      <c r="D84" s="29"/>
      <c r="E84" s="33"/>
      <c r="F84" s="33"/>
      <c r="G84" s="29"/>
      <c r="H84" s="33"/>
      <c r="I84" s="34"/>
      <c r="J84" s="35"/>
      <c r="K84" s="35"/>
      <c r="L84" s="29"/>
      <c r="M84" s="35"/>
      <c r="N84" s="29"/>
      <c r="O84" s="33"/>
      <c r="P84" s="33"/>
    </row>
    <row r="85" ht="15.75" customHeight="1">
      <c r="B85" s="29" t="str">
        <f>B79</f>
        <v>Answer</v>
      </c>
      <c r="C85" s="2" t="str">
        <f>I79</f>
        <v>Reasoning</v>
      </c>
      <c r="D85" s="2" t="str">
        <f>P79</f>
        <v>Both</v>
      </c>
    </row>
    <row r="86" ht="15.75" customHeight="1">
      <c r="A86" s="2" t="str">
        <f t="shared" ref="A86:B86" si="45">A81</f>
        <v>Qwen2.5</v>
      </c>
      <c r="B86" s="33">
        <f t="shared" si="45"/>
        <v>42.67837049</v>
      </c>
      <c r="C86" s="33">
        <f t="shared" ref="C86:C88" si="47">I81</f>
        <v>44.76381961</v>
      </c>
      <c r="D86" s="33">
        <f t="shared" ref="D86:D88" si="48">P81</f>
        <v>44.70607087</v>
      </c>
    </row>
    <row r="87" ht="15.75" customHeight="1">
      <c r="A87" s="2" t="str">
        <f t="shared" ref="A87:B87" si="46">A82</f>
        <v>Olmo 3</v>
      </c>
      <c r="B87" s="33">
        <f t="shared" si="46"/>
        <v>44.56243674</v>
      </c>
      <c r="C87" s="33">
        <f t="shared" si="47"/>
        <v>43.47767647</v>
      </c>
      <c r="D87" s="33">
        <f t="shared" si="48"/>
        <v>44.08936116</v>
      </c>
    </row>
    <row r="88" ht="15.75" customHeight="1">
      <c r="A88" s="2" t="str">
        <f t="shared" ref="A88:B88" si="49">A83</f>
        <v>Llama 3.2</v>
      </c>
      <c r="B88" s="33">
        <f t="shared" si="49"/>
        <v>47.72949915</v>
      </c>
      <c r="C88" s="33">
        <f t="shared" si="47"/>
        <v>43.14273742</v>
      </c>
      <c r="D88" s="33">
        <f t="shared" si="48"/>
        <v>45.00570787</v>
      </c>
    </row>
    <row r="89" ht="15.75" customHeight="1">
      <c r="A89" s="62" t="s">
        <v>324</v>
      </c>
      <c r="B89" s="35">
        <f t="shared" ref="B89:D89" si="50">AVERAGE(B86:B88)</f>
        <v>44.99010213</v>
      </c>
      <c r="C89" s="35">
        <f t="shared" si="50"/>
        <v>43.7947445</v>
      </c>
      <c r="D89" s="35">
        <f t="shared" si="50"/>
        <v>44.60037997</v>
      </c>
    </row>
    <row r="90" ht="15.75" customHeight="1"/>
    <row r="91" ht="15.75" customHeight="1">
      <c r="C91" s="2">
        <f>(D89-B89)/D89*100</f>
        <v>-0.8738090622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G63:J63"/>
    <mergeCell ref="K63:K64"/>
    <mergeCell ref="P63:P64"/>
    <mergeCell ref="A40:A41"/>
    <mergeCell ref="B40:E40"/>
    <mergeCell ref="F40:F41"/>
    <mergeCell ref="G40:J40"/>
    <mergeCell ref="K40:K41"/>
    <mergeCell ref="L40:O40"/>
    <mergeCell ref="A63:A64"/>
    <mergeCell ref="L63:O63"/>
    <mergeCell ref="B79:G79"/>
    <mergeCell ref="I79:N79"/>
    <mergeCell ref="P79:U79"/>
    <mergeCell ref="B63:E63"/>
    <mergeCell ref="F63:F64"/>
    <mergeCell ref="A72:A73"/>
    <mergeCell ref="B72:F72"/>
    <mergeCell ref="H72:L72"/>
    <mergeCell ref="N72:R72"/>
    <mergeCell ref="A79:A80"/>
  </mergeCells>
  <printOptions/>
  <pageMargins bottom="1.0" footer="0.0" header="0.0" left="0.75" right="0.75" top="1.0"/>
  <pageSetup orientation="landscape"/>
  <drawing r:id="rId1"/>
</worksheet>
</file>